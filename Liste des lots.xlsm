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3391A24C-3AD9-4A85-92E2-F125CBC6E818}"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421" i="2" l="1"/>
  <c r="X419" i="2"/>
  <c r="Y419" i="2"/>
  <c r="X420" i="2"/>
  <c r="Y420" i="2" s="1"/>
  <c r="X421" i="2"/>
  <c r="Y421" i="2" s="1"/>
  <c r="T419" i="2"/>
  <c r="U419" i="2"/>
  <c r="T420" i="2"/>
  <c r="U420" i="2" s="1"/>
  <c r="T421" i="2"/>
  <c r="U421" i="2" s="1"/>
  <c r="G419" i="2"/>
  <c r="G420" i="2"/>
  <c r="G421" i="2"/>
  <c r="C421" i="2"/>
  <c r="A421" i="2" s="1"/>
  <c r="AA421" i="2"/>
  <c r="AC421" i="2"/>
  <c r="C420" i="2"/>
  <c r="A420" i="2" s="1"/>
  <c r="H420" i="2" a="1"/>
  <c r="H420" i="2" s="1"/>
  <c r="AA420" i="2"/>
  <c r="AC420" i="2"/>
  <c r="C419" i="2"/>
  <c r="A419" i="2" s="1"/>
  <c r="AA419" i="2"/>
  <c r="AE419" i="2" s="1"/>
  <c r="AC419" i="2"/>
  <c r="X417" i="2"/>
  <c r="Y417" i="2" s="1"/>
  <c r="X418" i="2"/>
  <c r="Y418" i="2" s="1"/>
  <c r="T417" i="2"/>
  <c r="U417" i="2" s="1"/>
  <c r="T418" i="2"/>
  <c r="U418" i="2" s="1"/>
  <c r="G418" i="2"/>
  <c r="G417" i="2"/>
  <c r="C418" i="2"/>
  <c r="A418" i="2" s="1"/>
  <c r="AA418" i="2"/>
  <c r="AC418" i="2"/>
  <c r="C417" i="2"/>
  <c r="A417" i="2" s="1"/>
  <c r="AA417" i="2"/>
  <c r="AC417" i="2"/>
  <c r="X416" i="2"/>
  <c r="T416" i="2"/>
  <c r="AF416" i="2" s="1"/>
  <c r="G416" i="2"/>
  <c r="C416" i="2"/>
  <c r="A416" i="2" s="1"/>
  <c r="AA416" i="2"/>
  <c r="AC416" i="2"/>
  <c r="X414" i="2"/>
  <c r="Y414" i="2" s="1"/>
  <c r="X415" i="2"/>
  <c r="Y415" i="2" s="1"/>
  <c r="T415" i="2"/>
  <c r="U415" i="2" s="1"/>
  <c r="G415" i="2"/>
  <c r="C415" i="2"/>
  <c r="A415" i="2" s="1"/>
  <c r="AA415" i="2"/>
  <c r="AC415" i="2"/>
  <c r="T414" i="2"/>
  <c r="U414" i="2" s="1"/>
  <c r="G414" i="2"/>
  <c r="C414" i="2"/>
  <c r="A414" i="2" s="1"/>
  <c r="AA414" i="2"/>
  <c r="AC414" i="2"/>
  <c r="AE421" i="2" l="1"/>
  <c r="AE420" i="2"/>
  <c r="B421" i="2"/>
  <c r="U416" i="2"/>
  <c r="B420" i="2"/>
  <c r="AF418" i="2"/>
  <c r="B419" i="2"/>
  <c r="AF417" i="2"/>
  <c r="AE418" i="2"/>
  <c r="B418" i="2"/>
  <c r="AE417" i="2"/>
  <c r="AE416" i="2"/>
  <c r="AF415" i="2"/>
  <c r="B417" i="2"/>
  <c r="Y416" i="2"/>
  <c r="B416" i="2"/>
  <c r="AE415" i="2"/>
  <c r="AF414" i="2"/>
  <c r="B415" i="2"/>
  <c r="AE414" i="2"/>
  <c r="B414" i="2"/>
  <c r="X404" i="2" l="1"/>
  <c r="Y404" i="2" s="1"/>
  <c r="T404" i="2"/>
  <c r="U404" i="2" s="1"/>
  <c r="AF404" i="2" l="1"/>
  <c r="F21" i="6"/>
  <c r="F18" i="6"/>
  <c r="F20" i="6"/>
  <c r="G412" i="2"/>
  <c r="G413" i="2"/>
  <c r="C413" i="2"/>
  <c r="A413" i="2" s="1"/>
  <c r="U413" i="2"/>
  <c r="Y413" i="2"/>
  <c r="AA413" i="2"/>
  <c r="AC413" i="2"/>
  <c r="AA412" i="2"/>
  <c r="X412" i="2"/>
  <c r="Y412" i="2" s="1"/>
  <c r="T412" i="2"/>
  <c r="U412" i="2" s="1"/>
  <c r="C412" i="2"/>
  <c r="A412" i="2" s="1"/>
  <c r="AC412" i="2"/>
  <c r="F42" i="6"/>
  <c r="F41" i="6"/>
  <c r="F38" i="6"/>
  <c r="F37" i="6"/>
  <c r="F34" i="6"/>
  <c r="F33" i="6"/>
  <c r="F32" i="6"/>
  <c r="F31" i="6"/>
  <c r="F24" i="6"/>
  <c r="F22" i="6"/>
  <c r="F19" i="6"/>
  <c r="F17" i="6"/>
  <c r="F16" i="6"/>
  <c r="F15" i="6"/>
  <c r="F12" i="6"/>
  <c r="F11" i="6"/>
  <c r="F10" i="6"/>
  <c r="G411" i="2"/>
  <c r="C411" i="2"/>
  <c r="A411" i="2" s="1"/>
  <c r="U411" i="2"/>
  <c r="Y411" i="2"/>
  <c r="AA411" i="2"/>
  <c r="AC411" i="2"/>
  <c r="X126" i="2"/>
  <c r="Y126" i="2" s="1"/>
  <c r="T126" i="2"/>
  <c r="U126" i="2" s="1"/>
  <c r="G126" i="2"/>
  <c r="C126" i="2"/>
  <c r="A126" i="2" s="1"/>
  <c r="AA126" i="2"/>
  <c r="AC126" i="2"/>
  <c r="AC410" i="2"/>
  <c r="AA410" i="2"/>
  <c r="X410" i="2"/>
  <c r="Y410" i="2" s="1"/>
  <c r="T410" i="2"/>
  <c r="AF410" i="2" s="1"/>
  <c r="G410" i="2"/>
  <c r="C410" i="2"/>
  <c r="A410" i="2" s="1"/>
  <c r="AE413" i="2" l="1"/>
  <c r="AE411" i="2"/>
  <c r="AF412" i="2"/>
  <c r="B413" i="2"/>
  <c r="AE412" i="2"/>
  <c r="AF126" i="2"/>
  <c r="B412" i="2"/>
  <c r="B411" i="2"/>
  <c r="AE126" i="2"/>
  <c r="B126" i="2"/>
  <c r="U410" i="2"/>
  <c r="AE410" i="2"/>
  <c r="B410" i="2"/>
  <c r="G409" i="2" l="1"/>
  <c r="G408" i="2"/>
  <c r="G407" i="2"/>
  <c r="G406" i="2"/>
  <c r="G405" i="2"/>
  <c r="G404" i="2"/>
  <c r="G403" i="2"/>
  <c r="C409" i="2"/>
  <c r="A409" i="2" s="1"/>
  <c r="U409" i="2"/>
  <c r="Y409" i="2"/>
  <c r="AA409" i="2"/>
  <c r="AC409" i="2"/>
  <c r="C408" i="2"/>
  <c r="A408" i="2" s="1"/>
  <c r="U408" i="2"/>
  <c r="Y408" i="2"/>
  <c r="AA408" i="2"/>
  <c r="AC408" i="2"/>
  <c r="C407" i="2"/>
  <c r="A407" i="2" s="1"/>
  <c r="U407" i="2"/>
  <c r="Y407" i="2"/>
  <c r="AA407" i="2"/>
  <c r="AC407" i="2"/>
  <c r="C406" i="2"/>
  <c r="A406" i="2" s="1"/>
  <c r="U406" i="2"/>
  <c r="Y406" i="2"/>
  <c r="AA406" i="2"/>
  <c r="AC406" i="2"/>
  <c r="C405" i="2"/>
  <c r="A405" i="2" s="1"/>
  <c r="U405" i="2"/>
  <c r="Y405" i="2"/>
  <c r="AA405" i="2"/>
  <c r="AC405" i="2"/>
  <c r="C404" i="2"/>
  <c r="A404" i="2" s="1"/>
  <c r="AA404" i="2"/>
  <c r="AC404" i="2"/>
  <c r="C403" i="2"/>
  <c r="A403" i="2" s="1"/>
  <c r="U403" i="2"/>
  <c r="Y403" i="2"/>
  <c r="AA403" i="2"/>
  <c r="AC403" i="2"/>
  <c r="G402" i="2"/>
  <c r="C402" i="2"/>
  <c r="A402" i="2" s="1"/>
  <c r="U402" i="2"/>
  <c r="Y402" i="2"/>
  <c r="AA402" i="2"/>
  <c r="AC402" i="2"/>
  <c r="X298" i="2"/>
  <c r="Y298" i="2" s="1"/>
  <c r="AA298" i="2"/>
  <c r="T298" i="2"/>
  <c r="U298" i="2" s="1"/>
  <c r="G298" i="2"/>
  <c r="C298" i="2"/>
  <c r="A298" i="2" s="1"/>
  <c r="AC298" i="2"/>
  <c r="G401" i="2"/>
  <c r="C401" i="2"/>
  <c r="A401" i="2" s="1"/>
  <c r="U401" i="2"/>
  <c r="Y401" i="2"/>
  <c r="AA401" i="2"/>
  <c r="AC401" i="2"/>
  <c r="G400" i="2"/>
  <c r="C400" i="2"/>
  <c r="A400" i="2" s="1"/>
  <c r="U400" i="2"/>
  <c r="Y400" i="2"/>
  <c r="AA400" i="2"/>
  <c r="AC400" i="2"/>
  <c r="G399" i="2"/>
  <c r="C399" i="2"/>
  <c r="A399" i="2" s="1"/>
  <c r="U399" i="2"/>
  <c r="Y399" i="2"/>
  <c r="AA399" i="2"/>
  <c r="AC399" i="2"/>
  <c r="Y396" i="2"/>
  <c r="Y397" i="2"/>
  <c r="Y398" i="2"/>
  <c r="U398" i="2"/>
  <c r="AA398" i="2"/>
  <c r="AC398" i="2"/>
  <c r="G398" i="2"/>
  <c r="C398" i="2"/>
  <c r="B398" i="2" s="1"/>
  <c r="U397" i="2"/>
  <c r="AA397" i="2"/>
  <c r="AC397" i="2"/>
  <c r="G397" i="2"/>
  <c r="C397" i="2"/>
  <c r="B397" i="2" s="1"/>
  <c r="U396" i="2"/>
  <c r="AA396" i="2"/>
  <c r="AC396" i="2"/>
  <c r="G396" i="2"/>
  <c r="C396" i="2"/>
  <c r="B396" i="2" s="1"/>
  <c r="T395" i="2"/>
  <c r="U395" i="2" s="1"/>
  <c r="G395" i="2"/>
  <c r="C395" i="2"/>
  <c r="A395" i="2" s="1"/>
  <c r="Y395" i="2"/>
  <c r="AA395" i="2"/>
  <c r="AC395" i="2"/>
  <c r="X394" i="2"/>
  <c r="Y394" i="2" s="1"/>
  <c r="T394" i="2"/>
  <c r="U394" i="2" s="1"/>
  <c r="G381" i="2"/>
  <c r="G382" i="2"/>
  <c r="G383" i="2"/>
  <c r="G384" i="2"/>
  <c r="G385" i="2"/>
  <c r="F9" i="6" s="1"/>
  <c r="G386" i="2"/>
  <c r="G387" i="2"/>
  <c r="G388" i="2"/>
  <c r="G389" i="2"/>
  <c r="G390" i="2"/>
  <c r="G391" i="2"/>
  <c r="G392" i="2"/>
  <c r="G393" i="2"/>
  <c r="G394" i="2"/>
  <c r="C394" i="2"/>
  <c r="A394" i="2" s="1"/>
  <c r="AA394" i="2"/>
  <c r="AC394" i="2"/>
  <c r="T381" i="2"/>
  <c r="U381" i="2" s="1"/>
  <c r="T382" i="2"/>
  <c r="U382" i="2" s="1"/>
  <c r="T383" i="2"/>
  <c r="U383" i="2" s="1"/>
  <c r="T384" i="2"/>
  <c r="U384" i="2" s="1"/>
  <c r="T385" i="2"/>
  <c r="T386" i="2"/>
  <c r="U386" i="2" s="1"/>
  <c r="T387" i="2"/>
  <c r="U387" i="2" s="1"/>
  <c r="T388" i="2"/>
  <c r="U388" i="2" s="1"/>
  <c r="T389" i="2"/>
  <c r="AF389" i="2" s="1"/>
  <c r="T390" i="2"/>
  <c r="AF390" i="2" s="1"/>
  <c r="T391" i="2"/>
  <c r="U391" i="2" s="1"/>
  <c r="T392" i="2"/>
  <c r="U392" i="2" s="1"/>
  <c r="T393" i="2"/>
  <c r="AF393" i="2" s="1"/>
  <c r="X393" i="2"/>
  <c r="Y393" i="2" s="1"/>
  <c r="X392" i="2"/>
  <c r="Y392" i="2" s="1"/>
  <c r="X391" i="2"/>
  <c r="Y391" i="2" s="1"/>
  <c r="X390" i="2"/>
  <c r="Y390" i="2" s="1"/>
  <c r="X389" i="2"/>
  <c r="Y389" i="2" s="1"/>
  <c r="X388" i="2"/>
  <c r="Y388" i="2" s="1"/>
  <c r="X387" i="2"/>
  <c r="Y387" i="2" s="1"/>
  <c r="X386" i="2"/>
  <c r="Y386" i="2" s="1"/>
  <c r="X385" i="2"/>
  <c r="X384" i="2"/>
  <c r="Y384" i="2" s="1"/>
  <c r="X383" i="2"/>
  <c r="Y383" i="2" s="1"/>
  <c r="X382" i="2"/>
  <c r="Y382" i="2" s="1"/>
  <c r="X381" i="2"/>
  <c r="Y381" i="2" s="1"/>
  <c r="C382" i="2"/>
  <c r="A382" i="2" s="1"/>
  <c r="C383" i="2"/>
  <c r="A383" i="2" s="1"/>
  <c r="C384" i="2"/>
  <c r="A384" i="2" s="1"/>
  <c r="C385" i="2"/>
  <c r="A385" i="2" s="1"/>
  <c r="C386" i="2"/>
  <c r="A386" i="2" s="1"/>
  <c r="C387" i="2"/>
  <c r="A387" i="2" s="1"/>
  <c r="C388" i="2"/>
  <c r="A388" i="2" s="1"/>
  <c r="C389" i="2"/>
  <c r="A389" i="2" s="1"/>
  <c r="C390" i="2"/>
  <c r="A390" i="2" s="1"/>
  <c r="C391" i="2"/>
  <c r="A391" i="2" s="1"/>
  <c r="C392" i="2"/>
  <c r="A392" i="2" s="1"/>
  <c r="C393" i="2"/>
  <c r="A393" i="2" s="1"/>
  <c r="AA382" i="2"/>
  <c r="AA383" i="2"/>
  <c r="AA384" i="2"/>
  <c r="AA385" i="2"/>
  <c r="F26" i="6" s="1"/>
  <c r="AA386" i="2"/>
  <c r="AA387" i="2"/>
  <c r="AA388" i="2"/>
  <c r="AA389" i="2"/>
  <c r="AA390" i="2"/>
  <c r="AA391" i="2"/>
  <c r="AA392" i="2"/>
  <c r="AA393" i="2"/>
  <c r="AC382" i="2"/>
  <c r="AC383" i="2"/>
  <c r="AC384" i="2"/>
  <c r="AC385" i="2"/>
  <c r="F27" i="6" s="1"/>
  <c r="AC386" i="2"/>
  <c r="AC387" i="2"/>
  <c r="AC388" i="2"/>
  <c r="AC389" i="2"/>
  <c r="AC390" i="2"/>
  <c r="AC391" i="2"/>
  <c r="AC392" i="2"/>
  <c r="AC393" i="2"/>
  <c r="C381" i="2"/>
  <c r="A381" i="2" s="1"/>
  <c r="AA381" i="2"/>
  <c r="AC381" i="2"/>
  <c r="X375" i="2"/>
  <c r="Y375" i="2" s="1"/>
  <c r="X376" i="2"/>
  <c r="Y376" i="2" s="1"/>
  <c r="X377" i="2"/>
  <c r="Y377" i="2" s="1"/>
  <c r="X378" i="2"/>
  <c r="Y378" i="2" s="1"/>
  <c r="X379" i="2"/>
  <c r="Y379" i="2" s="1"/>
  <c r="X380" i="2"/>
  <c r="Y380" i="2" s="1"/>
  <c r="T375" i="2"/>
  <c r="AF375" i="2" s="1"/>
  <c r="T376" i="2"/>
  <c r="U376" i="2" s="1"/>
  <c r="T377" i="2"/>
  <c r="AF377" i="2" s="1"/>
  <c r="T378" i="2"/>
  <c r="U378" i="2" s="1"/>
  <c r="T379" i="2"/>
  <c r="AF379" i="2" s="1"/>
  <c r="T380" i="2"/>
  <c r="U380" i="2" s="1"/>
  <c r="G380" i="2"/>
  <c r="G379" i="2"/>
  <c r="G378" i="2"/>
  <c r="G377" i="2"/>
  <c r="G376" i="2"/>
  <c r="G375" i="2"/>
  <c r="C380" i="2"/>
  <c r="A380" i="2" s="1"/>
  <c r="AA380" i="2"/>
  <c r="AC380" i="2"/>
  <c r="C379" i="2"/>
  <c r="A379" i="2" s="1"/>
  <c r="AA379" i="2"/>
  <c r="AC379" i="2"/>
  <c r="C378" i="2"/>
  <c r="A378" i="2" s="1"/>
  <c r="AA378" i="2"/>
  <c r="AC378" i="2"/>
  <c r="C377" i="2"/>
  <c r="A377" i="2" s="1"/>
  <c r="AA377" i="2"/>
  <c r="AC377" i="2"/>
  <c r="C376" i="2"/>
  <c r="A376" i="2" s="1"/>
  <c r="AA376" i="2"/>
  <c r="AC376" i="2"/>
  <c r="C375" i="2"/>
  <c r="A375" i="2" s="1"/>
  <c r="AA375" i="2"/>
  <c r="AC375" i="2"/>
  <c r="X371" i="2"/>
  <c r="Y371" i="2" s="1"/>
  <c r="AA371" i="2"/>
  <c r="AC371" i="2"/>
  <c r="X372" i="2"/>
  <c r="Y372" i="2" s="1"/>
  <c r="AA372" i="2"/>
  <c r="AC372" i="2"/>
  <c r="X373" i="2"/>
  <c r="Y373" i="2" s="1"/>
  <c r="AA373" i="2"/>
  <c r="AC373" i="2"/>
  <c r="X374" i="2"/>
  <c r="Y374" i="2" s="1"/>
  <c r="AA374" i="2"/>
  <c r="AC374" i="2"/>
  <c r="X370" i="2"/>
  <c r="Y370" i="2" s="1"/>
  <c r="T370" i="2"/>
  <c r="U370" i="2" s="1"/>
  <c r="T371" i="2"/>
  <c r="U371" i="2" s="1"/>
  <c r="T372" i="2"/>
  <c r="U372" i="2" s="1"/>
  <c r="T373" i="2"/>
  <c r="U373" i="2" s="1"/>
  <c r="T374" i="2"/>
  <c r="U374" i="2" s="1"/>
  <c r="C371" i="2"/>
  <c r="A371" i="2" s="1"/>
  <c r="C372" i="2"/>
  <c r="A372" i="2" s="1"/>
  <c r="C373" i="2"/>
  <c r="A373" i="2" s="1"/>
  <c r="C374" i="2"/>
  <c r="A374" i="2" s="1"/>
  <c r="G374" i="2"/>
  <c r="G373" i="2"/>
  <c r="G372" i="2"/>
  <c r="G371" i="2"/>
  <c r="G370" i="2"/>
  <c r="C370" i="2"/>
  <c r="A370" i="2" s="1"/>
  <c r="AA370" i="2"/>
  <c r="AC370" i="2"/>
  <c r="U385" i="2" l="1"/>
  <c r="F23" i="6"/>
  <c r="Y385" i="2"/>
  <c r="F25" i="6"/>
  <c r="AE409" i="2"/>
  <c r="AE407" i="2"/>
  <c r="AE408" i="2"/>
  <c r="AE405" i="2"/>
  <c r="B409" i="2"/>
  <c r="B408" i="2"/>
  <c r="AE406" i="2"/>
  <c r="AE403" i="2"/>
  <c r="B407" i="2"/>
  <c r="B406" i="2"/>
  <c r="AE404" i="2"/>
  <c r="B405" i="2"/>
  <c r="B404" i="2"/>
  <c r="AE402" i="2"/>
  <c r="B403" i="2"/>
  <c r="B402" i="2"/>
  <c r="AF298" i="2"/>
  <c r="AE298" i="2"/>
  <c r="AE399" i="2"/>
  <c r="AE401" i="2"/>
  <c r="B298" i="2"/>
  <c r="AE400" i="2"/>
  <c r="AE398" i="2"/>
  <c r="B401" i="2"/>
  <c r="B400" i="2"/>
  <c r="AE397" i="2"/>
  <c r="B399" i="2"/>
  <c r="A398" i="2"/>
  <c r="A397" i="2"/>
  <c r="A396" i="2"/>
  <c r="AE396" i="2"/>
  <c r="AF395" i="2"/>
  <c r="AF386" i="2"/>
  <c r="U379" i="2"/>
  <c r="AE395" i="2"/>
  <c r="U393" i="2"/>
  <c r="AF394" i="2"/>
  <c r="AF392" i="2"/>
  <c r="AF376" i="2"/>
  <c r="AF383" i="2"/>
  <c r="B395" i="2"/>
  <c r="AE394" i="2"/>
  <c r="B394" i="2"/>
  <c r="U390" i="2"/>
  <c r="AF381" i="2"/>
  <c r="U389" i="2"/>
  <c r="AF391" i="2"/>
  <c r="AF388" i="2"/>
  <c r="AF387" i="2"/>
  <c r="AF385" i="2"/>
  <c r="F29" i="6" s="1"/>
  <c r="U377" i="2"/>
  <c r="AF384" i="2"/>
  <c r="AF382" i="2"/>
  <c r="AE389" i="2"/>
  <c r="AE387" i="2"/>
  <c r="AE386" i="2"/>
  <c r="AE391" i="2"/>
  <c r="AE385" i="2"/>
  <c r="F28" i="6" s="1"/>
  <c r="AE393" i="2"/>
  <c r="AE392" i="2"/>
  <c r="AE390" i="2"/>
  <c r="AE384" i="2"/>
  <c r="AE383" i="2"/>
  <c r="AE388" i="2"/>
  <c r="AE381" i="2"/>
  <c r="AE382" i="2"/>
  <c r="B393" i="2"/>
  <c r="B392" i="2"/>
  <c r="B391" i="2"/>
  <c r="U375" i="2"/>
  <c r="AF380" i="2"/>
  <c r="B390" i="2"/>
  <c r="B389" i="2"/>
  <c r="B388" i="2"/>
  <c r="B387" i="2"/>
  <c r="B386" i="2"/>
  <c r="B385" i="2"/>
  <c r="B384" i="2"/>
  <c r="B383" i="2"/>
  <c r="B382" i="2"/>
  <c r="AF378" i="2"/>
  <c r="AE380" i="2"/>
  <c r="B381" i="2"/>
  <c r="AE376" i="2"/>
  <c r="AE379" i="2"/>
  <c r="AE377" i="2"/>
  <c r="B380" i="2"/>
  <c r="AE378" i="2"/>
  <c r="B379" i="2"/>
  <c r="AE375" i="2"/>
  <c r="B378" i="2"/>
  <c r="AF374" i="2"/>
  <c r="AF373" i="2"/>
  <c r="B377" i="2"/>
  <c r="AF372" i="2"/>
  <c r="AF371" i="2"/>
  <c r="B376" i="2"/>
  <c r="B375" i="2"/>
  <c r="AF370" i="2"/>
  <c r="AE370" i="2"/>
  <c r="AE374" i="2"/>
  <c r="AE373" i="2"/>
  <c r="AE372" i="2"/>
  <c r="AE371" i="2"/>
  <c r="B374" i="2"/>
  <c r="B372" i="2"/>
  <c r="B371" i="2"/>
  <c r="B373" i="2"/>
  <c r="B370" i="2"/>
  <c r="X369" i="2"/>
  <c r="Y369" i="2" s="1"/>
  <c r="T369" i="2"/>
  <c r="U369" i="2" s="1"/>
  <c r="G369" i="2"/>
  <c r="C369" i="2"/>
  <c r="A369" i="2" s="1"/>
  <c r="AA369" i="2"/>
  <c r="AC369" i="2"/>
  <c r="X368" i="2"/>
  <c r="Y368" i="2" s="1"/>
  <c r="X367" i="2"/>
  <c r="Y367" i="2" s="1"/>
  <c r="X366" i="2"/>
  <c r="Y366" i="2" s="1"/>
  <c r="X365" i="2"/>
  <c r="Y365" i="2" s="1"/>
  <c r="X364" i="2"/>
  <c r="Y364" i="2" s="1"/>
  <c r="T364" i="2"/>
  <c r="U364" i="2" s="1"/>
  <c r="T365" i="2"/>
  <c r="U365" i="2" s="1"/>
  <c r="T366" i="2"/>
  <c r="U366" i="2" s="1"/>
  <c r="T367" i="2"/>
  <c r="U367" i="2" s="1"/>
  <c r="T368" i="2"/>
  <c r="U368" i="2" s="1"/>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C365" i="2"/>
  <c r="A365" i="2" s="1"/>
  <c r="C366" i="2"/>
  <c r="A366" i="2" s="1"/>
  <c r="C367" i="2"/>
  <c r="A367" i="2" s="1"/>
  <c r="C368" i="2"/>
  <c r="A368" i="2" s="1"/>
  <c r="AA365" i="2"/>
  <c r="AA366" i="2"/>
  <c r="AA367" i="2"/>
  <c r="AA368" i="2"/>
  <c r="AC365" i="2"/>
  <c r="AC366" i="2"/>
  <c r="AC367" i="2"/>
  <c r="AC368" i="2"/>
  <c r="C364" i="2"/>
  <c r="A364" i="2" s="1"/>
  <c r="AA364" i="2"/>
  <c r="AC364" i="2"/>
  <c r="X363" i="2"/>
  <c r="Y363" i="2" s="1"/>
  <c r="T363" i="2"/>
  <c r="C363" i="2"/>
  <c r="A363" i="2" s="1"/>
  <c r="AA363" i="2"/>
  <c r="AC363" i="2"/>
  <c r="X362" i="2"/>
  <c r="Y362" i="2" s="1"/>
  <c r="T362" i="2"/>
  <c r="U362" i="2" s="1"/>
  <c r="C362" i="2"/>
  <c r="A362" i="2" s="1"/>
  <c r="AA362" i="2"/>
  <c r="AC362" i="2"/>
  <c r="X357" i="2"/>
  <c r="Y357" i="2" s="1"/>
  <c r="X358" i="2"/>
  <c r="Y358" i="2" s="1"/>
  <c r="X359" i="2"/>
  <c r="Y359" i="2" s="1"/>
  <c r="X360" i="2"/>
  <c r="Y360" i="2" s="1"/>
  <c r="X361" i="2"/>
  <c r="Y361" i="2" s="1"/>
  <c r="T357" i="2"/>
  <c r="U357" i="2" s="1"/>
  <c r="T358" i="2"/>
  <c r="AF358" i="2" s="1"/>
  <c r="T359" i="2"/>
  <c r="U359" i="2" s="1"/>
  <c r="T360" i="2"/>
  <c r="AF360" i="2" s="1"/>
  <c r="T361" i="2"/>
  <c r="AF361" i="2" s="1"/>
  <c r="C359" i="2"/>
  <c r="A359" i="2" s="1"/>
  <c r="C360" i="2"/>
  <c r="A360" i="2" s="1"/>
  <c r="C361" i="2"/>
  <c r="A361" i="2" s="1"/>
  <c r="AA359" i="2"/>
  <c r="AA360" i="2"/>
  <c r="AA361" i="2"/>
  <c r="AC359" i="2"/>
  <c r="AC360" i="2"/>
  <c r="AC361" i="2"/>
  <c r="C358" i="2"/>
  <c r="A358" i="2" s="1"/>
  <c r="AA358" i="2"/>
  <c r="AC358" i="2"/>
  <c r="C357" i="2"/>
  <c r="A357" i="2" s="1"/>
  <c r="AA357" i="2"/>
  <c r="AC357" i="2"/>
  <c r="X356" i="2"/>
  <c r="Y356" i="2" s="1"/>
  <c r="X355" i="2"/>
  <c r="Y355" i="2" s="1"/>
  <c r="X354" i="2"/>
  <c r="Y354" i="2" s="1"/>
  <c r="X353" i="2"/>
  <c r="Y353" i="2" s="1"/>
  <c r="X352" i="2"/>
  <c r="Y352" i="2" s="1"/>
  <c r="X351" i="2"/>
  <c r="Y351" i="2" s="1"/>
  <c r="X350" i="2"/>
  <c r="Y350" i="2" s="1"/>
  <c r="X349" i="2"/>
  <c r="Y349" i="2" s="1"/>
  <c r="X348" i="2"/>
  <c r="Y348" i="2" s="1"/>
  <c r="T348" i="2"/>
  <c r="U348" i="2" s="1"/>
  <c r="T349" i="2"/>
  <c r="U349" i="2" s="1"/>
  <c r="T350" i="2"/>
  <c r="U350" i="2" s="1"/>
  <c r="T351" i="2"/>
  <c r="AF351" i="2" s="1"/>
  <c r="T352" i="2"/>
  <c r="AF352" i="2" s="1"/>
  <c r="T353" i="2"/>
  <c r="AF353" i="2" s="1"/>
  <c r="T354" i="2"/>
  <c r="AF354" i="2" s="1"/>
  <c r="T355" i="2"/>
  <c r="U355" i="2" s="1"/>
  <c r="T356" i="2"/>
  <c r="AF356" i="2" s="1"/>
  <c r="C350" i="2"/>
  <c r="A350" i="2" s="1"/>
  <c r="C351" i="2"/>
  <c r="A351" i="2" s="1"/>
  <c r="C352" i="2"/>
  <c r="A352" i="2" s="1"/>
  <c r="C353" i="2"/>
  <c r="A353" i="2" s="1"/>
  <c r="C354" i="2"/>
  <c r="A354" i="2" s="1"/>
  <c r="C355" i="2"/>
  <c r="B355" i="2" s="1"/>
  <c r="C356" i="2"/>
  <c r="B356" i="2" s="1"/>
  <c r="AA350" i="2"/>
  <c r="AA351" i="2"/>
  <c r="AA352" i="2"/>
  <c r="AA353" i="2"/>
  <c r="AA354" i="2"/>
  <c r="AA355" i="2"/>
  <c r="AA356" i="2"/>
  <c r="AC350" i="2"/>
  <c r="AC351" i="2"/>
  <c r="AC352" i="2"/>
  <c r="AC353" i="2"/>
  <c r="AC354" i="2"/>
  <c r="AC355" i="2"/>
  <c r="AC356" i="2"/>
  <c r="C349" i="2"/>
  <c r="A349" i="2" s="1"/>
  <c r="AA349" i="2"/>
  <c r="AC349" i="2"/>
  <c r="C348" i="2"/>
  <c r="A348" i="2" s="1"/>
  <c r="AA348" i="2"/>
  <c r="AC348" i="2"/>
  <c r="T325" i="2"/>
  <c r="U325" i="2" s="1"/>
  <c r="X325" i="2"/>
  <c r="Y325" i="2" s="1"/>
  <c r="AA325" i="2"/>
  <c r="T326" i="2"/>
  <c r="AF326" i="2" s="1"/>
  <c r="X326" i="2"/>
  <c r="Y326" i="2" s="1"/>
  <c r="AA326" i="2"/>
  <c r="T327" i="2"/>
  <c r="AF327" i="2" s="1"/>
  <c r="X327" i="2"/>
  <c r="Y327" i="2" s="1"/>
  <c r="AA327" i="2"/>
  <c r="T328" i="2"/>
  <c r="AF328" i="2" s="1"/>
  <c r="X328" i="2"/>
  <c r="Y328" i="2" s="1"/>
  <c r="AA328" i="2"/>
  <c r="T329" i="2"/>
  <c r="U329" i="2" s="1"/>
  <c r="X329" i="2"/>
  <c r="Y329" i="2" s="1"/>
  <c r="AA329" i="2"/>
  <c r="T330" i="2"/>
  <c r="U330" i="2" s="1"/>
  <c r="X330" i="2"/>
  <c r="Y330" i="2" s="1"/>
  <c r="AA330" i="2"/>
  <c r="T331" i="2"/>
  <c r="AF331" i="2" s="1"/>
  <c r="X331" i="2"/>
  <c r="Y331" i="2" s="1"/>
  <c r="AA331" i="2"/>
  <c r="T332" i="2"/>
  <c r="U332" i="2" s="1"/>
  <c r="X332" i="2"/>
  <c r="Y332" i="2" s="1"/>
  <c r="AA332" i="2"/>
  <c r="T333" i="2"/>
  <c r="U333" i="2" s="1"/>
  <c r="X333" i="2"/>
  <c r="Y333" i="2" s="1"/>
  <c r="AA333" i="2"/>
  <c r="T334" i="2"/>
  <c r="AF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AF339" i="2" s="1"/>
  <c r="X339" i="2"/>
  <c r="Y339" i="2" s="1"/>
  <c r="AA339" i="2"/>
  <c r="T340" i="2"/>
  <c r="AF340" i="2" s="1"/>
  <c r="X340" i="2"/>
  <c r="Y340" i="2" s="1"/>
  <c r="AA340" i="2"/>
  <c r="T341" i="2"/>
  <c r="U341" i="2" s="1"/>
  <c r="X341" i="2"/>
  <c r="Y341" i="2" s="1"/>
  <c r="AA341" i="2"/>
  <c r="T342" i="2"/>
  <c r="AF342" i="2" s="1"/>
  <c r="X342" i="2"/>
  <c r="Y342" i="2" s="1"/>
  <c r="AA342" i="2"/>
  <c r="T343" i="2"/>
  <c r="AF343" i="2" s="1"/>
  <c r="X343" i="2"/>
  <c r="Y343" i="2" s="1"/>
  <c r="AA343" i="2"/>
  <c r="T344" i="2"/>
  <c r="U344" i="2" s="1"/>
  <c r="X344" i="2"/>
  <c r="Y344" i="2" s="1"/>
  <c r="AA344" i="2"/>
  <c r="T345" i="2"/>
  <c r="U345" i="2" s="1"/>
  <c r="X345" i="2"/>
  <c r="Y345" i="2" s="1"/>
  <c r="AA345" i="2"/>
  <c r="T346" i="2"/>
  <c r="AF346" i="2" s="1"/>
  <c r="X346" i="2"/>
  <c r="Y346" i="2" s="1"/>
  <c r="AA346" i="2"/>
  <c r="T347" i="2"/>
  <c r="U347" i="2" s="1"/>
  <c r="X347" i="2"/>
  <c r="Y347" i="2" s="1"/>
  <c r="AA347" i="2"/>
  <c r="AA324" i="2"/>
  <c r="X324" i="2"/>
  <c r="Y324" i="2" s="1"/>
  <c r="T324" i="2"/>
  <c r="AF324" i="2" s="1"/>
  <c r="AA323" i="2"/>
  <c r="X323" i="2"/>
  <c r="Y323" i="2" s="1"/>
  <c r="T323" i="2"/>
  <c r="U323" i="2" s="1"/>
  <c r="AA322" i="2"/>
  <c r="X322" i="2"/>
  <c r="Y322" i="2" s="1"/>
  <c r="T322" i="2"/>
  <c r="U322" i="2" s="1"/>
  <c r="X321" i="2"/>
  <c r="Y321" i="2" s="1"/>
  <c r="T321" i="2"/>
  <c r="U321" i="2" s="1"/>
  <c r="C347" i="2"/>
  <c r="A347" i="2" s="1"/>
  <c r="AC347" i="2"/>
  <c r="C346" i="2"/>
  <c r="A346" i="2" s="1"/>
  <c r="AC346" i="2"/>
  <c r="C345" i="2"/>
  <c r="A345" i="2" s="1"/>
  <c r="AC345" i="2"/>
  <c r="AF366" i="2" l="1"/>
  <c r="AF368" i="2"/>
  <c r="AF369" i="2"/>
  <c r="AE369" i="2"/>
  <c r="AF365" i="2"/>
  <c r="AE363" i="2"/>
  <c r="AF364" i="2"/>
  <c r="B369" i="2"/>
  <c r="AF367" i="2"/>
  <c r="AE364" i="2"/>
  <c r="AE368" i="2"/>
  <c r="AE367" i="2"/>
  <c r="AE366" i="2"/>
  <c r="AE365" i="2"/>
  <c r="U363" i="2"/>
  <c r="B368" i="2"/>
  <c r="U353" i="2"/>
  <c r="AF363" i="2"/>
  <c r="B367" i="2"/>
  <c r="B366" i="2"/>
  <c r="B365" i="2"/>
  <c r="AF362" i="2"/>
  <c r="B364" i="2"/>
  <c r="AE358" i="2"/>
  <c r="U360" i="2"/>
  <c r="B363" i="2"/>
  <c r="AE362" i="2"/>
  <c r="AF359" i="2"/>
  <c r="U343" i="2"/>
  <c r="U358" i="2"/>
  <c r="U356" i="2"/>
  <c r="AF357" i="2"/>
  <c r="U361" i="2"/>
  <c r="U352" i="2"/>
  <c r="B362" i="2"/>
  <c r="AE359" i="2"/>
  <c r="AE361" i="2"/>
  <c r="AE360" i="2"/>
  <c r="U354" i="2"/>
  <c r="B361" i="2"/>
  <c r="B360" i="2"/>
  <c r="U339" i="2"/>
  <c r="B359" i="2"/>
  <c r="B352" i="2"/>
  <c r="AF350" i="2"/>
  <c r="AE355" i="2"/>
  <c r="AE357" i="2"/>
  <c r="B358" i="2"/>
  <c r="AF349" i="2"/>
  <c r="U351" i="2"/>
  <c r="AF348" i="2"/>
  <c r="AE356" i="2"/>
  <c r="AF355" i="2"/>
  <c r="B357" i="2"/>
  <c r="B351" i="2"/>
  <c r="AE354" i="2"/>
  <c r="AE349" i="2"/>
  <c r="AE351" i="2"/>
  <c r="AE350" i="2"/>
  <c r="AE353" i="2"/>
  <c r="AE348" i="2"/>
  <c r="AE352" i="2"/>
  <c r="B354" i="2"/>
  <c r="B353" i="2"/>
  <c r="B350" i="2"/>
  <c r="A356" i="2"/>
  <c r="A355" i="2"/>
  <c r="U331" i="2"/>
  <c r="B349" i="2"/>
  <c r="U327" i="2"/>
  <c r="AF341" i="2"/>
  <c r="B348" i="2"/>
  <c r="AF321" i="2"/>
  <c r="U346" i="2"/>
  <c r="U340" i="2"/>
  <c r="U334" i="2"/>
  <c r="U328" i="2"/>
  <c r="U336" i="2"/>
  <c r="U338" i="2"/>
  <c r="AF329" i="2"/>
  <c r="U326" i="2"/>
  <c r="AF345" i="2"/>
  <c r="AF333" i="2"/>
  <c r="AF344" i="2"/>
  <c r="AF332" i="2"/>
  <c r="U324" i="2"/>
  <c r="U342" i="2"/>
  <c r="AF330" i="2"/>
  <c r="AF337" i="2"/>
  <c r="AF325" i="2"/>
  <c r="AF347" i="2"/>
  <c r="AF335" i="2"/>
  <c r="AF323" i="2"/>
  <c r="AF322" i="2"/>
  <c r="AE346" i="2"/>
  <c r="AE347" i="2"/>
  <c r="B347" i="2"/>
  <c r="AE345" i="2"/>
  <c r="B346" i="2"/>
  <c r="B345" i="2"/>
  <c r="C344" i="2"/>
  <c r="A344" i="2" s="1"/>
  <c r="AC344" i="2"/>
  <c r="C343" i="2"/>
  <c r="A343" i="2" s="1"/>
  <c r="AC343" i="2"/>
  <c r="C323" i="2"/>
  <c r="A323" i="2" s="1"/>
  <c r="C324" i="2"/>
  <c r="A324" i="2" s="1"/>
  <c r="C325" i="2"/>
  <c r="A325" i="2" s="1"/>
  <c r="C326" i="2"/>
  <c r="A326" i="2" s="1"/>
  <c r="C327" i="2"/>
  <c r="B327" i="2" s="1"/>
  <c r="C328" i="2"/>
  <c r="B328" i="2" s="1"/>
  <c r="C329" i="2"/>
  <c r="B329" i="2" s="1"/>
  <c r="C330" i="2"/>
  <c r="A330" i="2" s="1"/>
  <c r="C331" i="2"/>
  <c r="B331" i="2" s="1"/>
  <c r="C332" i="2"/>
  <c r="B332" i="2" s="1"/>
  <c r="C333" i="2"/>
  <c r="B333" i="2" s="1"/>
  <c r="C334" i="2"/>
  <c r="A334" i="2" s="1"/>
  <c r="C335" i="2"/>
  <c r="A335" i="2" s="1"/>
  <c r="C336" i="2"/>
  <c r="A336" i="2" s="1"/>
  <c r="C337" i="2"/>
  <c r="A337" i="2" s="1"/>
  <c r="C338" i="2"/>
  <c r="A338" i="2" s="1"/>
  <c r="C339" i="2"/>
  <c r="B339" i="2" s="1"/>
  <c r="C340" i="2"/>
  <c r="B340" i="2" s="1"/>
  <c r="C341" i="2"/>
  <c r="B341" i="2" s="1"/>
  <c r="C342" i="2"/>
  <c r="B342" i="2" s="1"/>
  <c r="AC323" i="2"/>
  <c r="AC324" i="2"/>
  <c r="AC325" i="2"/>
  <c r="AC326" i="2"/>
  <c r="AC327" i="2"/>
  <c r="AC328" i="2"/>
  <c r="AC329" i="2"/>
  <c r="AC330" i="2"/>
  <c r="AC331" i="2"/>
  <c r="AC332" i="2"/>
  <c r="AC333" i="2"/>
  <c r="AC334" i="2"/>
  <c r="AC335" i="2"/>
  <c r="AC336" i="2"/>
  <c r="AC337" i="2"/>
  <c r="AC338" i="2"/>
  <c r="AC339" i="2"/>
  <c r="AC340" i="2"/>
  <c r="AC341" i="2"/>
  <c r="AC342" i="2"/>
  <c r="C322" i="2"/>
  <c r="A322" i="2" s="1"/>
  <c r="AC322" i="2"/>
  <c r="C321" i="2"/>
  <c r="A321" i="2" s="1"/>
  <c r="AA321" i="2"/>
  <c r="AC321" i="2"/>
  <c r="X320" i="2"/>
  <c r="Y320" i="2" s="1"/>
  <c r="T320" i="2"/>
  <c r="C320" i="2"/>
  <c r="A320" i="2" s="1"/>
  <c r="AA320" i="2"/>
  <c r="AC320" i="2"/>
  <c r="X306" i="2"/>
  <c r="Y306" i="2" s="1"/>
  <c r="X307" i="2"/>
  <c r="Y307" i="2" s="1"/>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T306" i="2"/>
  <c r="U306" i="2" s="1"/>
  <c r="T307" i="2"/>
  <c r="U307" i="2" s="1"/>
  <c r="T308" i="2"/>
  <c r="U308" i="2" s="1"/>
  <c r="T309" i="2"/>
  <c r="AF309" i="2" s="1"/>
  <c r="T310" i="2"/>
  <c r="U310" i="2" s="1"/>
  <c r="T311" i="2"/>
  <c r="AF311" i="2" s="1"/>
  <c r="T312" i="2"/>
  <c r="U312" i="2" s="1"/>
  <c r="T313" i="2"/>
  <c r="U313" i="2" s="1"/>
  <c r="T314" i="2"/>
  <c r="AF314" i="2" s="1"/>
  <c r="T315" i="2"/>
  <c r="AF315" i="2" s="1"/>
  <c r="T316" i="2"/>
  <c r="AF316" i="2" s="1"/>
  <c r="T317" i="2"/>
  <c r="AF317" i="2" s="1"/>
  <c r="T318" i="2"/>
  <c r="U318" i="2" s="1"/>
  <c r="T319" i="2"/>
  <c r="U319" i="2" s="1"/>
  <c r="G305" i="2"/>
  <c r="G306" i="2"/>
  <c r="G307" i="2"/>
  <c r="G308" i="2"/>
  <c r="G309" i="2"/>
  <c r="G310" i="2"/>
  <c r="G311" i="2"/>
  <c r="G312" i="2"/>
  <c r="G313" i="2"/>
  <c r="G314" i="2"/>
  <c r="G315" i="2"/>
  <c r="G316" i="2"/>
  <c r="C314" i="2"/>
  <c r="A314" i="2" s="1"/>
  <c r="C315" i="2"/>
  <c r="A315" i="2" s="1"/>
  <c r="C316" i="2"/>
  <c r="A316" i="2" s="1"/>
  <c r="C317" i="2"/>
  <c r="A317" i="2" s="1"/>
  <c r="C318" i="2"/>
  <c r="A318" i="2" s="1"/>
  <c r="C319" i="2"/>
  <c r="A319" i="2" s="1"/>
  <c r="AA314" i="2"/>
  <c r="AA315" i="2"/>
  <c r="AA316" i="2"/>
  <c r="AA317" i="2"/>
  <c r="AA318" i="2"/>
  <c r="AA319" i="2"/>
  <c r="AC314" i="2"/>
  <c r="AC315" i="2"/>
  <c r="AC316" i="2"/>
  <c r="AC317" i="2"/>
  <c r="AC318" i="2"/>
  <c r="AC319" i="2"/>
  <c r="X301" i="2"/>
  <c r="Y301" i="2" s="1"/>
  <c r="X302" i="2"/>
  <c r="Y302" i="2" s="1"/>
  <c r="X303" i="2"/>
  <c r="Y303" i="2" s="1"/>
  <c r="X304" i="2"/>
  <c r="Y304" i="2" s="1"/>
  <c r="X305" i="2"/>
  <c r="Y305" i="2" s="1"/>
  <c r="T301" i="2"/>
  <c r="U301" i="2" s="1"/>
  <c r="T302" i="2"/>
  <c r="U302" i="2" s="1"/>
  <c r="T303" i="2"/>
  <c r="U303" i="2" s="1"/>
  <c r="T304" i="2"/>
  <c r="U304" i="2" s="1"/>
  <c r="T305" i="2"/>
  <c r="AF305" i="2" s="1"/>
  <c r="G302" i="2"/>
  <c r="G303" i="2"/>
  <c r="G304" i="2"/>
  <c r="X296" i="2"/>
  <c r="Y296" i="2" s="1"/>
  <c r="X297" i="2"/>
  <c r="Y297" i="2" s="1"/>
  <c r="X299" i="2"/>
  <c r="Y299" i="2" s="1"/>
  <c r="X300" i="2"/>
  <c r="Y300" i="2" s="1"/>
  <c r="T296" i="2"/>
  <c r="U296" i="2" s="1"/>
  <c r="T297" i="2"/>
  <c r="U297" i="2" s="1"/>
  <c r="T299" i="2"/>
  <c r="U299" i="2" s="1"/>
  <c r="T300" i="2"/>
  <c r="U300" i="2" s="1"/>
  <c r="G300" i="2"/>
  <c r="G299" i="2"/>
  <c r="G297" i="2"/>
  <c r="C313" i="2"/>
  <c r="A313" i="2" s="1"/>
  <c r="AA313" i="2"/>
  <c r="AC313" i="2"/>
  <c r="G296" i="2"/>
  <c r="G301" i="2"/>
  <c r="X288" i="2"/>
  <c r="Y288" i="2" s="1"/>
  <c r="X289" i="2"/>
  <c r="Y289" i="2" s="1"/>
  <c r="X290" i="2"/>
  <c r="Y290" i="2" s="1"/>
  <c r="X291" i="2"/>
  <c r="Y291" i="2" s="1"/>
  <c r="X292" i="2"/>
  <c r="Y292" i="2" s="1"/>
  <c r="X293" i="2"/>
  <c r="Y293" i="2" s="1"/>
  <c r="X294" i="2"/>
  <c r="Y294" i="2" s="1"/>
  <c r="X295" i="2"/>
  <c r="Y295" i="2" s="1"/>
  <c r="T288" i="2"/>
  <c r="U288" i="2" s="1"/>
  <c r="T289" i="2"/>
  <c r="U289" i="2" s="1"/>
  <c r="T290" i="2"/>
  <c r="U290" i="2" s="1"/>
  <c r="T291" i="2"/>
  <c r="U291" i="2" s="1"/>
  <c r="T292" i="2"/>
  <c r="AF292" i="2" s="1"/>
  <c r="T293" i="2"/>
  <c r="U293" i="2" s="1"/>
  <c r="T294" i="2"/>
  <c r="U294" i="2" s="1"/>
  <c r="T295" i="2"/>
  <c r="AF295" i="2" s="1"/>
  <c r="C290" i="2"/>
  <c r="A290" i="2" s="1"/>
  <c r="C291" i="2"/>
  <c r="A291" i="2" s="1"/>
  <c r="C292" i="2"/>
  <c r="A292" i="2" s="1"/>
  <c r="C293" i="2"/>
  <c r="B293" i="2" s="1"/>
  <c r="C294" i="2"/>
  <c r="B294" i="2" s="1"/>
  <c r="C295" i="2"/>
  <c r="A295" i="2" s="1"/>
  <c r="C296" i="2"/>
  <c r="B296" i="2" s="1"/>
  <c r="C297" i="2"/>
  <c r="B297" i="2" s="1"/>
  <c r="C299" i="2"/>
  <c r="A299" i="2" s="1"/>
  <c r="C300" i="2"/>
  <c r="A300" i="2" s="1"/>
  <c r="C301" i="2"/>
  <c r="B301" i="2" s="1"/>
  <c r="C302" i="2"/>
  <c r="B302" i="2" s="1"/>
  <c r="C303" i="2"/>
  <c r="A303" i="2" s="1"/>
  <c r="C304" i="2"/>
  <c r="A304" i="2" s="1"/>
  <c r="C305" i="2"/>
  <c r="A305" i="2" s="1"/>
  <c r="C306" i="2"/>
  <c r="B306" i="2" s="1"/>
  <c r="C307" i="2"/>
  <c r="A307" i="2" s="1"/>
  <c r="C308" i="2"/>
  <c r="A308" i="2" s="1"/>
  <c r="C309" i="2"/>
  <c r="B309" i="2" s="1"/>
  <c r="C310" i="2"/>
  <c r="B310" i="2" s="1"/>
  <c r="C311" i="2"/>
  <c r="B311" i="2" s="1"/>
  <c r="C312" i="2"/>
  <c r="A312" i="2" s="1"/>
  <c r="AA290" i="2"/>
  <c r="AA291" i="2"/>
  <c r="AA292" i="2"/>
  <c r="AA293" i="2"/>
  <c r="AA294" i="2"/>
  <c r="AA295" i="2"/>
  <c r="AA296" i="2"/>
  <c r="AA297" i="2"/>
  <c r="AA299" i="2"/>
  <c r="AA300" i="2"/>
  <c r="AA301" i="2"/>
  <c r="AA302" i="2"/>
  <c r="AA303" i="2"/>
  <c r="AA304" i="2"/>
  <c r="AA305" i="2"/>
  <c r="AA306" i="2"/>
  <c r="AA307" i="2"/>
  <c r="AA308" i="2"/>
  <c r="AA309" i="2"/>
  <c r="AA310" i="2"/>
  <c r="AA311" i="2"/>
  <c r="AA312" i="2"/>
  <c r="AC290" i="2"/>
  <c r="AC291" i="2"/>
  <c r="AC292" i="2"/>
  <c r="AC293" i="2"/>
  <c r="AC294" i="2"/>
  <c r="AC295" i="2"/>
  <c r="AC296" i="2"/>
  <c r="AC297" i="2"/>
  <c r="AC299" i="2"/>
  <c r="AC300" i="2"/>
  <c r="AC301" i="2"/>
  <c r="AC302" i="2"/>
  <c r="AC303" i="2"/>
  <c r="AC304" i="2"/>
  <c r="AC305" i="2"/>
  <c r="AC306" i="2"/>
  <c r="AC307" i="2"/>
  <c r="AC308" i="2"/>
  <c r="AC309" i="2"/>
  <c r="AC310" i="2"/>
  <c r="AC311" i="2"/>
  <c r="AC312" i="2"/>
  <c r="G290" i="2"/>
  <c r="G291" i="2"/>
  <c r="G292" i="2"/>
  <c r="G293" i="2"/>
  <c r="G294" i="2"/>
  <c r="G295" i="2"/>
  <c r="G289" i="2"/>
  <c r="G288" i="2"/>
  <c r="AC272" i="2"/>
  <c r="AC273" i="2"/>
  <c r="AC274" i="2"/>
  <c r="AC275" i="2"/>
  <c r="AC276" i="2"/>
  <c r="AC277" i="2"/>
  <c r="AC278" i="2"/>
  <c r="AC279" i="2"/>
  <c r="AC280" i="2"/>
  <c r="AC281" i="2"/>
  <c r="AC282" i="2"/>
  <c r="AC283" i="2"/>
  <c r="AC284" i="2"/>
  <c r="AC285" i="2"/>
  <c r="AC286" i="2"/>
  <c r="AC287" i="2"/>
  <c r="X278" i="2"/>
  <c r="Y278" i="2" s="1"/>
  <c r="X279" i="2"/>
  <c r="Y279" i="2" s="1"/>
  <c r="X280" i="2"/>
  <c r="Y280" i="2" s="1"/>
  <c r="X281" i="2"/>
  <c r="Y281" i="2" s="1"/>
  <c r="X282" i="2"/>
  <c r="Y282" i="2" s="1"/>
  <c r="X283" i="2"/>
  <c r="Y283" i="2" s="1"/>
  <c r="X284" i="2"/>
  <c r="Y284" i="2" s="1"/>
  <c r="X285" i="2"/>
  <c r="Y285" i="2" s="1"/>
  <c r="X286" i="2"/>
  <c r="Y286" i="2" s="1"/>
  <c r="X287" i="2"/>
  <c r="Y287" i="2" s="1"/>
  <c r="T275" i="2"/>
  <c r="U275" i="2" s="1"/>
  <c r="T276" i="2"/>
  <c r="U276" i="2" s="1"/>
  <c r="T277" i="2"/>
  <c r="U277" i="2" s="1"/>
  <c r="T278" i="2"/>
  <c r="U278" i="2" s="1"/>
  <c r="T279" i="2"/>
  <c r="U279" i="2" s="1"/>
  <c r="T280" i="2"/>
  <c r="U280" i="2" s="1"/>
  <c r="T281" i="2"/>
  <c r="U281" i="2" s="1"/>
  <c r="T282" i="2"/>
  <c r="AF282" i="2" s="1"/>
  <c r="T283" i="2"/>
  <c r="U283" i="2" s="1"/>
  <c r="T284" i="2"/>
  <c r="U284" i="2" s="1"/>
  <c r="T285" i="2"/>
  <c r="AF285" i="2" s="1"/>
  <c r="T286" i="2"/>
  <c r="U286" i="2" s="1"/>
  <c r="T287" i="2"/>
  <c r="U287" i="2" s="1"/>
  <c r="C279" i="2"/>
  <c r="A279" i="2" s="1"/>
  <c r="C280" i="2"/>
  <c r="B280" i="2" s="1"/>
  <c r="C281" i="2"/>
  <c r="A281" i="2" s="1"/>
  <c r="C282" i="2"/>
  <c r="B282" i="2" s="1"/>
  <c r="C283" i="2"/>
  <c r="B283" i="2" s="1"/>
  <c r="C284" i="2"/>
  <c r="B284" i="2" s="1"/>
  <c r="C285" i="2"/>
  <c r="B285" i="2" s="1"/>
  <c r="C286" i="2"/>
  <c r="A286" i="2" s="1"/>
  <c r="C287" i="2"/>
  <c r="B287" i="2" s="1"/>
  <c r="C288" i="2"/>
  <c r="B288" i="2" s="1"/>
  <c r="C289" i="2"/>
  <c r="B289" i="2" s="1"/>
  <c r="AA279" i="2"/>
  <c r="AA280" i="2"/>
  <c r="AA281" i="2"/>
  <c r="AA282" i="2"/>
  <c r="AA283" i="2"/>
  <c r="AA284" i="2"/>
  <c r="AA285" i="2"/>
  <c r="AA286" i="2"/>
  <c r="AA287" i="2"/>
  <c r="AA288" i="2"/>
  <c r="AA289" i="2"/>
  <c r="AC288" i="2"/>
  <c r="AC289" i="2"/>
  <c r="G274" i="2"/>
  <c r="G275" i="2"/>
  <c r="G276" i="2"/>
  <c r="G277" i="2"/>
  <c r="G278" i="2"/>
  <c r="G279" i="2"/>
  <c r="G280" i="2"/>
  <c r="G281" i="2"/>
  <c r="G282" i="2"/>
  <c r="G283" i="2"/>
  <c r="G284" i="2"/>
  <c r="G285" i="2"/>
  <c r="G286" i="2"/>
  <c r="G287" i="2"/>
  <c r="G273" i="2"/>
  <c r="G272" i="2"/>
  <c r="C278" i="2"/>
  <c r="A278" i="2" s="1"/>
  <c r="AA278" i="2"/>
  <c r="T255" i="2"/>
  <c r="U255" i="2" s="1"/>
  <c r="T256" i="2"/>
  <c r="U256" i="2" s="1"/>
  <c r="T257" i="2"/>
  <c r="U257" i="2" s="1"/>
  <c r="T258" i="2"/>
  <c r="U258" i="2" s="1"/>
  <c r="T259" i="2"/>
  <c r="U259" i="2" s="1"/>
  <c r="T260" i="2"/>
  <c r="AF260" i="2" s="1"/>
  <c r="T261" i="2"/>
  <c r="U261" i="2" s="1"/>
  <c r="T262" i="2"/>
  <c r="U262" i="2" s="1"/>
  <c r="T263" i="2"/>
  <c r="U263" i="2" s="1"/>
  <c r="T264" i="2"/>
  <c r="U264" i="2" s="1"/>
  <c r="T265" i="2"/>
  <c r="U265" i="2" s="1"/>
  <c r="T266" i="2"/>
  <c r="U266" i="2" s="1"/>
  <c r="T267" i="2"/>
  <c r="U267" i="2" s="1"/>
  <c r="T268" i="2"/>
  <c r="U268" i="2" s="1"/>
  <c r="T269" i="2"/>
  <c r="AF269" i="2" s="1"/>
  <c r="T270" i="2"/>
  <c r="AF270" i="2" s="1"/>
  <c r="T271" i="2"/>
  <c r="U271" i="2" s="1"/>
  <c r="T272" i="2"/>
  <c r="U272" i="2" s="1"/>
  <c r="T273" i="2"/>
  <c r="U273" i="2" s="1"/>
  <c r="T274" i="2"/>
  <c r="U274" i="2" s="1"/>
  <c r="X258" i="2"/>
  <c r="Y258" i="2" s="1"/>
  <c r="AA258" i="2"/>
  <c r="AC258" i="2"/>
  <c r="X259" i="2"/>
  <c r="Y259" i="2" s="1"/>
  <c r="AA259" i="2"/>
  <c r="AC259" i="2"/>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AA266" i="2"/>
  <c r="AC266" i="2"/>
  <c r="X267" i="2"/>
  <c r="Y267" i="2" s="1"/>
  <c r="AA267" i="2"/>
  <c r="AC267" i="2"/>
  <c r="X268" i="2"/>
  <c r="Y268" i="2" s="1"/>
  <c r="AA268" i="2"/>
  <c r="AC268" i="2"/>
  <c r="X269" i="2"/>
  <c r="Y269" i="2" s="1"/>
  <c r="AA269" i="2"/>
  <c r="AC269" i="2"/>
  <c r="X270" i="2"/>
  <c r="Y270" i="2" s="1"/>
  <c r="AA270" i="2"/>
  <c r="AC270" i="2"/>
  <c r="X271" i="2"/>
  <c r="Y271" i="2" s="1"/>
  <c r="AA271" i="2"/>
  <c r="AC271" i="2"/>
  <c r="X272" i="2"/>
  <c r="AA272" i="2"/>
  <c r="X273" i="2"/>
  <c r="Y273" i="2" s="1"/>
  <c r="AA273" i="2"/>
  <c r="X274" i="2"/>
  <c r="Y274" i="2" s="1"/>
  <c r="AA274" i="2"/>
  <c r="X275" i="2"/>
  <c r="AA275" i="2"/>
  <c r="X257" i="2"/>
  <c r="Y257" i="2" s="1"/>
  <c r="AA257" i="2"/>
  <c r="AC257" i="2"/>
  <c r="X253" i="2"/>
  <c r="Y253" i="2" s="1"/>
  <c r="X254" i="2"/>
  <c r="Y254" i="2" s="1"/>
  <c r="X255" i="2"/>
  <c r="Y255" i="2" s="1"/>
  <c r="X256" i="2"/>
  <c r="Y256" i="2" s="1"/>
  <c r="X276" i="2"/>
  <c r="Y276" i="2" s="1"/>
  <c r="X277" i="2"/>
  <c r="Y277" i="2" s="1"/>
  <c r="AA276" i="2"/>
  <c r="AA277" i="2"/>
  <c r="C258" i="2"/>
  <c r="A258" i="2" s="1"/>
  <c r="G258" i="2"/>
  <c r="C259" i="2"/>
  <c r="A259" i="2" s="1"/>
  <c r="G259" i="2"/>
  <c r="C260" i="2"/>
  <c r="A260" i="2" s="1"/>
  <c r="G260" i="2"/>
  <c r="C261" i="2"/>
  <c r="A261" i="2" s="1"/>
  <c r="G261" i="2"/>
  <c r="C262" i="2"/>
  <c r="A262" i="2" s="1"/>
  <c r="G262" i="2"/>
  <c r="C263" i="2"/>
  <c r="A263" i="2" s="1"/>
  <c r="G263" i="2"/>
  <c r="C264" i="2"/>
  <c r="A264" i="2" s="1"/>
  <c r="G264" i="2"/>
  <c r="C265" i="2"/>
  <c r="B265" i="2" s="1"/>
  <c r="G265" i="2"/>
  <c r="C266" i="2"/>
  <c r="B266" i="2" s="1"/>
  <c r="G266" i="2"/>
  <c r="C267" i="2"/>
  <c r="B267" i="2" s="1"/>
  <c r="G267" i="2"/>
  <c r="C268" i="2"/>
  <c r="A268" i="2" s="1"/>
  <c r="G268" i="2"/>
  <c r="C269" i="2"/>
  <c r="B269" i="2" s="1"/>
  <c r="G269" i="2"/>
  <c r="C270" i="2"/>
  <c r="B270" i="2" s="1"/>
  <c r="G270" i="2"/>
  <c r="C271" i="2"/>
  <c r="B271" i="2" s="1"/>
  <c r="G271" i="2"/>
  <c r="C272" i="2"/>
  <c r="B272" i="2" s="1"/>
  <c r="C273" i="2"/>
  <c r="B273" i="2" s="1"/>
  <c r="C274" i="2"/>
  <c r="A274" i="2" s="1"/>
  <c r="C275" i="2"/>
  <c r="B275" i="2" s="1"/>
  <c r="C276" i="2"/>
  <c r="B276" i="2" s="1"/>
  <c r="C277" i="2"/>
  <c r="A277" i="2" s="1"/>
  <c r="G257" i="2"/>
  <c r="C257" i="2"/>
  <c r="A257" i="2" s="1"/>
  <c r="G256" i="2"/>
  <c r="C256" i="2"/>
  <c r="A256" i="2" s="1"/>
  <c r="AA256" i="2"/>
  <c r="AC256" i="2"/>
  <c r="AA50" i="2"/>
  <c r="X50" i="2"/>
  <c r="Y50" i="2" s="1"/>
  <c r="AA255" i="2"/>
  <c r="AC255" i="2"/>
  <c r="C255" i="2"/>
  <c r="A255" i="2" s="1"/>
  <c r="G255" i="2"/>
  <c r="T254" i="2"/>
  <c r="U254" i="2" s="1"/>
  <c r="G254" i="2"/>
  <c r="C254" i="2"/>
  <c r="A254" i="2" s="1"/>
  <c r="AA254" i="2"/>
  <c r="AC254" i="2"/>
  <c r="AC186" i="2"/>
  <c r="X186" i="2"/>
  <c r="Y186" i="2" s="1"/>
  <c r="T186" i="2"/>
  <c r="U186" i="2" s="1"/>
  <c r="C186" i="2"/>
  <c r="A186" i="2" s="1"/>
  <c r="G186" i="2"/>
  <c r="AA186" i="2"/>
  <c r="T251" i="2"/>
  <c r="U251" i="2" s="1"/>
  <c r="T252" i="2"/>
  <c r="U252" i="2" s="1"/>
  <c r="T253" i="2"/>
  <c r="U253" i="2" s="1"/>
  <c r="AA253" i="2"/>
  <c r="AC253" i="2"/>
  <c r="C253" i="2"/>
  <c r="A253" i="2" s="1"/>
  <c r="G253" i="2"/>
  <c r="X219" i="2"/>
  <c r="Y219" i="2" s="1"/>
  <c r="X220" i="2"/>
  <c r="Y220" i="2" s="1"/>
  <c r="G252" i="2"/>
  <c r="X242" i="2"/>
  <c r="Y242" i="2" s="1"/>
  <c r="X243" i="2"/>
  <c r="Y243" i="2" s="1"/>
  <c r="X244" i="2"/>
  <c r="Y244" i="2" s="1"/>
  <c r="X245" i="2"/>
  <c r="Y245" i="2" s="1"/>
  <c r="X246" i="2"/>
  <c r="Y246" i="2" s="1"/>
  <c r="X247" i="2"/>
  <c r="Y247" i="2" s="1"/>
  <c r="X248" i="2"/>
  <c r="Y248" i="2" s="1"/>
  <c r="X249" i="2"/>
  <c r="Y249" i="2" s="1"/>
  <c r="X250" i="2"/>
  <c r="Y250" i="2" s="1"/>
  <c r="X251" i="2"/>
  <c r="Y251" i="2" s="1"/>
  <c r="X252" i="2"/>
  <c r="Y252" i="2" s="1"/>
  <c r="X241" i="2"/>
  <c r="Y241" i="2" s="1"/>
  <c r="C252" i="2"/>
  <c r="A252" i="2" s="1"/>
  <c r="AA252" i="2"/>
  <c r="AC252" i="2"/>
  <c r="G250" i="2"/>
  <c r="G251" i="2"/>
  <c r="C251" i="2"/>
  <c r="A251" i="2" s="1"/>
  <c r="AA251" i="2"/>
  <c r="AC251" i="2"/>
  <c r="T250" i="2"/>
  <c r="U250" i="2" s="1"/>
  <c r="C250" i="2"/>
  <c r="A250" i="2" s="1"/>
  <c r="AA250" i="2"/>
  <c r="AC250"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29" i="2"/>
  <c r="Y229" i="2" s="1"/>
  <c r="T229" i="2"/>
  <c r="U229" i="2" s="1"/>
  <c r="C229" i="2"/>
  <c r="A229" i="2" s="1"/>
  <c r="G229" i="2"/>
  <c r="AA229" i="2"/>
  <c r="AC229" i="2"/>
  <c r="X218" i="2"/>
  <c r="Y218" i="2" s="1"/>
  <c r="T218" i="2"/>
  <c r="U218" i="2" s="1"/>
  <c r="T219" i="2"/>
  <c r="U219" i="2" s="1"/>
  <c r="T220" i="2"/>
  <c r="U220" i="2" s="1"/>
  <c r="G221" i="2"/>
  <c r="G222" i="2"/>
  <c r="G223" i="2"/>
  <c r="G224" i="2"/>
  <c r="G225" i="2"/>
  <c r="G226" i="2"/>
  <c r="G227" i="2"/>
  <c r="G228" i="2"/>
  <c r="G230" i="2"/>
  <c r="G231" i="2"/>
  <c r="G232" i="2"/>
  <c r="G233" i="2"/>
  <c r="G234" i="2"/>
  <c r="G235" i="2"/>
  <c r="G236" i="2"/>
  <c r="G237" i="2"/>
  <c r="G238" i="2"/>
  <c r="G239" i="2"/>
  <c r="G240" i="2"/>
  <c r="G241" i="2"/>
  <c r="G245" i="2"/>
  <c r="G244" i="2"/>
  <c r="G243" i="2"/>
  <c r="G242" i="2"/>
  <c r="G246" i="2"/>
  <c r="G247" i="2"/>
  <c r="G248" i="2"/>
  <c r="G249" i="2"/>
  <c r="T245" i="2"/>
  <c r="U245" i="2" s="1"/>
  <c r="AA245" i="2"/>
  <c r="AC245" i="2"/>
  <c r="X222" i="2"/>
  <c r="Y222" i="2" s="1"/>
  <c r="X223" i="2"/>
  <c r="Y223" i="2" s="1"/>
  <c r="X224" i="2"/>
  <c r="Y224" i="2" s="1"/>
  <c r="X225" i="2"/>
  <c r="Y225" i="2" s="1"/>
  <c r="X226" i="2"/>
  <c r="Y226" i="2" s="1"/>
  <c r="X227" i="2"/>
  <c r="Y227" i="2" s="1"/>
  <c r="X228" i="2"/>
  <c r="Y228" i="2" s="1"/>
  <c r="X230" i="2"/>
  <c r="Y230" i="2" s="1"/>
  <c r="X231" i="2"/>
  <c r="Y231" i="2" s="1"/>
  <c r="X232" i="2"/>
  <c r="Y232" i="2" s="1"/>
  <c r="X233" i="2"/>
  <c r="Y233" i="2" s="1"/>
  <c r="X234" i="2"/>
  <c r="Y234" i="2" s="1"/>
  <c r="X235" i="2"/>
  <c r="Y235" i="2" s="1"/>
  <c r="X236" i="2"/>
  <c r="Y236" i="2" s="1"/>
  <c r="X237" i="2"/>
  <c r="Y237" i="2" s="1"/>
  <c r="X238" i="2"/>
  <c r="Y238" i="2" s="1"/>
  <c r="X239" i="2"/>
  <c r="Y239" i="2" s="1"/>
  <c r="X240" i="2"/>
  <c r="Y240" i="2" s="1"/>
  <c r="T222" i="2"/>
  <c r="AF222" i="2" s="1"/>
  <c r="T223" i="2"/>
  <c r="U223" i="2" s="1"/>
  <c r="T224" i="2"/>
  <c r="U224" i="2" s="1"/>
  <c r="T225" i="2"/>
  <c r="U225" i="2" s="1"/>
  <c r="T226" i="2"/>
  <c r="U226" i="2" s="1"/>
  <c r="T227" i="2"/>
  <c r="U227" i="2" s="1"/>
  <c r="T228" i="2"/>
  <c r="U228" i="2" s="1"/>
  <c r="T230" i="2"/>
  <c r="U230" i="2" s="1"/>
  <c r="T231" i="2"/>
  <c r="U231" i="2" s="1"/>
  <c r="T232" i="2"/>
  <c r="AF232" i="2" s="1"/>
  <c r="T233" i="2"/>
  <c r="U233" i="2" s="1"/>
  <c r="T234" i="2"/>
  <c r="U234" i="2" s="1"/>
  <c r="T235" i="2"/>
  <c r="AF235" i="2" s="1"/>
  <c r="T236" i="2"/>
  <c r="U236" i="2" s="1"/>
  <c r="T237" i="2"/>
  <c r="U237" i="2" s="1"/>
  <c r="T238" i="2"/>
  <c r="U238" i="2" s="1"/>
  <c r="T239" i="2"/>
  <c r="U239" i="2" s="1"/>
  <c r="T240" i="2"/>
  <c r="U240" i="2" s="1"/>
  <c r="T241" i="2"/>
  <c r="AF241" i="2" s="1"/>
  <c r="T244" i="2"/>
  <c r="U244" i="2" s="1"/>
  <c r="T243" i="2"/>
  <c r="AF243" i="2" s="1"/>
  <c r="T242" i="2"/>
  <c r="U242" i="2" s="1"/>
  <c r="T246" i="2"/>
  <c r="U246" i="2" s="1"/>
  <c r="T247" i="2"/>
  <c r="AF247" i="2" s="1"/>
  <c r="T248" i="2"/>
  <c r="U248" i="2" s="1"/>
  <c r="T249" i="2"/>
  <c r="U249" i="2" s="1"/>
  <c r="C249" i="2"/>
  <c r="A249" i="2" s="1"/>
  <c r="AA249" i="2"/>
  <c r="AC249" i="2"/>
  <c r="C248" i="2"/>
  <c r="A248" i="2" s="1"/>
  <c r="AA248" i="2"/>
  <c r="AC248" i="2"/>
  <c r="C247" i="2"/>
  <c r="A247" i="2" s="1"/>
  <c r="AA247" i="2"/>
  <c r="AC247" i="2"/>
  <c r="C246" i="2"/>
  <c r="A246" i="2" s="1"/>
  <c r="AA246" i="2"/>
  <c r="AC246" i="2"/>
  <c r="C242" i="2"/>
  <c r="A242" i="2" s="1"/>
  <c r="AA242" i="2"/>
  <c r="AC242" i="2"/>
  <c r="C243" i="2"/>
  <c r="A243" i="2" s="1"/>
  <c r="AA243" i="2"/>
  <c r="AC243" i="2"/>
  <c r="C244" i="2"/>
  <c r="A244" i="2" s="1"/>
  <c r="AA244" i="2"/>
  <c r="AC244" i="2"/>
  <c r="C245" i="2"/>
  <c r="A245" i="2" s="1"/>
  <c r="C241" i="2"/>
  <c r="A241" i="2" s="1"/>
  <c r="AA241" i="2"/>
  <c r="AC241" i="2"/>
  <c r="C240" i="2"/>
  <c r="A240" i="2" s="1"/>
  <c r="AA240" i="2"/>
  <c r="AC240" i="2"/>
  <c r="C239" i="2"/>
  <c r="A239" i="2" s="1"/>
  <c r="AA239" i="2"/>
  <c r="AC239" i="2"/>
  <c r="C238" i="2"/>
  <c r="A238" i="2" s="1"/>
  <c r="AA238" i="2"/>
  <c r="AC238" i="2"/>
  <c r="C237" i="2"/>
  <c r="A237" i="2" s="1"/>
  <c r="AA237" i="2"/>
  <c r="AC237" i="2"/>
  <c r="C236" i="2"/>
  <c r="B236" i="2" s="1"/>
  <c r="AA236" i="2"/>
  <c r="AC236" i="2"/>
  <c r="C235" i="2"/>
  <c r="A235" i="2" s="1"/>
  <c r="AA235" i="2"/>
  <c r="AC235" i="2"/>
  <c r="C234" i="2"/>
  <c r="A234" i="2" s="1"/>
  <c r="AA234" i="2"/>
  <c r="AC234" i="2"/>
  <c r="C233" i="2"/>
  <c r="A233" i="2" s="1"/>
  <c r="AA233" i="2"/>
  <c r="AC233" i="2"/>
  <c r="C232" i="2"/>
  <c r="A232" i="2" s="1"/>
  <c r="AA232" i="2"/>
  <c r="AC232" i="2"/>
  <c r="C231" i="2"/>
  <c r="A231" i="2" s="1"/>
  <c r="AA231" i="2"/>
  <c r="AC231" i="2"/>
  <c r="C230" i="2"/>
  <c r="A230" i="2" s="1"/>
  <c r="AA230" i="2"/>
  <c r="AC230" i="2"/>
  <c r="C228" i="2"/>
  <c r="B228" i="2" s="1"/>
  <c r="AA228" i="2"/>
  <c r="AC228" i="2"/>
  <c r="C227" i="2"/>
  <c r="A227" i="2" s="1"/>
  <c r="AA227" i="2"/>
  <c r="AC227" i="2"/>
  <c r="C226" i="2"/>
  <c r="A226" i="2" s="1"/>
  <c r="AA226" i="2"/>
  <c r="AC226" i="2"/>
  <c r="C225" i="2"/>
  <c r="A225" i="2" s="1"/>
  <c r="AA225" i="2"/>
  <c r="AC225" i="2"/>
  <c r="C224" i="2"/>
  <c r="A224" i="2" s="1"/>
  <c r="AA224" i="2"/>
  <c r="AC224" i="2"/>
  <c r="C223" i="2"/>
  <c r="B223" i="2" s="1"/>
  <c r="AA223" i="2"/>
  <c r="AC223" i="2"/>
  <c r="C222" i="2"/>
  <c r="A222" i="2" s="1"/>
  <c r="AA222" i="2"/>
  <c r="AC222" i="2"/>
  <c r="X221" i="2"/>
  <c r="Y221" i="2" s="1"/>
  <c r="T221" i="2"/>
  <c r="U221" i="2" s="1"/>
  <c r="C221" i="2"/>
  <c r="A221" i="2" s="1"/>
  <c r="AA221" i="2"/>
  <c r="AC221" i="2"/>
  <c r="AE323" i="2" l="1"/>
  <c r="AE331" i="2"/>
  <c r="AE330" i="2"/>
  <c r="AE338" i="2"/>
  <c r="AE326" i="2"/>
  <c r="AE344" i="2"/>
  <c r="AE342" i="2"/>
  <c r="AE332" i="2"/>
  <c r="AE325" i="2"/>
  <c r="AE324" i="2"/>
  <c r="AE335" i="2"/>
  <c r="B344" i="2"/>
  <c r="AE336" i="2"/>
  <c r="AE333" i="2"/>
  <c r="AE339" i="2"/>
  <c r="AE327" i="2"/>
  <c r="A333" i="2"/>
  <c r="AE337" i="2"/>
  <c r="AE343" i="2"/>
  <c r="AE334" i="2"/>
  <c r="AE341" i="2"/>
  <c r="AE329" i="2"/>
  <c r="AE340" i="2"/>
  <c r="A342" i="2"/>
  <c r="A331" i="2"/>
  <c r="AE322" i="2"/>
  <c r="B337" i="2"/>
  <c r="B335" i="2"/>
  <c r="B334" i="2"/>
  <c r="B330" i="2"/>
  <c r="B325" i="2"/>
  <c r="B343" i="2"/>
  <c r="AE328" i="2"/>
  <c r="B323" i="2"/>
  <c r="B338" i="2"/>
  <c r="B326" i="2"/>
  <c r="AF301" i="2"/>
  <c r="B336" i="2"/>
  <c r="B324" i="2"/>
  <c r="A332" i="2"/>
  <c r="A341" i="2"/>
  <c r="A329" i="2"/>
  <c r="A340" i="2"/>
  <c r="A328" i="2"/>
  <c r="A339" i="2"/>
  <c r="A327" i="2"/>
  <c r="U316" i="2"/>
  <c r="AE320" i="2"/>
  <c r="AF300" i="2"/>
  <c r="AE321" i="2"/>
  <c r="B322" i="2"/>
  <c r="B321" i="2"/>
  <c r="AE319" i="2"/>
  <c r="U320" i="2"/>
  <c r="AF320" i="2"/>
  <c r="U314" i="2"/>
  <c r="U311" i="2"/>
  <c r="U309" i="2"/>
  <c r="AE318" i="2"/>
  <c r="AF307" i="2"/>
  <c r="AF319" i="2"/>
  <c r="AF308" i="2"/>
  <c r="U315" i="2"/>
  <c r="AF310" i="2"/>
  <c r="AE314" i="2"/>
  <c r="AF312" i="2"/>
  <c r="AF313" i="2"/>
  <c r="U305" i="2"/>
  <c r="AF304" i="2"/>
  <c r="U317" i="2"/>
  <c r="B320" i="2"/>
  <c r="AF306" i="2"/>
  <c r="AF318" i="2"/>
  <c r="AE316" i="2"/>
  <c r="AE317" i="2"/>
  <c r="AE315" i="2"/>
  <c r="AE312" i="2"/>
  <c r="B319" i="2"/>
  <c r="AE308" i="2"/>
  <c r="AE313" i="2"/>
  <c r="B318" i="2"/>
  <c r="B317" i="2"/>
  <c r="B316" i="2"/>
  <c r="B315" i="2"/>
  <c r="AE306" i="2"/>
  <c r="B314" i="2"/>
  <c r="AF296" i="2"/>
  <c r="AF303" i="2"/>
  <c r="AF302" i="2"/>
  <c r="AF288" i="2"/>
  <c r="AF299" i="2"/>
  <c r="AE309" i="2"/>
  <c r="AF297" i="2"/>
  <c r="A267" i="2"/>
  <c r="AE296" i="2"/>
  <c r="AE300" i="2"/>
  <c r="AE310" i="2"/>
  <c r="AE297" i="2"/>
  <c r="B307" i="2"/>
  <c r="AE304" i="2"/>
  <c r="AE303" i="2"/>
  <c r="AE295" i="2"/>
  <c r="B312" i="2"/>
  <c r="AE307" i="2"/>
  <c r="A311" i="2"/>
  <c r="U295" i="2"/>
  <c r="AE301" i="2"/>
  <c r="AE311" i="2"/>
  <c r="AE299" i="2"/>
  <c r="B300" i="2"/>
  <c r="B308" i="2"/>
  <c r="AF294" i="2"/>
  <c r="AE289" i="2"/>
  <c r="B305" i="2"/>
  <c r="AF293" i="2"/>
  <c r="AE305" i="2"/>
  <c r="U292" i="2"/>
  <c r="B299" i="2"/>
  <c r="AF291" i="2"/>
  <c r="A265" i="2"/>
  <c r="U282" i="2"/>
  <c r="B295" i="2"/>
  <c r="AF290" i="2"/>
  <c r="AE302" i="2"/>
  <c r="B292" i="2"/>
  <c r="AF289" i="2"/>
  <c r="B313" i="2"/>
  <c r="AE291" i="2"/>
  <c r="AE293" i="2"/>
  <c r="AE292" i="2"/>
  <c r="AE290" i="2"/>
  <c r="AE294" i="2"/>
  <c r="AE288" i="2"/>
  <c r="AF281" i="2"/>
  <c r="B304" i="2"/>
  <c r="B291" i="2"/>
  <c r="A302" i="2"/>
  <c r="AF280" i="2"/>
  <c r="B303" i="2"/>
  <c r="B290" i="2"/>
  <c r="A301" i="2"/>
  <c r="AF279" i="2"/>
  <c r="AF278" i="2"/>
  <c r="A310" i="2"/>
  <c r="A297" i="2"/>
  <c r="A309" i="2"/>
  <c r="A296" i="2"/>
  <c r="AE278" i="2"/>
  <c r="A294" i="2"/>
  <c r="A306" i="2"/>
  <c r="A293" i="2"/>
  <c r="AF283" i="2"/>
  <c r="U285" i="2"/>
  <c r="B268" i="2"/>
  <c r="B286" i="2"/>
  <c r="AF277" i="2"/>
  <c r="B281" i="2"/>
  <c r="AE284" i="2"/>
  <c r="AF276" i="2"/>
  <c r="B279" i="2"/>
  <c r="AF287" i="2"/>
  <c r="AF275" i="2"/>
  <c r="A289" i="2"/>
  <c r="AF286" i="2"/>
  <c r="AF274" i="2"/>
  <c r="A285" i="2"/>
  <c r="AE281" i="2"/>
  <c r="AF273" i="2"/>
  <c r="AF284" i="2"/>
  <c r="AF272" i="2"/>
  <c r="AE287" i="2"/>
  <c r="AE283" i="2"/>
  <c r="AE280" i="2"/>
  <c r="AE279" i="2"/>
  <c r="AE285" i="2"/>
  <c r="AE286" i="2"/>
  <c r="AE282" i="2"/>
  <c r="A288" i="2"/>
  <c r="A287" i="2"/>
  <c r="U270" i="2"/>
  <c r="A284" i="2"/>
  <c r="A283" i="2"/>
  <c r="A282" i="2"/>
  <c r="A280" i="2"/>
  <c r="B274" i="2"/>
  <c r="A273" i="2"/>
  <c r="AF268" i="2"/>
  <c r="AF264" i="2"/>
  <c r="B277" i="2"/>
  <c r="AE276" i="2"/>
  <c r="AF257" i="2"/>
  <c r="A276" i="2"/>
  <c r="U269" i="2"/>
  <c r="A275" i="2"/>
  <c r="A270" i="2"/>
  <c r="AE275" i="2"/>
  <c r="A271" i="2"/>
  <c r="AE277" i="2"/>
  <c r="AF267" i="2"/>
  <c r="AE260" i="2"/>
  <c r="AF266" i="2"/>
  <c r="A266" i="2"/>
  <c r="AF265" i="2"/>
  <c r="A269" i="2"/>
  <c r="AE273" i="2"/>
  <c r="AF263" i="2"/>
  <c r="AF262" i="2"/>
  <c r="A272" i="2"/>
  <c r="AF261" i="2"/>
  <c r="AF256" i="2"/>
  <c r="AE268" i="2"/>
  <c r="AF271" i="2"/>
  <c r="AF259" i="2"/>
  <c r="B278" i="2"/>
  <c r="AF258" i="2"/>
  <c r="AE261" i="2"/>
  <c r="AE267" i="2"/>
  <c r="U260" i="2"/>
  <c r="AE266" i="2"/>
  <c r="AE265" i="2"/>
  <c r="AE272" i="2"/>
  <c r="AE271" i="2"/>
  <c r="Y275" i="2"/>
  <c r="Y272" i="2"/>
  <c r="Y266" i="2"/>
  <c r="AE269" i="2"/>
  <c r="AE274" i="2"/>
  <c r="AE257" i="2"/>
  <c r="AE270" i="2"/>
  <c r="AE264" i="2"/>
  <c r="AE259" i="2"/>
  <c r="AE263" i="2"/>
  <c r="AE258" i="2"/>
  <c r="AE262" i="2"/>
  <c r="B263" i="2"/>
  <c r="B260" i="2"/>
  <c r="B262" i="2"/>
  <c r="B259" i="2"/>
  <c r="B264" i="2"/>
  <c r="B261" i="2"/>
  <c r="B258" i="2"/>
  <c r="AE256" i="2"/>
  <c r="B257" i="2"/>
  <c r="B256" i="2"/>
  <c r="AE255" i="2"/>
  <c r="B255" i="2"/>
  <c r="AE254" i="2"/>
  <c r="B254" i="2"/>
  <c r="AF186" i="2"/>
  <c r="AE186" i="2"/>
  <c r="B186" i="2"/>
  <c r="AF253" i="2"/>
  <c r="AF218" i="2"/>
  <c r="AE253" i="2"/>
  <c r="AF220" i="2"/>
  <c r="B253" i="2"/>
  <c r="AF219" i="2"/>
  <c r="AE252" i="2"/>
  <c r="B252" i="2"/>
  <c r="AE251" i="2"/>
  <c r="AF142" i="2"/>
  <c r="B251" i="2"/>
  <c r="AE250" i="2"/>
  <c r="B250" i="2"/>
  <c r="AF141" i="2"/>
  <c r="AE141" i="2"/>
  <c r="AE142" i="2"/>
  <c r="A142" i="2"/>
  <c r="A141" i="2"/>
  <c r="U222" i="2"/>
  <c r="AF229" i="2"/>
  <c r="AE229" i="2"/>
  <c r="B229" i="2"/>
  <c r="U243" i="2"/>
  <c r="U241" i="2"/>
  <c r="AF245" i="2"/>
  <c r="AF248" i="2"/>
  <c r="AF249" i="2"/>
  <c r="AE249" i="2"/>
  <c r="AF246" i="2"/>
  <c r="U232" i="2"/>
  <c r="AF240" i="2"/>
  <c r="AF234" i="2"/>
  <c r="AF231" i="2"/>
  <c r="AF225" i="2"/>
  <c r="AF223" i="2"/>
  <c r="U247" i="2"/>
  <c r="AF242" i="2"/>
  <c r="AF233" i="2"/>
  <c r="AF238" i="2"/>
  <c r="AF244" i="2"/>
  <c r="AF230" i="2"/>
  <c r="AF228" i="2"/>
  <c r="AF227" i="2"/>
  <c r="AF221" i="2"/>
  <c r="AF239" i="2"/>
  <c r="AF226" i="2"/>
  <c r="AF237" i="2"/>
  <c r="AF224" i="2"/>
  <c r="AF236" i="2"/>
  <c r="U235" i="2"/>
  <c r="AE248" i="2"/>
  <c r="B249" i="2"/>
  <c r="AE247" i="2"/>
  <c r="AE242" i="2"/>
  <c r="B248" i="2"/>
  <c r="AE246" i="2"/>
  <c r="AE243" i="2"/>
  <c r="B247" i="2"/>
  <c r="B246" i="2"/>
  <c r="B242" i="2"/>
  <c r="AE244" i="2"/>
  <c r="B243" i="2"/>
  <c r="AE245" i="2"/>
  <c r="AE241" i="2"/>
  <c r="B244" i="2"/>
  <c r="AE239" i="2"/>
  <c r="B245" i="2"/>
  <c r="AE240" i="2"/>
  <c r="B241" i="2"/>
  <c r="AE237" i="2"/>
  <c r="AE238" i="2"/>
  <c r="B240" i="2"/>
  <c r="AE236" i="2"/>
  <c r="B239" i="2"/>
  <c r="AE235" i="2"/>
  <c r="A236" i="2"/>
  <c r="B238" i="2"/>
  <c r="AE234" i="2"/>
  <c r="B237" i="2"/>
  <c r="AE230" i="2"/>
  <c r="B235" i="2"/>
  <c r="AE233" i="2"/>
  <c r="AE231" i="2"/>
  <c r="AE228" i="2"/>
  <c r="B234" i="2"/>
  <c r="AE232" i="2"/>
  <c r="B233" i="2"/>
  <c r="B232" i="2"/>
  <c r="AE227" i="2"/>
  <c r="B231" i="2"/>
  <c r="A228" i="2"/>
  <c r="AE223" i="2"/>
  <c r="AE224" i="2"/>
  <c r="B230" i="2"/>
  <c r="AE226" i="2"/>
  <c r="B227" i="2"/>
  <c r="AE225" i="2"/>
  <c r="B226" i="2"/>
  <c r="A223" i="2"/>
  <c r="B225" i="2"/>
  <c r="B224" i="2"/>
  <c r="AE222" i="2"/>
  <c r="B222" i="2"/>
  <c r="AE221" i="2"/>
  <c r="B221" i="2"/>
  <c r="C147" i="2" l="1"/>
  <c r="A147" i="2" s="1"/>
  <c r="G147" i="2"/>
  <c r="T147" i="2"/>
  <c r="U147" i="2" s="1"/>
  <c r="X147" i="2"/>
  <c r="Y147" i="2" s="1"/>
  <c r="AA147" i="2"/>
  <c r="AC147" i="2"/>
  <c r="AC217" i="2"/>
  <c r="T217" i="2"/>
  <c r="U217" i="2" s="1"/>
  <c r="G217" i="2"/>
  <c r="T216" i="2"/>
  <c r="U216" i="2" s="1"/>
  <c r="G216" i="2"/>
  <c r="T215" i="2"/>
  <c r="U215" i="2" s="1"/>
  <c r="T214" i="2"/>
  <c r="U214" i="2" s="1"/>
  <c r="G214" i="2"/>
  <c r="G215" i="2"/>
  <c r="G213" i="2"/>
  <c r="X213" i="2"/>
  <c r="Y213" i="2" s="1"/>
  <c r="T213" i="2"/>
  <c r="U213" i="2" s="1"/>
  <c r="C213" i="2"/>
  <c r="A213" i="2" s="1"/>
  <c r="C214" i="2"/>
  <c r="A214" i="2" s="1"/>
  <c r="C215" i="2"/>
  <c r="A215" i="2" s="1"/>
  <c r="C216" i="2"/>
  <c r="A216" i="2" s="1"/>
  <c r="Y214" i="2"/>
  <c r="Y215" i="2"/>
  <c r="Y216" i="2"/>
  <c r="AA213" i="2"/>
  <c r="AA214" i="2"/>
  <c r="AA215" i="2"/>
  <c r="AA216" i="2"/>
  <c r="AC213" i="2"/>
  <c r="AC214" i="2"/>
  <c r="AC215" i="2"/>
  <c r="AC216" i="2"/>
  <c r="C217" i="2"/>
  <c r="A217" i="2" s="1"/>
  <c r="Y217" i="2"/>
  <c r="AA217" i="2"/>
  <c r="G219" i="2"/>
  <c r="G220" i="2"/>
  <c r="C220" i="2"/>
  <c r="A220" i="2" s="1"/>
  <c r="AA220" i="2"/>
  <c r="AC220" i="2"/>
  <c r="C219" i="2"/>
  <c r="B219" i="2" s="1"/>
  <c r="AA219" i="2"/>
  <c r="AC219" i="2"/>
  <c r="G218" i="2"/>
  <c r="C218" i="2"/>
  <c r="A218" i="2" s="1"/>
  <c r="AA218" i="2"/>
  <c r="AC218" i="2"/>
  <c r="AC194" i="2"/>
  <c r="X194" i="2"/>
  <c r="Y194" i="2" s="1"/>
  <c r="T194" i="2"/>
  <c r="U194" i="2" s="1"/>
  <c r="G194" i="2"/>
  <c r="C194" i="2"/>
  <c r="B194" i="2" s="1"/>
  <c r="AA194" i="2"/>
  <c r="AE147" i="2" l="1"/>
  <c r="B147" i="2"/>
  <c r="AE216" i="2"/>
  <c r="AE217" i="2"/>
  <c r="AE219" i="2"/>
  <c r="AE215" i="2"/>
  <c r="AE214" i="2"/>
  <c r="AE220" i="2"/>
  <c r="AE213" i="2"/>
  <c r="B216" i="2"/>
  <c r="B215" i="2"/>
  <c r="B214" i="2"/>
  <c r="B213" i="2"/>
  <c r="B217" i="2"/>
  <c r="AE218" i="2"/>
  <c r="A219" i="2"/>
  <c r="AF194" i="2"/>
  <c r="B220" i="2"/>
  <c r="B218" i="2"/>
  <c r="AE194" i="2"/>
  <c r="A194" i="2"/>
  <c r="X190" i="2"/>
  <c r="Y190" i="2" s="1"/>
  <c r="X191" i="2"/>
  <c r="Y191" i="2" s="1"/>
  <c r="X192" i="2"/>
  <c r="Y192" i="2" s="1"/>
  <c r="X193" i="2"/>
  <c r="Y193" i="2" s="1"/>
  <c r="X195" i="2"/>
  <c r="Y195" i="2" s="1"/>
  <c r="X196" i="2"/>
  <c r="Y196"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T206" i="2"/>
  <c r="U206" i="2" s="1"/>
  <c r="C206" i="2"/>
  <c r="B206" i="2" s="1"/>
  <c r="G206" i="2"/>
  <c r="AA206" i="2"/>
  <c r="AC206" i="2"/>
  <c r="T190" i="2"/>
  <c r="U190" i="2" s="1"/>
  <c r="T191" i="2"/>
  <c r="U191" i="2" s="1"/>
  <c r="T192" i="2"/>
  <c r="U192" i="2" s="1"/>
  <c r="T193" i="2"/>
  <c r="U193" i="2" s="1"/>
  <c r="T195" i="2"/>
  <c r="U195" i="2" s="1"/>
  <c r="T196" i="2"/>
  <c r="U196" i="2" s="1"/>
  <c r="T197" i="2"/>
  <c r="U197" i="2" s="1"/>
  <c r="T198" i="2"/>
  <c r="U198" i="2" s="1"/>
  <c r="T199" i="2"/>
  <c r="U199" i="2" s="1"/>
  <c r="T200" i="2"/>
  <c r="U200" i="2" s="1"/>
  <c r="T201" i="2"/>
  <c r="U201" i="2" s="1"/>
  <c r="T202" i="2"/>
  <c r="U202" i="2" s="1"/>
  <c r="T203" i="2"/>
  <c r="U203" i="2" s="1"/>
  <c r="T204" i="2"/>
  <c r="U204" i="2" s="1"/>
  <c r="T205" i="2"/>
  <c r="U205" i="2" s="1"/>
  <c r="T207" i="2"/>
  <c r="U207" i="2" s="1"/>
  <c r="T208" i="2"/>
  <c r="AF208" i="2" s="1"/>
  <c r="T209" i="2"/>
  <c r="U209" i="2" s="1"/>
  <c r="T210" i="2"/>
  <c r="U210" i="2" s="1"/>
  <c r="T211" i="2"/>
  <c r="U211" i="2" s="1"/>
  <c r="T212" i="2"/>
  <c r="U212" i="2" s="1"/>
  <c r="C192" i="2"/>
  <c r="A192" i="2" s="1"/>
  <c r="G192" i="2"/>
  <c r="C193" i="2"/>
  <c r="A193" i="2" s="1"/>
  <c r="G193" i="2"/>
  <c r="C195" i="2"/>
  <c r="A195" i="2" s="1"/>
  <c r="G195" i="2"/>
  <c r="C196" i="2"/>
  <c r="A196" i="2" s="1"/>
  <c r="G196"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7" i="2"/>
  <c r="A207" i="2" s="1"/>
  <c r="G207" i="2"/>
  <c r="C208" i="2"/>
  <c r="A208" i="2" s="1"/>
  <c r="G208" i="2"/>
  <c r="C209" i="2"/>
  <c r="A209" i="2" s="1"/>
  <c r="G209" i="2"/>
  <c r="C210" i="2"/>
  <c r="A210" i="2" s="1"/>
  <c r="G210" i="2"/>
  <c r="C211" i="2"/>
  <c r="A211" i="2" s="1"/>
  <c r="G211" i="2"/>
  <c r="C212" i="2"/>
  <c r="A212" i="2" s="1"/>
  <c r="G212" i="2"/>
  <c r="G191" i="2"/>
  <c r="C191" i="2"/>
  <c r="B191" i="2" s="1"/>
  <c r="AA212" i="2"/>
  <c r="AC212" i="2"/>
  <c r="AA211" i="2"/>
  <c r="AC211" i="2"/>
  <c r="AA210" i="2"/>
  <c r="AC210" i="2"/>
  <c r="AA209" i="2"/>
  <c r="AC209" i="2"/>
  <c r="AA208" i="2"/>
  <c r="AC208" i="2"/>
  <c r="AA207" i="2"/>
  <c r="AC207" i="2"/>
  <c r="AA205" i="2"/>
  <c r="AC205" i="2"/>
  <c r="AA204" i="2"/>
  <c r="AC204" i="2"/>
  <c r="AA203" i="2"/>
  <c r="AC203" i="2"/>
  <c r="AA202" i="2"/>
  <c r="AC202" i="2"/>
  <c r="AA201" i="2"/>
  <c r="AC201" i="2"/>
  <c r="AA200" i="2"/>
  <c r="AC200" i="2"/>
  <c r="AA199" i="2"/>
  <c r="AC199" i="2"/>
  <c r="AA198" i="2"/>
  <c r="AC198" i="2"/>
  <c r="AA197" i="2"/>
  <c r="AC197" i="2"/>
  <c r="AA196" i="2"/>
  <c r="AC196" i="2"/>
  <c r="AA195" i="2"/>
  <c r="AC195" i="2"/>
  <c r="AA193" i="2"/>
  <c r="AC193" i="2"/>
  <c r="AA192" i="2"/>
  <c r="AC192" i="2"/>
  <c r="AA191" i="2"/>
  <c r="AC191" i="2"/>
  <c r="G190" i="2"/>
  <c r="C190" i="2"/>
  <c r="A190" i="2" s="1"/>
  <c r="AA190" i="2"/>
  <c r="AC190" i="2"/>
  <c r="X189" i="2"/>
  <c r="Y189" i="2" s="1"/>
  <c r="X188" i="2"/>
  <c r="Y188" i="2" s="1"/>
  <c r="T188" i="2"/>
  <c r="U188" i="2" s="1"/>
  <c r="T189" i="2"/>
  <c r="U189" i="2" s="1"/>
  <c r="G188" i="2"/>
  <c r="G189" i="2"/>
  <c r="C189" i="2"/>
  <c r="A189" i="2" s="1"/>
  <c r="AA189" i="2"/>
  <c r="AC189" i="2"/>
  <c r="C188" i="2"/>
  <c r="A188" i="2" s="1"/>
  <c r="AA188" i="2"/>
  <c r="AC188" i="2"/>
  <c r="T187" i="2"/>
  <c r="U187" i="2" s="1"/>
  <c r="G185" i="2"/>
  <c r="G187" i="2"/>
  <c r="C187" i="2"/>
  <c r="B187" i="2" s="1"/>
  <c r="Y187" i="2"/>
  <c r="AA187" i="2"/>
  <c r="AC187" i="2"/>
  <c r="AC140" i="2"/>
  <c r="AA140" i="2"/>
  <c r="X140" i="2"/>
  <c r="Y140" i="2" s="1"/>
  <c r="T140" i="2"/>
  <c r="AF140" i="2" s="1"/>
  <c r="G140" i="2"/>
  <c r="C140" i="2"/>
  <c r="A140" i="2" s="1"/>
  <c r="T185" i="2"/>
  <c r="AF185" i="2" s="1"/>
  <c r="X175" i="2"/>
  <c r="Y175" i="2" s="1"/>
  <c r="X176" i="2"/>
  <c r="Y176" i="2" s="1"/>
  <c r="X177" i="2"/>
  <c r="Y177" i="2" s="1"/>
  <c r="X178" i="2"/>
  <c r="Y178" i="2" s="1"/>
  <c r="X179" i="2"/>
  <c r="Y179" i="2" s="1"/>
  <c r="X180" i="2"/>
  <c r="Y180" i="2" s="1"/>
  <c r="X181" i="2"/>
  <c r="Y181" i="2" s="1"/>
  <c r="X182" i="2"/>
  <c r="Y182" i="2" s="1"/>
  <c r="X183" i="2"/>
  <c r="Y183" i="2" s="1"/>
  <c r="X184" i="2"/>
  <c r="Y184" i="2" s="1"/>
  <c r="X185" i="2"/>
  <c r="Y185" i="2" s="1"/>
  <c r="C185" i="2"/>
  <c r="A185" i="2" s="1"/>
  <c r="AA185" i="2"/>
  <c r="AC185" i="2"/>
  <c r="T181" i="2"/>
  <c r="U181" i="2" s="1"/>
  <c r="T182" i="2"/>
  <c r="U182" i="2" s="1"/>
  <c r="T183" i="2"/>
  <c r="U183" i="2" s="1"/>
  <c r="T184" i="2"/>
  <c r="U184" i="2" s="1"/>
  <c r="G176" i="2"/>
  <c r="G177" i="2"/>
  <c r="G178" i="2"/>
  <c r="G179" i="2"/>
  <c r="G180" i="2"/>
  <c r="G181" i="2"/>
  <c r="G182" i="2"/>
  <c r="G183" i="2"/>
  <c r="G184" i="2"/>
  <c r="C184" i="2"/>
  <c r="A184" i="2" s="1"/>
  <c r="AA184" i="2"/>
  <c r="AC184" i="2"/>
  <c r="C183" i="2"/>
  <c r="A183" i="2" s="1"/>
  <c r="AA183" i="2"/>
  <c r="AC183" i="2"/>
  <c r="C182" i="2"/>
  <c r="A182" i="2" s="1"/>
  <c r="AA182" i="2"/>
  <c r="AC182" i="2"/>
  <c r="C181" i="2"/>
  <c r="A181" i="2" s="1"/>
  <c r="AA181" i="2"/>
  <c r="AC181" i="2"/>
  <c r="T177" i="2"/>
  <c r="U177" i="2" s="1"/>
  <c r="T178" i="2"/>
  <c r="U178" i="2" s="1"/>
  <c r="T179" i="2"/>
  <c r="U179" i="2" s="1"/>
  <c r="T180" i="2"/>
  <c r="AF180" i="2" s="1"/>
  <c r="C180" i="2"/>
  <c r="A180" i="2" s="1"/>
  <c r="AA180" i="2"/>
  <c r="AC180" i="2"/>
  <c r="C179" i="2"/>
  <c r="A179" i="2" s="1"/>
  <c r="AA179" i="2"/>
  <c r="AC179" i="2"/>
  <c r="C178" i="2"/>
  <c r="A178" i="2" s="1"/>
  <c r="AA178" i="2"/>
  <c r="AC178" i="2"/>
  <c r="C177" i="2"/>
  <c r="A177" i="2" s="1"/>
  <c r="AA177" i="2"/>
  <c r="AC177" i="2"/>
  <c r="T176" i="2"/>
  <c r="U176" i="2" s="1"/>
  <c r="C176" i="2"/>
  <c r="A176" i="2" s="1"/>
  <c r="AA176" i="2"/>
  <c r="AC176" i="2"/>
  <c r="AF193" i="2" l="1"/>
  <c r="AF200" i="2"/>
  <c r="AF201" i="2"/>
  <c r="AF212" i="2"/>
  <c r="AF211" i="2"/>
  <c r="AF199" i="2"/>
  <c r="AF209" i="2"/>
  <c r="AF197" i="2"/>
  <c r="U208" i="2"/>
  <c r="AF196" i="2"/>
  <c r="AF210" i="2"/>
  <c r="AF207" i="2"/>
  <c r="AF195" i="2"/>
  <c r="AF205" i="2"/>
  <c r="AF192" i="2"/>
  <c r="AF198" i="2"/>
  <c r="AF204" i="2"/>
  <c r="AF191" i="2"/>
  <c r="AF206" i="2"/>
  <c r="AF203" i="2"/>
  <c r="AF190" i="2"/>
  <c r="AF202" i="2"/>
  <c r="AE206" i="2"/>
  <c r="AE211" i="2"/>
  <c r="A206" i="2"/>
  <c r="AE210" i="2"/>
  <c r="B192" i="2"/>
  <c r="B211" i="2"/>
  <c r="B208" i="2"/>
  <c r="B204" i="2"/>
  <c r="B201" i="2"/>
  <c r="B198" i="2"/>
  <c r="B195" i="2"/>
  <c r="B193" i="2"/>
  <c r="B210" i="2"/>
  <c r="B207" i="2"/>
  <c r="B203" i="2"/>
  <c r="B200" i="2"/>
  <c r="B197" i="2"/>
  <c r="B212" i="2"/>
  <c r="B209" i="2"/>
  <c r="B205" i="2"/>
  <c r="B202" i="2"/>
  <c r="B199" i="2"/>
  <c r="B196" i="2"/>
  <c r="A191" i="2"/>
  <c r="AE212" i="2"/>
  <c r="AE207" i="2"/>
  <c r="AE209" i="2"/>
  <c r="AE205" i="2"/>
  <c r="AE208" i="2"/>
  <c r="AE204" i="2"/>
  <c r="AE203" i="2"/>
  <c r="AE200" i="2"/>
  <c r="AE202" i="2"/>
  <c r="AE201" i="2"/>
  <c r="AE198" i="2"/>
  <c r="AE197" i="2"/>
  <c r="AE199" i="2"/>
  <c r="AE196" i="2"/>
  <c r="AE195" i="2"/>
  <c r="AE191" i="2"/>
  <c r="AE193" i="2"/>
  <c r="AE192" i="2"/>
  <c r="AE190" i="2"/>
  <c r="B190" i="2"/>
  <c r="AF187" i="2"/>
  <c r="AF188" i="2"/>
  <c r="AF189" i="2"/>
  <c r="AE189" i="2"/>
  <c r="AE188" i="2"/>
  <c r="B189" i="2"/>
  <c r="B188" i="2"/>
  <c r="AE187" i="2"/>
  <c r="A187" i="2"/>
  <c r="AF182" i="2"/>
  <c r="AF181" i="2"/>
  <c r="U185" i="2"/>
  <c r="U140" i="2"/>
  <c r="AE140" i="2"/>
  <c r="B140" i="2"/>
  <c r="AF184" i="2"/>
  <c r="AF183" i="2"/>
  <c r="AF178" i="2"/>
  <c r="AE185" i="2"/>
  <c r="B185" i="2"/>
  <c r="AF177" i="2"/>
  <c r="AF179" i="2"/>
  <c r="AE182" i="2"/>
  <c r="AE183" i="2"/>
  <c r="AE184" i="2"/>
  <c r="B184" i="2"/>
  <c r="B183" i="2"/>
  <c r="AE180" i="2"/>
  <c r="AE181" i="2"/>
  <c r="B182" i="2"/>
  <c r="B181" i="2"/>
  <c r="U180" i="2"/>
  <c r="AE179" i="2"/>
  <c r="B180" i="2"/>
  <c r="B179" i="2"/>
  <c r="AE178" i="2"/>
  <c r="B178" i="2"/>
  <c r="AE177" i="2"/>
  <c r="AF176" i="2"/>
  <c r="B177" i="2"/>
  <c r="AE176" i="2"/>
  <c r="B176" i="2"/>
  <c r="T175" i="2" l="1"/>
  <c r="U175" i="2" s="1"/>
  <c r="G175" i="2"/>
  <c r="C175" i="2"/>
  <c r="A175" i="2" s="1"/>
  <c r="AA175" i="2"/>
  <c r="AC175"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5" i="2" l="1"/>
  <c r="AF161" i="2"/>
  <c r="AE175" i="2"/>
  <c r="AF159" i="2"/>
  <c r="AF160" i="2"/>
  <c r="AF163" i="2"/>
  <c r="AF162" i="2"/>
  <c r="B175" i="2"/>
  <c r="A161" i="2"/>
  <c r="A162" i="2"/>
  <c r="A159" i="2"/>
  <c r="A160" i="2"/>
  <c r="A163" i="2"/>
  <c r="AE162" i="2"/>
  <c r="AE159" i="2"/>
  <c r="AE163" i="2"/>
  <c r="AE161" i="2"/>
  <c r="AE160" i="2"/>
  <c r="G170"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4" i="2"/>
  <c r="Y164" i="2" s="1"/>
  <c r="X165" i="2"/>
  <c r="Y165" i="2" s="1"/>
  <c r="X166" i="2"/>
  <c r="Y166" i="2" s="1"/>
  <c r="X167" i="2"/>
  <c r="Y167" i="2" s="1"/>
  <c r="X168" i="2"/>
  <c r="Y168" i="2" s="1"/>
  <c r="X169" i="2"/>
  <c r="X170" i="2"/>
  <c r="Y170" i="2" s="1"/>
  <c r="X171" i="2"/>
  <c r="Y171" i="2" s="1"/>
  <c r="X172" i="2"/>
  <c r="Y172" i="2" s="1"/>
  <c r="X173" i="2"/>
  <c r="Y173" i="2" s="1"/>
  <c r="X174" i="2"/>
  <c r="Y174" i="2" s="1"/>
  <c r="T150" i="2"/>
  <c r="U150" i="2" s="1"/>
  <c r="T151" i="2"/>
  <c r="U151" i="2" s="1"/>
  <c r="T152" i="2"/>
  <c r="U152" i="2" s="1"/>
  <c r="T153" i="2"/>
  <c r="U153" i="2" s="1"/>
  <c r="T154" i="2"/>
  <c r="U154" i="2" s="1"/>
  <c r="T155" i="2"/>
  <c r="AF155" i="2" s="1"/>
  <c r="T156" i="2"/>
  <c r="AF156" i="2" s="1"/>
  <c r="T157" i="2"/>
  <c r="AF157" i="2" s="1"/>
  <c r="T158" i="2"/>
  <c r="U158" i="2" s="1"/>
  <c r="T164" i="2"/>
  <c r="U164" i="2" s="1"/>
  <c r="T165" i="2"/>
  <c r="U165" i="2" s="1"/>
  <c r="T166" i="2"/>
  <c r="U166" i="2" s="1"/>
  <c r="T167" i="2"/>
  <c r="T168" i="2"/>
  <c r="AF168" i="2" s="1"/>
  <c r="T169" i="2"/>
  <c r="T170" i="2"/>
  <c r="U170" i="2" s="1"/>
  <c r="T171" i="2"/>
  <c r="U171" i="2" s="1"/>
  <c r="T172" i="2"/>
  <c r="AF172" i="2" s="1"/>
  <c r="T173" i="2"/>
  <c r="AF173" i="2" s="1"/>
  <c r="T174" i="2"/>
  <c r="AF174" i="2" s="1"/>
  <c r="AA151" i="2"/>
  <c r="AA152" i="2"/>
  <c r="AA153" i="2"/>
  <c r="AC151" i="2"/>
  <c r="AC152" i="2"/>
  <c r="AC153" i="2"/>
  <c r="G174" i="2"/>
  <c r="C174" i="2"/>
  <c r="A174" i="2" s="1"/>
  <c r="AA174" i="2"/>
  <c r="AC174" i="2"/>
  <c r="G154" i="2"/>
  <c r="G155" i="2"/>
  <c r="G156" i="2"/>
  <c r="G157" i="2"/>
  <c r="G158" i="2"/>
  <c r="G164" i="2"/>
  <c r="G165" i="2"/>
  <c r="G166" i="2"/>
  <c r="G167" i="2"/>
  <c r="G168" i="2"/>
  <c r="G169" i="2"/>
  <c r="G171" i="2"/>
  <c r="G172" i="2"/>
  <c r="G173" i="2"/>
  <c r="C172" i="2"/>
  <c r="A172" i="2" s="1"/>
  <c r="AA172" i="2"/>
  <c r="AC172" i="2"/>
  <c r="C170" i="2"/>
  <c r="A170" i="2" s="1"/>
  <c r="AA170" i="2"/>
  <c r="AC170" i="2"/>
  <c r="C168" i="2"/>
  <c r="A168" i="2" s="1"/>
  <c r="AA168" i="2"/>
  <c r="AC168" i="2"/>
  <c r="C156" i="2"/>
  <c r="A156" i="2" s="1"/>
  <c r="AA156" i="2"/>
  <c r="AC156" i="2"/>
  <c r="G150" i="2"/>
  <c r="C173" i="2"/>
  <c r="A173" i="2" s="1"/>
  <c r="AA173" i="2"/>
  <c r="AC173" i="2"/>
  <c r="C171" i="2"/>
  <c r="A171" i="2" s="1"/>
  <c r="AA171" i="2"/>
  <c r="AC171" i="2"/>
  <c r="C169" i="2"/>
  <c r="A169" i="2" s="1"/>
  <c r="AA169" i="2"/>
  <c r="AC169" i="2"/>
  <c r="C167" i="2"/>
  <c r="A167" i="2" s="1"/>
  <c r="AA167" i="2"/>
  <c r="AC167" i="2"/>
  <c r="C166" i="2"/>
  <c r="A166" i="2" s="1"/>
  <c r="AA166" i="2"/>
  <c r="AC166" i="2"/>
  <c r="C165" i="2"/>
  <c r="A165" i="2" s="1"/>
  <c r="AA165" i="2"/>
  <c r="AC165" i="2"/>
  <c r="C164" i="2"/>
  <c r="A164" i="2" s="1"/>
  <c r="AA164" i="2"/>
  <c r="AC164"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69" i="2" l="1"/>
  <c r="Y169"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7" i="2"/>
  <c r="AG167" i="2"/>
  <c r="AG172" i="2"/>
  <c r="AG173" i="2"/>
  <c r="AG170" i="2"/>
  <c r="AG171" i="2"/>
  <c r="AG169" i="2"/>
  <c r="F30" i="6" s="1"/>
  <c r="AG168" i="2"/>
  <c r="U157" i="2"/>
  <c r="AG154" i="2"/>
  <c r="U172" i="2"/>
  <c r="U155" i="2"/>
  <c r="U169" i="2"/>
  <c r="B153" i="2"/>
  <c r="B152" i="2"/>
  <c r="AF171" i="2"/>
  <c r="AF166" i="2"/>
  <c r="U167" i="2"/>
  <c r="AF165" i="2"/>
  <c r="AF154" i="2"/>
  <c r="U173" i="2"/>
  <c r="AF164" i="2"/>
  <c r="AF158" i="2"/>
  <c r="U174" i="2"/>
  <c r="U168" i="2"/>
  <c r="AE152" i="2"/>
  <c r="U156" i="2"/>
  <c r="AF170" i="2"/>
  <c r="AF153" i="2"/>
  <c r="AF152" i="2"/>
  <c r="AF150" i="2"/>
  <c r="AF151" i="2"/>
  <c r="B151" i="2"/>
  <c r="AE151" i="2"/>
  <c r="AE153" i="2"/>
  <c r="AE174" i="2"/>
  <c r="B174"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2" i="2"/>
  <c r="AE170" i="2"/>
  <c r="B172" i="2"/>
  <c r="B170" i="2"/>
  <c r="AE168" i="2"/>
  <c r="B168" i="2"/>
  <c r="AE156" i="2"/>
  <c r="B156" i="2"/>
  <c r="AE171" i="2"/>
  <c r="AE173" i="2"/>
  <c r="AE167" i="2"/>
  <c r="AE166" i="2"/>
  <c r="B173" i="2"/>
  <c r="AE169" i="2"/>
  <c r="AE165" i="2"/>
  <c r="B171" i="2"/>
  <c r="B169" i="2"/>
  <c r="AE158" i="2"/>
  <c r="B167" i="2"/>
  <c r="B166" i="2"/>
  <c r="AE164" i="2"/>
  <c r="B165" i="2"/>
  <c r="B164"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<sst xmlns="http://schemas.openxmlformats.org/spreadsheetml/2006/main" count="11741" uniqueCount="2495">
  <si>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</si>
  <si>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</si>
  <si>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</si>
  <si>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</si>
  <si>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</si>
  <si>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</si>
  <si>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</si>
  <si>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</si>
  <si>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</si>
  <si>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</si>
  <si>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</si>
  <si>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</si>
  <si>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</si>
  <si>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</si>
  <si>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</si>
  <si>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</si>
  <si>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</si>
  <si>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</si>
  <si>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</si>
  <si>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</si>
  <si>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</si>
  <si>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</si>
  <si>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</si>
  <si>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</si>
  <si>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</si>
  <si>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</si>
  <si>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</si>
  <si>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</si>
  <si>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</si>
  <si>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</si>
  <si>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</si>
  <si>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</si>
  <si>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</si>
  <si>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</si>
  <si>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</si>
  <si>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</si>
  <si>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</si>
  <si>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</si>
  <si>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</si>
  <si>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</si>
  <si>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</si>
  <si>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</si>
  <si>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</si>
  <si>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</si>
  <si>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</si>
  <si>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</si>
  <si>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</si>
  <si>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</si>
  <si>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</si>
  <si>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</si>
  <si>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</si>
  <si>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</si>
  <si>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</si>
  <si>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</si>
  <si>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</si>
  <si>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</si>
  <si>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</si>
  <si>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</si>
  <si>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</si>
  <si>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</si>
  <si>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</si>
  <si>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</si>
  <si>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</si>
  <si>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</si>
  <si>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</si>
  <si>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</si>
  <si>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</si>
  <si>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</si>
  <si>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</si>
  <si>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</si>
  <si>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</si>
  <si>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</si>
  <si>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</si>
  <si>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</si>
  <si>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</si>
  <si>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</si>
  <si>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</si>
  <si>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</si>
  <si>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</si>
  <si>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</si>
  <si>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</si>
  <si>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</si>
  <si>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</si>
  <si>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</si>
  <si>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</si>
  <si>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</si>
  <si>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</si>
  <si>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</si>
  <si>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</si>
  <si>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</si>
  <si>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</si>
  <si>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</si>
  <si>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</si>
  <si>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</si>
  <si>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</si>
  <si>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</si>
  <si>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</si>
  <si>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</si>
  <si>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</si>
  <si>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</si>
  <si>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</si>
  <si>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</si>
  <si>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</si>
  <si>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</si>
  <si>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</si>
  <si>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</si>
  <si>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</si>
  <si>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</si>
  <si>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</si>
  <si>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</si>
  <si>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</si>
  <si>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</si>
  <si>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</si>
  <si>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</si>
  <si>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</si>
  <si>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</si>
  <si>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</si>
  <si>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</si>
  <si>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</si>
  <si>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</si>
  <si>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</si>
  <si>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</si>
  <si>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</si>
  <si>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</si>
  <si>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</si>
  <si>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</si>
  <si>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</si>
  <si>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</si>
  <si>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</si>
  <si>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</si>
  <si>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</si>
  <si>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</si>
  <si>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</si>
  <si>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</si>
  <si>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</si>
  <si>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</si>
  <si>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</si>
  <si>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</si>
  <si>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</si>
  <si>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</si>
  <si>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</si>
  <si>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</si>
  <si>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</si>
  <si>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</si>
  <si>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</si>
  <si>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</si>
  <si>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</si>
  <si>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</si>
  <si>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</si>
  <si>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</si>
  <si>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</si>
  <si>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</si>
  <si>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</si>
  <si>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</si>
  <si>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</si>
  <si>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</si>
  <si>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</si>
  <si>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</si>
  <si>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</si>
  <si>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</si>
  <si>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</si>
  <si>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</si>
  <si>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</si>
  <si>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</si>
  <si>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</si>
  <si>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</si>
  <si>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</si>
  <si>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</si>
  <si>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</si>
  <si>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</si>
  <si>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</si>
  <si>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</si>
  <si>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</si>
  <si>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</si>
  <si>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</si>
  <si>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</si>
  <si>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</si>
  <si>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</si>
  <si>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</si>
  <si>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</si>
  <si>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</si>
  <si>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</si>
  <si>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</si>
  <si>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</si>
  <si>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</si>
  <si>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</si>
  <si>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</si>
  <si>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</si>
  <si>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</si>
  <si>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</si>
  <si>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</si>
  <si>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</si>
  <si>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</si>
  <si>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</si>
  <si>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</si>
  <si>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</si>
  <si>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</si>
  <si>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</si>
  <si>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</si>
  <si>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</si>
  <si>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</si>
  <si>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</si>
  <si>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</si>
  <si>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</si>
  <si>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</si>
  <si>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</si>
  <si>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</si>
  <si>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</si>
  <si>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</si>
  <si>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</si>
  <si>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</si>
  <si>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</si>
  <si>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</si>
  <si>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</si>
  <si>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</si>
  <si>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</si>
  <si>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</si>
  <si>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</si>
  <si>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</si>
  <si>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</si>
  <si>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</si>
  <si>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</si>
  <si>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</si>
  <si>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</si>
  <si>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</si>
  <si>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</si>
  <si>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</si>
  <si>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</si>
  <si>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</si>
  <si>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</si>
  <si>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</si>
  <si>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</si>
  <si>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</si>
  <si>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</si>
  <si>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</si>
  <si>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</si>
  <si>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</si>
  <si>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</si>
  <si>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</si>
  <si>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</si>
  <si>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</si>
  <si>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</si>
  <si>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</si>
  <si>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</si>
  <si>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</si>
  <si>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</si>
  <si>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</si>
  <si>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</si>
  <si>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</si>
  <si>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</si>
  <si>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</si>
  <si>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</si>
  <si>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</si>
  <si>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</si>
  <si>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</si>
  <si>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</si>
  <si>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</si>
  <si>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</si>
  <si>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</si>
  <si>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</si>
  <si>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</si>
  <si>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</si>
  <si>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</si>
  <si>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</si>
  <si>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</si>
  <si>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</si>
  <si>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</si>
  <si>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</si>
  <si>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</si>
  <si>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</si>
  <si>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</si>
  <si>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</si>
  <si>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</si>
  <si>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</si>
  <si>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</si>
  <si>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</si>
  <si>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</si>
  <si>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</si>
  <si>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</si>
  <si>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</si>
  <si>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</si>
  <si>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</si>
  <si>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</si>
  <si>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</si>
  <si>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</si>
  <si>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</si>
  <si>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</si>
  <si>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</si>
  <si>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</si>
  <si>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</si>
  <si>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</si>
  <si>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</si>
  <si>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</si>
  <si>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</si>
  <si>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</si>
  <si>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</si>
  <si>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</si>
  <si>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</si>
  <si>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</si>
  <si>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</si>
  <si>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</si>
  <si>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</si>
  <si>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</si>
  <si>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</si>
  <si>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</si>
  <si>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</si>
  <si>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</si>
  <si>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</si>
  <si>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</si>
  <si>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</si>
  <si>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</si>
  <si>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</si>
  <si>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</si>
  <si>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</si>
  <si>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</si>
  <si>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</si>
  <si>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</si>
  <si>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</si>
  <si>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</si>
  <si>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</si>
  <si>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</si>
  <si>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</si>
  <si>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</si>
  <si>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</si>
  <si>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</si>
  <si>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</si>
  <si>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</si>
  <si>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</si>
  <si>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</si>
  <si>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</si>
  <si>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</si>
  <si>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</si>
  <si>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</si>
  <si>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</si>
  <si>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</si>
  <si>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</si>
  <si>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</si>
  <si>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</si>
  <si>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</si>
  <si>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</si>
  <si>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</si>
  <si>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</si>
  <si>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</si>
  <si>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</si>
  <si>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</si>
  <si>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</si>
  <si>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</si>
  <si>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</si>
  <si>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</si>
  <si>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</si>
  <si>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</si>
  <si>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</si>
  <si>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</si>
  <si>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</si>
  <si>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</si>
  <si>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</si>
  <si>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</si>
  <si>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</si>
  <si>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</si>
  <si>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</si>
  <si>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</si>
  <si>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</si>
  <si>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</si>
  <si>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</si>
  <si>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</si>
  <si>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</si>
  <si>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</si>
  <si>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</si>
  <si>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</si>
  <si>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</si>
  <si>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</si>
  <si>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</si>
  <si>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</si>
  <si>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</si>
  <si>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</si>
  <si>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</si>
  <si>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</si>
  <si>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</si>
  <si>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</si>
  <si>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</si>
  <si>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</si>
  <si>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</si>
  <si>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</si>
  <si>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</si>
  <si>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</si>
  <si>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</si>
  <si>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</si>
  <si>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</si>
  <si>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</si>
  <si>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</si>
  <si>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</si>
  <si>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</si>
  <si>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</si>
  <si>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</si>
  <si>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</si>
  <si>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</si>
  <si>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</si>
  <si>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</si>
  <si>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</si>
  <si>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</si>
  <si>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</si>
  <si>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</si>
  <si>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</si>
  <si>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</si>
  <si>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</si>
  <si>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</si>
  <si>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</si>
  <si>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</si>
  <si>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</si>
  <si>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</si>
  <si>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</si>
  <si>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</si>
  <si>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</si>
  <si>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</si>
  <si>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</si>
  <si>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</si>
  <si>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</si>
  <si>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</si>
  <si>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</si>
  <si>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</si>
  <si>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</si>
  <si>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</si>
  <si>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</si>
  <si>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</si>
  <si>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</si>
  <si>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</si>
  <si>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</si>
  <si>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</si>
  <si>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</si>
  <si>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</si>
  <si>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</si>
  <si>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</si>
  <si>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</si>
  <si>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</si>
  <si>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</si>
  <si>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</si>
  <si>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</si>
  <si>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</si>
  <si>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</si>
  <si>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</si>
  <si>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</si>
  <si>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</si>
  <si>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</si>
  <si>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</si>
  <si>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</si>
  <si>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</si>
  <si>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</si>
  <si>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</si>
  <si>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</si>
  <si>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</si>
  <si>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</si>
  <si>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</si>
  <si>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</si>
  <si>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</si>
  <si>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</si>
  <si>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</si>
  <si>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</si>
  <si>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</si>
  <si>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</si>
  <si>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</si>
  <si>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</si>
  <si>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</si>
  <si>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</si>
  <si>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</si>
  <si>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</si>
  <si>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</si>
  <si>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</si>
  <si>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</si>
  <si>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</si>
  <si>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</si>
  <si>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</si>
  <si>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</si>
  <si>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</si>
  <si>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</si>
  <si>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</si>
  <si>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</si>
  <si>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</si>
  <si>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</si>
  <si>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</si>
  <si>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</si>
  <si>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</si>
  <si>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</si>
  <si>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</si>
  <si>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</si>
  <si>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</si>
  <si>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</si>
  <si>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</si>
  <si>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</si>
  <si>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</si>
  <si>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</si>
  <si>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</si>
  <si>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</si>
  <si>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</si>
  <si>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</si>
  <si>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</si>
  <si>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</si>
  <si>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</si>
  <si>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</si>
  <si>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</si>
  <si>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</si>
  <si>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</si>
  <si>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</si>
  <si>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</si>
  <si>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</si>
  <si>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</si>
  <si>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</si>
  <si>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</si>
  <si>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</si>
  <si>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</si>
  <si>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</si>
  <si>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</si>
  <si>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</si>
  <si>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</si>
  <si>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</si>
  <si>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</si>
  <si>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</si>
  <si>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</si>
  <si>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</si>
  <si>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</si>
  <si>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</si>
  <si>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</si>
  <si>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</si>
  <si>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</si>
  <si>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</si>
  <si>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</si>
  <si>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</si>
  <si>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</si>
  <si>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</si>
  <si>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</si>
  <si>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</si>
  <si>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</si>
  <si>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</si>
  <si>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</si>
  <si>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</si>
  <si>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</si>
  <si>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</si>
  <si>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</si>
  <si>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</si>
  <si>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</si>
  <si>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</si>
  <si>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</si>
  <si>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</si>
  <si>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</si>
  <si>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</si>
  <si>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</si>
  <si>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</si>
  <si>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</si>
  <si>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</si>
  <si>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</si>
  <si>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</si>
  <si>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</si>
  <si>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</si>
  <si>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</si>
  <si>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</si>
  <si>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</si>
  <si>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</si>
  <si>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</si>
  <si>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</si>
  <si>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</si>
  <si>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</si>
  <si>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</si>
  <si>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</si>
  <si>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</si>
  <si>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</si>
  <si>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</si>
  <si>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</si>
  <si>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</si>
  <si>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</si>
  <si>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</si>
  <si>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</si>
  <si>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</si>
  <si>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</si>
  <si>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</si>
  <si>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</si>
  <si>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</si>
  <si>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</si>
  <si>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</si>
  <si>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</si>
  <si>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</si>
  <si>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</si>
  <si>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</si>
  <si>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</si>
  <si>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</si>
  <si>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</si>
  <si>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</si>
  <si>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</si>
  <si>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</si>
  <si>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</si>
  <si>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</si>
  <si>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</si>
  <si>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</si>
  <si>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</si>
  <si>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</si>
  <si>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</si>
  <si>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</si>
  <si>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</si>
  <si>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</si>
  <si>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</si>
  <si>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</si>
  <si>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</si>
  <si>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</si>
  <si>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</si>
  <si>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</si>
  <si>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</si>
  <si>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</si>
  <si>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</si>
  <si>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</si>
  <si>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</si>
  <si>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</si>
  <si>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</si>
  <si>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</si>
  <si>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</si>
  <si>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</si>
  <si>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</si>
  <si>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</si>
  <si>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</si>
  <si>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</si>
  <si>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</si>
  <si>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</si>
  <si>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</si>
  <si>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</si>
  <si>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</si>
  <si>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</si>
  <si>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</si>
  <si>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</si>
  <si>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</si>
  <si>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</si>
  <si>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</si>
  <si>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</si>
  <si>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</si>
  <si>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</si>
  <si>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</si>
  <si>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</si>
  <si>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</si>
  <si>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</si>
  <si>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</si>
  <si>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</si>
  <si>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</si>
  <si>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</si>
  <si>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</si>
  <si>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</si>
  <si>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</si>
  <si>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</si>
  <si>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</si>
  <si>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</si>
  <si>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</si>
  <si>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</si>
  <si>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</si>
  <si>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</si>
  <si>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</si>
  <si>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</si>
  <si>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</si>
  <si>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</si>
  <si>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</si>
  <si>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</si>
  <si>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</si>
  <si>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</si>
  <si>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</si>
  <si>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</si>
  <si>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</si>
  <si>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</si>
  <si>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</si>
  <si>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</si>
  <si>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</si>
  <si>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</si>
  <si>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</si>
  <si>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</si>
  <si>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</si>
  <si>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</si>
  <si>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</si>
  <si>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</si>
  <si>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</si>
  <si>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</si>
  <si>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</si>
  <si>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</si>
  <si>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</si>
  <si>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</si>
  <si>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</si>
  <si>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</si>
  <si>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</si>
  <si>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</si>
  <si>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</si>
  <si>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</si>
  <si>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</si>
  <si>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</si>
  <si>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</si>
  <si>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</si>
  <si>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</si>
  <si>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</si>
  <si>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</si>
  <si>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</si>
  <si>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</si>
  <si>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</si>
  <si>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</si>
  <si>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</si>
  <si>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</si>
  <si>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</si>
  <si>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</si>
  <si>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</si>
  <si>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</si>
  <si>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</si>
  <si>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</si>
  <si>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</si>
  <si>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</si>
  <si>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</si>
  <si>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</si>
  <si>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</si>
  <si>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</si>
  <si>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</si>
  <si>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</si>
  <si>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</si>
  <si>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</si>
  <si>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</si>
  <si>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</si>
  <si>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</si>
  <si>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</si>
  <si>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</si>
  <si>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</si>
  <si>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</si>
  <si>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</si>
  <si>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</si>
  <si>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</si>
  <si>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</si>
  <si>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</si>
  <si>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</si>
  <si>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</si>
  <si>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</si>
  <si>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</si>
  <si>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</si>
  <si>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</si>
  <si>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</si>
  <si>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</si>
  <si>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</si>
  <si>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</si>
  <si>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</si>
  <si>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</si>
  <si>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</si>
  <si>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</si>
  <si>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</si>
  <si>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</si>
  <si>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</si>
  <si>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</si>
  <si>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</si>
  <si>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</si>
  <si>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</si>
  <si>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</si>
  <si>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</si>
  <si>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</si>
  <si>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</si>
  <si>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</si>
  <si>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</si>
  <si>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</si>
  <si>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</si>
  <si>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</si>
  <si>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</si>
  <si>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</si>
  <si>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</si>
  <si>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</si>
  <si>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</si>
  <si>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</si>
  <si>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</si>
  <si>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</si>
  <si>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</si>
  <si>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</si>
  <si>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</si>
  <si>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</si>
  <si>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</si>
  <si>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</si>
  <si>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</si>
  <si>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</si>
  <si>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</si>
  <si>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</si>
  <si>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</si>
  <si>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</si>
  <si>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</si>
  <si>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</si>
  <si>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</si>
  <si>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</si>
  <si>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</si>
  <si>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</si>
  <si>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</si>
  <si>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</si>
  <si>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</si>
  <si>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</si>
  <si>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</si>
  <si>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</si>
  <si>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</si>
  <si>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</si>
  <si>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</si>
  <si>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</si>
  <si>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</si>
  <si>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</si>
  <si>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</si>
  <si>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</si>
  <si>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</si>
  <si>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</si>
  <si>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</si>
  <si>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</si>
  <si>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</si>
  <si>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</si>
  <si>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</si>
  <si>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</si>
  <si>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</si>
  <si>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</si>
  <si>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</si>
  <si>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</si>
  <si>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</si>
  <si>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</si>
  <si>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</si>
  <si>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</si>
  <si>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</si>
  <si>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</si>
  <si>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</si>
  <si>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</si>
  <si>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</si>
  <si>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</si>
  <si>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</si>
  <si>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</si>
  <si>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</si>
  <si>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</si>
  <si>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</si>
  <si>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</si>
  <si>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</si>
  <si>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</si>
  <si>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</si>
  <si>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</si>
  <si>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</si>
  <si>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</si>
  <si>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</si>
  <si>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</si>
  <si>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</si>
  <si>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</si>
  <si>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</si>
  <si>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</si>
  <si>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</si>
  <si>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</si>
  <si>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</si>
  <si>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</si>
  <si>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</si>
  <si>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</si>
  <si>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</si>
  <si>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</si>
  <si>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</si>
  <si>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</si>
  <si>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</si>
  <si>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</si>
  <si>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</si>
  <si>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</si>
  <si>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</si>
  <si>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</si>
  <si>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</si>
  <si>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</si>
  <si>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</si>
  <si>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</si>
  <si>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</si>
  <si>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</si>
  <si>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</si>
  <si>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</si>
  <si>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</si>
  <si>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</si>
  <si>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</si>
  <si>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</si>
  <si>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</si>
  <si>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</si>
  <si>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</si>
  <si>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</si>
  <si>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</si>
  <si>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</si>
  <si>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</si>
  <si>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</si>
  <si>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</si>
  <si>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</si>
  <si>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</si>
  <si>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</si>
  <si>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</si>
  <si>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</si>
  <si>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</si>
  <si>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</si>
  <si>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</si>
  <si>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</si>
  <si>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</si>
  <si>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</si>
  <si>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</si>
  <si>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</si>
  <si>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</si>
  <si>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</si>
  <si>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</si>
  <si>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</si>
  <si>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</si>
  <si>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</si>
  <si>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</si>
  <si>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</si>
  <si>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</si>
  <si>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</si>
  <si>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</si>
  <si>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</si>
  <si>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</si>
  <si>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</si>
  <si>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</si>
  <si>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</si>
  <si>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</si>
  <si>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</si>
  <si>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</si>
  <si>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</si>
  <si>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</si>
  <si>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</si>
  <si>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</si>
  <si>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</si>
  <si>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</si>
  <si>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</si>
  <si>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</si>
  <si>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</si>
  <si>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</si>
  <si>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</si>
  <si>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</si>
  <si>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</si>
  <si>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</si>
  <si>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</si>
  <si>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</si>
  <si>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</si>
  <si>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</si>
  <si>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</si>
  <si>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</si>
  <si>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</si>
  <si>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</si>
  <si>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</si>
  <si>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</si>
  <si>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</si>
  <si>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</si>
  <si>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</si>
  <si>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</si>
  <si>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</si>
  <si>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</si>
  <si>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</si>
  <si>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</si>
  <si>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</si>
  <si>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</si>
  <si>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</si>
  <si>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</si>
  <si>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</si>
  <si>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</si>
  <si>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</si>
  <si>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</si>
  <si>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</si>
  <si>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</si>
  <si>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</si>
  <si>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</si>
  <si>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</si>
  <si>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</si>
  <si>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</si>
  <si>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</si>
  <si>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</si>
  <si>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</si>
  <si>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</si>
  <si>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</si>
  <si>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</si>
  <si>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</si>
  <si>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</si>
  <si>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</si>
  <si>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</si>
  <si>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</si>
  <si>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</si>
  <si>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</si>
  <si>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</si>
  <si>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</si>
  <si>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</si>
  <si>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</si>
  <si>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</si>
  <si>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</si>
  <si>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</si>
  <si>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</si>
  <si>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</si>
  <si>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</si>
  <si>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</si>
  <si>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</si>
  <si>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</si>
  <si>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</si>
  <si>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</si>
  <si>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</si>
  <si>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</si>
  <si>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</si>
  <si>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</si>
  <si>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</si>
  <si>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</si>
  <si>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</si>
  <si>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</si>
  <si>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</si>
  <si>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</si>
  <si>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</si>
  <si>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</si>
  <si>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</si>
  <si>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</si>
  <si>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</si>
  <si>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</si>
  <si>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</si>
  <si>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</si>
  <si>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</si>
  <si>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</si>
  <si>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</si>
  <si>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</si>
  <si>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</si>
  <si>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</si>
  <si>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</si>
  <si>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</si>
  <si>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</si>
  <si>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</si>
  <si>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</si>
  <si>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</si>
  <si>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</si>
  <si>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</si>
  <si>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</si>
  <si>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</si>
  <si>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</si>
  <si>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</si>
  <si>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</si>
  <si>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</si>
  <si>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</si>
  <si>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</si>
  <si>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</si>
  <si>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</si>
  <si>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</si>
  <si>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</si>
  <si>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</si>
  <si>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</si>
  <si>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</si>
  <si>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</si>
  <si>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</si>
  <si>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</si>
  <si>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</si>
  <si>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</si>
  <si>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</si>
  <si>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</si>
  <si>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</si>
  <si>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</si>
  <si>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</si>
  <si>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</si>
  <si>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</si>
  <si>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</si>
  <si>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</si>
  <si>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</si>
  <si>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</si>
  <si>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</si>
  <si>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</si>
  <si>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</si>
  <si>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</si>
  <si>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</si>
  <si>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</si>
  <si>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</si>
  <si>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</si>
  <si>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</si>
  <si>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</si>
  <si>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</si>
  <si>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</si>
  <si>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</si>
  <si>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</si>
  <si>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</si>
  <si>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</si>
  <si>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</si>
  <si>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</si>
  <si>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</si>
  <si>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</si>
  <si>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</si>
  <si>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</si>
  <si>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</si>
  <si>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</si>
  <si>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</si>
  <si>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</si>
  <si>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</si>
  <si>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</si>
  <si>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</si>
  <si>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</si>
  <si>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</si>
  <si>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</si>
  <si>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</si>
  <si>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</si>
  <si>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</si>
  <si>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</si>
  <si>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</si>
  <si>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</si>
  <si>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</si>
  <si>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</si>
  <si>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</si>
  <si>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</si>
  <si>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</si>
  <si>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</si>
  <si>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</si>
  <si>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</si>
  <si>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</si>
  <si>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</si>
  <si>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</si>
  <si>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</si>
  <si>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</si>
  <si>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</si>
  <si>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</si>
  <si>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</si>
  <si>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</si>
  <si>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</si>
  <si>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</si>
  <si>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</si>
  <si>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</si>
  <si>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</si>
  <si>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</si>
  <si>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</si>
  <si>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</si>
  <si>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</si>
  <si>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</si>
  <si>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</si>
  <si>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</si>
  <si>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</si>
  <si>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</si>
  <si>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</si>
  <si>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</si>
  <si>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</si>
  <si>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</si>
  <si>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</si>
  <si>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</si>
  <si>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</si>
  <si>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</si>
  <si>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</si>
  <si>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</si>
  <si>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</si>
  <si>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</si>
  <si>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</si>
  <si>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</si>
  <si>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</si>
  <si>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</si>
  <si>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</si>
  <si>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</si>
  <si>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</si>
  <si>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</si>
  <si>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</si>
  <si>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</si>
  <si>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</si>
  <si>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</si>
  <si>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</si>
  <si>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</si>
  <si>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</si>
  <si>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</si>
  <si>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</si>
  <si>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</si>
  <si>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</si>
  <si>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</si>
  <si>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</si>
  <si>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</si>
  <si>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</si>
  <si>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</si>
  <si>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</si>
  <si>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</si>
  <si>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</si>
  <si>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</si>
  <si>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</si>
  <si>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</si>
  <si>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</si>
  <si>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</si>
  <si>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</si>
  <si>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</si>
  <si>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</si>
  <si>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</si>
  <si>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</si>
  <si>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</si>
  <si>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</si>
  <si>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</si>
  <si>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</si>
  <si>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</si>
  <si>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</si>
  <si>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</si>
  <si>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</si>
  <si>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</si>
  <si>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</si>
  <si>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</si>
  <si>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</si>
  <si>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</si>
  <si>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</si>
  <si>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</si>
  <si>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</si>
  <si>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</si>
  <si>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</si>
  <si>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</si>
  <si>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</si>
  <si>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</si>
  <si>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</si>
  <si>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</si>
  <si>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</si>
  <si>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</si>
  <si>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</si>
  <si>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https://pub-843c46afc4cb41489909bce00c9b143d.r2.dev/41.2%20-%20Aulnoy-lez-Valenciennes/7%20Plan%20de%20cellule.jpg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</si>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</sst>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21" totalsRowShown="0" headerRowCellStyle="Normal 2" dataCellStyle="Normal 2">
  <autoFilter ref="A1:AX421"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table" Target="../tables/table1.xm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0" Type="http://schemas.openxmlformats.org/officeDocument/2006/relationships/hyperlink" Target="https://maps.app.goo.gl/fZZw5jPfwTLEadoe7" TargetMode="External"/><Relationship Id="rId245"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14" Type="http://schemas.openxmlformats.org/officeDocument/2006/relationships/hyperlink" Target="https://maps.app.goo.gl/ngVAd1ZcuWEZcS5U8" TargetMode="External"/><Relationship Id="rId30" Type="http://schemas.openxmlformats.org/officeDocument/2006/relationships/hyperlink" Target="https://maps.app.goo.gl/yRNFdK1p6sWPThzm7"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282" Type="http://schemas.openxmlformats.org/officeDocument/2006/relationships/hyperlink" Target="https://maps.app.goo.gl/6uuVcTTEQTNeu7zA6" TargetMode="External"/><Relationship Id="rId312" Type="http://schemas.openxmlformats.org/officeDocument/2006/relationships/hyperlink" Target="https://maps.app.goo.gl/6oE46ksg5SY1z5rQ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35"/>
  <sheetViews>
    <sheetView showZeros="0" tabSelected="1" zoomScale="80" zoomScaleNormal="80" workbookViewId="0">
      <pane xSplit="6" ySplit="1" topLeftCell="G403" activePane="bottomRight" state="frozen"/>
      <selection pane="topRight" activeCell="G1" sqref="G1"/>
      <selection pane="bottomLeft" activeCell="A2" sqref="A2"/>
      <selection pane="bottomRight" activeCell="D418" sqref="D418"/>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1293</v>
      </c>
      <c r="L1" s="1" t="s">
        <v>1297</v>
      </c>
      <c r="M1" s="1" t="s">
        <v>10</v>
      </c>
      <c r="N1" s="1" t="s">
        <v>287</v>
      </c>
      <c r="O1" s="1" t="s">
        <v>18</v>
      </c>
      <c r="P1" s="1" t="s">
        <v>243</v>
      </c>
      <c r="Q1" s="1" t="s">
        <v>1299</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1295</v>
      </c>
      <c r="AO1" s="1" t="s">
        <v>1296</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1191</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1300</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1300</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1300</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1300</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1300</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1300</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1300</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1300</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1300</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1300</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1300</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1300</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1300</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1539</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1539</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1539</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1539</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1539</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1539</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1539</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1539</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1539</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1539</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1539</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1539</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1729</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1723</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1722</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1726</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1725</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1192</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1724</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1727</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1727</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2415</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1728</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2415</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1728</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2415</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1728</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2415</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1728</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2415</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1728</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2415</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1728</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2415</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1728</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2415</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1728</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1652</v>
      </c>
      <c r="AN103" s="11" t="s">
        <v>1539</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1652</v>
      </c>
      <c r="AN104" s="11" t="s">
        <v>1539</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1652</v>
      </c>
      <c r="AN105" s="11" t="s">
        <v>1539</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1652</v>
      </c>
      <c r="AN106" s="11" t="s">
        <v>1539</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1652</v>
      </c>
      <c r="AN107" s="11" t="s">
        <v>1539</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1652</v>
      </c>
      <c r="AN108" s="11" t="s">
        <v>1539</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1652</v>
      </c>
      <c r="AN109" s="11" t="s">
        <v>1539</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1652</v>
      </c>
      <c r="AN110" s="11" t="s">
        <v>1539</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1652</v>
      </c>
      <c r="AN111" s="11" t="s">
        <v>1539</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1652</v>
      </c>
      <c r="AN112" s="11" t="s">
        <v>1539</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1652</v>
      </c>
      <c r="AN113" s="11" t="s">
        <v>1539</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1652</v>
      </c>
      <c r="AN114" s="11" t="s">
        <v>1539</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1652</v>
      </c>
      <c r="AN115" s="11" t="s">
        <v>1539</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1652</v>
      </c>
      <c r="AN116" s="11" t="s">
        <v>1539</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1721</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1437</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1273</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1437</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1273</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1437</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1273</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1437</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1273</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1437</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1273</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1437</v>
      </c>
      <c r="M126" s="12" t="s">
        <v>87</v>
      </c>
      <c r="N126" s="36" t="s">
        <v>2409</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2412</v>
      </c>
      <c r="AQ126" s="11" t="s">
        <v>2413</v>
      </c>
      <c r="AR126" s="11" t="s">
        <v>888</v>
      </c>
      <c r="AS126" s="36" t="s">
        <v>1273</v>
      </c>
      <c r="AT126" s="11" t="s">
        <v>59</v>
      </c>
      <c r="AU126" s="11" t="s">
        <v>2410</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1437</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1273</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1437</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1273</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1437</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1273</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1437</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1273</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1437</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1273</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1437</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1273</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1437</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1273</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1437</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1273</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1437</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1273</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1437</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1273</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1437</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1273</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1437</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2411</v>
      </c>
      <c r="AS138" s="36" t="s">
        <v>1273</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1437</v>
      </c>
      <c r="M139" s="12" t="s">
        <v>87</v>
      </c>
      <c r="N139" s="36" t="s">
        <v>340</v>
      </c>
      <c r="O139" s="34">
        <v>167</v>
      </c>
      <c r="P139" s="6" t="s">
        <v>1276</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1657</v>
      </c>
      <c r="AQ139" s="11" t="s">
        <v>1658</v>
      </c>
      <c r="AR139" s="11" t="s">
        <v>1274</v>
      </c>
      <c r="AS139" s="36" t="s">
        <v>1278</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1437</v>
      </c>
      <c r="M140" s="12" t="s">
        <v>87</v>
      </c>
      <c r="N140" s="36" t="s">
        <v>291</v>
      </c>
      <c r="O140" s="34">
        <v>124</v>
      </c>
      <c r="P140" s="6" t="s">
        <v>1277</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1659</v>
      </c>
      <c r="AQ140" s="11" t="s">
        <v>1660</v>
      </c>
      <c r="AR140" s="11" t="s">
        <v>1275</v>
      </c>
      <c r="AS140" s="36" t="s">
        <v>1279</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1437</v>
      </c>
      <c r="M141" s="12" t="s">
        <v>87</v>
      </c>
      <c r="N141" s="36" t="s">
        <v>1653</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1661</v>
      </c>
      <c r="AQ141" s="11" t="s">
        <v>1662</v>
      </c>
      <c r="AR141" s="11" t="s">
        <v>1655</v>
      </c>
      <c r="AS141" s="36" t="s">
        <v>1665</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1437</v>
      </c>
      <c r="M142" s="12" t="s">
        <v>87</v>
      </c>
      <c r="N142" s="36" t="s">
        <v>1654</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1663</v>
      </c>
      <c r="AQ142" s="11" t="s">
        <v>1664</v>
      </c>
      <c r="AR142" s="11" t="s">
        <v>1656</v>
      </c>
      <c r="AS142" s="36" t="s">
        <v>1665</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1437</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1281</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1301</v>
      </c>
      <c r="L144" s="53" t="s">
        <v>1437</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1280</v>
      </c>
      <c r="AN144" s="11"/>
      <c r="AO144" s="5" t="s">
        <v>350</v>
      </c>
      <c r="AP144" s="11" t="s">
        <v>954</v>
      </c>
      <c r="AQ144" s="11" t="s">
        <v>955</v>
      </c>
      <c r="AR144" s="11" t="s">
        <v>948</v>
      </c>
      <c r="AS144" s="36" t="s">
        <v>971</v>
      </c>
      <c r="AT144" s="11" t="s">
        <v>59</v>
      </c>
      <c r="AU144" s="11" t="s">
        <v>1282</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1688</v>
      </c>
      <c r="AN148" s="11"/>
      <c r="AO148" s="5" t="s">
        <v>350</v>
      </c>
      <c r="AP148" s="11" t="s">
        <v>980</v>
      </c>
      <c r="AQ148" s="11" t="s">
        <v>981</v>
      </c>
      <c r="AR148" s="11">
        <v>34</v>
      </c>
      <c r="AS148" s="36" t="s">
        <v>1689</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7"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1298</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1327</v>
      </c>
      <c r="AN150" s="11" t="s">
        <v>1294</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1298</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1328</v>
      </c>
      <c r="AN154" s="11" t="s">
        <v>1294</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1298</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1294</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1298</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1294</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1298</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1329</v>
      </c>
      <c r="AN157" s="11" t="s">
        <v>1294</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1298</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1650</v>
      </c>
      <c r="AN158" s="11" t="s">
        <v>1294</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1298</v>
      </c>
      <c r="M159" s="12" t="s">
        <v>87</v>
      </c>
      <c r="N159" s="36"/>
      <c r="O159" s="34">
        <v>200</v>
      </c>
      <c r="P159" s="6" t="s">
        <v>87</v>
      </c>
      <c r="Q159" s="34">
        <v>290</v>
      </c>
      <c r="R159" s="34" t="s">
        <v>87</v>
      </c>
      <c r="S159" s="6" t="s">
        <v>87</v>
      </c>
      <c r="T159" s="12">
        <f>Tableau1[[#This Row],[Loyer €/m²]]*Tableau1[[#This Row],[Surface GLA]]</f>
        <v>95000</v>
      </c>
      <c r="U159" s="12">
        <f>IFERROR(Tableau1[[#This Row],[Loyer annuel]]/12,"")</f>
        <v>7916.666666666667</v>
      </c>
      <c r="V159" s="12">
        <v>475</v>
      </c>
      <c r="W159" s="46">
        <v>0.08</v>
      </c>
      <c r="X159" s="6">
        <f>Tableau1[[#This Row],[Charges €/m²]]*Tableau1[[#This Row],[Surface GLA]]</f>
        <v>13700</v>
      </c>
      <c r="Y159" s="12">
        <f>Tableau1[[#This Row],[Charges annuelles]]/12</f>
        <v>1141.6666666666667</v>
      </c>
      <c r="Z159" s="12">
        <v>68.5</v>
      </c>
      <c r="AA159" s="12">
        <f>IFERROR(Tableau1[[#This Row],[Taxe foncière €/m²]]*Tableau1[[#This Row],[Surface GLA]],)</f>
        <v>7000</v>
      </c>
      <c r="AB159" s="12">
        <v>35</v>
      </c>
      <c r="AC159" s="12">
        <f>IFERROR(Tableau1[[#This Row],[Marketing €/m²]]*Tableau1[[#This Row],[Surface GLA]],)</f>
        <v>5000</v>
      </c>
      <c r="AD159" s="6">
        <v>25</v>
      </c>
      <c r="AE159" s="12">
        <f>IFERROR(Tableau1[[#This Row],[Loyer annuel]]+Tableau1[[#This Row],[Charges annuelles]]+Tableau1[[#This Row],[Taxe foncière]]+Tableau1[[#This Row],[Marketing]],"")</f>
        <v>120700</v>
      </c>
      <c r="AF159" s="12" t="str">
        <f t="shared" si="8"/>
        <v>3 mois = 23 750 €</v>
      </c>
      <c r="AG159" s="6" t="s">
        <v>87</v>
      </c>
      <c r="AH159" s="46">
        <v>0.05</v>
      </c>
      <c r="AI159" s="12" t="s">
        <v>346</v>
      </c>
      <c r="AJ159" s="10" t="s">
        <v>358</v>
      </c>
      <c r="AK159" s="10" t="s">
        <v>352</v>
      </c>
      <c r="AL159" s="10" t="s">
        <v>1183</v>
      </c>
      <c r="AM159" s="11" t="s">
        <v>1651</v>
      </c>
      <c r="AN159" s="11" t="s">
        <v>1294</v>
      </c>
      <c r="AO159" s="5" t="s">
        <v>350</v>
      </c>
      <c r="AP159" s="11" t="s">
        <v>1173</v>
      </c>
      <c r="AQ159" s="11" t="s">
        <v>1174</v>
      </c>
      <c r="AR159" s="11" t="s">
        <v>1166</v>
      </c>
      <c r="AS159" s="36" t="s">
        <v>1185</v>
      </c>
      <c r="AT159" s="11" t="s">
        <v>59</v>
      </c>
      <c r="AU159" s="11"/>
      <c r="AV159" s="13" t="s">
        <v>1062</v>
      </c>
      <c r="AW159" s="14"/>
      <c r="AX159" s="44"/>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1298</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1651</v>
      </c>
      <c r="AN160" s="11" t="s">
        <v>1294</v>
      </c>
      <c r="AO160" s="5" t="s">
        <v>350</v>
      </c>
      <c r="AP160" s="11" t="s">
        <v>1173</v>
      </c>
      <c r="AQ160" s="11" t="s">
        <v>1175</v>
      </c>
      <c r="AR160" s="11" t="s">
        <v>1167</v>
      </c>
      <c r="AS160" s="36" t="s">
        <v>1186</v>
      </c>
      <c r="AT160" s="11" t="s">
        <v>59</v>
      </c>
      <c r="AU160" s="11"/>
      <c r="AV160" s="13" t="s">
        <v>1062</v>
      </c>
      <c r="AW160" s="14"/>
      <c r="AX160" s="44"/>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1298</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1651</v>
      </c>
      <c r="AN161" s="11" t="s">
        <v>1294</v>
      </c>
      <c r="AO161" s="5" t="s">
        <v>350</v>
      </c>
      <c r="AP161" s="11" t="s">
        <v>1176</v>
      </c>
      <c r="AQ161" s="11" t="s">
        <v>1177</v>
      </c>
      <c r="AR161" s="11" t="s">
        <v>1168</v>
      </c>
      <c r="AS161" s="36" t="s">
        <v>1187</v>
      </c>
      <c r="AT161" s="11" t="s">
        <v>59</v>
      </c>
      <c r="AU161" s="11"/>
      <c r="AV161" s="13" t="s">
        <v>1062</v>
      </c>
      <c r="AW161" s="14"/>
      <c r="AX161" s="44"/>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1298</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1651</v>
      </c>
      <c r="AN162" s="11" t="s">
        <v>1294</v>
      </c>
      <c r="AO162" s="5" t="s">
        <v>350</v>
      </c>
      <c r="AP162" s="11" t="s">
        <v>1178</v>
      </c>
      <c r="AQ162" s="11" t="s">
        <v>1179</v>
      </c>
      <c r="AR162" s="11" t="s">
        <v>1169</v>
      </c>
      <c r="AS162" s="36" t="s">
        <v>1188</v>
      </c>
      <c r="AT162" s="11" t="s">
        <v>59</v>
      </c>
      <c r="AU162" s="11"/>
      <c r="AV162" s="13" t="s">
        <v>1062</v>
      </c>
      <c r="AW162" s="14"/>
      <c r="AX162" s="44"/>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1190</v>
      </c>
      <c r="L163" s="10" t="s">
        <v>1298</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1651</v>
      </c>
      <c r="AN163" s="11" t="s">
        <v>1294</v>
      </c>
      <c r="AO163" s="5" t="s">
        <v>350</v>
      </c>
      <c r="AP163" s="11" t="s">
        <v>1180</v>
      </c>
      <c r="AQ163" s="11" t="s">
        <v>1181</v>
      </c>
      <c r="AR163" s="11" t="s">
        <v>1170</v>
      </c>
      <c r="AS163" s="36" t="s">
        <v>1189</v>
      </c>
      <c r="AT163" s="11" t="s">
        <v>59</v>
      </c>
      <c r="AU163" s="11"/>
      <c r="AV163" s="13" t="s">
        <v>1062</v>
      </c>
      <c r="AW163" s="14"/>
      <c r="AX163" s="44"/>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1136</v>
      </c>
      <c r="E164" s="26">
        <v>59320</v>
      </c>
      <c r="F164" s="10" t="s">
        <v>1050</v>
      </c>
      <c r="G164" s="39" t="str">
        <f>Tableau1[[#This Row],[Rue]]&amp;CHAR(10)&amp;Tableau1[[#This Row],[Code Postal]]&amp;" - "&amp;Tableau1[[#This Row],[Ville]]</f>
        <v>5001 Rue des Fusillés de 1940
59320 - Ennetières-en-Weppes</v>
      </c>
      <c r="H164" s="15" t="s">
        <v>1079</v>
      </c>
      <c r="I164" s="12" t="s">
        <v>37</v>
      </c>
      <c r="J164" s="12" t="s">
        <v>38</v>
      </c>
      <c r="K164" s="10" t="s">
        <v>87</v>
      </c>
      <c r="L164" s="10" t="s">
        <v>1298</v>
      </c>
      <c r="M164" s="12" t="s">
        <v>87</v>
      </c>
      <c r="N164" s="36"/>
      <c r="O164" s="34">
        <v>150</v>
      </c>
      <c r="P164" s="6" t="s">
        <v>87</v>
      </c>
      <c r="Q164" s="34">
        <v>750</v>
      </c>
      <c r="R164" s="34" t="s">
        <v>87</v>
      </c>
      <c r="S164" s="6" t="s">
        <v>87</v>
      </c>
      <c r="T164" s="12">
        <f>Tableau1[[#This Row],[Loyer €/m²]]*Tableau1[[#This Row],[Surface GLA]]</f>
        <v>42000</v>
      </c>
      <c r="U164" s="12">
        <f>IFERROR(Tableau1[[#This Row],[Loyer annuel]]/12,"")</f>
        <v>3500</v>
      </c>
      <c r="V164" s="12">
        <v>280</v>
      </c>
      <c r="W164" s="6" t="s">
        <v>87</v>
      </c>
      <c r="X164" s="6">
        <f>Tableau1[[#This Row],[Charges €/m²]]*Tableau1[[#This Row],[Surface GLA]]</f>
        <v>2145</v>
      </c>
      <c r="Y164" s="12">
        <f>Tableau1[[#This Row],[Charges annuelles]]/12</f>
        <v>178.75</v>
      </c>
      <c r="Z164" s="12">
        <v>14.3</v>
      </c>
      <c r="AA164" s="12">
        <f>IFERROR(Tableau1[[#This Row],[Taxe foncière €/m²]]*Tableau1[[#This Row],[Surface GLA]],)</f>
        <v>2640</v>
      </c>
      <c r="AB164" s="12">
        <v>17.600000000000001</v>
      </c>
      <c r="AC164" s="12">
        <f>IFERROR(Tableau1[[#This Row],[Marketing €/m²]]*Tableau1[[#This Row],[Surface GLA]],)</f>
        <v>0</v>
      </c>
      <c r="AD164" s="6" t="s">
        <v>87</v>
      </c>
      <c r="AE164" s="12">
        <f>IFERROR(Tableau1[[#This Row],[Loyer annuel]]+Tableau1[[#This Row],[Charges annuelles]]+Tableau1[[#This Row],[Taxe foncière]]+Tableau1[[#This Row],[Marketing]],"")</f>
        <v>46785</v>
      </c>
      <c r="AF164" s="12" t="str">
        <f t="shared" si="8"/>
        <v>3 mois = 10 500 €</v>
      </c>
      <c r="AG164" s="6" t="s">
        <v>87</v>
      </c>
      <c r="AH164" s="46">
        <v>0.05</v>
      </c>
      <c r="AI164" s="12" t="s">
        <v>346</v>
      </c>
      <c r="AJ164" s="10" t="s">
        <v>59</v>
      </c>
      <c r="AK164" s="10" t="s">
        <v>352</v>
      </c>
      <c r="AL164" s="10" t="s">
        <v>1078</v>
      </c>
      <c r="AM164" s="11" t="s">
        <v>1302</v>
      </c>
      <c r="AN164" s="11" t="s">
        <v>1294</v>
      </c>
      <c r="AO164" s="5" t="s">
        <v>350</v>
      </c>
      <c r="AP164" s="11" t="s">
        <v>1063</v>
      </c>
      <c r="AQ164" s="11" t="s">
        <v>1064</v>
      </c>
      <c r="AR164" s="11">
        <v>42</v>
      </c>
      <c r="AS164" s="36" t="s">
        <v>1152</v>
      </c>
      <c r="AT164" s="11" t="s">
        <v>59</v>
      </c>
      <c r="AU164" s="11"/>
      <c r="AV164" s="13" t="s">
        <v>1062</v>
      </c>
      <c r="AW164" s="14"/>
      <c r="AX164" s="44">
        <v>46003</v>
      </c>
      <c r="AZ164" s="1"/>
      <c r="BF164"/>
      <c r="BG164" s="1"/>
    </row>
    <row r="165" spans="1:59" ht="25.5">
      <c r="A165" s="38" t="str">
        <f>VLOOKUP(Tableau1[[#This Row],[N° Département]],Feuil1!$C$6:$E$106,3)</f>
        <v>Grand Est</v>
      </c>
      <c r="B165" s="38" t="str">
        <f>VLOOKUP(Tableau1[[#This Row],[N° Département]],Feuil1!$C$6:$E$106,2)</f>
        <v>Haut-Rhin</v>
      </c>
      <c r="C165" s="38">
        <f>LEFT(Tableau1[[#This Row],[Code Postal]],2)*1</f>
        <v>68</v>
      </c>
      <c r="D165" s="10" t="s">
        <v>1051</v>
      </c>
      <c r="E165" s="26">
        <v>68270</v>
      </c>
      <c r="F165" s="10" t="s">
        <v>1052</v>
      </c>
      <c r="G165" s="39" t="str">
        <f>Tableau1[[#This Row],[Rue]]&amp;CHAR(10)&amp;Tableau1[[#This Row],[Code Postal]]&amp;" - "&amp;Tableau1[[#This Row],[Ville]]</f>
        <v>11 Rue de Soultz
68270 - Wittenheim</v>
      </c>
      <c r="H165" s="15" t="s">
        <v>1027</v>
      </c>
      <c r="I165" s="12" t="s">
        <v>37</v>
      </c>
      <c r="J165" s="12" t="s">
        <v>38</v>
      </c>
      <c r="K165" s="10" t="s">
        <v>87</v>
      </c>
      <c r="L165" s="10" t="s">
        <v>1298</v>
      </c>
      <c r="M165" s="12" t="s">
        <v>87</v>
      </c>
      <c r="N165" s="36"/>
      <c r="O165" s="34">
        <v>300</v>
      </c>
      <c r="P165" s="6" t="s">
        <v>87</v>
      </c>
      <c r="Q165" s="34">
        <v>930</v>
      </c>
      <c r="R165" s="34" t="s">
        <v>87</v>
      </c>
      <c r="S165" s="6" t="s">
        <v>87</v>
      </c>
      <c r="T165" s="12">
        <f>Tableau1[[#This Row],[Loyer €/m²]]*Tableau1[[#This Row],[Surface GLA]]</f>
        <v>44700</v>
      </c>
      <c r="U165" s="12">
        <f>IFERROR(Tableau1[[#This Row],[Loyer annuel]]/12,"")</f>
        <v>3725</v>
      </c>
      <c r="V165" s="12">
        <v>149</v>
      </c>
      <c r="W165" s="6" t="s">
        <v>87</v>
      </c>
      <c r="X165" s="6">
        <f>Tableau1[[#This Row],[Charges €/m²]]*Tableau1[[#This Row],[Surface GLA]]</f>
        <v>990</v>
      </c>
      <c r="Y165" s="12">
        <f>Tableau1[[#This Row],[Charges annuelles]]/12</f>
        <v>82.5</v>
      </c>
      <c r="Z165" s="12">
        <v>3.3</v>
      </c>
      <c r="AA165" s="12">
        <f>IFERROR(Tableau1[[#This Row],[Taxe foncière €/m²]]*Tableau1[[#This Row],[Surface GLA]],)</f>
        <v>3960</v>
      </c>
      <c r="AB165" s="12">
        <v>13.2</v>
      </c>
      <c r="AC165" s="12">
        <f>IFERROR(Tableau1[[#This Row],[Marketing €/m²]]*Tableau1[[#This Row],[Surface GLA]],)</f>
        <v>0</v>
      </c>
      <c r="AD165" s="6" t="s">
        <v>87</v>
      </c>
      <c r="AE165" s="12">
        <f>IFERROR(Tableau1[[#This Row],[Loyer annuel]]+Tableau1[[#This Row],[Charges annuelles]]+Tableau1[[#This Row],[Taxe foncière]]+Tableau1[[#This Row],[Marketing]],"")</f>
        <v>49650</v>
      </c>
      <c r="AF165" s="12" t="str">
        <f t="shared" si="8"/>
        <v>3 mois = 11 175 €</v>
      </c>
      <c r="AG165" s="6" t="s">
        <v>87</v>
      </c>
      <c r="AH165" s="46">
        <v>0.05</v>
      </c>
      <c r="AI165" s="12" t="s">
        <v>346</v>
      </c>
      <c r="AJ165" s="10" t="s">
        <v>358</v>
      </c>
      <c r="AK165" s="10" t="s">
        <v>352</v>
      </c>
      <c r="AL165" s="10" t="s">
        <v>1137</v>
      </c>
      <c r="AM165" s="11" t="s">
        <v>1303</v>
      </c>
      <c r="AN165" s="11" t="s">
        <v>1294</v>
      </c>
      <c r="AO165" s="5" t="s">
        <v>350</v>
      </c>
      <c r="AP165" s="11" t="s">
        <v>1080</v>
      </c>
      <c r="AQ165" s="11" t="s">
        <v>1081</v>
      </c>
      <c r="AR165" s="11">
        <v>43</v>
      </c>
      <c r="AS165" s="36" t="s">
        <v>1153</v>
      </c>
      <c r="AT165" s="11" t="s">
        <v>59</v>
      </c>
      <c r="AU165" s="11"/>
      <c r="AV165" s="13" t="s">
        <v>1062</v>
      </c>
      <c r="AW165" s="14"/>
      <c r="AX165" s="44">
        <v>46003</v>
      </c>
      <c r="AZ165" s="1"/>
      <c r="BF165"/>
      <c r="BG165" s="1"/>
    </row>
    <row r="166" spans="1:59" ht="25.5">
      <c r="A166" s="38" t="str">
        <f>VLOOKUP(Tableau1[[#This Row],[N° Département]],Feuil1!$C$6:$E$106,3)</f>
        <v>Ile-de-France</v>
      </c>
      <c r="B166" s="38" t="str">
        <f>VLOOKUP(Tableau1[[#This Row],[N° Département]],Feuil1!$C$6:$E$106,2)</f>
        <v>Seine-et-Marne</v>
      </c>
      <c r="C166" s="38">
        <f>LEFT(Tableau1[[#This Row],[Code Postal]],2)*1</f>
        <v>77</v>
      </c>
      <c r="D166" s="10" t="s">
        <v>1053</v>
      </c>
      <c r="E166" s="26">
        <v>77140</v>
      </c>
      <c r="F166" s="10" t="s">
        <v>1018</v>
      </c>
      <c r="G166" s="39" t="str">
        <f>Tableau1[[#This Row],[Rue]]&amp;CHAR(10)&amp;Tableau1[[#This Row],[Code Postal]]&amp;" - "&amp;Tableau1[[#This Row],[Ville]]</f>
        <v>31 Rue de Montargis
77140 - Nemours</v>
      </c>
      <c r="H166" s="15" t="s">
        <v>1028</v>
      </c>
      <c r="I166" s="12" t="s">
        <v>37</v>
      </c>
      <c r="J166" s="12" t="s">
        <v>38</v>
      </c>
      <c r="K166" s="10" t="s">
        <v>87</v>
      </c>
      <c r="L166" s="10" t="s">
        <v>1298</v>
      </c>
      <c r="M166" s="12" t="s">
        <v>87</v>
      </c>
      <c r="N166" s="36"/>
      <c r="O166" s="34">
        <v>760</v>
      </c>
      <c r="P166" s="6" t="s">
        <v>1138</v>
      </c>
      <c r="Q166" s="34" t="s">
        <v>87</v>
      </c>
      <c r="R166" s="34" t="s">
        <v>87</v>
      </c>
      <c r="S166" s="6" t="s">
        <v>87</v>
      </c>
      <c r="T166" s="12">
        <f>Tableau1[[#This Row],[Loyer €/m²]]*Tableau1[[#This Row],[Surface GLA]]</f>
        <v>76000</v>
      </c>
      <c r="U166" s="12">
        <f>IFERROR(Tableau1[[#This Row],[Loyer annuel]]/12,"")</f>
        <v>6333.333333333333</v>
      </c>
      <c r="V166" s="12">
        <v>100</v>
      </c>
      <c r="W166" s="6" t="s">
        <v>87</v>
      </c>
      <c r="X166" s="6">
        <f>Tableau1[[#This Row],[Charges €/m²]]*Tableau1[[#This Row],[Surface GLA]]</f>
        <v>3800</v>
      </c>
      <c r="Y166" s="12">
        <f>Tableau1[[#This Row],[Charges annuelles]]/12</f>
        <v>316.66666666666669</v>
      </c>
      <c r="Z166" s="12">
        <v>5</v>
      </c>
      <c r="AA166" s="12">
        <f>IFERROR(Tableau1[[#This Row],[Taxe foncière €/m²]]*Tableau1[[#This Row],[Surface GLA]],)</f>
        <v>17480</v>
      </c>
      <c r="AB166" s="12">
        <v>23</v>
      </c>
      <c r="AC166" s="12">
        <f>IFERROR(Tableau1[[#This Row],[Marketing €/m²]]*Tableau1[[#This Row],[Surface GLA]],)</f>
        <v>0</v>
      </c>
      <c r="AD166" s="6" t="s">
        <v>87</v>
      </c>
      <c r="AE166" s="12">
        <f>IFERROR(Tableau1[[#This Row],[Loyer annuel]]+Tableau1[[#This Row],[Charges annuelles]]+Tableau1[[#This Row],[Taxe foncière]]+Tableau1[[#This Row],[Marketing]],"")</f>
        <v>97280</v>
      </c>
      <c r="AF166" s="12" t="str">
        <f t="shared" si="8"/>
        <v>3 mois = 19 000 €</v>
      </c>
      <c r="AG166" s="6" t="s">
        <v>87</v>
      </c>
      <c r="AH166" s="46">
        <v>0.05</v>
      </c>
      <c r="AI166" s="12" t="s">
        <v>346</v>
      </c>
      <c r="AJ166" s="10" t="s">
        <v>358</v>
      </c>
      <c r="AK166" s="10" t="s">
        <v>352</v>
      </c>
      <c r="AL166" s="10" t="s">
        <v>1084</v>
      </c>
      <c r="AM166" s="11" t="s">
        <v>1139</v>
      </c>
      <c r="AN166" s="11" t="s">
        <v>1294</v>
      </c>
      <c r="AO166" s="5" t="s">
        <v>350</v>
      </c>
      <c r="AP166" s="11" t="s">
        <v>1082</v>
      </c>
      <c r="AQ166" s="11" t="s">
        <v>1083</v>
      </c>
      <c r="AR166" s="11">
        <v>44</v>
      </c>
      <c r="AS166" s="36" t="s">
        <v>1154</v>
      </c>
      <c r="AT166" s="11" t="s">
        <v>59</v>
      </c>
      <c r="AU166" s="11"/>
      <c r="AV166" s="13" t="s">
        <v>1062</v>
      </c>
      <c r="AW166" s="14"/>
      <c r="AX166" s="44">
        <v>46003</v>
      </c>
      <c r="AZ166" s="1"/>
      <c r="BF166"/>
      <c r="BG166" s="1"/>
    </row>
    <row r="167" spans="1:59" ht="25.5">
      <c r="A167" s="38" t="str">
        <f>VLOOKUP(Tableau1[[#This Row],[N° Département]],Feuil1!$C$6:$E$106,3)</f>
        <v>Provence-Alpes-Côte d'Azur</v>
      </c>
      <c r="B167" s="38" t="str">
        <f>VLOOKUP(Tableau1[[#This Row],[N° Département]],Feuil1!$C$6:$E$106,2)</f>
        <v>Var</v>
      </c>
      <c r="C167" s="38">
        <f>LEFT(Tableau1[[#This Row],[Code Postal]],2)*1</f>
        <v>83</v>
      </c>
      <c r="D167" s="10" t="s">
        <v>1035</v>
      </c>
      <c r="E167" s="26">
        <v>83160</v>
      </c>
      <c r="F167" s="10" t="s">
        <v>1034</v>
      </c>
      <c r="G167" s="39" t="str">
        <f>Tableau1[[#This Row],[Rue]]&amp;CHAR(10)&amp;Tableau1[[#This Row],[Code Postal]]&amp;" - "&amp;Tableau1[[#This Row],[Ville]]</f>
        <v>23 Avenue des Frères Lumière
83160 - La Valette-du-Var</v>
      </c>
      <c r="H167" s="15" t="s">
        <v>1029</v>
      </c>
      <c r="I167" s="12" t="s">
        <v>35</v>
      </c>
      <c r="J167" s="12" t="s">
        <v>40</v>
      </c>
      <c r="K167" s="10" t="s">
        <v>87</v>
      </c>
      <c r="L167" s="10" t="s">
        <v>1331</v>
      </c>
      <c r="M167" s="12"/>
      <c r="N167" s="36"/>
      <c r="O167" s="34">
        <v>276</v>
      </c>
      <c r="P167" s="6" t="s">
        <v>1140</v>
      </c>
      <c r="Q167" s="34" t="s">
        <v>87</v>
      </c>
      <c r="R167" s="34" t="s">
        <v>87</v>
      </c>
      <c r="S167" s="6" t="s">
        <v>87</v>
      </c>
      <c r="T167" s="12">
        <f>Tableau1[[#This Row],[Loyer €/m²]]*Tableau1[[#This Row],[Surface GLA]]</f>
        <v>120060</v>
      </c>
      <c r="U167" s="12">
        <f>IFERROR(Tableau1[[#This Row],[Loyer annuel]]/12,"")</f>
        <v>10005</v>
      </c>
      <c r="V167" s="12">
        <v>435</v>
      </c>
      <c r="W167" s="6" t="s">
        <v>87</v>
      </c>
      <c r="X167" s="6">
        <f>Tableau1[[#This Row],[Charges €/m²]]*Tableau1[[#This Row],[Surface GLA]]</f>
        <v>2760</v>
      </c>
      <c r="Y167" s="12">
        <f>Tableau1[[#This Row],[Charges annuelles]]/12</f>
        <v>230</v>
      </c>
      <c r="Z167" s="12">
        <v>10</v>
      </c>
      <c r="AA167" s="12">
        <f>IFERROR(Tableau1[[#This Row],[Taxe foncière €/m²]]*Tableau1[[#This Row],[Surface GLA]],)</f>
        <v>6348</v>
      </c>
      <c r="AB167" s="12">
        <v>23</v>
      </c>
      <c r="AC167" s="12">
        <f>IFERROR(Tableau1[[#This Row],[Marketing €/m²]]*Tableau1[[#This Row],[Surface GLA]],)</f>
        <v>0</v>
      </c>
      <c r="AD167" s="6" t="s">
        <v>87</v>
      </c>
      <c r="AE167" s="12">
        <f>IFERROR(Tableau1[[#This Row],[Loyer annuel]]+Tableau1[[#This Row],[Charges annuelles]]+Tableau1[[#This Row],[Taxe foncière]]+Tableau1[[#This Row],[Marketing]],"")</f>
        <v>129168</v>
      </c>
      <c r="AF167" s="12" t="str">
        <f t="shared" si="8"/>
        <v>3 mois = 30 015 €</v>
      </c>
      <c r="AG167" s="12" t="str">
        <f t="shared" ref="AG167:AG173" si="9">"6 mois = "&amp;TEXT(ROUND(6/12*T167,0),"### ### ##0 €")</f>
        <v>6 mois = 60 030 €</v>
      </c>
      <c r="AH167" s="46">
        <v>0.05</v>
      </c>
      <c r="AI167" s="12" t="s">
        <v>346</v>
      </c>
      <c r="AJ167" s="10" t="s">
        <v>59</v>
      </c>
      <c r="AK167" s="10" t="s">
        <v>352</v>
      </c>
      <c r="AL167" s="10" t="s">
        <v>1087</v>
      </c>
      <c r="AM167" s="11" t="s">
        <v>1330</v>
      </c>
      <c r="AN167" s="11" t="s">
        <v>1294</v>
      </c>
      <c r="AO167" s="5" t="s">
        <v>350</v>
      </c>
      <c r="AP167" s="11" t="s">
        <v>1085</v>
      </c>
      <c r="AQ167" s="11" t="s">
        <v>1086</v>
      </c>
      <c r="AR167" s="11" t="s">
        <v>1058</v>
      </c>
      <c r="AS167" s="36" t="s">
        <v>1155</v>
      </c>
      <c r="AT167" s="11" t="s">
        <v>59</v>
      </c>
      <c r="AU167" s="11"/>
      <c r="AV167" s="13" t="s">
        <v>1062</v>
      </c>
      <c r="AW167" s="14"/>
      <c r="AX167" s="44">
        <v>46003</v>
      </c>
      <c r="AZ167" s="1"/>
      <c r="BF167"/>
      <c r="BG167" s="1"/>
    </row>
    <row r="168" spans="1:59" ht="25.5">
      <c r="A168" s="38" t="str">
        <f>VLOOKUP(Tableau1[[#This Row],[N° Département]],Feuil1!$C$6:$E$106,3)</f>
        <v>Provence-Alpes-Côte d'Azur</v>
      </c>
      <c r="B168" s="38" t="str">
        <f>VLOOKUP(Tableau1[[#This Row],[N° Département]],Feuil1!$C$6:$E$106,2)</f>
        <v>Var</v>
      </c>
      <c r="C168" s="38">
        <f>LEFT(Tableau1[[#This Row],[Code Postal]],2)*1</f>
        <v>83</v>
      </c>
      <c r="D168" s="10" t="s">
        <v>1141</v>
      </c>
      <c r="E168" s="26">
        <v>83160</v>
      </c>
      <c r="F168" s="10" t="s">
        <v>1034</v>
      </c>
      <c r="G168" s="39" t="str">
        <f>Tableau1[[#This Row],[Rue]]&amp;CHAR(10)&amp;Tableau1[[#This Row],[Code Postal]]&amp;" - "&amp;Tableau1[[#This Row],[Ville]]</f>
        <v>83 Avenue de l'Université
83160 - La Valette-du-Var</v>
      </c>
      <c r="H168" s="15" t="s">
        <v>1030</v>
      </c>
      <c r="I168" s="12" t="s">
        <v>35</v>
      </c>
      <c r="J168" s="12" t="s">
        <v>40</v>
      </c>
      <c r="K168" s="10" t="s">
        <v>87</v>
      </c>
      <c r="L168" s="10" t="s">
        <v>1298</v>
      </c>
      <c r="M168" s="12">
        <v>60000</v>
      </c>
      <c r="N168" s="36"/>
      <c r="O168" s="34">
        <v>470</v>
      </c>
      <c r="P168" s="6" t="s">
        <v>87</v>
      </c>
      <c r="Q168" s="34" t="s">
        <v>87</v>
      </c>
      <c r="R168" s="34" t="s">
        <v>87</v>
      </c>
      <c r="S168" s="6" t="s">
        <v>87</v>
      </c>
      <c r="T168" s="12">
        <f>Tableau1[[#This Row],[Loyer €/m²]]*Tableau1[[#This Row],[Surface GLA]]</f>
        <v>140060</v>
      </c>
      <c r="U168" s="12">
        <f>IFERROR(Tableau1[[#This Row],[Loyer annuel]]/12,"")</f>
        <v>11671.666666666666</v>
      </c>
      <c r="V168" s="12">
        <v>298</v>
      </c>
      <c r="W168" s="46">
        <v>0.08</v>
      </c>
      <c r="X168" s="6">
        <f>Tableau1[[#This Row],[Charges €/m²]]*Tableau1[[#This Row],[Surface GLA]]</f>
        <v>2350</v>
      </c>
      <c r="Y168" s="12">
        <f>Tableau1[[#This Row],[Charges annuelles]]/12</f>
        <v>195.83333333333334</v>
      </c>
      <c r="Z168" s="12">
        <v>5</v>
      </c>
      <c r="AA168" s="12">
        <f>IFERROR(Tableau1[[#This Row],[Taxe foncière €/m²]]*Tableau1[[#This Row],[Surface GLA]],)</f>
        <v>16450</v>
      </c>
      <c r="AB168" s="12">
        <v>35</v>
      </c>
      <c r="AC168" s="12">
        <f>IFERROR(Tableau1[[#This Row],[Marketing €/m²]]*Tableau1[[#This Row],[Surface GLA]],)</f>
        <v>0</v>
      </c>
      <c r="AD168" s="6" t="s">
        <v>87</v>
      </c>
      <c r="AE168" s="12">
        <f>IFERROR(Tableau1[[#This Row],[Loyer annuel]]+Tableau1[[#This Row],[Charges annuelles]]+Tableau1[[#This Row],[Taxe foncière]]+Tableau1[[#This Row],[Marketing]],"")</f>
        <v>158860</v>
      </c>
      <c r="AF168" s="12" t="str">
        <f t="shared" si="8"/>
        <v>3 mois = 35 015 €</v>
      </c>
      <c r="AG168" s="12" t="str">
        <f t="shared" si="9"/>
        <v>6 mois = 70 030 €</v>
      </c>
      <c r="AH168" s="46">
        <v>0.05</v>
      </c>
      <c r="AI168" s="12" t="s">
        <v>346</v>
      </c>
      <c r="AJ168" s="10" t="s">
        <v>358</v>
      </c>
      <c r="AK168" s="10" t="s">
        <v>352</v>
      </c>
      <c r="AL168" s="10" t="s">
        <v>1088</v>
      </c>
      <c r="AM168" s="11" t="s">
        <v>1332</v>
      </c>
      <c r="AN168" s="11" t="s">
        <v>1294</v>
      </c>
      <c r="AO168" s="5" t="s">
        <v>350</v>
      </c>
      <c r="AP168" s="11" t="s">
        <v>1089</v>
      </c>
      <c r="AQ168" s="11" t="s">
        <v>1090</v>
      </c>
      <c r="AR168" s="11" t="s">
        <v>1057</v>
      </c>
      <c r="AS168" s="36" t="s">
        <v>1156</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Vaucluse</v>
      </c>
      <c r="C169" s="38">
        <f>LEFT(Tableau1[[#This Row],[Code Postal]],2)*1</f>
        <v>84</v>
      </c>
      <c r="D169" s="10" t="s">
        <v>1036</v>
      </c>
      <c r="E169" s="26">
        <v>84140</v>
      </c>
      <c r="F169" s="10" t="s">
        <v>1019</v>
      </c>
      <c r="G169" s="39" t="str">
        <f>Tableau1[[#This Row],[Rue]]&amp;CHAR(10)&amp;Tableau1[[#This Row],[Code Postal]]&amp;" - "&amp;Tableau1[[#This Row],[Ville]]</f>
        <v>330 Avenue Marcou Delanglade
84140 - Avignon</v>
      </c>
      <c r="H169" s="15" t="s">
        <v>1094</v>
      </c>
      <c r="I169" s="12" t="s">
        <v>37</v>
      </c>
      <c r="J169" s="12" t="s">
        <v>38</v>
      </c>
      <c r="K169" s="10" t="s">
        <v>87</v>
      </c>
      <c r="L169" s="10" t="s">
        <v>1298</v>
      </c>
      <c r="M169" s="12" t="s">
        <v>87</v>
      </c>
      <c r="N169" s="36"/>
      <c r="O169" s="34">
        <v>616</v>
      </c>
      <c r="P169" s="6" t="s">
        <v>1142</v>
      </c>
      <c r="Q169" s="34" t="s">
        <v>87</v>
      </c>
      <c r="R169" s="34" t="s">
        <v>87</v>
      </c>
      <c r="S169" s="6" t="s">
        <v>87</v>
      </c>
      <c r="T169" s="12">
        <f>Tableau1[[#This Row],[Loyer €/m²]]*Tableau1[[#This Row],[Surface GLA]]</f>
        <v>89320</v>
      </c>
      <c r="U169" s="12">
        <f>IFERROR(Tableau1[[#This Row],[Loyer annuel]]/12,"")</f>
        <v>7443.333333333333</v>
      </c>
      <c r="V169" s="12">
        <v>145</v>
      </c>
      <c r="W169" s="6" t="s">
        <v>87</v>
      </c>
      <c r="X169" s="6">
        <f>Tableau1[[#This Row],[Charges €/m²]]*Tableau1[[#This Row],[Surface GLA]]</f>
        <v>11088</v>
      </c>
      <c r="Y169" s="12">
        <f>Tableau1[[#This Row],[Charges annuelles]]/12</f>
        <v>924</v>
      </c>
      <c r="Z169" s="12">
        <v>18</v>
      </c>
      <c r="AA169" s="12">
        <f>IFERROR(Tableau1[[#This Row],[Taxe foncière €/m²]]*Tableau1[[#This Row],[Surface GLA]],)</f>
        <v>8624</v>
      </c>
      <c r="AB169" s="12">
        <v>14</v>
      </c>
      <c r="AC169" s="12">
        <f>IFERROR(Tableau1[[#This Row],[Marketing €/m²]]*Tableau1[[#This Row],[Surface GLA]],)</f>
        <v>0</v>
      </c>
      <c r="AD169" s="6" t="s">
        <v>87</v>
      </c>
      <c r="AE169" s="12">
        <f>IFERROR(Tableau1[[#This Row],[Loyer annuel]]+Tableau1[[#This Row],[Charges annuelles]]+Tableau1[[#This Row],[Taxe foncière]]+Tableau1[[#This Row],[Marketing]],"")</f>
        <v>109032</v>
      </c>
      <c r="AF169" s="12" t="str">
        <f t="shared" si="8"/>
        <v>3 mois = 22 330 €</v>
      </c>
      <c r="AG169" s="12" t="str">
        <f t="shared" si="9"/>
        <v>6 mois = 44 660 €</v>
      </c>
      <c r="AH169" s="46">
        <v>0.05</v>
      </c>
      <c r="AI169" s="12" t="s">
        <v>346</v>
      </c>
      <c r="AJ169" s="10" t="s">
        <v>59</v>
      </c>
      <c r="AK169" s="10" t="s">
        <v>352</v>
      </c>
      <c r="AL169" s="10" t="s">
        <v>1093</v>
      </c>
      <c r="AM169" s="11" t="s">
        <v>2428</v>
      </c>
      <c r="AN169" s="11" t="s">
        <v>1294</v>
      </c>
      <c r="AO169" s="5" t="s">
        <v>350</v>
      </c>
      <c r="AP169" s="11" t="s">
        <v>1091</v>
      </c>
      <c r="AQ169" s="11" t="s">
        <v>1092</v>
      </c>
      <c r="AR169" s="11">
        <v>46</v>
      </c>
      <c r="AS169" s="45" t="s">
        <v>1157</v>
      </c>
      <c r="AT169" s="11" t="s">
        <v>59</v>
      </c>
      <c r="AU169" s="11"/>
      <c r="AV169" s="13" t="s">
        <v>1062</v>
      </c>
      <c r="AW169" s="14"/>
      <c r="AX169" s="44">
        <v>46003</v>
      </c>
      <c r="AZ169" s="1"/>
      <c r="BF169"/>
      <c r="BG169" s="1"/>
    </row>
    <row r="170" spans="1:59" ht="25.5">
      <c r="A170" s="38" t="str">
        <f>VLOOKUP(Tableau1[[#This Row],[N° Département]],Feuil1!$C$6:$E$106,3)</f>
        <v>Ile-de-France</v>
      </c>
      <c r="B170" s="38" t="str">
        <f>VLOOKUP(Tableau1[[#This Row],[N° Département]],Feuil1!$C$6:$E$106,2)</f>
        <v>Val-de-Marne</v>
      </c>
      <c r="C170" s="38">
        <f>LEFT(Tableau1[[#This Row],[Code Postal]],2)*1</f>
        <v>94</v>
      </c>
      <c r="D170" s="10" t="s">
        <v>1039</v>
      </c>
      <c r="E170" s="26">
        <v>94500</v>
      </c>
      <c r="F170" s="10" t="s">
        <v>1038</v>
      </c>
      <c r="G170" s="39" t="str">
        <f>Tableau1[[#This Row],[Rue]]&amp;CHAR(10)&amp;Tableau1[[#This Row],[Code Postal]]&amp;" - "&amp;Tableau1[[#This Row],[Ville]]</f>
        <v>14 Rue Serpente
94500 - Champigny-sur-Marne</v>
      </c>
      <c r="H170" s="15" t="s">
        <v>1033</v>
      </c>
      <c r="I170" s="12" t="s">
        <v>35</v>
      </c>
      <c r="J170" s="12" t="s">
        <v>38</v>
      </c>
      <c r="K170" s="10" t="s">
        <v>87</v>
      </c>
      <c r="L170" s="10" t="s">
        <v>1298</v>
      </c>
      <c r="M170" s="12" t="s">
        <v>87</v>
      </c>
      <c r="N170" s="36"/>
      <c r="O170" s="34">
        <v>875</v>
      </c>
      <c r="P170" s="6" t="s">
        <v>87</v>
      </c>
      <c r="Q170" s="34">
        <v>1598</v>
      </c>
      <c r="R170" s="34" t="s">
        <v>87</v>
      </c>
      <c r="S170" s="6" t="s">
        <v>87</v>
      </c>
      <c r="T170" s="12">
        <f>Tableau1[[#This Row],[Loyer €/m²]]*Tableau1[[#This Row],[Surface GLA]]</f>
        <v>160125</v>
      </c>
      <c r="U170" s="12">
        <f>IFERROR(Tableau1[[#This Row],[Loyer annuel]]/12,"")</f>
        <v>13343.75</v>
      </c>
      <c r="V170" s="12">
        <v>183</v>
      </c>
      <c r="W170" s="6" t="s">
        <v>87</v>
      </c>
      <c r="X170" s="6">
        <f>Tableau1[[#This Row],[Charges €/m²]]*Tableau1[[#This Row],[Surface GLA]]</f>
        <v>5250</v>
      </c>
      <c r="Y170" s="12">
        <f>Tableau1[[#This Row],[Charges annuelles]]/12</f>
        <v>437.5</v>
      </c>
      <c r="Z170" s="12">
        <v>6</v>
      </c>
      <c r="AA170" s="12">
        <f>IFERROR(Tableau1[[#This Row],[Taxe foncière €/m²]]*Tableau1[[#This Row],[Surface GLA]],)</f>
        <v>11375</v>
      </c>
      <c r="AB170" s="12">
        <v>13</v>
      </c>
      <c r="AC170" s="12">
        <f>IFERROR(Tableau1[[#This Row],[Marketing €/m²]]*Tableau1[[#This Row],[Surface GLA]],)</f>
        <v>0</v>
      </c>
      <c r="AD170" s="6" t="s">
        <v>87</v>
      </c>
      <c r="AE170" s="12">
        <f>IFERROR(Tableau1[[#This Row],[Loyer annuel]]+Tableau1[[#This Row],[Charges annuelles]]+Tableau1[[#This Row],[Taxe foncière]]+Tableau1[[#This Row],[Marketing]],"")</f>
        <v>176750</v>
      </c>
      <c r="AF170" s="12" t="str">
        <f t="shared" si="8"/>
        <v>3 mois = 40 031 €</v>
      </c>
      <c r="AG170" s="12" t="str">
        <f t="shared" si="9"/>
        <v>6 mois = 80 063 €</v>
      </c>
      <c r="AH170" s="46">
        <v>0.05</v>
      </c>
      <c r="AI170" s="12" t="s">
        <v>346</v>
      </c>
      <c r="AJ170" s="10" t="s">
        <v>358</v>
      </c>
      <c r="AK170" s="10" t="s">
        <v>352</v>
      </c>
      <c r="AL170" s="10" t="s">
        <v>1099</v>
      </c>
      <c r="AM170" s="11" t="s">
        <v>1333</v>
      </c>
      <c r="AN170" s="11" t="s">
        <v>1294</v>
      </c>
      <c r="AO170" s="5" t="s">
        <v>350</v>
      </c>
      <c r="AP170" s="11" t="s">
        <v>1095</v>
      </c>
      <c r="AQ170" s="11" t="s">
        <v>1096</v>
      </c>
      <c r="AR170" s="11" t="s">
        <v>1059</v>
      </c>
      <c r="AS170" s="45" t="s">
        <v>1158</v>
      </c>
      <c r="AT170" s="11" t="s">
        <v>59</v>
      </c>
      <c r="AU170" s="11"/>
      <c r="AV170" s="13" t="s">
        <v>1062</v>
      </c>
      <c r="AW170" s="14"/>
      <c r="AX170" s="44">
        <v>46003</v>
      </c>
      <c r="AZ170" s="1"/>
      <c r="BF170"/>
      <c r="BG170" s="1"/>
    </row>
    <row r="171" spans="1:59" ht="25.5">
      <c r="A171" s="38" t="str">
        <f>VLOOKUP(Tableau1[[#This Row],[N° Département]],Feuil1!$C$6:$E$106,3)</f>
        <v>Ile-de-France</v>
      </c>
      <c r="B171" s="38" t="str">
        <f>VLOOKUP(Tableau1[[#This Row],[N° Département]],Feuil1!$C$6:$E$106,2)</f>
        <v>Val-de-Marne</v>
      </c>
      <c r="C171" s="38">
        <f>LEFT(Tableau1[[#This Row],[Code Postal]],2)*1</f>
        <v>94</v>
      </c>
      <c r="D171" s="10" t="s">
        <v>1037</v>
      </c>
      <c r="E171" s="26">
        <v>94500</v>
      </c>
      <c r="F171" s="10" t="s">
        <v>1038</v>
      </c>
      <c r="G171" s="39" t="str">
        <f>Tableau1[[#This Row],[Rue]]&amp;CHAR(10)&amp;Tableau1[[#This Row],[Code Postal]]&amp;" - "&amp;Tableau1[[#This Row],[Ville]]</f>
        <v>13 Rue Serpente
94500 - Champigny-sur-Marne</v>
      </c>
      <c r="H171" s="15" t="s">
        <v>1031</v>
      </c>
      <c r="I171" s="12" t="s">
        <v>35</v>
      </c>
      <c r="J171" s="12" t="s">
        <v>38</v>
      </c>
      <c r="K171" s="10" t="s">
        <v>87</v>
      </c>
      <c r="L171" s="10" t="s">
        <v>1298</v>
      </c>
      <c r="M171" s="12" t="s">
        <v>87</v>
      </c>
      <c r="N171" s="36"/>
      <c r="O171" s="34">
        <v>387</v>
      </c>
      <c r="P171" s="6" t="s">
        <v>87</v>
      </c>
      <c r="Q171" s="34" t="s">
        <v>87</v>
      </c>
      <c r="R171" s="34" t="s">
        <v>87</v>
      </c>
      <c r="S171" s="6" t="s">
        <v>87</v>
      </c>
      <c r="T171" s="12">
        <f>Tableau1[[#This Row],[Loyer €/m²]]*Tableau1[[#This Row],[Surface GLA]]</f>
        <v>69660</v>
      </c>
      <c r="U171" s="12">
        <f>IFERROR(Tableau1[[#This Row],[Loyer annuel]]/12,"")</f>
        <v>5805</v>
      </c>
      <c r="V171" s="12">
        <v>180</v>
      </c>
      <c r="W171" s="6" t="s">
        <v>87</v>
      </c>
      <c r="X171" s="6">
        <f>Tableau1[[#This Row],[Charges €/m²]]*Tableau1[[#This Row],[Surface GLA]]</f>
        <v>2322</v>
      </c>
      <c r="Y171" s="12">
        <f>Tableau1[[#This Row],[Charges annuelles]]/12</f>
        <v>193.5</v>
      </c>
      <c r="Z171" s="12">
        <v>6</v>
      </c>
      <c r="AA171" s="12">
        <f>IFERROR(Tableau1[[#This Row],[Taxe foncière €/m²]]*Tableau1[[#This Row],[Surface GLA]],)</f>
        <v>5418</v>
      </c>
      <c r="AB171" s="12">
        <v>14</v>
      </c>
      <c r="AC171" s="12">
        <f>IFERROR(Tableau1[[#This Row],[Marketing €/m²]]*Tableau1[[#This Row],[Surface GLA]],)</f>
        <v>0</v>
      </c>
      <c r="AD171" s="6" t="s">
        <v>87</v>
      </c>
      <c r="AE171" s="12">
        <f>IFERROR(Tableau1[[#This Row],[Loyer annuel]]+Tableau1[[#This Row],[Charges annuelles]]+Tableau1[[#This Row],[Taxe foncière]]+Tableau1[[#This Row],[Marketing]],"")</f>
        <v>77400</v>
      </c>
      <c r="AF171" s="12" t="str">
        <f t="shared" si="8"/>
        <v>3 mois = 17 415 €</v>
      </c>
      <c r="AG171" s="12" t="str">
        <f t="shared" si="9"/>
        <v>6 mois = 34 830 €</v>
      </c>
      <c r="AH171" s="46">
        <v>0.05</v>
      </c>
      <c r="AI171" s="12" t="s">
        <v>346</v>
      </c>
      <c r="AJ171" s="10" t="s">
        <v>358</v>
      </c>
      <c r="AK171" s="10" t="s">
        <v>352</v>
      </c>
      <c r="AL171" s="10" t="s">
        <v>1099</v>
      </c>
      <c r="AM171" s="11" t="s">
        <v>1333</v>
      </c>
      <c r="AN171" s="11" t="s">
        <v>1294</v>
      </c>
      <c r="AO171" s="5" t="s">
        <v>350</v>
      </c>
      <c r="AP171" s="11" t="s">
        <v>1143</v>
      </c>
      <c r="AQ171" s="11" t="s">
        <v>1144</v>
      </c>
      <c r="AR171" s="11" t="s">
        <v>1060</v>
      </c>
      <c r="AS171" s="36" t="s">
        <v>1159</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1032</v>
      </c>
      <c r="I172" s="12" t="s">
        <v>35</v>
      </c>
      <c r="J172" s="12" t="s">
        <v>38</v>
      </c>
      <c r="K172" s="10" t="s">
        <v>87</v>
      </c>
      <c r="L172" s="10" t="s">
        <v>1298</v>
      </c>
      <c r="M172" s="12" t="s">
        <v>87</v>
      </c>
      <c r="N172" s="36"/>
      <c r="O172" s="34">
        <v>723</v>
      </c>
      <c r="P172" s="6" t="s">
        <v>87</v>
      </c>
      <c r="Q172" s="34">
        <v>1598</v>
      </c>
      <c r="R172" s="34" t="s">
        <v>87</v>
      </c>
      <c r="S172" s="6" t="s">
        <v>87</v>
      </c>
      <c r="T172" s="12">
        <f>Tableau1[[#This Row],[Loyer €/m²]]*Tableau1[[#This Row],[Surface GLA]]</f>
        <v>130140</v>
      </c>
      <c r="U172" s="12">
        <f>IFERROR(Tableau1[[#This Row],[Loyer annuel]]/12,"")</f>
        <v>10845</v>
      </c>
      <c r="V172" s="12">
        <v>180</v>
      </c>
      <c r="W172" s="6" t="s">
        <v>87</v>
      </c>
      <c r="X172" s="6">
        <f>Tableau1[[#This Row],[Charges €/m²]]*Tableau1[[#This Row],[Surface GLA]]</f>
        <v>4338</v>
      </c>
      <c r="Y172" s="12">
        <f>Tableau1[[#This Row],[Charges annuelles]]/12</f>
        <v>361.5</v>
      </c>
      <c r="Z172" s="12">
        <v>6</v>
      </c>
      <c r="AA172" s="12">
        <f>IFERROR(Tableau1[[#This Row],[Taxe foncière €/m²]]*Tableau1[[#This Row],[Surface GLA]],)</f>
        <v>9399</v>
      </c>
      <c r="AB172" s="12">
        <v>13</v>
      </c>
      <c r="AC172" s="12">
        <f>IFERROR(Tableau1[[#This Row],[Marketing €/m²]]*Tableau1[[#This Row],[Surface GLA]],)</f>
        <v>0</v>
      </c>
      <c r="AD172" s="6" t="s">
        <v>87</v>
      </c>
      <c r="AE172" s="12">
        <f>IFERROR(Tableau1[[#This Row],[Loyer annuel]]+Tableau1[[#This Row],[Charges annuelles]]+Tableau1[[#This Row],[Taxe foncière]]+Tableau1[[#This Row],[Marketing]],"")</f>
        <v>143877</v>
      </c>
      <c r="AF172" s="12" t="str">
        <f t="shared" si="8"/>
        <v>3 mois = 32 535 €</v>
      </c>
      <c r="AG172" s="12" t="str">
        <f t="shared" si="9"/>
        <v>6 mois = 65 070 €</v>
      </c>
      <c r="AH172" s="46">
        <v>0.05</v>
      </c>
      <c r="AI172" s="12" t="s">
        <v>346</v>
      </c>
      <c r="AJ172" s="10" t="s">
        <v>358</v>
      </c>
      <c r="AK172" s="10" t="s">
        <v>352</v>
      </c>
      <c r="AL172" s="10" t="s">
        <v>1099</v>
      </c>
      <c r="AM172" s="11" t="s">
        <v>1333</v>
      </c>
      <c r="AN172" s="11" t="s">
        <v>1294</v>
      </c>
      <c r="AO172" s="5" t="s">
        <v>350</v>
      </c>
      <c r="AP172" s="11" t="s">
        <v>1097</v>
      </c>
      <c r="AQ172" s="11" t="s">
        <v>1098</v>
      </c>
      <c r="AR172" s="11" t="s">
        <v>1061</v>
      </c>
      <c r="AS172" s="36" t="s">
        <v>1160</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Val-D'Oise</v>
      </c>
      <c r="C173" s="38">
        <f>LEFT(Tableau1[[#This Row],[Code Postal]],2)*1</f>
        <v>95</v>
      </c>
      <c r="D173" s="10" t="s">
        <v>1041</v>
      </c>
      <c r="E173" s="26">
        <v>95220</v>
      </c>
      <c r="F173" s="10" t="s">
        <v>1040</v>
      </c>
      <c r="G173" s="39" t="str">
        <f>Tableau1[[#This Row],[Rue]]&amp;CHAR(10)&amp;Tableau1[[#This Row],[Code Postal]]&amp;" - "&amp;Tableau1[[#This Row],[Ville]]</f>
        <v>8 Avenue Paul Langevin
95220 - Herblay-sur-Seine</v>
      </c>
      <c r="H173" s="15" t="s">
        <v>1100</v>
      </c>
      <c r="I173" s="12" t="s">
        <v>37</v>
      </c>
      <c r="J173" s="12" t="s">
        <v>38</v>
      </c>
      <c r="K173" s="10" t="s">
        <v>87</v>
      </c>
      <c r="L173" s="10" t="s">
        <v>1298</v>
      </c>
      <c r="M173" s="12" t="s">
        <v>87</v>
      </c>
      <c r="N173" s="36"/>
      <c r="O173" s="34">
        <v>402</v>
      </c>
      <c r="P173" s="6" t="s">
        <v>87</v>
      </c>
      <c r="Q173" s="34" t="s">
        <v>87</v>
      </c>
      <c r="R173" s="34" t="s">
        <v>87</v>
      </c>
      <c r="S173" s="6" t="s">
        <v>87</v>
      </c>
      <c r="T173" s="12">
        <f>Tableau1[[#This Row],[Loyer €/m²]]*Tableau1[[#This Row],[Surface GLA]]</f>
        <v>150750</v>
      </c>
      <c r="U173" s="12">
        <f>IFERROR(Tableau1[[#This Row],[Loyer annuel]]/12,"")</f>
        <v>12562.5</v>
      </c>
      <c r="V173" s="12">
        <v>375</v>
      </c>
      <c r="W173" s="6" t="s">
        <v>87</v>
      </c>
      <c r="X173" s="6">
        <f>Tableau1[[#This Row],[Charges €/m²]]*Tableau1[[#This Row],[Surface GLA]]</f>
        <v>3618</v>
      </c>
      <c r="Y173" s="12">
        <f>Tableau1[[#This Row],[Charges annuelles]]/12</f>
        <v>301.5</v>
      </c>
      <c r="Z173" s="12">
        <v>9</v>
      </c>
      <c r="AA173" s="12">
        <f>IFERROR(Tableau1[[#This Row],[Taxe foncière €/m²]]*Tableau1[[#This Row],[Surface GLA]],)</f>
        <v>5226</v>
      </c>
      <c r="AB173" s="12">
        <v>13</v>
      </c>
      <c r="AC173" s="12">
        <f>IFERROR(Tableau1[[#This Row],[Marketing €/m²]]*Tableau1[[#This Row],[Surface GLA]],)</f>
        <v>0</v>
      </c>
      <c r="AD173" s="6" t="s">
        <v>87</v>
      </c>
      <c r="AE173" s="12">
        <f>IFERROR(Tableau1[[#This Row],[Loyer annuel]]+Tableau1[[#This Row],[Charges annuelles]]+Tableau1[[#This Row],[Taxe foncière]]+Tableau1[[#This Row],[Marketing]],"")</f>
        <v>159594</v>
      </c>
      <c r="AF173" s="12" t="str">
        <f t="shared" si="8"/>
        <v>3 mois = 37 688 €</v>
      </c>
      <c r="AG173" s="12" t="str">
        <f t="shared" si="9"/>
        <v>6 mois = 75 375 €</v>
      </c>
      <c r="AH173" s="46">
        <v>0.05</v>
      </c>
      <c r="AI173" s="12" t="s">
        <v>346</v>
      </c>
      <c r="AJ173" s="10" t="s">
        <v>358</v>
      </c>
      <c r="AK173" s="10" t="s">
        <v>352</v>
      </c>
      <c r="AL173" s="10" t="s">
        <v>1103</v>
      </c>
      <c r="AM173" s="11" t="s">
        <v>1334</v>
      </c>
      <c r="AN173" s="11" t="s">
        <v>1294</v>
      </c>
      <c r="AO173" s="5" t="s">
        <v>350</v>
      </c>
      <c r="AP173" s="11" t="s">
        <v>1101</v>
      </c>
      <c r="AQ173" s="11" t="s">
        <v>1102</v>
      </c>
      <c r="AR173" s="11">
        <v>48</v>
      </c>
      <c r="AS173" s="36" t="s">
        <v>1161</v>
      </c>
      <c r="AT173" s="11" t="s">
        <v>59</v>
      </c>
      <c r="AU173" s="11"/>
      <c r="AV173" s="13" t="s">
        <v>1062</v>
      </c>
      <c r="AW173" s="14"/>
      <c r="AX173" s="44">
        <v>46003</v>
      </c>
      <c r="AZ173" s="1"/>
      <c r="BF173"/>
      <c r="BG173" s="1"/>
    </row>
    <row r="174" spans="1:59" ht="38.25">
      <c r="A174" s="38" t="str">
        <f>VLOOKUP(Tableau1[[#This Row],[N° Département]],Feuil1!$C$6:$E$106,3)</f>
        <v>Provence-Alpes-Côte d'Azur</v>
      </c>
      <c r="B174" s="38" t="str">
        <f>VLOOKUP(Tableau1[[#This Row],[N° Département]],Feuil1!$C$6:$E$106,2)</f>
        <v>Alpes-Maritimes</v>
      </c>
      <c r="C174" s="38">
        <f>LEFT(Tableau1[[#This Row],[Code Postal]],2)*1</f>
        <v>6</v>
      </c>
      <c r="D174" s="11" t="s">
        <v>1108</v>
      </c>
      <c r="E174" s="48" t="s">
        <v>1264</v>
      </c>
      <c r="F174" s="10" t="s">
        <v>1107</v>
      </c>
      <c r="G174" s="47" t="str">
        <f>Tableau1[[#This Row],[Rue]]&amp;CHAR(10)&amp;Tableau1[[#This Row],[Code Postal]]&amp;" - "&amp;Tableau1[[#This Row],[Ville]]</f>
        <v>CAP 3000
217 Av. Eugène Donadeï
06 700 - Saint-Laurent-du-Var</v>
      </c>
      <c r="H174" s="15" t="s">
        <v>1109</v>
      </c>
      <c r="I174" s="12" t="s">
        <v>37</v>
      </c>
      <c r="J174" s="12" t="s">
        <v>39</v>
      </c>
      <c r="K174" s="10" t="s">
        <v>87</v>
      </c>
      <c r="L174" s="10"/>
      <c r="M174" s="12" t="s">
        <v>1110</v>
      </c>
      <c r="N174" s="36"/>
      <c r="O174" s="34">
        <v>126</v>
      </c>
      <c r="P174" s="6" t="s">
        <v>1145</v>
      </c>
      <c r="Q174" s="34" t="s">
        <v>87</v>
      </c>
      <c r="R174" s="34" t="s">
        <v>87</v>
      </c>
      <c r="S174" s="6" t="s">
        <v>87</v>
      </c>
      <c r="T174" s="12">
        <f>Tableau1[[#This Row],[Loyer €/m²]]*Tableau1[[#This Row],[Surface GLA]]</f>
        <v>139986</v>
      </c>
      <c r="U174" s="12">
        <f>IFERROR(Tableau1[[#This Row],[Loyer annuel]]/12,"")</f>
        <v>11665.5</v>
      </c>
      <c r="V174" s="12">
        <v>1111</v>
      </c>
      <c r="W174" s="6" t="s">
        <v>87</v>
      </c>
      <c r="X174" s="6">
        <f>Tableau1[[#This Row],[Charges €/m²]]*Tableau1[[#This Row],[Surface GLA]]</f>
        <v>20790</v>
      </c>
      <c r="Y174" s="12">
        <f>Tableau1[[#This Row],[Charges annuelles]]/12</f>
        <v>1732.5</v>
      </c>
      <c r="Z174" s="12">
        <v>165</v>
      </c>
      <c r="AA174" s="12">
        <f>IFERROR(Tableau1[[#This Row],[Taxe foncière €/m²]]*Tableau1[[#This Row],[Surface GLA]],)</f>
        <v>4536</v>
      </c>
      <c r="AB174" s="12">
        <v>36</v>
      </c>
      <c r="AC174" s="12">
        <f>IFERROR(Tableau1[[#This Row],[Marketing €/m²]]*Tableau1[[#This Row],[Surface GLA]],)</f>
        <v>0</v>
      </c>
      <c r="AD174" s="6" t="s">
        <v>87</v>
      </c>
      <c r="AE174" s="12">
        <f>IFERROR(Tableau1[[#This Row],[Loyer annuel]]+Tableau1[[#This Row],[Charges annuelles]]+Tableau1[[#This Row],[Taxe foncière]]+Tableau1[[#This Row],[Marketing]],"")</f>
        <v>165312</v>
      </c>
      <c r="AF174" s="12" t="str">
        <f t="shared" si="8"/>
        <v>3 mois = 34 997 €</v>
      </c>
      <c r="AG174" s="6" t="s">
        <v>87</v>
      </c>
      <c r="AH174" s="6" t="s">
        <v>87</v>
      </c>
      <c r="AI174" s="12" t="s">
        <v>346</v>
      </c>
      <c r="AJ174" s="10" t="s">
        <v>43</v>
      </c>
      <c r="AK174" s="10" t="s">
        <v>87</v>
      </c>
      <c r="AL174" s="10" t="s">
        <v>1112</v>
      </c>
      <c r="AM174" s="11" t="s">
        <v>1111</v>
      </c>
      <c r="AN174" s="11"/>
      <c r="AO174" s="5" t="s">
        <v>1116</v>
      </c>
      <c r="AP174" s="11" t="s">
        <v>1113</v>
      </c>
      <c r="AQ174" s="11" t="s">
        <v>1114</v>
      </c>
      <c r="AR174" s="11">
        <v>49</v>
      </c>
      <c r="AS174" s="36" t="s">
        <v>1162</v>
      </c>
      <c r="AT174" s="11" t="s">
        <v>59</v>
      </c>
      <c r="AU174" s="11"/>
      <c r="AV174" s="13" t="s">
        <v>1115</v>
      </c>
      <c r="AW174" s="14"/>
      <c r="AX174" s="44">
        <v>46010</v>
      </c>
      <c r="AZ174" s="1"/>
      <c r="BF174"/>
      <c r="BG174" s="1"/>
    </row>
    <row r="175" spans="1:59" ht="25.5">
      <c r="A175" s="38" t="str">
        <f>VLOOKUP(Tableau1[[#This Row],[N° Département]],Feuil1!$C$6:$E$106,3)</f>
        <v>Ile-de-France</v>
      </c>
      <c r="B175" s="38" t="str">
        <f>VLOOKUP(Tableau1[[#This Row],[N° Département]],Feuil1!$C$6:$E$106,2)</f>
        <v>Seine-et-Marne</v>
      </c>
      <c r="C175" s="38">
        <f>LEFT(Tableau1[[#This Row],[Code Postal]],2)*1</f>
        <v>77</v>
      </c>
      <c r="D175" s="10" t="s">
        <v>1193</v>
      </c>
      <c r="E175" s="26">
        <v>77000</v>
      </c>
      <c r="F175" s="10" t="s">
        <v>1194</v>
      </c>
      <c r="G175" s="39" t="str">
        <f>Tableau1[[#This Row],[Rue]]&amp;CHAR(10)&amp;Tableau1[[#This Row],[Code Postal]]&amp;" - "&amp;Tableau1[[#This Row],[Ville]]</f>
        <v>23 avenue Paul Doumer
77000 - Melun</v>
      </c>
      <c r="H175" s="15" t="s">
        <v>1195</v>
      </c>
      <c r="I175" s="12" t="s">
        <v>35</v>
      </c>
      <c r="J175" s="12" t="s">
        <v>34</v>
      </c>
      <c r="K175" s="10" t="s">
        <v>87</v>
      </c>
      <c r="L175" s="10"/>
      <c r="M175" s="12" t="s">
        <v>87</v>
      </c>
      <c r="N175" s="36"/>
      <c r="O175" s="34">
        <v>530</v>
      </c>
      <c r="P175" s="12" t="s">
        <v>1196</v>
      </c>
      <c r="Q175" s="34" t="s">
        <v>87</v>
      </c>
      <c r="R175" s="34" t="s">
        <v>87</v>
      </c>
      <c r="S175" s="6" t="s">
        <v>87</v>
      </c>
      <c r="T175" s="12">
        <f>Tableau1[[#This Row],[Loyer €/m²]]*Tableau1[[#This Row],[Surface GLA]]</f>
        <v>99640</v>
      </c>
      <c r="U175" s="12">
        <f>IFERROR(Tableau1[[#This Row],[Loyer annuel]]/12,"")</f>
        <v>8303.3333333333339</v>
      </c>
      <c r="V175" s="12">
        <v>188</v>
      </c>
      <c r="W175" s="6" t="s">
        <v>87</v>
      </c>
      <c r="X175" s="6">
        <f>Tableau1[[#This Row],[Charges €/m²]]*Tableau1[[#This Row],[Surface GLA]]</f>
        <v>0</v>
      </c>
      <c r="Y175" s="12">
        <f>Tableau1[[#This Row],[Charges annuelles]]/12</f>
        <v>0</v>
      </c>
      <c r="Z175" s="12"/>
      <c r="AA175" s="12">
        <f>IFERROR(Tableau1[[#This Row],[Taxe foncière €/m²]]*Tableau1[[#This Row],[Surface GLA]],)</f>
        <v>0</v>
      </c>
      <c r="AB175" s="12"/>
      <c r="AC175" s="12">
        <f>IFERROR(Tableau1[[#This Row],[Marketing €/m²]]*Tableau1[[#This Row],[Surface GLA]],)</f>
        <v>0</v>
      </c>
      <c r="AD175" s="6" t="s">
        <v>87</v>
      </c>
      <c r="AE175" s="12">
        <f>IFERROR(Tableau1[[#This Row],[Loyer annuel]]+Tableau1[[#This Row],[Charges annuelles]]+Tableau1[[#This Row],[Taxe foncière]]+Tableau1[[#This Row],[Marketing]],"")</f>
        <v>99640</v>
      </c>
      <c r="AF175" s="12" t="str">
        <f t="shared" si="8"/>
        <v>3 mois = 24 910 €</v>
      </c>
      <c r="AG175" s="6" t="s">
        <v>87</v>
      </c>
      <c r="AH175" s="6" t="s">
        <v>87</v>
      </c>
      <c r="AI175" s="12" t="s">
        <v>346</v>
      </c>
      <c r="AJ175" s="10" t="s">
        <v>358</v>
      </c>
      <c r="AK175" s="10" t="s">
        <v>352</v>
      </c>
      <c r="AL175" s="10" t="s">
        <v>1198</v>
      </c>
      <c r="AM175" s="11" t="s">
        <v>1197</v>
      </c>
      <c r="AN175" s="11"/>
      <c r="AO175" s="5" t="s">
        <v>350</v>
      </c>
      <c r="AP175" s="11" t="s">
        <v>1199</v>
      </c>
      <c r="AQ175" s="11" t="s">
        <v>1200</v>
      </c>
      <c r="AR175" s="11">
        <v>50</v>
      </c>
      <c r="AS175" s="36" t="s">
        <v>1283</v>
      </c>
      <c r="AT175" s="11" t="s">
        <v>59</v>
      </c>
      <c r="AU175" s="11"/>
      <c r="AV175" s="13" t="s">
        <v>1201</v>
      </c>
      <c r="AW175" s="14"/>
      <c r="AX175" s="44">
        <v>46042</v>
      </c>
      <c r="AZ175" s="1"/>
      <c r="BF175"/>
      <c r="BG175" s="1"/>
    </row>
    <row r="176" spans="1:59" ht="25.5">
      <c r="A176" s="38" t="str">
        <f>VLOOKUP(Tableau1[[#This Row],[N° Département]],Feuil1!$C$6:$E$106,3)</f>
        <v>Ile-de-France</v>
      </c>
      <c r="B176" s="38" t="str">
        <f>VLOOKUP(Tableau1[[#This Row],[N° Département]],Feuil1!$C$6:$E$106,2)</f>
        <v>Paris</v>
      </c>
      <c r="C176" s="38">
        <f>LEFT(Tableau1[[#This Row],[Code Postal]],2)*1</f>
        <v>75</v>
      </c>
      <c r="D176" s="10" t="s">
        <v>1202</v>
      </c>
      <c r="E176" s="26">
        <v>75016</v>
      </c>
      <c r="F176" s="10" t="s">
        <v>76</v>
      </c>
      <c r="G176" s="39" t="str">
        <f>Tableau1[[#This Row],[Rue]]&amp;CHAR(10)&amp;Tableau1[[#This Row],[Code Postal]]&amp;" - "&amp;Tableau1[[#This Row],[Ville]]</f>
        <v>1 boulevard Exelmans
75016 - Paris</v>
      </c>
      <c r="H176" s="15" t="s">
        <v>1203</v>
      </c>
      <c r="I176" s="12" t="s">
        <v>35</v>
      </c>
      <c r="J176" s="12" t="s">
        <v>34</v>
      </c>
      <c r="K176" s="10" t="s">
        <v>87</v>
      </c>
      <c r="L176" s="10"/>
      <c r="M176" s="12" t="s">
        <v>87</v>
      </c>
      <c r="N176" s="36"/>
      <c r="O176" s="34">
        <v>187</v>
      </c>
      <c r="P176" s="12" t="s">
        <v>1204</v>
      </c>
      <c r="Q176" s="34" t="s">
        <v>87</v>
      </c>
      <c r="R176" s="34" t="s">
        <v>87</v>
      </c>
      <c r="S176" s="6" t="s">
        <v>87</v>
      </c>
      <c r="T176" s="12">
        <f>Tableau1[[#This Row],[Loyer €/m²]]*Tableau1[[#This Row],[Surface GLA]]</f>
        <v>89947</v>
      </c>
      <c r="U176" s="12">
        <f>IFERROR(Tableau1[[#This Row],[Loyer annuel]]/12,"")</f>
        <v>7495.583333333333</v>
      </c>
      <c r="V176" s="12">
        <v>481</v>
      </c>
      <c r="W176" s="6" t="s">
        <v>87</v>
      </c>
      <c r="X176" s="6">
        <f>Tableau1[[#This Row],[Charges €/m²]]*Tableau1[[#This Row],[Surface GLA]]</f>
        <v>0</v>
      </c>
      <c r="Y176" s="12">
        <f>Tableau1[[#This Row],[Charges annuelles]]/12</f>
        <v>0</v>
      </c>
      <c r="Z176" s="12"/>
      <c r="AA176" s="12">
        <f>IFERROR(Tableau1[[#This Row],[Taxe foncière €/m²]]*Tableau1[[#This Row],[Surface GLA]],)</f>
        <v>0</v>
      </c>
      <c r="AB176" s="12"/>
      <c r="AC176" s="12">
        <f>IFERROR(Tableau1[[#This Row],[Marketing €/m²]]*Tableau1[[#This Row],[Surface GLA]],)</f>
        <v>0</v>
      </c>
      <c r="AD176" s="6" t="s">
        <v>87</v>
      </c>
      <c r="AE176" s="12">
        <f>IFERROR(Tableau1[[#This Row],[Loyer annuel]]+Tableau1[[#This Row],[Charges annuelles]]+Tableau1[[#This Row],[Taxe foncière]]+Tableau1[[#This Row],[Marketing]],"")</f>
        <v>89947</v>
      </c>
      <c r="AF176" s="12" t="str">
        <f t="shared" si="8"/>
        <v>3 mois = 22 487 €</v>
      </c>
      <c r="AG176" s="6" t="s">
        <v>87</v>
      </c>
      <c r="AH176" s="6" t="s">
        <v>87</v>
      </c>
      <c r="AI176" s="12" t="s">
        <v>346</v>
      </c>
      <c r="AJ176" s="10" t="s">
        <v>358</v>
      </c>
      <c r="AK176" s="10" t="s">
        <v>352</v>
      </c>
      <c r="AL176" s="10" t="s">
        <v>1207</v>
      </c>
      <c r="AM176" s="11" t="s">
        <v>1253</v>
      </c>
      <c r="AN176" s="11"/>
      <c r="AO176" s="5" t="s">
        <v>350</v>
      </c>
      <c r="AP176" s="11" t="s">
        <v>1205</v>
      </c>
      <c r="AQ176" s="11" t="s">
        <v>1206</v>
      </c>
      <c r="AR176" s="11">
        <v>51</v>
      </c>
      <c r="AS176" s="36" t="s">
        <v>1284</v>
      </c>
      <c r="AT176" s="11" t="s">
        <v>59</v>
      </c>
      <c r="AU176" s="11"/>
      <c r="AV176" s="13" t="s">
        <v>1201</v>
      </c>
      <c r="AW176" s="14"/>
      <c r="AX176" s="44">
        <v>46042</v>
      </c>
      <c r="AZ176" s="1"/>
      <c r="BF176"/>
      <c r="BG176" s="1"/>
    </row>
    <row r="177" spans="1:59" ht="25.5">
      <c r="A177" s="38" t="str">
        <f>VLOOKUP(Tableau1[[#This Row],[N° Département]],Feuil1!$C$6:$E$106,3)</f>
        <v>Ile-de-France</v>
      </c>
      <c r="B177" s="38" t="str">
        <f>VLOOKUP(Tableau1[[#This Row],[N° Département]],Feuil1!$C$6:$E$106,2)</f>
        <v>Paris</v>
      </c>
      <c r="C177" s="38">
        <f>LEFT(Tableau1[[#This Row],[Code Postal]],2)*1</f>
        <v>75</v>
      </c>
      <c r="D177" s="10" t="s">
        <v>1208</v>
      </c>
      <c r="E177" s="26">
        <v>75014</v>
      </c>
      <c r="F177" s="10" t="s">
        <v>76</v>
      </c>
      <c r="G177" s="39" t="str">
        <f>Tableau1[[#This Row],[Rue]]&amp;CHAR(10)&amp;Tableau1[[#This Row],[Code Postal]]&amp;" - "&amp;Tableau1[[#This Row],[Ville]]</f>
        <v>90 rue d'Alésia
75014 - Paris</v>
      </c>
      <c r="H177" s="15" t="s">
        <v>1209</v>
      </c>
      <c r="I177" s="12" t="s">
        <v>35</v>
      </c>
      <c r="J177" s="12" t="s">
        <v>34</v>
      </c>
      <c r="K177" s="10" t="s">
        <v>87</v>
      </c>
      <c r="L177" s="10"/>
      <c r="M177" s="12" t="s">
        <v>87</v>
      </c>
      <c r="N177" s="36"/>
      <c r="O177" s="34">
        <v>59</v>
      </c>
      <c r="P177" s="12" t="s">
        <v>1210</v>
      </c>
      <c r="Q177" s="34" t="s">
        <v>87</v>
      </c>
      <c r="R177" s="34" t="s">
        <v>87</v>
      </c>
      <c r="S177" s="6" t="s">
        <v>87</v>
      </c>
      <c r="T177" s="12">
        <f>Tableau1[[#This Row],[Loyer €/m²]]*Tableau1[[#This Row],[Surface GLA]]</f>
        <v>41949</v>
      </c>
      <c r="U177" s="12">
        <f>IFERROR(Tableau1[[#This Row],[Loyer annuel]]/12,"")</f>
        <v>3495.75</v>
      </c>
      <c r="V177" s="12">
        <v>711</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41949</v>
      </c>
      <c r="AF177" s="12" t="str">
        <f t="shared" si="8"/>
        <v>3 mois = 10 487 €</v>
      </c>
      <c r="AG177" s="6" t="s">
        <v>87</v>
      </c>
      <c r="AH177" s="6" t="s">
        <v>87</v>
      </c>
      <c r="AI177" s="12" t="s">
        <v>346</v>
      </c>
      <c r="AJ177" s="10" t="s">
        <v>43</v>
      </c>
      <c r="AK177" s="10" t="s">
        <v>351</v>
      </c>
      <c r="AL177" s="10" t="s">
        <v>1213</v>
      </c>
      <c r="AM177" s="11" t="s">
        <v>1254</v>
      </c>
      <c r="AN177" s="11"/>
      <c r="AO177" s="5" t="s">
        <v>350</v>
      </c>
      <c r="AP177" s="11" t="s">
        <v>1211</v>
      </c>
      <c r="AQ177" s="11" t="s">
        <v>1212</v>
      </c>
      <c r="AR177" s="11">
        <v>52</v>
      </c>
      <c r="AS177" s="36" t="s">
        <v>1285</v>
      </c>
      <c r="AT177" s="11" t="s">
        <v>59</v>
      </c>
      <c r="AU177" s="11"/>
      <c r="AV177" s="13" t="s">
        <v>1201</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1214</v>
      </c>
      <c r="E178" s="26">
        <v>75020</v>
      </c>
      <c r="F178" s="10" t="s">
        <v>76</v>
      </c>
      <c r="G178" s="39" t="str">
        <f>Tableau1[[#This Row],[Rue]]&amp;CHAR(10)&amp;Tableau1[[#This Row],[Code Postal]]&amp;" - "&amp;Tableau1[[#This Row],[Ville]]</f>
        <v>356 rue des Pyrénées
75020 - Paris</v>
      </c>
      <c r="H178" s="15" t="s">
        <v>1215</v>
      </c>
      <c r="I178" s="12" t="s">
        <v>35</v>
      </c>
      <c r="J178" s="12" t="s">
        <v>34</v>
      </c>
      <c r="K178" s="10" t="s">
        <v>87</v>
      </c>
      <c r="L178" s="10"/>
      <c r="M178" s="12" t="s">
        <v>87</v>
      </c>
      <c r="N178" s="36"/>
      <c r="O178" s="34">
        <v>39</v>
      </c>
      <c r="P178" s="34" t="s">
        <v>87</v>
      </c>
      <c r="Q178" s="34" t="s">
        <v>87</v>
      </c>
      <c r="R178" s="34" t="s">
        <v>87</v>
      </c>
      <c r="S178" s="34" t="s">
        <v>87</v>
      </c>
      <c r="T178" s="12">
        <f>Tableau1[[#This Row],[Loyer €/m²]]*Tableau1[[#This Row],[Surface GLA]]</f>
        <v>34983</v>
      </c>
      <c r="U178" s="12">
        <f>IFERROR(Tableau1[[#This Row],[Loyer annuel]]/12,"")</f>
        <v>2915.25</v>
      </c>
      <c r="V178" s="12">
        <v>897</v>
      </c>
      <c r="W178" s="34"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34" t="s">
        <v>87</v>
      </c>
      <c r="AE178" s="12">
        <f>IFERROR(Tableau1[[#This Row],[Loyer annuel]]+Tableau1[[#This Row],[Charges annuelles]]+Tableau1[[#This Row],[Taxe foncière]]+Tableau1[[#This Row],[Marketing]],"")</f>
        <v>34983</v>
      </c>
      <c r="AF178" s="12" t="str">
        <f t="shared" si="8"/>
        <v>3 mois = 8 746 €</v>
      </c>
      <c r="AG178" s="6" t="s">
        <v>87</v>
      </c>
      <c r="AH178" s="6" t="s">
        <v>87</v>
      </c>
      <c r="AI178" s="12" t="s">
        <v>346</v>
      </c>
      <c r="AJ178" s="10" t="s">
        <v>43</v>
      </c>
      <c r="AK178" s="10" t="s">
        <v>351</v>
      </c>
      <c r="AL178" s="10" t="s">
        <v>1218</v>
      </c>
      <c r="AM178" s="11"/>
      <c r="AN178" s="11"/>
      <c r="AO178" s="5" t="s">
        <v>350</v>
      </c>
      <c r="AP178" s="11" t="s">
        <v>1217</v>
      </c>
      <c r="AQ178" s="11" t="s">
        <v>1216</v>
      </c>
      <c r="AR178" s="11">
        <v>53</v>
      </c>
      <c r="AS178" s="36" t="s">
        <v>1286</v>
      </c>
      <c r="AT178" s="11" t="s">
        <v>59</v>
      </c>
      <c r="AU178" s="11"/>
      <c r="AV178" s="13" t="s">
        <v>1201</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1219</v>
      </c>
      <c r="E179" s="26">
        <v>75017</v>
      </c>
      <c r="F179" s="10" t="s">
        <v>76</v>
      </c>
      <c r="G179" s="39" t="str">
        <f>Tableau1[[#This Row],[Rue]]&amp;CHAR(10)&amp;Tableau1[[#This Row],[Code Postal]]&amp;" - "&amp;Tableau1[[#This Row],[Ville]]</f>
        <v>103 rue Legendre
75017 - Paris</v>
      </c>
      <c r="H179" s="15" t="s">
        <v>1220</v>
      </c>
      <c r="I179" s="12" t="s">
        <v>35</v>
      </c>
      <c r="J179" s="12" t="s">
        <v>34</v>
      </c>
      <c r="K179" s="10" t="s">
        <v>87</v>
      </c>
      <c r="L179" s="10"/>
      <c r="M179" s="12" t="s">
        <v>87</v>
      </c>
      <c r="N179" s="36"/>
      <c r="O179" s="34">
        <v>93</v>
      </c>
      <c r="P179" s="34" t="s">
        <v>87</v>
      </c>
      <c r="Q179" s="34" t="s">
        <v>87</v>
      </c>
      <c r="R179" s="34" t="s">
        <v>87</v>
      </c>
      <c r="S179" s="34" t="s">
        <v>87</v>
      </c>
      <c r="T179" s="12">
        <f>Tableau1[[#This Row],[Loyer €/m²]]*Tableau1[[#This Row],[Surface GLA]]</f>
        <v>59985</v>
      </c>
      <c r="U179" s="12">
        <f>IFERROR(Tableau1[[#This Row],[Loyer annuel]]/12,"")</f>
        <v>4998.75</v>
      </c>
      <c r="V179" s="12">
        <v>645</v>
      </c>
      <c r="W179" s="34"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34" t="s">
        <v>87</v>
      </c>
      <c r="AE179" s="12">
        <f>IFERROR(Tableau1[[#This Row],[Loyer annuel]]+Tableau1[[#This Row],[Charges annuelles]]+Tableau1[[#This Row],[Taxe foncière]]+Tableau1[[#This Row],[Marketing]],"")</f>
        <v>59985</v>
      </c>
      <c r="AF179" s="12" t="str">
        <f t="shared" si="8"/>
        <v>3 mois = 14 996 €</v>
      </c>
      <c r="AG179" s="6" t="s">
        <v>87</v>
      </c>
      <c r="AH179" s="6" t="s">
        <v>87</v>
      </c>
      <c r="AI179" s="12" t="s">
        <v>346</v>
      </c>
      <c r="AJ179" s="10" t="s">
        <v>43</v>
      </c>
      <c r="AK179" s="10" t="s">
        <v>351</v>
      </c>
      <c r="AL179" s="10" t="s">
        <v>1222</v>
      </c>
      <c r="AM179" s="11" t="s">
        <v>1221</v>
      </c>
      <c r="AN179" s="11"/>
      <c r="AO179" s="5" t="s">
        <v>350</v>
      </c>
      <c r="AP179" s="11" t="s">
        <v>1240</v>
      </c>
      <c r="AQ179" s="11" t="s">
        <v>1241</v>
      </c>
      <c r="AR179" s="11">
        <v>54</v>
      </c>
      <c r="AS179" s="36" t="s">
        <v>1287</v>
      </c>
      <c r="AT179" s="11" t="s">
        <v>59</v>
      </c>
      <c r="AU179" s="11"/>
      <c r="AV179" s="13" t="s">
        <v>1201</v>
      </c>
      <c r="AW179" s="14"/>
      <c r="AX179" s="44">
        <v>46042</v>
      </c>
      <c r="AZ179" s="1"/>
      <c r="BF179"/>
      <c r="BG179" s="1"/>
    </row>
    <row r="180" spans="1:59" ht="25.5">
      <c r="A180" s="38" t="str">
        <f>VLOOKUP(Tableau1[[#This Row],[N° Département]],Feuil1!$C$6:$E$106,3)</f>
        <v>Ile-de-France</v>
      </c>
      <c r="B180" s="38" t="str">
        <f>VLOOKUP(Tableau1[[#This Row],[N° Département]],Feuil1!$C$6:$E$106,2)</f>
        <v>Hauts-de-Seine</v>
      </c>
      <c r="C180" s="38">
        <f>LEFT(Tableau1[[#This Row],[Code Postal]],2)*1</f>
        <v>92</v>
      </c>
      <c r="D180" s="10" t="s">
        <v>1223</v>
      </c>
      <c r="E180" s="26">
        <v>92100</v>
      </c>
      <c r="F180" s="10" t="s">
        <v>77</v>
      </c>
      <c r="G180" s="39" t="str">
        <f>Tableau1[[#This Row],[Rue]]&amp;CHAR(10)&amp;Tableau1[[#This Row],[Code Postal]]&amp;" - "&amp;Tableau1[[#This Row],[Ville]]</f>
        <v>86 avenue Edouard Vaillant
92100 - Boulogne-Billancourt</v>
      </c>
      <c r="H180" s="15" t="s">
        <v>1224</v>
      </c>
      <c r="I180" s="12" t="s">
        <v>35</v>
      </c>
      <c r="J180" s="12" t="s">
        <v>34</v>
      </c>
      <c r="K180" s="10" t="s">
        <v>87</v>
      </c>
      <c r="L180" s="10"/>
      <c r="M180" s="12" t="s">
        <v>87</v>
      </c>
      <c r="N180" s="36"/>
      <c r="O180" s="34">
        <v>141</v>
      </c>
      <c r="P180" s="12" t="s">
        <v>1229</v>
      </c>
      <c r="Q180" s="34" t="s">
        <v>87</v>
      </c>
      <c r="R180" s="34" t="s">
        <v>87</v>
      </c>
      <c r="S180" s="34" t="s">
        <v>87</v>
      </c>
      <c r="T180" s="12">
        <f>Tableau1[[#This Row],[Loyer €/m²]]*Tableau1[[#This Row],[Surface GLA]]</f>
        <v>99969</v>
      </c>
      <c r="U180" s="12">
        <f>IFERROR(Tableau1[[#This Row],[Loyer annuel]]/12,"")</f>
        <v>8330.75</v>
      </c>
      <c r="V180" s="12">
        <v>709</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99969</v>
      </c>
      <c r="AF180" s="12" t="str">
        <f t="shared" si="8"/>
        <v>3 mois = 24 992 €</v>
      </c>
      <c r="AG180" s="6" t="s">
        <v>87</v>
      </c>
      <c r="AH180" s="6" t="s">
        <v>87</v>
      </c>
      <c r="AI180" s="12" t="s">
        <v>346</v>
      </c>
      <c r="AJ180" s="10" t="s">
        <v>43</v>
      </c>
      <c r="AK180" s="10" t="s">
        <v>351</v>
      </c>
      <c r="AL180" s="10" t="s">
        <v>1258</v>
      </c>
      <c r="AM180" s="11" t="s">
        <v>1257</v>
      </c>
      <c r="AN180" s="11"/>
      <c r="AO180" s="5" t="s">
        <v>350</v>
      </c>
      <c r="AP180" s="11" t="s">
        <v>1239</v>
      </c>
      <c r="AQ180" s="11" t="s">
        <v>1238</v>
      </c>
      <c r="AR180" s="11">
        <v>55</v>
      </c>
      <c r="AS180" s="36" t="s">
        <v>1288</v>
      </c>
      <c r="AT180" s="11" t="s">
        <v>59</v>
      </c>
      <c r="AU180" s="11"/>
      <c r="AV180" s="13" t="s">
        <v>1201</v>
      </c>
      <c r="AW180" s="14"/>
      <c r="AX180" s="44">
        <v>46042</v>
      </c>
      <c r="AZ180" s="1"/>
      <c r="BF180"/>
      <c r="BG180" s="1"/>
    </row>
    <row r="181" spans="1:59" ht="25.5">
      <c r="A181" s="38" t="str">
        <f>VLOOKUP(Tableau1[[#This Row],[N° Département]],Feuil1!$C$6:$E$106,3)</f>
        <v>Hauts-de-France</v>
      </c>
      <c r="B181" s="38" t="str">
        <f>VLOOKUP(Tableau1[[#This Row],[N° Département]],Feuil1!$C$6:$E$106,2)</f>
        <v>Pas-de-Calais</v>
      </c>
      <c r="C181" s="38">
        <f>LEFT(Tableau1[[#This Row],[Code Postal]],2)*1</f>
        <v>62</v>
      </c>
      <c r="D181" s="10" t="s">
        <v>1226</v>
      </c>
      <c r="E181" s="26">
        <v>62520</v>
      </c>
      <c r="F181" s="10" t="s">
        <v>1227</v>
      </c>
      <c r="G181" s="39" t="str">
        <f>Tableau1[[#This Row],[Rue]]&amp;CHAR(10)&amp;Tableau1[[#This Row],[Code Postal]]&amp;" - "&amp;Tableau1[[#This Row],[Ville]]</f>
        <v>73 bis rue Saint-Jean
62520 - Le Touquet-Paris-Plage</v>
      </c>
      <c r="H181" s="15" t="s">
        <v>1225</v>
      </c>
      <c r="I181" s="12" t="s">
        <v>35</v>
      </c>
      <c r="J181" s="12" t="s">
        <v>34</v>
      </c>
      <c r="K181" s="10" t="s">
        <v>87</v>
      </c>
      <c r="L181" s="10"/>
      <c r="M181" s="12" t="s">
        <v>87</v>
      </c>
      <c r="N181" s="36"/>
      <c r="O181" s="34">
        <v>86</v>
      </c>
      <c r="P181" s="12" t="s">
        <v>1228</v>
      </c>
      <c r="Q181" s="34" t="s">
        <v>87</v>
      </c>
      <c r="R181" s="34" t="s">
        <v>87</v>
      </c>
      <c r="S181" s="34" t="s">
        <v>87</v>
      </c>
      <c r="T181" s="12">
        <f>Tableau1[[#This Row],[Loyer €/m²]]*Tableau1[[#This Row],[Surface GLA]]</f>
        <v>49966</v>
      </c>
      <c r="U181" s="12">
        <f>IFERROR(Tableau1[[#This Row],[Loyer annuel]]/12,"")</f>
        <v>4163.833333333333</v>
      </c>
      <c r="V181" s="12">
        <v>581</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49966</v>
      </c>
      <c r="AF181" s="12" t="str">
        <f t="shared" si="8"/>
        <v>3 mois = 12 492 €</v>
      </c>
      <c r="AG181" s="6" t="s">
        <v>87</v>
      </c>
      <c r="AH181" s="6" t="s">
        <v>87</v>
      </c>
      <c r="AI181" s="12" t="s">
        <v>346</v>
      </c>
      <c r="AJ181" s="10" t="s">
        <v>358</v>
      </c>
      <c r="AK181" s="10" t="s">
        <v>352</v>
      </c>
      <c r="AL181" s="10" t="s">
        <v>1259</v>
      </c>
      <c r="AM181" s="11" t="s">
        <v>2450</v>
      </c>
      <c r="AN181" s="11"/>
      <c r="AO181" s="5" t="s">
        <v>350</v>
      </c>
      <c r="AP181" s="11" t="s">
        <v>1230</v>
      </c>
      <c r="AQ181" s="11" t="s">
        <v>1231</v>
      </c>
      <c r="AR181" s="11">
        <v>56</v>
      </c>
      <c r="AS181" s="36" t="s">
        <v>1289</v>
      </c>
      <c r="AT181" s="11" t="s">
        <v>59</v>
      </c>
      <c r="AU181" s="11"/>
      <c r="AV181" s="13" t="s">
        <v>1201</v>
      </c>
      <c r="AW181" s="14"/>
      <c r="AX181" s="44">
        <v>46042</v>
      </c>
      <c r="AZ181" s="1"/>
      <c r="BF181"/>
      <c r="BG181" s="1"/>
    </row>
    <row r="182" spans="1:59" ht="25.5">
      <c r="A182" s="38" t="str">
        <f>VLOOKUP(Tableau1[[#This Row],[N° Département]],Feuil1!$C$6:$E$106,3)</f>
        <v>Bourgogne-Franche-Comté</v>
      </c>
      <c r="B182" s="38" t="str">
        <f>VLOOKUP(Tableau1[[#This Row],[N° Département]],Feuil1!$C$6:$E$106,2)</f>
        <v>Côte-d'Or</v>
      </c>
      <c r="C182" s="38">
        <f>LEFT(Tableau1[[#This Row],[Code Postal]],2)*1</f>
        <v>21</v>
      </c>
      <c r="D182" s="10" t="s">
        <v>1232</v>
      </c>
      <c r="E182" s="26">
        <v>21000</v>
      </c>
      <c r="F182" s="10" t="s">
        <v>1233</v>
      </c>
      <c r="G182" s="39" t="str">
        <f>Tableau1[[#This Row],[Rue]]&amp;CHAR(10)&amp;Tableau1[[#This Row],[Code Postal]]&amp;" - "&amp;Tableau1[[#This Row],[Ville]]</f>
        <v>65 rue du Bourg
21000 - Dijon</v>
      </c>
      <c r="H182" s="15" t="s">
        <v>1234</v>
      </c>
      <c r="I182" s="12" t="s">
        <v>35</v>
      </c>
      <c r="J182" s="12" t="s">
        <v>34</v>
      </c>
      <c r="K182" s="10" t="s">
        <v>87</v>
      </c>
      <c r="L182" s="10"/>
      <c r="M182" s="12" t="s">
        <v>87</v>
      </c>
      <c r="N182" s="36"/>
      <c r="O182" s="34">
        <v>335</v>
      </c>
      <c r="P182" s="12" t="s">
        <v>1235</v>
      </c>
      <c r="Q182" s="34" t="s">
        <v>87</v>
      </c>
      <c r="R182" s="34" t="s">
        <v>87</v>
      </c>
      <c r="S182" s="34" t="s">
        <v>87</v>
      </c>
      <c r="T182" s="12">
        <f>Tableau1[[#This Row],[Loyer €/m²]]*Tableau1[[#This Row],[Surface GLA]]</f>
        <v>99830</v>
      </c>
      <c r="U182" s="12">
        <f>IFERROR(Tableau1[[#This Row],[Loyer annuel]]/12,"")</f>
        <v>8319.1666666666661</v>
      </c>
      <c r="V182" s="12">
        <v>298</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99830</v>
      </c>
      <c r="AF182" s="12" t="str">
        <f t="shared" si="8"/>
        <v>3 mois = 24 958 €</v>
      </c>
      <c r="AG182" s="6" t="s">
        <v>87</v>
      </c>
      <c r="AH182" s="6" t="s">
        <v>87</v>
      </c>
      <c r="AI182" s="12" t="s">
        <v>346</v>
      </c>
      <c r="AJ182" s="10" t="s">
        <v>358</v>
      </c>
      <c r="AK182" s="10" t="s">
        <v>352</v>
      </c>
      <c r="AL182" s="10" t="s">
        <v>1260</v>
      </c>
      <c r="AM182" s="11" t="s">
        <v>1256</v>
      </c>
      <c r="AN182" s="11"/>
      <c r="AO182" s="5" t="s">
        <v>350</v>
      </c>
      <c r="AP182" s="11" t="s">
        <v>1237</v>
      </c>
      <c r="AQ182" s="11" t="s">
        <v>1236</v>
      </c>
      <c r="AR182" s="11">
        <v>57</v>
      </c>
      <c r="AS182" s="36" t="s">
        <v>1290</v>
      </c>
      <c r="AT182" s="11" t="s">
        <v>59</v>
      </c>
      <c r="AU182" s="11"/>
      <c r="AV182" s="13" t="s">
        <v>1201</v>
      </c>
      <c r="AW182" s="14"/>
      <c r="AX182" s="44">
        <v>46042</v>
      </c>
      <c r="AZ182" s="1"/>
      <c r="BF182"/>
      <c r="BG182" s="1"/>
    </row>
    <row r="183" spans="1:59" ht="25.5">
      <c r="A183" s="38" t="str">
        <f>VLOOKUP(Tableau1[[#This Row],[N° Département]],Feuil1!$C$6:$E$106,3)</f>
        <v>Grand Est</v>
      </c>
      <c r="B183" s="38" t="str">
        <f>VLOOKUP(Tableau1[[#This Row],[N° Département]],Feuil1!$C$6:$E$106,2)</f>
        <v>Aube</v>
      </c>
      <c r="C183" s="38">
        <f>LEFT(Tableau1[[#This Row],[Code Postal]],2)*1</f>
        <v>10</v>
      </c>
      <c r="D183" s="10" t="s">
        <v>1242</v>
      </c>
      <c r="E183" s="26">
        <v>10000</v>
      </c>
      <c r="F183" s="10" t="s">
        <v>1243</v>
      </c>
      <c r="G183" s="39" t="str">
        <f>Tableau1[[#This Row],[Rue]]&amp;CHAR(10)&amp;Tableau1[[#This Row],[Code Postal]]&amp;" - "&amp;Tableau1[[#This Row],[Ville]]</f>
        <v>97 rue Emile Zola
10000 - Troyes</v>
      </c>
      <c r="H183" s="15" t="s">
        <v>1244</v>
      </c>
      <c r="I183" s="12" t="s">
        <v>35</v>
      </c>
      <c r="J183" s="12" t="s">
        <v>34</v>
      </c>
      <c r="K183" s="10" t="s">
        <v>87</v>
      </c>
      <c r="L183" s="10"/>
      <c r="M183" s="12" t="s">
        <v>87</v>
      </c>
      <c r="N183" s="36"/>
      <c r="O183" s="34">
        <v>378</v>
      </c>
      <c r="P183" s="12" t="s">
        <v>1245</v>
      </c>
      <c r="Q183" s="34" t="s">
        <v>87</v>
      </c>
      <c r="R183" s="34" t="s">
        <v>87</v>
      </c>
      <c r="S183" s="34" t="s">
        <v>87</v>
      </c>
      <c r="T183" s="12">
        <f>Tableau1[[#This Row],[Loyer €/m²]]*Tableau1[[#This Row],[Surface GLA]]</f>
        <v>71820</v>
      </c>
      <c r="U183" s="12">
        <f>IFERROR(Tableau1[[#This Row],[Loyer annuel]]/12,"")</f>
        <v>5985</v>
      </c>
      <c r="V183" s="12">
        <v>190</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71820</v>
      </c>
      <c r="AF183" s="12" t="str">
        <f t="shared" si="8"/>
        <v>3 mois = 17 955 €</v>
      </c>
      <c r="AG183" s="6" t="s">
        <v>87</v>
      </c>
      <c r="AH183" s="6" t="s">
        <v>87</v>
      </c>
      <c r="AI183" s="12" t="s">
        <v>346</v>
      </c>
      <c r="AJ183" s="10" t="s">
        <v>358</v>
      </c>
      <c r="AK183" s="10" t="s">
        <v>352</v>
      </c>
      <c r="AL183" s="10" t="s">
        <v>1261</v>
      </c>
      <c r="AM183" s="11" t="s">
        <v>1255</v>
      </c>
      <c r="AN183" s="11"/>
      <c r="AO183" s="5" t="s">
        <v>350</v>
      </c>
      <c r="AP183" s="11" t="s">
        <v>1246</v>
      </c>
      <c r="AQ183" s="11" t="s">
        <v>1247</v>
      </c>
      <c r="AR183" s="11">
        <v>58</v>
      </c>
      <c r="AS183" s="36" t="s">
        <v>1291</v>
      </c>
      <c r="AT183" s="11" t="s">
        <v>59</v>
      </c>
      <c r="AU183" s="11"/>
      <c r="AV183" s="13" t="s">
        <v>1201</v>
      </c>
      <c r="AW183" s="14"/>
      <c r="AX183" s="44">
        <v>46042</v>
      </c>
      <c r="AZ183" s="1"/>
      <c r="BF183"/>
      <c r="BG183" s="1"/>
    </row>
    <row r="184" spans="1:59" ht="25.5">
      <c r="A184" s="38" t="str">
        <f>VLOOKUP(Tableau1[[#This Row],[N° Département]],Feuil1!$C$6:$E$106,3)</f>
        <v>Ile-de-France</v>
      </c>
      <c r="B184" s="38" t="str">
        <f>VLOOKUP(Tableau1[[#This Row],[N° Département]],Feuil1!$C$6:$E$106,2)</f>
        <v>Paris</v>
      </c>
      <c r="C184" s="38">
        <f>LEFT(Tableau1[[#This Row],[Code Postal]],2)*1</f>
        <v>75</v>
      </c>
      <c r="D184" s="10" t="s">
        <v>1248</v>
      </c>
      <c r="E184" s="26">
        <v>75001</v>
      </c>
      <c r="F184" s="10" t="s">
        <v>76</v>
      </c>
      <c r="G184" s="39" t="str">
        <f>Tableau1[[#This Row],[Rue]]&amp;CHAR(10)&amp;Tableau1[[#This Row],[Code Postal]]&amp;" - "&amp;Tableau1[[#This Row],[Ville]]</f>
        <v>9 Rue du Marché Saint-Honoré
75001 - Paris</v>
      </c>
      <c r="H184" s="15" t="s">
        <v>1249</v>
      </c>
      <c r="I184" s="12" t="s">
        <v>35</v>
      </c>
      <c r="J184" s="12" t="s">
        <v>34</v>
      </c>
      <c r="K184" s="10" t="s">
        <v>87</v>
      </c>
      <c r="L184" s="10"/>
      <c r="M184" s="12" t="s">
        <v>87</v>
      </c>
      <c r="N184" s="36"/>
      <c r="O184" s="34">
        <v>48</v>
      </c>
      <c r="P184" s="12" t="s">
        <v>1250</v>
      </c>
      <c r="Q184" s="34" t="s">
        <v>87</v>
      </c>
      <c r="R184" s="34" t="s">
        <v>87</v>
      </c>
      <c r="S184" s="34" t="s">
        <v>87</v>
      </c>
      <c r="T184" s="12">
        <f>Tableau1[[#This Row],[Loyer €/m²]]*Tableau1[[#This Row],[Surface GLA]]</f>
        <v>120000</v>
      </c>
      <c r="U184" s="12">
        <f>IFERROR(Tableau1[[#This Row],[Loyer annuel]]/12,"")</f>
        <v>10000</v>
      </c>
      <c r="V184" s="12">
        <v>2500</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120000</v>
      </c>
      <c r="AF184" s="12" t="str">
        <f t="shared" si="8"/>
        <v>3 mois = 30 000 €</v>
      </c>
      <c r="AG184" s="6" t="s">
        <v>87</v>
      </c>
      <c r="AH184" s="6" t="s">
        <v>87</v>
      </c>
      <c r="AI184" s="12" t="s">
        <v>346</v>
      </c>
      <c r="AJ184" s="10" t="s">
        <v>43</v>
      </c>
      <c r="AK184" s="10" t="s">
        <v>351</v>
      </c>
      <c r="AL184" s="10" t="s">
        <v>1262</v>
      </c>
      <c r="AM184" s="11" t="s">
        <v>1263</v>
      </c>
      <c r="AN184" s="11"/>
      <c r="AO184" s="5" t="s">
        <v>350</v>
      </c>
      <c r="AP184" s="11" t="s">
        <v>1251</v>
      </c>
      <c r="AQ184" s="11" t="s">
        <v>1252</v>
      </c>
      <c r="AR184" s="11">
        <v>59</v>
      </c>
      <c r="AS184" s="36" t="s">
        <v>1292</v>
      </c>
      <c r="AT184" s="11" t="s">
        <v>59</v>
      </c>
      <c r="AU184" s="11"/>
      <c r="AV184" s="13" t="s">
        <v>1201</v>
      </c>
      <c r="AW184" s="14"/>
      <c r="AX184" s="44">
        <v>46042</v>
      </c>
      <c r="AZ184" s="1"/>
      <c r="BF184"/>
      <c r="BG184" s="1"/>
    </row>
    <row r="185" spans="1:59" ht="38.25">
      <c r="A185" s="38" t="str">
        <f>VLOOKUP(Tableau1[[#This Row],[N° Département]],Feuil1!$C$6:$E$106,3)</f>
        <v>Auvergne-Rhône-Alpes</v>
      </c>
      <c r="B185" s="38" t="str">
        <f>VLOOKUP(Tableau1[[#This Row],[N° Département]],Feuil1!$C$6:$E$106,2)</f>
        <v>Ain</v>
      </c>
      <c r="C185" s="38">
        <f>LEFT(Tableau1[[#This Row],[Code Postal]],2)*1</f>
        <v>1</v>
      </c>
      <c r="D185" s="11" t="s">
        <v>1268</v>
      </c>
      <c r="E185" s="49" t="s">
        <v>1266</v>
      </c>
      <c r="F185" s="10" t="s">
        <v>1267</v>
      </c>
      <c r="G185" s="39" t="str">
        <f>Tableau1[[#This Row],[Rue]]&amp;CHAR(10)&amp;Tableau1[[#This Row],[Code Postal]]&amp;" - "&amp;Tableau1[[#This Row],[Ville]]</f>
        <v>Cap Émeraude
Avenue du Capitaine Dhonne
01 000 - Bourg-en-Bresse</v>
      </c>
      <c r="H185" s="15" t="s">
        <v>1265</v>
      </c>
      <c r="I185" s="12" t="s">
        <v>37</v>
      </c>
      <c r="J185" s="12" t="s">
        <v>39</v>
      </c>
      <c r="K185" s="10" t="s">
        <v>87</v>
      </c>
      <c r="L185" s="10"/>
      <c r="M185" s="12" t="s">
        <v>87</v>
      </c>
      <c r="N185" s="36"/>
      <c r="O185" s="34">
        <v>196</v>
      </c>
      <c r="P185" s="34" t="s">
        <v>87</v>
      </c>
      <c r="Q185" s="34" t="s">
        <v>87</v>
      </c>
      <c r="R185" s="34" t="s">
        <v>87</v>
      </c>
      <c r="S185" s="34" t="s">
        <v>87</v>
      </c>
      <c r="T185" s="12">
        <f>Tableau1[[#This Row],[Loyer €/m²]]*Tableau1[[#This Row],[Surface GLA]]</f>
        <v>113680</v>
      </c>
      <c r="U185" s="12">
        <f>IFERROR(Tableau1[[#This Row],[Loyer annuel]]/12,"")</f>
        <v>9473.3333333333339</v>
      </c>
      <c r="V185" s="12">
        <v>580</v>
      </c>
      <c r="W185" s="34" t="s">
        <v>87</v>
      </c>
      <c r="X185" s="6">
        <f>Tableau1[[#This Row],[Charges €/m²]]*Tableau1[[#This Row],[Surface GLA]]</f>
        <v>11172</v>
      </c>
      <c r="Y185" s="12">
        <f>Tableau1[[#This Row],[Charges annuelles]]/12</f>
        <v>931</v>
      </c>
      <c r="Z185" s="12">
        <v>57</v>
      </c>
      <c r="AA185" s="12">
        <f>IFERROR(Tableau1[[#This Row],[Taxe foncière €/m²]]*Tableau1[[#This Row],[Surface GLA]],)</f>
        <v>6468</v>
      </c>
      <c r="AB185" s="12">
        <v>33</v>
      </c>
      <c r="AC185" s="12">
        <f>IFERROR(Tableau1[[#This Row],[Marketing €/m²]]*Tableau1[[#This Row],[Surface GLA]],)</f>
        <v>3920</v>
      </c>
      <c r="AD185" s="12">
        <v>20</v>
      </c>
      <c r="AE185" s="12">
        <f>IFERROR(Tableau1[[#This Row],[Loyer annuel]]+Tableau1[[#This Row],[Charges annuelles]]+Tableau1[[#This Row],[Taxe foncière]]+Tableau1[[#This Row],[Marketing]],"")</f>
        <v>135240</v>
      </c>
      <c r="AF185" s="12" t="str">
        <f t="shared" si="8"/>
        <v>3 mois = 28 420 €</v>
      </c>
      <c r="AG185" s="6" t="s">
        <v>87</v>
      </c>
      <c r="AH185" s="6" t="s">
        <v>87</v>
      </c>
      <c r="AI185" s="12" t="s">
        <v>346</v>
      </c>
      <c r="AJ185" s="10" t="s">
        <v>43</v>
      </c>
      <c r="AK185" s="10" t="s">
        <v>351</v>
      </c>
      <c r="AL185" s="10" t="s">
        <v>2407</v>
      </c>
      <c r="AM185" s="11" t="s">
        <v>1271</v>
      </c>
      <c r="AN185" s="11"/>
      <c r="AO185" s="5" t="s">
        <v>350</v>
      </c>
      <c r="AP185" s="11" t="s">
        <v>1269</v>
      </c>
      <c r="AQ185" s="11" t="s">
        <v>1270</v>
      </c>
      <c r="AR185" s="11" t="s">
        <v>1697</v>
      </c>
      <c r="AS185" s="36" t="s">
        <v>1701</v>
      </c>
      <c r="AT185" s="11" t="s">
        <v>59</v>
      </c>
      <c r="AU185" s="11"/>
      <c r="AV185" s="13" t="s">
        <v>1272</v>
      </c>
      <c r="AW185" s="14"/>
      <c r="AX185" s="44">
        <v>46042</v>
      </c>
      <c r="AZ185" s="1"/>
      <c r="BF185"/>
      <c r="BG185" s="1"/>
    </row>
    <row r="186" spans="1:59" ht="38.25">
      <c r="A186" s="38" t="str">
        <f>VLOOKUP(Tableau1[[#This Row],[N° Département]],Feuil1!$C$6:$E$106,3)</f>
        <v>Auvergne-Rhône-Alpes</v>
      </c>
      <c r="B186" s="38" t="str">
        <f>VLOOKUP(Tableau1[[#This Row],[N° Département]],Feuil1!$C$6:$E$106,2)</f>
        <v>Ain</v>
      </c>
      <c r="C186" s="38">
        <f>LEFT(Tableau1[[#This Row],[Code Postal]],2)*1</f>
        <v>1</v>
      </c>
      <c r="D186" s="11" t="s">
        <v>1268</v>
      </c>
      <c r="E186" s="49" t="s">
        <v>1266</v>
      </c>
      <c r="F186" s="10" t="s">
        <v>1267</v>
      </c>
      <c r="G186" s="39" t="str">
        <f>Tableau1[[#This Row],[Rue]]&amp;CHAR(10)&amp;Tableau1[[#This Row],[Code Postal]]&amp;" - "&amp;Tableau1[[#This Row],[Ville]]</f>
        <v>Cap Émeraude
Avenue du Capitaine Dhonne
01 000 - Bourg-en-Bresse</v>
      </c>
      <c r="H186" s="15" t="s">
        <v>1265</v>
      </c>
      <c r="I186" s="12" t="s">
        <v>37</v>
      </c>
      <c r="J186" s="12" t="s">
        <v>39</v>
      </c>
      <c r="K186" s="10" t="s">
        <v>87</v>
      </c>
      <c r="L186" s="10"/>
      <c r="M186" s="12" t="s">
        <v>1110</v>
      </c>
      <c r="N186" s="36"/>
      <c r="O186" s="34">
        <v>178</v>
      </c>
      <c r="P186" s="12" t="s">
        <v>1698</v>
      </c>
      <c r="Q186" s="34" t="s">
        <v>87</v>
      </c>
      <c r="R186" s="34" t="s">
        <v>87</v>
      </c>
      <c r="S186" s="34" t="s">
        <v>87</v>
      </c>
      <c r="T186" s="12">
        <f>Tableau1[[#This Row],[Loyer €/m²]]*Tableau1[[#This Row],[Surface GLA]]</f>
        <v>53578</v>
      </c>
      <c r="U186" s="12">
        <f>IFERROR(Tableau1[[#This Row],[Loyer annuel]]/12,"")</f>
        <v>4464.833333333333</v>
      </c>
      <c r="V186" s="12">
        <v>301</v>
      </c>
      <c r="W186" s="34" t="s">
        <v>87</v>
      </c>
      <c r="X186" s="6">
        <f>Tableau1[[#This Row],[Charges €/m²]]*Tableau1[[#This Row],[Surface GLA]]</f>
        <v>8010</v>
      </c>
      <c r="Y186" s="12">
        <f>Tableau1[[#This Row],[Charges annuelles]]/12</f>
        <v>667.5</v>
      </c>
      <c r="Z186" s="12">
        <v>45</v>
      </c>
      <c r="AA186" s="12">
        <f>IFERROR(Tableau1[[#This Row],[Taxe foncière €/m²]]*Tableau1[[#This Row],[Surface GLA]],)</f>
        <v>7476</v>
      </c>
      <c r="AB186" s="12">
        <v>42</v>
      </c>
      <c r="AC186" s="12">
        <f>IFERROR(Tableau1[[#This Row],[Marketing €/m²]]*Tableau1[[#This Row],[Surface GLA]],)</f>
        <v>3738</v>
      </c>
      <c r="AD186" s="12">
        <v>21</v>
      </c>
      <c r="AE186" s="12">
        <f>IFERROR(Tableau1[[#This Row],[Loyer annuel]]+Tableau1[[#This Row],[Charges annuelles]]+Tableau1[[#This Row],[Taxe foncière]]+Tableau1[[#This Row],[Marketing]],"")</f>
        <v>72802</v>
      </c>
      <c r="AF186" s="12" t="str">
        <f t="shared" ref="AF186" si="10">"3 mois = "&amp;TEXT(ROUND(3/12*T186,0),"### ### ##0 €")</f>
        <v>3 mois = 13 395 €</v>
      </c>
      <c r="AG186" s="6" t="s">
        <v>87</v>
      </c>
      <c r="AH186" s="6" t="s">
        <v>87</v>
      </c>
      <c r="AI186" s="12" t="s">
        <v>346</v>
      </c>
      <c r="AJ186" s="10" t="s">
        <v>59</v>
      </c>
      <c r="AK186" s="10" t="s">
        <v>352</v>
      </c>
      <c r="AL186" s="10" t="s">
        <v>2407</v>
      </c>
      <c r="AM186" s="11" t="s">
        <v>1705</v>
      </c>
      <c r="AN186" s="11"/>
      <c r="AO186" s="5" t="s">
        <v>1116</v>
      </c>
      <c r="AP186" s="11" t="s">
        <v>1699</v>
      </c>
      <c r="AQ186" s="11" t="s">
        <v>1700</v>
      </c>
      <c r="AR186" s="11" t="s">
        <v>1702</v>
      </c>
      <c r="AS186" s="36" t="s">
        <v>1703</v>
      </c>
      <c r="AT186" s="11" t="s">
        <v>59</v>
      </c>
      <c r="AU186" s="11" t="s">
        <v>1704</v>
      </c>
      <c r="AV186" s="13" t="s">
        <v>1272</v>
      </c>
      <c r="AW186" s="14"/>
      <c r="AX186" s="44">
        <v>46132</v>
      </c>
      <c r="AZ186" s="1"/>
      <c r="BF186"/>
      <c r="BG186" s="1"/>
    </row>
    <row r="187" spans="1:59" ht="25.5">
      <c r="A187" s="38" t="str">
        <f>VLOOKUP(Tableau1[[#This Row],[N° Département]],Feuil1!$C$6:$E$106,3)</f>
        <v>Nouvelle-Aquitaine</v>
      </c>
      <c r="B187" s="38" t="str">
        <f>VLOOKUP(Tableau1[[#This Row],[N° Département]],Feuil1!$C$6:$E$106,2)</f>
        <v>Charente</v>
      </c>
      <c r="C187" s="38">
        <f>LEFT(Tableau1[[#This Row],[Code Postal]],2)*1</f>
        <v>16</v>
      </c>
      <c r="D187" s="10"/>
      <c r="E187" s="26">
        <v>16110</v>
      </c>
      <c r="F187" s="10" t="s">
        <v>1305</v>
      </c>
      <c r="G187" s="39" t="str">
        <f>Tableau1[[#This Row],[Rue]]&amp;CHAR(10)&amp;Tableau1[[#This Row],[Code Postal]]&amp;" - "&amp;Tableau1[[#This Row],[Ville]]</f>
        <v xml:space="preserve">
16110 - Rivières</v>
      </c>
      <c r="H187" s="15" t="s">
        <v>1304</v>
      </c>
      <c r="I187" s="12" t="s">
        <v>37</v>
      </c>
      <c r="J187" s="12" t="s">
        <v>38</v>
      </c>
      <c r="K187" s="10" t="s">
        <v>1301</v>
      </c>
      <c r="L187" s="10"/>
      <c r="M187" s="12" t="s">
        <v>87</v>
      </c>
      <c r="N187" s="36"/>
      <c r="O187" s="34">
        <v>700</v>
      </c>
      <c r="P187" s="34" t="s">
        <v>87</v>
      </c>
      <c r="Q187" s="34" t="s">
        <v>87</v>
      </c>
      <c r="R187" s="34" t="s">
        <v>87</v>
      </c>
      <c r="S187" s="34" t="s">
        <v>87</v>
      </c>
      <c r="T187" s="12">
        <f>Tableau1[[#This Row],[Loyer €/m²]]*Tableau1[[#This Row],[Surface GLA]]</f>
        <v>77000</v>
      </c>
      <c r="U187" s="12">
        <f>IFERROR(Tableau1[[#This Row],[Loyer annuel]]/12,"")</f>
        <v>6416.666666666667</v>
      </c>
      <c r="V187" s="12">
        <v>110</v>
      </c>
      <c r="W187" s="34" t="s">
        <v>87</v>
      </c>
      <c r="X187" s="12"/>
      <c r="Y187" s="12">
        <f>Tableau1[[#This Row],[Charges annuelles]]/12</f>
        <v>0</v>
      </c>
      <c r="Z187" s="12"/>
      <c r="AA187" s="12">
        <f>IFERROR(Tableau1[[#This Row],[Taxe foncière €/m²]]*Tableau1[[#This Row],[Surface GLA]],)</f>
        <v>0</v>
      </c>
      <c r="AB187" s="12"/>
      <c r="AC187" s="12">
        <f>IFERROR(Tableau1[[#This Row],[Marketing €/m²]]*Tableau1[[#This Row],[Surface GLA]],)</f>
        <v>0</v>
      </c>
      <c r="AD187" s="34" t="s">
        <v>87</v>
      </c>
      <c r="AE187" s="12">
        <f>IFERROR(Tableau1[[#This Row],[Loyer annuel]]+Tableau1[[#This Row],[Charges annuelles]]+Tableau1[[#This Row],[Taxe foncière]]+Tableau1[[#This Row],[Marketing]],"")</f>
        <v>77000</v>
      </c>
      <c r="AF187" s="12" t="str">
        <f t="shared" si="8"/>
        <v>3 mois = 19 250 €</v>
      </c>
      <c r="AG187" s="6" t="s">
        <v>87</v>
      </c>
      <c r="AH187" s="46">
        <v>0.03</v>
      </c>
      <c r="AI187" s="6" t="s">
        <v>87</v>
      </c>
      <c r="AJ187" s="10" t="s">
        <v>358</v>
      </c>
      <c r="AK187" s="10" t="s">
        <v>352</v>
      </c>
      <c r="AL187" s="10" t="s">
        <v>1306</v>
      </c>
      <c r="AM187" s="11" t="s">
        <v>1307</v>
      </c>
      <c r="AN187" s="11" t="s">
        <v>1308</v>
      </c>
      <c r="AO187" s="5" t="s">
        <v>350</v>
      </c>
      <c r="AP187" s="11" t="s">
        <v>1309</v>
      </c>
      <c r="AQ187" s="11" t="s">
        <v>1310</v>
      </c>
      <c r="AR187" s="11">
        <v>61</v>
      </c>
      <c r="AS187" s="36" t="s">
        <v>1324</v>
      </c>
      <c r="AT187" s="11" t="s">
        <v>59</v>
      </c>
      <c r="AU187" s="11"/>
      <c r="AV187" s="13" t="s">
        <v>1312</v>
      </c>
      <c r="AW187" s="14"/>
      <c r="AX187" s="44">
        <v>46052</v>
      </c>
    </row>
    <row r="188" spans="1:59" ht="38.25">
      <c r="A188" s="38" t="str">
        <f>VLOOKUP(Tableau1[[#This Row],[N° Département]],Feuil1!$C$6:$E$106,3)</f>
        <v>Hauts-de-France</v>
      </c>
      <c r="B188" s="38" t="str">
        <f>VLOOKUP(Tableau1[[#This Row],[N° Département]],Feuil1!$C$6:$E$106,2)</f>
        <v>Pas-de-Calais</v>
      </c>
      <c r="C188" s="38">
        <f>LEFT(Tableau1[[#This Row],[Code Postal]],2)*1</f>
        <v>62</v>
      </c>
      <c r="D188" s="11" t="s">
        <v>1313</v>
      </c>
      <c r="E188" s="26">
        <v>62217</v>
      </c>
      <c r="F188" s="10" t="s">
        <v>1314</v>
      </c>
      <c r="G188" s="39" t="str">
        <f>Tableau1[[#This Row],[Rue]]&amp;CHAR(10)&amp;Tableau1[[#This Row],[Code Postal]]&amp;" - "&amp;Tableau1[[#This Row],[Ville]]</f>
        <v>Boréal Parc
rue de Bleuets
62217 - Beaurains</v>
      </c>
      <c r="H188" s="15" t="s">
        <v>1315</v>
      </c>
      <c r="I188" s="12" t="s">
        <v>37</v>
      </c>
      <c r="J188" s="12" t="s">
        <v>41</v>
      </c>
      <c r="K188" s="10" t="s">
        <v>87</v>
      </c>
      <c r="L188" s="10"/>
      <c r="M188" s="12" t="s">
        <v>87</v>
      </c>
      <c r="N188" s="36"/>
      <c r="O188" s="34">
        <v>128</v>
      </c>
      <c r="P188" s="34" t="s">
        <v>87</v>
      </c>
      <c r="Q188" s="34" t="s">
        <v>87</v>
      </c>
      <c r="R188" s="34" t="s">
        <v>87</v>
      </c>
      <c r="S188" s="34" t="s">
        <v>87</v>
      </c>
      <c r="T188" s="12">
        <f>Tableau1[[#This Row],[Loyer €/m²]]*Tableau1[[#This Row],[Surface GLA]]</f>
        <v>27904</v>
      </c>
      <c r="U188" s="12">
        <f>IFERROR(Tableau1[[#This Row],[Loyer annuel]]/12,"")</f>
        <v>2325.3333333333335</v>
      </c>
      <c r="V188" s="12">
        <v>218</v>
      </c>
      <c r="W188" s="34" t="s">
        <v>87</v>
      </c>
      <c r="X188" s="6">
        <f>Tableau1[[#This Row],[Charges €/m²]]*Tableau1[[#This Row],[Surface GLA]]</f>
        <v>3584</v>
      </c>
      <c r="Y188" s="12">
        <f>Tableau1[[#This Row],[Charges annuelles]]/12</f>
        <v>298.66666666666669</v>
      </c>
      <c r="Z188" s="12">
        <v>28</v>
      </c>
      <c r="AA188" s="12">
        <f>IFERROR(Tableau1[[#This Row],[Taxe foncière €/m²]]*Tableau1[[#This Row],[Surface GLA]],)</f>
        <v>1216</v>
      </c>
      <c r="AB188" s="12">
        <v>9.5</v>
      </c>
      <c r="AC188" s="12">
        <f>IFERROR(Tableau1[[#This Row],[Marketing €/m²]]*Tableau1[[#This Row],[Surface GLA]],)</f>
        <v>0</v>
      </c>
      <c r="AD188" s="34" t="s">
        <v>87</v>
      </c>
      <c r="AE188" s="12">
        <f>IFERROR(Tableau1[[#This Row],[Loyer annuel]]+Tableau1[[#This Row],[Charges annuelles]]+Tableau1[[#This Row],[Taxe foncière]]+Tableau1[[#This Row],[Marketing]],"")</f>
        <v>32704</v>
      </c>
      <c r="AF188" s="12" t="str">
        <f t="shared" ref="AF188:AF212" si="11">"3 mois = "&amp;TEXT(ROUND(3/12*T188,0),"### ### ##0 €")</f>
        <v>3 mois = 6 976 €</v>
      </c>
      <c r="AG188" s="6" t="s">
        <v>87</v>
      </c>
      <c r="AH188" s="46">
        <v>0.03</v>
      </c>
      <c r="AI188" s="12" t="s">
        <v>346</v>
      </c>
      <c r="AJ188" s="10" t="s">
        <v>59</v>
      </c>
      <c r="AK188" s="10" t="s">
        <v>352</v>
      </c>
      <c r="AL188" s="10" t="s">
        <v>1322</v>
      </c>
      <c r="AM188" s="11" t="s">
        <v>1316</v>
      </c>
      <c r="AN188" s="11" t="s">
        <v>1308</v>
      </c>
      <c r="AO188" s="5" t="s">
        <v>350</v>
      </c>
      <c r="AP188" s="11" t="s">
        <v>1319</v>
      </c>
      <c r="AQ188" s="11" t="s">
        <v>1318</v>
      </c>
      <c r="AR188" s="11" t="s">
        <v>1317</v>
      </c>
      <c r="AS188" s="36" t="s">
        <v>1325</v>
      </c>
      <c r="AT188" s="11" t="s">
        <v>43</v>
      </c>
      <c r="AU188" s="11"/>
      <c r="AV188" s="13" t="s">
        <v>1312</v>
      </c>
      <c r="AW188" s="14"/>
      <c r="AX188" s="44">
        <v>46052</v>
      </c>
    </row>
    <row r="189" spans="1:59" ht="38.25">
      <c r="A189" s="38" t="str">
        <f>VLOOKUP(Tableau1[[#This Row],[N° Département]],Feuil1!$C$6:$E$106,3)</f>
        <v>Hauts-de-France</v>
      </c>
      <c r="B189" s="38" t="str">
        <f>VLOOKUP(Tableau1[[#This Row],[N° Département]],Feuil1!$C$6:$E$106,2)</f>
        <v>Pas-de-Calais</v>
      </c>
      <c r="C189" s="38">
        <f>LEFT(Tableau1[[#This Row],[Code Postal]],2)*1</f>
        <v>62</v>
      </c>
      <c r="D189" s="11" t="s">
        <v>1313</v>
      </c>
      <c r="E189" s="26">
        <v>62217</v>
      </c>
      <c r="F189" s="10" t="s">
        <v>1314</v>
      </c>
      <c r="G189" s="39" t="str">
        <f>Tableau1[[#This Row],[Rue]]&amp;CHAR(10)&amp;Tableau1[[#This Row],[Code Postal]]&amp;" - "&amp;Tableau1[[#This Row],[Ville]]</f>
        <v>Boréal Parc
rue de Bleuets
62217 - Beaurains</v>
      </c>
      <c r="H189" s="15" t="s">
        <v>1315</v>
      </c>
      <c r="I189" s="12" t="s">
        <v>37</v>
      </c>
      <c r="J189" s="12" t="s">
        <v>41</v>
      </c>
      <c r="K189" s="10" t="s">
        <v>87</v>
      </c>
      <c r="L189" s="10"/>
      <c r="M189" s="12" t="s">
        <v>87</v>
      </c>
      <c r="N189" s="36"/>
      <c r="O189" s="34">
        <v>40</v>
      </c>
      <c r="P189" s="34" t="s">
        <v>87</v>
      </c>
      <c r="Q189" s="34" t="s">
        <v>87</v>
      </c>
      <c r="R189" s="34" t="s">
        <v>87</v>
      </c>
      <c r="S189" s="34" t="s">
        <v>87</v>
      </c>
      <c r="T189" s="12">
        <f>Tableau1[[#This Row],[Loyer €/m²]]*Tableau1[[#This Row],[Surface GLA]]</f>
        <v>24000</v>
      </c>
      <c r="U189" s="12">
        <f>IFERROR(Tableau1[[#This Row],[Loyer annuel]]/12,"")</f>
        <v>2000</v>
      </c>
      <c r="V189" s="12">
        <v>600</v>
      </c>
      <c r="W189" s="34" t="s">
        <v>87</v>
      </c>
      <c r="X189" s="6">
        <f>Tableau1[[#This Row],[Charges €/m²]]*Tableau1[[#This Row],[Surface GLA]]</f>
        <v>1120</v>
      </c>
      <c r="Y189" s="12">
        <f>Tableau1[[#This Row],[Charges annuelles]]/12</f>
        <v>93.333333333333329</v>
      </c>
      <c r="Z189" s="12">
        <v>28</v>
      </c>
      <c r="AA189" s="12">
        <f>IFERROR(Tableau1[[#This Row],[Taxe foncière €/m²]]*Tableau1[[#This Row],[Surface GLA]],)</f>
        <v>380</v>
      </c>
      <c r="AB189" s="12">
        <v>9.5</v>
      </c>
      <c r="AC189" s="12">
        <f>IFERROR(Tableau1[[#This Row],[Marketing €/m²]]*Tableau1[[#This Row],[Surface GLA]],)</f>
        <v>0</v>
      </c>
      <c r="AD189" s="34" t="s">
        <v>87</v>
      </c>
      <c r="AE189" s="12">
        <f>IFERROR(Tableau1[[#This Row],[Loyer annuel]]+Tableau1[[#This Row],[Charges annuelles]]+Tableau1[[#This Row],[Taxe foncière]]+Tableau1[[#This Row],[Marketing]],"")</f>
        <v>25500</v>
      </c>
      <c r="AF189" s="12" t="str">
        <f t="shared" si="11"/>
        <v>3 mois = 6 000 €</v>
      </c>
      <c r="AG189" s="6" t="s">
        <v>87</v>
      </c>
      <c r="AH189" s="46">
        <v>0.03</v>
      </c>
      <c r="AI189" s="12" t="s">
        <v>346</v>
      </c>
      <c r="AJ189" s="10" t="s">
        <v>43</v>
      </c>
      <c r="AK189" s="10" t="s">
        <v>351</v>
      </c>
      <c r="AL189" s="10" t="s">
        <v>1322</v>
      </c>
      <c r="AM189" s="11" t="s">
        <v>1323</v>
      </c>
      <c r="AN189" s="11" t="s">
        <v>1308</v>
      </c>
      <c r="AO189" s="5" t="s">
        <v>350</v>
      </c>
      <c r="AP189" s="11" t="s">
        <v>1320</v>
      </c>
      <c r="AQ189" s="11" t="s">
        <v>1321</v>
      </c>
      <c r="AR189" s="11" t="s">
        <v>1311</v>
      </c>
      <c r="AS189" s="36" t="s">
        <v>1326</v>
      </c>
      <c r="AT189" s="11" t="s">
        <v>59</v>
      </c>
      <c r="AU189" s="11"/>
      <c r="AV189" s="13" t="s">
        <v>1312</v>
      </c>
      <c r="AW189" s="14"/>
      <c r="AX189" s="44">
        <v>46052</v>
      </c>
    </row>
    <row r="190" spans="1:59" ht="38.25">
      <c r="A190" s="38" t="str">
        <f>VLOOKUP(Tableau1[[#This Row],[N° Département]],Feuil1!$C$6:$E$106,3)</f>
        <v>Nouvelle-Aquitaine</v>
      </c>
      <c r="B190" s="38" t="str">
        <f>VLOOKUP(Tableau1[[#This Row],[N° Département]],Feuil1!$C$6:$E$106,2)</f>
        <v>Haute-Vienne</v>
      </c>
      <c r="C190" s="38">
        <f>LEFT(Tableau1[[#This Row],[Code Postal]],2)*1</f>
        <v>87</v>
      </c>
      <c r="D190" s="11" t="s">
        <v>1336</v>
      </c>
      <c r="E190" s="26">
        <v>87220</v>
      </c>
      <c r="F190" s="10" t="s">
        <v>1337</v>
      </c>
      <c r="G190" s="39" t="str">
        <f>Tableau1[[#This Row],[Rue]]&amp;CHAR(10)&amp;Tableau1[[#This Row],[Code Postal]]&amp;" - "&amp;Tableau1[[#This Row],[Ville]]</f>
        <v>Centre commercial Boisseuil
Route de Toulouse
87220 - Boisseuil</v>
      </c>
      <c r="H190" s="15" t="s">
        <v>1335</v>
      </c>
      <c r="I190" s="12" t="s">
        <v>37</v>
      </c>
      <c r="J190" s="12" t="s">
        <v>39</v>
      </c>
      <c r="K190" s="10" t="s">
        <v>87</v>
      </c>
      <c r="L190" s="10"/>
      <c r="M190" s="12" t="s">
        <v>87</v>
      </c>
      <c r="N190" s="36" t="s">
        <v>1338</v>
      </c>
      <c r="O190" s="34">
        <v>234</v>
      </c>
      <c r="P190" s="12" t="s">
        <v>1349</v>
      </c>
      <c r="Q190" s="34">
        <v>454</v>
      </c>
      <c r="R190" s="34" t="s">
        <v>87</v>
      </c>
      <c r="S190" s="34" t="s">
        <v>87</v>
      </c>
      <c r="T190" s="12">
        <f>Tableau1[[#This Row],[Loyer €/m²]]*Tableau1[[#This Row],[Surface GLA]]</f>
        <v>98280</v>
      </c>
      <c r="U190" s="12">
        <f>IFERROR(Tableau1[[#This Row],[Loyer annuel]]/12,"")</f>
        <v>8190</v>
      </c>
      <c r="V190" s="12">
        <v>420</v>
      </c>
      <c r="W190" s="50">
        <v>0.08</v>
      </c>
      <c r="X190" s="6">
        <f>Tableau1[[#This Row],[Charges €/m²]]*Tableau1[[#This Row],[Surface GLA]]</f>
        <v>16380</v>
      </c>
      <c r="Y190" s="12">
        <f>Tableau1[[#This Row],[Charges annuelles]]/12</f>
        <v>1365</v>
      </c>
      <c r="Z190" s="12">
        <v>70</v>
      </c>
      <c r="AA190" s="12">
        <f>IFERROR(Tableau1[[#This Row],[Taxe foncière €/m²]]*Tableau1[[#This Row],[Surface GLA]],)</f>
        <v>3744</v>
      </c>
      <c r="AB190" s="12">
        <v>16</v>
      </c>
      <c r="AC190" s="12">
        <f>IFERROR(Tableau1[[#This Row],[Marketing €/m²]]*Tableau1[[#This Row],[Surface GLA]],)</f>
        <v>8658</v>
      </c>
      <c r="AD190" s="12">
        <v>37</v>
      </c>
      <c r="AE190" s="12">
        <f>IFERROR(Tableau1[[#This Row],[Loyer annuel]]+Tableau1[[#This Row],[Charges annuelles]]+Tableau1[[#This Row],[Taxe foncière]]+Tableau1[[#This Row],[Marketing]],"")</f>
        <v>127062</v>
      </c>
      <c r="AF190" s="12" t="str">
        <f t="shared" si="11"/>
        <v>3 mois = 24 570 €</v>
      </c>
      <c r="AG190" s="6" t="s">
        <v>87</v>
      </c>
      <c r="AH190" s="51">
        <v>2.5000000000000001E-2</v>
      </c>
      <c r="AI190" s="12" t="s">
        <v>346</v>
      </c>
      <c r="AJ190" s="10" t="s">
        <v>358</v>
      </c>
      <c r="AK190" s="10" t="s">
        <v>352</v>
      </c>
      <c r="AL190" s="10" t="s">
        <v>1377</v>
      </c>
      <c r="AM190" s="11" t="s">
        <v>1388</v>
      </c>
      <c r="AN190" s="11" t="s">
        <v>1428</v>
      </c>
      <c r="AO190" s="5" t="s">
        <v>350</v>
      </c>
      <c r="AP190" s="11" t="s">
        <v>1378</v>
      </c>
      <c r="AQ190" s="11" t="s">
        <v>1380</v>
      </c>
      <c r="AR190" s="11" t="s">
        <v>1355</v>
      </c>
      <c r="AS190" s="36" t="s">
        <v>1427</v>
      </c>
      <c r="AT190" s="11" t="s">
        <v>59</v>
      </c>
      <c r="AU190" s="11"/>
      <c r="AV190" s="13" t="s">
        <v>58</v>
      </c>
      <c r="AW190" s="14"/>
      <c r="AX190" s="44">
        <v>46058</v>
      </c>
    </row>
    <row r="191" spans="1:59" ht="38.25">
      <c r="A191" s="38" t="str">
        <f>VLOOKUP(Tableau1[[#This Row],[N° Département]],Feuil1!$C$6:$E$106,3)</f>
        <v>Nouvelle-Aquitaine</v>
      </c>
      <c r="B191" s="38" t="str">
        <f>VLOOKUP(Tableau1[[#This Row],[N° Département]],Feuil1!$C$6:$E$106,2)</f>
        <v>Haute-Vienne</v>
      </c>
      <c r="C191" s="38">
        <f>LEFT(Tableau1[[#This Row],[Code Postal]],2)*1</f>
        <v>87</v>
      </c>
      <c r="D191" s="11" t="s">
        <v>1336</v>
      </c>
      <c r="E191" s="26">
        <v>87220</v>
      </c>
      <c r="F191" s="10" t="s">
        <v>1337</v>
      </c>
      <c r="G191" s="39" t="str">
        <f>Tableau1[[#This Row],[Rue]]&amp;CHAR(10)&amp;Tableau1[[#This Row],[Code Postal]]&amp;" - "&amp;Tableau1[[#This Row],[Ville]]</f>
        <v>Centre commercial Boisseuil
Route de Toulouse
87220 - Boisseuil</v>
      </c>
      <c r="H191" s="15" t="s">
        <v>1335</v>
      </c>
      <c r="I191" s="12" t="s">
        <v>37</v>
      </c>
      <c r="J191" s="12" t="s">
        <v>39</v>
      </c>
      <c r="K191" s="10" t="s">
        <v>87</v>
      </c>
      <c r="L191" s="10"/>
      <c r="M191" s="12" t="s">
        <v>87</v>
      </c>
      <c r="N191" s="36" t="s">
        <v>341</v>
      </c>
      <c r="O191" s="34">
        <v>220</v>
      </c>
      <c r="P191" s="12"/>
      <c r="Q191" s="34">
        <v>454</v>
      </c>
      <c r="R191" s="34" t="s">
        <v>87</v>
      </c>
      <c r="S191" s="34" t="s">
        <v>87</v>
      </c>
      <c r="T191" s="12">
        <f>Tableau1[[#This Row],[Loyer €/m²]]*Tableau1[[#This Row],[Surface GLA]]</f>
        <v>92400</v>
      </c>
      <c r="U191" s="12">
        <f>IFERROR(Tableau1[[#This Row],[Loyer annuel]]/12,"")</f>
        <v>7700</v>
      </c>
      <c r="V191" s="12">
        <v>420</v>
      </c>
      <c r="W191" s="50">
        <v>0.08</v>
      </c>
      <c r="X191" s="6">
        <f>Tableau1[[#This Row],[Charges €/m²]]*Tableau1[[#This Row],[Surface GLA]]</f>
        <v>15400</v>
      </c>
      <c r="Y191" s="12">
        <f>Tableau1[[#This Row],[Charges annuelles]]/12</f>
        <v>1283.3333333333333</v>
      </c>
      <c r="Z191" s="12">
        <v>70</v>
      </c>
      <c r="AA191" s="12">
        <f>IFERROR(Tableau1[[#This Row],[Taxe foncière €/m²]]*Tableau1[[#This Row],[Surface GLA]],)</f>
        <v>3520</v>
      </c>
      <c r="AB191" s="12">
        <v>16</v>
      </c>
      <c r="AC191" s="12">
        <f>IFERROR(Tableau1[[#This Row],[Marketing €/m²]]*Tableau1[[#This Row],[Surface GLA]],)</f>
        <v>8140</v>
      </c>
      <c r="AD191" s="12">
        <v>37</v>
      </c>
      <c r="AE191" s="12">
        <f>IFERROR(Tableau1[[#This Row],[Loyer annuel]]+Tableau1[[#This Row],[Charges annuelles]]+Tableau1[[#This Row],[Taxe foncière]]+Tableau1[[#This Row],[Marketing]],"")</f>
        <v>119460</v>
      </c>
      <c r="AF191" s="12" t="str">
        <f t="shared" si="11"/>
        <v>3 mois = 23 100 €</v>
      </c>
      <c r="AG191" s="6" t="s">
        <v>87</v>
      </c>
      <c r="AH191" s="51">
        <v>2.5000000000000001E-2</v>
      </c>
      <c r="AI191" s="12" t="s">
        <v>346</v>
      </c>
      <c r="AJ191" s="10" t="s">
        <v>358</v>
      </c>
      <c r="AK191" s="10" t="s">
        <v>352</v>
      </c>
      <c r="AL191" s="10" t="s">
        <v>1377</v>
      </c>
      <c r="AM191" s="11" t="s">
        <v>1388</v>
      </c>
      <c r="AN191" s="11" t="s">
        <v>1428</v>
      </c>
      <c r="AO191" s="5" t="s">
        <v>350</v>
      </c>
      <c r="AP191" s="11" t="s">
        <v>1381</v>
      </c>
      <c r="AQ191" s="11" t="s">
        <v>1382</v>
      </c>
      <c r="AR191" s="11" t="s">
        <v>1356</v>
      </c>
      <c r="AS191" s="36" t="s">
        <v>1427</v>
      </c>
      <c r="AT191" s="11" t="s">
        <v>59</v>
      </c>
      <c r="AU191" s="11"/>
      <c r="AV191" s="13" t="s">
        <v>58</v>
      </c>
      <c r="AW191" s="14"/>
      <c r="AX191" s="44">
        <v>46058</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1336</v>
      </c>
      <c r="E192" s="26">
        <v>87220</v>
      </c>
      <c r="F192" s="10" t="s">
        <v>1337</v>
      </c>
      <c r="G192" s="39" t="str">
        <f>Tableau1[[#This Row],[Rue]]&amp;CHAR(10)&amp;Tableau1[[#This Row],[Code Postal]]&amp;" - "&amp;Tableau1[[#This Row],[Ville]]</f>
        <v>Centre commercial Boisseuil
Route de Toulouse
87220 - Boisseuil</v>
      </c>
      <c r="H192" s="15" t="s">
        <v>1335</v>
      </c>
      <c r="I192" s="12" t="s">
        <v>37</v>
      </c>
      <c r="J192" s="12" t="s">
        <v>39</v>
      </c>
      <c r="K192" s="10" t="s">
        <v>87</v>
      </c>
      <c r="L192" s="10"/>
      <c r="M192" s="12" t="s">
        <v>87</v>
      </c>
      <c r="N192" s="36" t="s">
        <v>1339</v>
      </c>
      <c r="O192" s="34">
        <v>105</v>
      </c>
      <c r="P192" s="12"/>
      <c r="Q192" s="34">
        <v>222</v>
      </c>
      <c r="R192" s="34" t="s">
        <v>87</v>
      </c>
      <c r="S192" s="34" t="s">
        <v>87</v>
      </c>
      <c r="T192" s="12">
        <f>Tableau1[[#This Row],[Loyer €/m²]]*Tableau1[[#This Row],[Surface GLA]]</f>
        <v>31500</v>
      </c>
      <c r="U192" s="12">
        <f>IFERROR(Tableau1[[#This Row],[Loyer annuel]]/12,"")</f>
        <v>2625</v>
      </c>
      <c r="V192" s="12">
        <v>300</v>
      </c>
      <c r="W192" s="50">
        <v>0.08</v>
      </c>
      <c r="X192" s="6">
        <f>Tableau1[[#This Row],[Charges €/m²]]*Tableau1[[#This Row],[Surface GLA]]</f>
        <v>7350</v>
      </c>
      <c r="Y192" s="12">
        <f>Tableau1[[#This Row],[Charges annuelles]]/12</f>
        <v>612.5</v>
      </c>
      <c r="Z192" s="12">
        <v>70</v>
      </c>
      <c r="AA192" s="12">
        <f>IFERROR(Tableau1[[#This Row],[Taxe foncière €/m²]]*Tableau1[[#This Row],[Surface GLA]],)</f>
        <v>1680</v>
      </c>
      <c r="AB192" s="12">
        <v>16</v>
      </c>
      <c r="AC192" s="12">
        <f>IFERROR(Tableau1[[#This Row],[Marketing €/m²]]*Tableau1[[#This Row],[Surface GLA]],)</f>
        <v>3885</v>
      </c>
      <c r="AD192" s="12">
        <v>37</v>
      </c>
      <c r="AE192" s="12">
        <f>IFERROR(Tableau1[[#This Row],[Loyer annuel]]+Tableau1[[#This Row],[Charges annuelles]]+Tableau1[[#This Row],[Taxe foncière]]+Tableau1[[#This Row],[Marketing]],"")</f>
        <v>44415</v>
      </c>
      <c r="AF192" s="12" t="str">
        <f t="shared" si="11"/>
        <v>3 mois = 7 875 €</v>
      </c>
      <c r="AG192" s="6" t="s">
        <v>87</v>
      </c>
      <c r="AH192" s="51">
        <v>2.5000000000000001E-2</v>
      </c>
      <c r="AI192" s="12" t="s">
        <v>361</v>
      </c>
      <c r="AJ192" s="10" t="s">
        <v>59</v>
      </c>
      <c r="AK192" s="10" t="s">
        <v>352</v>
      </c>
      <c r="AL192" s="10" t="s">
        <v>1377</v>
      </c>
      <c r="AM192" s="11" t="s">
        <v>1388</v>
      </c>
      <c r="AN192" s="11" t="s">
        <v>1428</v>
      </c>
      <c r="AO192" s="5" t="s">
        <v>350</v>
      </c>
      <c r="AP192" s="11" t="s">
        <v>1383</v>
      </c>
      <c r="AQ192" s="11" t="s">
        <v>1384</v>
      </c>
      <c r="AR192" s="11" t="s">
        <v>1357</v>
      </c>
      <c r="AS192" s="36" t="s">
        <v>1427</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1336</v>
      </c>
      <c r="E193" s="26">
        <v>87220</v>
      </c>
      <c r="F193" s="10" t="s">
        <v>1337</v>
      </c>
      <c r="G193" s="39" t="str">
        <f>Tableau1[[#This Row],[Rue]]&amp;CHAR(10)&amp;Tableau1[[#This Row],[Code Postal]]&amp;" - "&amp;Tableau1[[#This Row],[Ville]]</f>
        <v>Centre commercial Boisseuil
Route de Toulouse
87220 - Boisseuil</v>
      </c>
      <c r="H193" s="15" t="s">
        <v>1335</v>
      </c>
      <c r="I193" s="12" t="s">
        <v>37</v>
      </c>
      <c r="J193" s="12" t="s">
        <v>39</v>
      </c>
      <c r="K193" s="10" t="s">
        <v>87</v>
      </c>
      <c r="L193" s="10"/>
      <c r="M193" s="12" t="s">
        <v>87</v>
      </c>
      <c r="N193" s="36">
        <v>12</v>
      </c>
      <c r="O193" s="34">
        <v>117</v>
      </c>
      <c r="P193" s="12"/>
      <c r="Q193" s="34">
        <v>222</v>
      </c>
      <c r="R193" s="34" t="s">
        <v>87</v>
      </c>
      <c r="S193" s="34" t="s">
        <v>87</v>
      </c>
      <c r="T193" s="12">
        <f>Tableau1[[#This Row],[Loyer €/m²]]*Tableau1[[#This Row],[Surface GLA]]</f>
        <v>46800</v>
      </c>
      <c r="U193" s="12">
        <f>IFERROR(Tableau1[[#This Row],[Loyer annuel]]/12,"")</f>
        <v>3900</v>
      </c>
      <c r="V193" s="12">
        <v>400</v>
      </c>
      <c r="W193" s="50">
        <v>0.08</v>
      </c>
      <c r="X193" s="6">
        <f>Tableau1[[#This Row],[Charges €/m²]]*Tableau1[[#This Row],[Surface GLA]]</f>
        <v>8190</v>
      </c>
      <c r="Y193" s="12">
        <f>Tableau1[[#This Row],[Charges annuelles]]/12</f>
        <v>682.5</v>
      </c>
      <c r="Z193" s="12">
        <v>70</v>
      </c>
      <c r="AA193" s="12">
        <f>IFERROR(Tableau1[[#This Row],[Taxe foncière €/m²]]*Tableau1[[#This Row],[Surface GLA]],)</f>
        <v>1872</v>
      </c>
      <c r="AB193" s="12">
        <v>16</v>
      </c>
      <c r="AC193" s="12">
        <f>IFERROR(Tableau1[[#This Row],[Marketing €/m²]]*Tableau1[[#This Row],[Surface GLA]],)</f>
        <v>4329</v>
      </c>
      <c r="AD193" s="12">
        <v>37</v>
      </c>
      <c r="AE193" s="12">
        <f>IFERROR(Tableau1[[#This Row],[Loyer annuel]]+Tableau1[[#This Row],[Charges annuelles]]+Tableau1[[#This Row],[Taxe foncière]]+Tableau1[[#This Row],[Marketing]],"")</f>
        <v>61191</v>
      </c>
      <c r="AF193" s="12" t="str">
        <f t="shared" si="11"/>
        <v>3 mois = 11 700 €</v>
      </c>
      <c r="AG193" s="6" t="s">
        <v>87</v>
      </c>
      <c r="AH193" s="51">
        <v>2.5000000000000001E-2</v>
      </c>
      <c r="AI193" s="12" t="s">
        <v>346</v>
      </c>
      <c r="AJ193" s="10" t="s">
        <v>358</v>
      </c>
      <c r="AK193" s="10" t="s">
        <v>352</v>
      </c>
      <c r="AL193" s="10" t="s">
        <v>1377</v>
      </c>
      <c r="AM193" s="11" t="s">
        <v>1388</v>
      </c>
      <c r="AN193" s="11" t="s">
        <v>1428</v>
      </c>
      <c r="AO193" s="5" t="s">
        <v>350</v>
      </c>
      <c r="AP193" s="11" t="s">
        <v>1385</v>
      </c>
      <c r="AQ193" s="11" t="s">
        <v>1386</v>
      </c>
      <c r="AR193" s="11" t="s">
        <v>1358</v>
      </c>
      <c r="AS193" s="36" t="s">
        <v>1427</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1336</v>
      </c>
      <c r="E194" s="26">
        <v>87220</v>
      </c>
      <c r="F194" s="10" t="s">
        <v>1337</v>
      </c>
      <c r="G194" s="39" t="str">
        <f>Tableau1[[#This Row],[Rue]]&amp;CHAR(10)&amp;Tableau1[[#This Row],[Code Postal]]&amp;" - "&amp;Tableau1[[#This Row],[Ville]]</f>
        <v>Centre commercial Boisseuil
Route de Toulouse
87220 - Boisseuil</v>
      </c>
      <c r="H194" s="15" t="s">
        <v>1335</v>
      </c>
      <c r="I194" s="12" t="s">
        <v>37</v>
      </c>
      <c r="J194" s="12" t="s">
        <v>39</v>
      </c>
      <c r="K194" s="10" t="s">
        <v>87</v>
      </c>
      <c r="L194" s="10"/>
      <c r="M194" s="12" t="s">
        <v>87</v>
      </c>
      <c r="N194" s="36" t="s">
        <v>1387</v>
      </c>
      <c r="O194" s="34">
        <v>124</v>
      </c>
      <c r="P194" s="12"/>
      <c r="Q194" s="34">
        <v>209</v>
      </c>
      <c r="R194" s="34" t="s">
        <v>87</v>
      </c>
      <c r="S194" s="34" t="s">
        <v>87</v>
      </c>
      <c r="T194" s="12">
        <f>Tableau1[[#This Row],[Loyer €/m²]]*Tableau1[[#This Row],[Surface GLA]]</f>
        <v>64480</v>
      </c>
      <c r="U194" s="12">
        <f>IFERROR(Tableau1[[#This Row],[Loyer annuel]]/12,"")</f>
        <v>5373.333333333333</v>
      </c>
      <c r="V194" s="12">
        <v>520</v>
      </c>
      <c r="W194" s="50">
        <v>0.08</v>
      </c>
      <c r="X194" s="6">
        <f>Tableau1[[#This Row],[Charges €/m²]]*Tableau1[[#This Row],[Surface GLA]]</f>
        <v>8680</v>
      </c>
      <c r="Y194" s="12">
        <f>Tableau1[[#This Row],[Charges annuelles]]/12</f>
        <v>723.33333333333337</v>
      </c>
      <c r="Z194" s="12">
        <v>70</v>
      </c>
      <c r="AA194" s="12">
        <f>IFERROR(Tableau1[[#This Row],[Taxe foncière €/m²]]*Tableau1[[#This Row],[Surface GLA]],)</f>
        <v>1984</v>
      </c>
      <c r="AB194" s="12">
        <v>16</v>
      </c>
      <c r="AC194" s="12">
        <f>IFERROR(Tableau1[[#This Row],[Marketing €/m²]]*Tableau1[[#This Row],[Surface GLA]],)</f>
        <v>4588</v>
      </c>
      <c r="AD194" s="12">
        <v>37</v>
      </c>
      <c r="AE194" s="12">
        <f>IFERROR(Tableau1[[#This Row],[Loyer annuel]]+Tableau1[[#This Row],[Charges annuelles]]+Tableau1[[#This Row],[Taxe foncière]]+Tableau1[[#This Row],[Marketing]],"")</f>
        <v>79732</v>
      </c>
      <c r="AF194" s="12" t="str">
        <f t="shared" si="11"/>
        <v>3 mois = 16 120 €</v>
      </c>
      <c r="AG194" s="6" t="s">
        <v>87</v>
      </c>
      <c r="AH194" s="51">
        <v>2.5000000000000001E-2</v>
      </c>
      <c r="AI194" s="12" t="s">
        <v>346</v>
      </c>
      <c r="AJ194" s="10" t="s">
        <v>358</v>
      </c>
      <c r="AK194" s="10" t="s">
        <v>352</v>
      </c>
      <c r="AL194" s="10" t="s">
        <v>1377</v>
      </c>
      <c r="AM194" s="11" t="s">
        <v>1388</v>
      </c>
      <c r="AN194" s="11" t="s">
        <v>1428</v>
      </c>
      <c r="AO194" s="5" t="s">
        <v>350</v>
      </c>
      <c r="AP194" s="11" t="s">
        <v>1390</v>
      </c>
      <c r="AQ194" s="11" t="s">
        <v>1391</v>
      </c>
      <c r="AR194" s="11" t="s">
        <v>1359</v>
      </c>
      <c r="AS194" s="36" t="s">
        <v>1427</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1336</v>
      </c>
      <c r="E195" s="26">
        <v>87220</v>
      </c>
      <c r="F195" s="10" t="s">
        <v>1337</v>
      </c>
      <c r="G195" s="39" t="str">
        <f>Tableau1[[#This Row],[Rue]]&amp;CHAR(10)&amp;Tableau1[[#This Row],[Code Postal]]&amp;" - "&amp;Tableau1[[#This Row],[Ville]]</f>
        <v>Centre commercial Boisseuil
Route de Toulouse
87220 - Boisseuil</v>
      </c>
      <c r="H195" s="15" t="s">
        <v>1335</v>
      </c>
      <c r="I195" s="12" t="s">
        <v>37</v>
      </c>
      <c r="J195" s="12" t="s">
        <v>39</v>
      </c>
      <c r="K195" s="10" t="s">
        <v>87</v>
      </c>
      <c r="L195" s="10"/>
      <c r="M195" s="12" t="s">
        <v>87</v>
      </c>
      <c r="N195" s="36" t="s">
        <v>1340</v>
      </c>
      <c r="O195" s="34">
        <v>54</v>
      </c>
      <c r="P195" s="12" t="s">
        <v>1350</v>
      </c>
      <c r="Q195" s="34">
        <v>209</v>
      </c>
      <c r="R195" s="34" t="s">
        <v>87</v>
      </c>
      <c r="S195" s="34" t="s">
        <v>87</v>
      </c>
      <c r="T195" s="12">
        <f>Tableau1[[#This Row],[Loyer €/m²]]*Tableau1[[#This Row],[Surface GLA]]</f>
        <v>28080</v>
      </c>
      <c r="U195" s="12">
        <f>IFERROR(Tableau1[[#This Row],[Loyer annuel]]/12,"")</f>
        <v>2340</v>
      </c>
      <c r="V195" s="12">
        <v>520</v>
      </c>
      <c r="W195" s="50">
        <v>0.08</v>
      </c>
      <c r="X195" s="6">
        <f>Tableau1[[#This Row],[Charges €/m²]]*Tableau1[[#This Row],[Surface GLA]]</f>
        <v>3780</v>
      </c>
      <c r="Y195" s="12">
        <f>Tableau1[[#This Row],[Charges annuelles]]/12</f>
        <v>315</v>
      </c>
      <c r="Z195" s="12">
        <v>70</v>
      </c>
      <c r="AA195" s="12">
        <f>IFERROR(Tableau1[[#This Row],[Taxe foncière €/m²]]*Tableau1[[#This Row],[Surface GLA]],)</f>
        <v>864</v>
      </c>
      <c r="AB195" s="12">
        <v>16</v>
      </c>
      <c r="AC195" s="12">
        <f>IFERROR(Tableau1[[#This Row],[Marketing €/m²]]*Tableau1[[#This Row],[Surface GLA]],)</f>
        <v>1998</v>
      </c>
      <c r="AD195" s="12">
        <v>37</v>
      </c>
      <c r="AE195" s="12">
        <f>IFERROR(Tableau1[[#This Row],[Loyer annuel]]+Tableau1[[#This Row],[Charges annuelles]]+Tableau1[[#This Row],[Taxe foncière]]+Tableau1[[#This Row],[Marketing]],"")</f>
        <v>34722</v>
      </c>
      <c r="AF195" s="12" t="str">
        <f t="shared" si="11"/>
        <v>3 mois = 7 020 €</v>
      </c>
      <c r="AG195" s="6" t="s">
        <v>87</v>
      </c>
      <c r="AH195" s="51">
        <v>2.5000000000000001E-2</v>
      </c>
      <c r="AI195" s="12" t="s">
        <v>346</v>
      </c>
      <c r="AJ195" s="10" t="s">
        <v>358</v>
      </c>
      <c r="AK195" s="10" t="s">
        <v>352</v>
      </c>
      <c r="AL195" s="10" t="s">
        <v>1377</v>
      </c>
      <c r="AM195" s="11" t="s">
        <v>1388</v>
      </c>
      <c r="AN195" s="11" t="s">
        <v>1428</v>
      </c>
      <c r="AO195" s="5" t="s">
        <v>350</v>
      </c>
      <c r="AP195" s="11" t="s">
        <v>1379</v>
      </c>
      <c r="AQ195" s="11" t="s">
        <v>1392</v>
      </c>
      <c r="AR195" s="11" t="s">
        <v>1360</v>
      </c>
      <c r="AS195" s="36" t="s">
        <v>1427</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1336</v>
      </c>
      <c r="E196" s="26">
        <v>87220</v>
      </c>
      <c r="F196" s="10" t="s">
        <v>1337</v>
      </c>
      <c r="G196" s="39" t="str">
        <f>Tableau1[[#This Row],[Rue]]&amp;CHAR(10)&amp;Tableau1[[#This Row],[Code Postal]]&amp;" - "&amp;Tableau1[[#This Row],[Ville]]</f>
        <v>Centre commercial Boisseuil
Route de Toulouse
87220 - Boisseuil</v>
      </c>
      <c r="H196" s="15" t="s">
        <v>1335</v>
      </c>
      <c r="I196" s="12" t="s">
        <v>37</v>
      </c>
      <c r="J196" s="12" t="s">
        <v>39</v>
      </c>
      <c r="K196" s="10" t="s">
        <v>87</v>
      </c>
      <c r="L196" s="10"/>
      <c r="M196" s="12" t="s">
        <v>87</v>
      </c>
      <c r="N196" s="36" t="s">
        <v>1341</v>
      </c>
      <c r="O196" s="34">
        <v>31</v>
      </c>
      <c r="P196" s="12"/>
      <c r="Q196" s="34">
        <v>209</v>
      </c>
      <c r="R196" s="34" t="s">
        <v>87</v>
      </c>
      <c r="S196" s="34" t="s">
        <v>87</v>
      </c>
      <c r="T196" s="12">
        <f>Tableau1[[#This Row],[Loyer €/m²]]*Tableau1[[#This Row],[Surface GLA]]</f>
        <v>16120</v>
      </c>
      <c r="U196" s="12">
        <f>IFERROR(Tableau1[[#This Row],[Loyer annuel]]/12,"")</f>
        <v>1343.3333333333333</v>
      </c>
      <c r="V196" s="12">
        <v>520</v>
      </c>
      <c r="W196" s="50">
        <v>0.08</v>
      </c>
      <c r="X196" s="6">
        <f>Tableau1[[#This Row],[Charges €/m²]]*Tableau1[[#This Row],[Surface GLA]]</f>
        <v>2170</v>
      </c>
      <c r="Y196" s="12">
        <f>Tableau1[[#This Row],[Charges annuelles]]/12</f>
        <v>180.83333333333334</v>
      </c>
      <c r="Z196" s="12">
        <v>70</v>
      </c>
      <c r="AA196" s="12">
        <f>IFERROR(Tableau1[[#This Row],[Taxe foncière €/m²]]*Tableau1[[#This Row],[Surface GLA]],)</f>
        <v>496</v>
      </c>
      <c r="AB196" s="12">
        <v>16</v>
      </c>
      <c r="AC196" s="12">
        <f>IFERROR(Tableau1[[#This Row],[Marketing €/m²]]*Tableau1[[#This Row],[Surface GLA]],)</f>
        <v>1147</v>
      </c>
      <c r="AD196" s="12">
        <v>37</v>
      </c>
      <c r="AE196" s="12">
        <f>IFERROR(Tableau1[[#This Row],[Loyer annuel]]+Tableau1[[#This Row],[Charges annuelles]]+Tableau1[[#This Row],[Taxe foncière]]+Tableau1[[#This Row],[Marketing]],"")</f>
        <v>19933</v>
      </c>
      <c r="AF196" s="12" t="str">
        <f t="shared" si="11"/>
        <v>3 mois = 4 030 €</v>
      </c>
      <c r="AG196" s="6" t="s">
        <v>87</v>
      </c>
      <c r="AH196" s="51">
        <v>2.5000000000000001E-2</v>
      </c>
      <c r="AI196" s="12" t="s">
        <v>346</v>
      </c>
      <c r="AJ196" s="10" t="s">
        <v>358</v>
      </c>
      <c r="AK196" s="10" t="s">
        <v>352</v>
      </c>
      <c r="AL196" s="10" t="s">
        <v>1377</v>
      </c>
      <c r="AM196" s="11" t="s">
        <v>1388</v>
      </c>
      <c r="AN196" s="11" t="s">
        <v>1428</v>
      </c>
      <c r="AO196" s="5" t="s">
        <v>350</v>
      </c>
      <c r="AP196" s="11" t="s">
        <v>1393</v>
      </c>
      <c r="AQ196" s="11" t="s">
        <v>1394</v>
      </c>
      <c r="AR196" s="11" t="s">
        <v>1361</v>
      </c>
      <c r="AS196" s="36" t="s">
        <v>1427</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1336</v>
      </c>
      <c r="E197" s="26">
        <v>87220</v>
      </c>
      <c r="F197" s="10" t="s">
        <v>1337</v>
      </c>
      <c r="G197" s="39" t="str">
        <f>Tableau1[[#This Row],[Rue]]&amp;CHAR(10)&amp;Tableau1[[#This Row],[Code Postal]]&amp;" - "&amp;Tableau1[[#This Row],[Ville]]</f>
        <v>Centre commercial Boisseuil
Route de Toulouse
87220 - Boisseuil</v>
      </c>
      <c r="H197" s="15" t="s">
        <v>1335</v>
      </c>
      <c r="I197" s="12" t="s">
        <v>37</v>
      </c>
      <c r="J197" s="12" t="s">
        <v>39</v>
      </c>
      <c r="K197" s="10" t="s">
        <v>87</v>
      </c>
      <c r="L197" s="10"/>
      <c r="M197" s="12" t="s">
        <v>87</v>
      </c>
      <c r="N197" s="36" t="s">
        <v>572</v>
      </c>
      <c r="O197" s="34">
        <v>77</v>
      </c>
      <c r="P197" s="12"/>
      <c r="Q197" s="34"/>
      <c r="R197" s="34" t="s">
        <v>87</v>
      </c>
      <c r="S197" s="34" t="s">
        <v>87</v>
      </c>
      <c r="T197" s="12">
        <f>Tableau1[[#This Row],[Loyer €/m²]]*Tableau1[[#This Row],[Surface GLA]]</f>
        <v>34650</v>
      </c>
      <c r="U197" s="12">
        <f>IFERROR(Tableau1[[#This Row],[Loyer annuel]]/12,"")</f>
        <v>2887.5</v>
      </c>
      <c r="V197" s="12">
        <v>450</v>
      </c>
      <c r="W197" s="50">
        <v>0.08</v>
      </c>
      <c r="X197" s="6">
        <f>Tableau1[[#This Row],[Charges €/m²]]*Tableau1[[#This Row],[Surface GLA]]</f>
        <v>5390</v>
      </c>
      <c r="Y197" s="12">
        <f>Tableau1[[#This Row],[Charges annuelles]]/12</f>
        <v>449.16666666666669</v>
      </c>
      <c r="Z197" s="12">
        <v>70</v>
      </c>
      <c r="AA197" s="12">
        <f>IFERROR(Tableau1[[#This Row],[Taxe foncière €/m²]]*Tableau1[[#This Row],[Surface GLA]],)</f>
        <v>1232</v>
      </c>
      <c r="AB197" s="12">
        <v>16</v>
      </c>
      <c r="AC197" s="12">
        <f>IFERROR(Tableau1[[#This Row],[Marketing €/m²]]*Tableau1[[#This Row],[Surface GLA]],)</f>
        <v>2849</v>
      </c>
      <c r="AD197" s="12">
        <v>37</v>
      </c>
      <c r="AE197" s="12">
        <f>IFERROR(Tableau1[[#This Row],[Loyer annuel]]+Tableau1[[#This Row],[Charges annuelles]]+Tableau1[[#This Row],[Taxe foncière]]+Tableau1[[#This Row],[Marketing]],"")</f>
        <v>44121</v>
      </c>
      <c r="AF197" s="12" t="str">
        <f t="shared" si="11"/>
        <v>3 mois = 8 663 €</v>
      </c>
      <c r="AG197" s="6" t="s">
        <v>87</v>
      </c>
      <c r="AH197" s="51">
        <v>2.5000000000000001E-2</v>
      </c>
      <c r="AI197" s="12" t="s">
        <v>346</v>
      </c>
      <c r="AJ197" s="10" t="s">
        <v>358</v>
      </c>
      <c r="AK197" s="10" t="s">
        <v>352</v>
      </c>
      <c r="AL197" s="10" t="s">
        <v>1377</v>
      </c>
      <c r="AM197" s="11" t="s">
        <v>1388</v>
      </c>
      <c r="AN197" s="11" t="s">
        <v>1428</v>
      </c>
      <c r="AO197" s="5" t="s">
        <v>350</v>
      </c>
      <c r="AP197" s="11" t="s">
        <v>1395</v>
      </c>
      <c r="AQ197" s="11" t="s">
        <v>1396</v>
      </c>
      <c r="AR197" s="11" t="s">
        <v>1362</v>
      </c>
      <c r="AS197" s="36" t="s">
        <v>1427</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1336</v>
      </c>
      <c r="E198" s="26">
        <v>87220</v>
      </c>
      <c r="F198" s="10" t="s">
        <v>1337</v>
      </c>
      <c r="G198" s="39" t="str">
        <f>Tableau1[[#This Row],[Rue]]&amp;CHAR(10)&amp;Tableau1[[#This Row],[Code Postal]]&amp;" - "&amp;Tableau1[[#This Row],[Ville]]</f>
        <v>Centre commercial Boisseuil
Route de Toulouse
87220 - Boisseuil</v>
      </c>
      <c r="H198" s="15" t="s">
        <v>1335</v>
      </c>
      <c r="I198" s="12" t="s">
        <v>37</v>
      </c>
      <c r="J198" s="12" t="s">
        <v>39</v>
      </c>
      <c r="K198" s="10" t="s">
        <v>87</v>
      </c>
      <c r="L198" s="10"/>
      <c r="M198" s="12" t="s">
        <v>87</v>
      </c>
      <c r="N198" s="36">
        <v>23</v>
      </c>
      <c r="O198" s="34">
        <v>151</v>
      </c>
      <c r="P198" s="12"/>
      <c r="Q198" s="34">
        <v>454</v>
      </c>
      <c r="R198" s="34" t="s">
        <v>87</v>
      </c>
      <c r="S198" s="34" t="s">
        <v>87</v>
      </c>
      <c r="T198" s="12">
        <f>Tableau1[[#This Row],[Loyer €/m²]]*Tableau1[[#This Row],[Surface GLA]]</f>
        <v>52850</v>
      </c>
      <c r="U198" s="12">
        <f>IFERROR(Tableau1[[#This Row],[Loyer annuel]]/12,"")</f>
        <v>4404.166666666667</v>
      </c>
      <c r="V198" s="12">
        <v>350</v>
      </c>
      <c r="W198" s="50">
        <v>0.08</v>
      </c>
      <c r="X198" s="6">
        <f>Tableau1[[#This Row],[Charges €/m²]]*Tableau1[[#This Row],[Surface GLA]]</f>
        <v>10570</v>
      </c>
      <c r="Y198" s="12">
        <f>Tableau1[[#This Row],[Charges annuelles]]/12</f>
        <v>880.83333333333337</v>
      </c>
      <c r="Z198" s="12">
        <v>70</v>
      </c>
      <c r="AA198" s="12">
        <f>IFERROR(Tableau1[[#This Row],[Taxe foncière €/m²]]*Tableau1[[#This Row],[Surface GLA]],)</f>
        <v>2416</v>
      </c>
      <c r="AB198" s="12">
        <v>16</v>
      </c>
      <c r="AC198" s="12">
        <f>IFERROR(Tableau1[[#This Row],[Marketing €/m²]]*Tableau1[[#This Row],[Surface GLA]],)</f>
        <v>5587</v>
      </c>
      <c r="AD198" s="12">
        <v>37</v>
      </c>
      <c r="AE198" s="12">
        <f>IFERROR(Tableau1[[#This Row],[Loyer annuel]]+Tableau1[[#This Row],[Charges annuelles]]+Tableau1[[#This Row],[Taxe foncière]]+Tableau1[[#This Row],[Marketing]],"")</f>
        <v>71423</v>
      </c>
      <c r="AF198" s="12" t="str">
        <f t="shared" si="11"/>
        <v>3 mois = 13 213 €</v>
      </c>
      <c r="AG198" s="6" t="s">
        <v>87</v>
      </c>
      <c r="AH198" s="51">
        <v>2.5000000000000001E-2</v>
      </c>
      <c r="AI198" s="12" t="s">
        <v>346</v>
      </c>
      <c r="AJ198" s="10" t="s">
        <v>358</v>
      </c>
      <c r="AK198" s="10" t="s">
        <v>352</v>
      </c>
      <c r="AL198" s="10" t="s">
        <v>1377</v>
      </c>
      <c r="AM198" s="11" t="s">
        <v>1388</v>
      </c>
      <c r="AN198" s="11" t="s">
        <v>1428</v>
      </c>
      <c r="AO198" s="5" t="s">
        <v>350</v>
      </c>
      <c r="AP198" s="11" t="s">
        <v>1397</v>
      </c>
      <c r="AQ198" s="11" t="s">
        <v>1398</v>
      </c>
      <c r="AR198" s="11" t="s">
        <v>1363</v>
      </c>
      <c r="AS198" s="36" t="s">
        <v>1427</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1336</v>
      </c>
      <c r="E199" s="26">
        <v>87220</v>
      </c>
      <c r="F199" s="10" t="s">
        <v>1337</v>
      </c>
      <c r="G199" s="39" t="str">
        <f>Tableau1[[#This Row],[Rue]]&amp;CHAR(10)&amp;Tableau1[[#This Row],[Code Postal]]&amp;" - "&amp;Tableau1[[#This Row],[Ville]]</f>
        <v>Centre commercial Boisseuil
Route de Toulouse
87220 - Boisseuil</v>
      </c>
      <c r="H199" s="15" t="s">
        <v>1335</v>
      </c>
      <c r="I199" s="12" t="s">
        <v>37</v>
      </c>
      <c r="J199" s="12" t="s">
        <v>39</v>
      </c>
      <c r="K199" s="10" t="s">
        <v>87</v>
      </c>
      <c r="L199" s="10"/>
      <c r="M199" s="12" t="s">
        <v>87</v>
      </c>
      <c r="N199" s="36">
        <v>25</v>
      </c>
      <c r="O199" s="34">
        <v>303</v>
      </c>
      <c r="P199" s="12"/>
      <c r="Q199" s="34">
        <v>454</v>
      </c>
      <c r="R199" s="34" t="s">
        <v>87</v>
      </c>
      <c r="S199" s="34" t="s">
        <v>87</v>
      </c>
      <c r="T199" s="12">
        <f>Tableau1[[#This Row],[Loyer €/m²]]*Tableau1[[#This Row],[Surface GLA]]</f>
        <v>106050</v>
      </c>
      <c r="U199" s="12">
        <f>IFERROR(Tableau1[[#This Row],[Loyer annuel]]/12,"")</f>
        <v>8837.5</v>
      </c>
      <c r="V199" s="12">
        <v>350</v>
      </c>
      <c r="W199" s="50">
        <v>0.08</v>
      </c>
      <c r="X199" s="6">
        <f>Tableau1[[#This Row],[Charges €/m²]]*Tableau1[[#This Row],[Surface GLA]]</f>
        <v>21210</v>
      </c>
      <c r="Y199" s="12">
        <f>Tableau1[[#This Row],[Charges annuelles]]/12</f>
        <v>1767.5</v>
      </c>
      <c r="Z199" s="12">
        <v>70</v>
      </c>
      <c r="AA199" s="12">
        <f>IFERROR(Tableau1[[#This Row],[Taxe foncière €/m²]]*Tableau1[[#This Row],[Surface GLA]],)</f>
        <v>4848</v>
      </c>
      <c r="AB199" s="12">
        <v>16</v>
      </c>
      <c r="AC199" s="12">
        <f>IFERROR(Tableau1[[#This Row],[Marketing €/m²]]*Tableau1[[#This Row],[Surface GLA]],)</f>
        <v>11211</v>
      </c>
      <c r="AD199" s="12">
        <v>37</v>
      </c>
      <c r="AE199" s="12">
        <f>IFERROR(Tableau1[[#This Row],[Loyer annuel]]+Tableau1[[#This Row],[Charges annuelles]]+Tableau1[[#This Row],[Taxe foncière]]+Tableau1[[#This Row],[Marketing]],"")</f>
        <v>143319</v>
      </c>
      <c r="AF199" s="12" t="str">
        <f t="shared" si="11"/>
        <v>3 mois = 26 513 €</v>
      </c>
      <c r="AG199" s="6" t="s">
        <v>87</v>
      </c>
      <c r="AH199" s="51">
        <v>2.5000000000000001E-2</v>
      </c>
      <c r="AI199" s="12" t="s">
        <v>361</v>
      </c>
      <c r="AJ199" s="10" t="s">
        <v>358</v>
      </c>
      <c r="AK199" s="10" t="s">
        <v>352</v>
      </c>
      <c r="AL199" s="10" t="s">
        <v>1377</v>
      </c>
      <c r="AM199" s="11" t="s">
        <v>1388</v>
      </c>
      <c r="AN199" s="11" t="s">
        <v>1428</v>
      </c>
      <c r="AO199" s="5" t="s">
        <v>350</v>
      </c>
      <c r="AP199" s="11" t="s">
        <v>1399</v>
      </c>
      <c r="AQ199" s="11" t="s">
        <v>1400</v>
      </c>
      <c r="AR199" s="11" t="s">
        <v>1364</v>
      </c>
      <c r="AS199" s="36" t="s">
        <v>1427</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1336</v>
      </c>
      <c r="E200" s="26">
        <v>87220</v>
      </c>
      <c r="F200" s="10" t="s">
        <v>1337</v>
      </c>
      <c r="G200" s="39" t="str">
        <f>Tableau1[[#This Row],[Rue]]&amp;CHAR(10)&amp;Tableau1[[#This Row],[Code Postal]]&amp;" - "&amp;Tableau1[[#This Row],[Ville]]</f>
        <v>Centre commercial Boisseuil
Route de Toulouse
87220 - Boisseuil</v>
      </c>
      <c r="H200" s="15" t="s">
        <v>1335</v>
      </c>
      <c r="I200" s="12" t="s">
        <v>37</v>
      </c>
      <c r="J200" s="12" t="s">
        <v>39</v>
      </c>
      <c r="K200" s="10" t="s">
        <v>87</v>
      </c>
      <c r="L200" s="10"/>
      <c r="M200" s="12" t="s">
        <v>87</v>
      </c>
      <c r="N200" s="36" t="s">
        <v>1342</v>
      </c>
      <c r="O200" s="34">
        <v>185</v>
      </c>
      <c r="P200" s="12"/>
      <c r="Q200" s="34"/>
      <c r="R200" s="34" t="s">
        <v>87</v>
      </c>
      <c r="S200" s="34" t="s">
        <v>87</v>
      </c>
      <c r="T200" s="12">
        <f>Tableau1[[#This Row],[Loyer €/m²]]*Tableau1[[#This Row],[Surface GLA]]</f>
        <v>62900</v>
      </c>
      <c r="U200" s="12">
        <f>IFERROR(Tableau1[[#This Row],[Loyer annuel]]/12,"")</f>
        <v>5241.666666666667</v>
      </c>
      <c r="V200" s="12">
        <v>340</v>
      </c>
      <c r="W200" s="50">
        <v>0.08</v>
      </c>
      <c r="X200" s="6">
        <f>Tableau1[[#This Row],[Charges €/m²]]*Tableau1[[#This Row],[Surface GLA]]</f>
        <v>12950</v>
      </c>
      <c r="Y200" s="12">
        <f>Tableau1[[#This Row],[Charges annuelles]]/12</f>
        <v>1079.1666666666667</v>
      </c>
      <c r="Z200" s="12">
        <v>70</v>
      </c>
      <c r="AA200" s="12">
        <f>IFERROR(Tableau1[[#This Row],[Taxe foncière €/m²]]*Tableau1[[#This Row],[Surface GLA]],)</f>
        <v>2960</v>
      </c>
      <c r="AB200" s="12">
        <v>16</v>
      </c>
      <c r="AC200" s="12">
        <f>IFERROR(Tableau1[[#This Row],[Marketing €/m²]]*Tableau1[[#This Row],[Surface GLA]],)</f>
        <v>6845</v>
      </c>
      <c r="AD200" s="12">
        <v>37</v>
      </c>
      <c r="AE200" s="12">
        <f>IFERROR(Tableau1[[#This Row],[Loyer annuel]]+Tableau1[[#This Row],[Charges annuelles]]+Tableau1[[#This Row],[Taxe foncière]]+Tableau1[[#This Row],[Marketing]],"")</f>
        <v>85655</v>
      </c>
      <c r="AF200" s="12" t="str">
        <f t="shared" si="11"/>
        <v>3 mois = 15 725 €</v>
      </c>
      <c r="AG200" s="6" t="s">
        <v>87</v>
      </c>
      <c r="AH200" s="51">
        <v>2.5000000000000001E-2</v>
      </c>
      <c r="AI200" s="12" t="s">
        <v>346</v>
      </c>
      <c r="AJ200" s="10" t="s">
        <v>358</v>
      </c>
      <c r="AK200" s="10" t="s">
        <v>352</v>
      </c>
      <c r="AL200" s="10" t="s">
        <v>1377</v>
      </c>
      <c r="AM200" s="11" t="s">
        <v>1388</v>
      </c>
      <c r="AN200" s="11" t="s">
        <v>1428</v>
      </c>
      <c r="AO200" s="5" t="s">
        <v>350</v>
      </c>
      <c r="AP200" s="11" t="s">
        <v>1401</v>
      </c>
      <c r="AQ200" s="11" t="s">
        <v>1402</v>
      </c>
      <c r="AR200" s="11" t="s">
        <v>1365</v>
      </c>
      <c r="AS200" s="36" t="s">
        <v>1427</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1336</v>
      </c>
      <c r="E201" s="26">
        <v>87220</v>
      </c>
      <c r="F201" s="10" t="s">
        <v>1337</v>
      </c>
      <c r="G201" s="39" t="str">
        <f>Tableau1[[#This Row],[Rue]]&amp;CHAR(10)&amp;Tableau1[[#This Row],[Code Postal]]&amp;" - "&amp;Tableau1[[#This Row],[Ville]]</f>
        <v>Centre commercial Boisseuil
Route de Toulouse
87220 - Boisseuil</v>
      </c>
      <c r="H201" s="15" t="s">
        <v>1335</v>
      </c>
      <c r="I201" s="12" t="s">
        <v>37</v>
      </c>
      <c r="J201" s="12" t="s">
        <v>39</v>
      </c>
      <c r="K201" s="10" t="s">
        <v>87</v>
      </c>
      <c r="L201" s="10"/>
      <c r="M201" s="12" t="s">
        <v>87</v>
      </c>
      <c r="N201" s="36" t="s">
        <v>1343</v>
      </c>
      <c r="O201" s="34">
        <v>106</v>
      </c>
      <c r="P201" s="12"/>
      <c r="Q201" s="34">
        <v>265</v>
      </c>
      <c r="R201" s="34" t="s">
        <v>87</v>
      </c>
      <c r="S201" s="34" t="s">
        <v>87</v>
      </c>
      <c r="T201" s="12">
        <f>Tableau1[[#This Row],[Loyer €/m²]]*Tableau1[[#This Row],[Surface GLA]]</f>
        <v>36040</v>
      </c>
      <c r="U201" s="12">
        <f>IFERROR(Tableau1[[#This Row],[Loyer annuel]]/12,"")</f>
        <v>3003.3333333333335</v>
      </c>
      <c r="V201" s="12">
        <v>340</v>
      </c>
      <c r="W201" s="50">
        <v>0.08</v>
      </c>
      <c r="X201" s="6">
        <f>Tableau1[[#This Row],[Charges €/m²]]*Tableau1[[#This Row],[Surface GLA]]</f>
        <v>7420</v>
      </c>
      <c r="Y201" s="12">
        <f>Tableau1[[#This Row],[Charges annuelles]]/12</f>
        <v>618.33333333333337</v>
      </c>
      <c r="Z201" s="12">
        <v>70</v>
      </c>
      <c r="AA201" s="12">
        <f>IFERROR(Tableau1[[#This Row],[Taxe foncière €/m²]]*Tableau1[[#This Row],[Surface GLA]],)</f>
        <v>1696</v>
      </c>
      <c r="AB201" s="12">
        <v>16</v>
      </c>
      <c r="AC201" s="12">
        <f>IFERROR(Tableau1[[#This Row],[Marketing €/m²]]*Tableau1[[#This Row],[Surface GLA]],)</f>
        <v>3922</v>
      </c>
      <c r="AD201" s="12">
        <v>37</v>
      </c>
      <c r="AE201" s="12">
        <f>IFERROR(Tableau1[[#This Row],[Loyer annuel]]+Tableau1[[#This Row],[Charges annuelles]]+Tableau1[[#This Row],[Taxe foncière]]+Tableau1[[#This Row],[Marketing]],"")</f>
        <v>49078</v>
      </c>
      <c r="AF201" s="12" t="str">
        <f t="shared" si="11"/>
        <v>3 mois = 9 010 €</v>
      </c>
      <c r="AG201" s="6" t="s">
        <v>87</v>
      </c>
      <c r="AH201" s="51">
        <v>2.5000000000000001E-2</v>
      </c>
      <c r="AI201" s="12" t="s">
        <v>361</v>
      </c>
      <c r="AJ201" s="10" t="s">
        <v>358</v>
      </c>
      <c r="AK201" s="10" t="s">
        <v>352</v>
      </c>
      <c r="AL201" s="10" t="s">
        <v>1377</v>
      </c>
      <c r="AM201" s="11" t="s">
        <v>1388</v>
      </c>
      <c r="AN201" s="11" t="s">
        <v>1428</v>
      </c>
      <c r="AO201" s="5" t="s">
        <v>350</v>
      </c>
      <c r="AP201" s="11" t="s">
        <v>1403</v>
      </c>
      <c r="AQ201" s="11" t="s">
        <v>1404</v>
      </c>
      <c r="AR201" s="11" t="s">
        <v>1366</v>
      </c>
      <c r="AS201" s="36" t="s">
        <v>1427</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1336</v>
      </c>
      <c r="E202" s="26">
        <v>87220</v>
      </c>
      <c r="F202" s="10" t="s">
        <v>1337</v>
      </c>
      <c r="G202" s="39" t="str">
        <f>Tableau1[[#This Row],[Rue]]&amp;CHAR(10)&amp;Tableau1[[#This Row],[Code Postal]]&amp;" - "&amp;Tableau1[[#This Row],[Ville]]</f>
        <v>Centre commercial Boisseuil
Route de Toulouse
87220 - Boisseuil</v>
      </c>
      <c r="H202" s="15" t="s">
        <v>1335</v>
      </c>
      <c r="I202" s="12" t="s">
        <v>37</v>
      </c>
      <c r="J202" s="12" t="s">
        <v>39</v>
      </c>
      <c r="K202" s="10" t="s">
        <v>87</v>
      </c>
      <c r="L202" s="10"/>
      <c r="M202" s="12" t="s">
        <v>87</v>
      </c>
      <c r="N202" s="36" t="s">
        <v>1344</v>
      </c>
      <c r="O202" s="34">
        <v>74</v>
      </c>
      <c r="P202" s="12"/>
      <c r="Q202" s="34">
        <v>265</v>
      </c>
      <c r="R202" s="34" t="s">
        <v>87</v>
      </c>
      <c r="S202" s="34" t="s">
        <v>87</v>
      </c>
      <c r="T202" s="12">
        <f>Tableau1[[#This Row],[Loyer €/m²]]*Tableau1[[#This Row],[Surface GLA]]</f>
        <v>25160</v>
      </c>
      <c r="U202" s="12">
        <f>IFERROR(Tableau1[[#This Row],[Loyer annuel]]/12,"")</f>
        <v>2096.6666666666665</v>
      </c>
      <c r="V202" s="12">
        <v>340</v>
      </c>
      <c r="W202" s="50">
        <v>0.08</v>
      </c>
      <c r="X202" s="6">
        <f>Tableau1[[#This Row],[Charges €/m²]]*Tableau1[[#This Row],[Surface GLA]]</f>
        <v>5180</v>
      </c>
      <c r="Y202" s="12">
        <f>Tableau1[[#This Row],[Charges annuelles]]/12</f>
        <v>431.66666666666669</v>
      </c>
      <c r="Z202" s="12">
        <v>70</v>
      </c>
      <c r="AA202" s="12">
        <f>IFERROR(Tableau1[[#This Row],[Taxe foncière €/m²]]*Tableau1[[#This Row],[Surface GLA]],)</f>
        <v>1184</v>
      </c>
      <c r="AB202" s="12">
        <v>16</v>
      </c>
      <c r="AC202" s="12">
        <f>IFERROR(Tableau1[[#This Row],[Marketing €/m²]]*Tableau1[[#This Row],[Surface GLA]],)</f>
        <v>2738</v>
      </c>
      <c r="AD202" s="12">
        <v>37</v>
      </c>
      <c r="AE202" s="12">
        <f>IFERROR(Tableau1[[#This Row],[Loyer annuel]]+Tableau1[[#This Row],[Charges annuelles]]+Tableau1[[#This Row],[Taxe foncière]]+Tableau1[[#This Row],[Marketing]],"")</f>
        <v>34262</v>
      </c>
      <c r="AF202" s="12" t="str">
        <f t="shared" si="11"/>
        <v>3 mois = 6 290 €</v>
      </c>
      <c r="AG202" s="6" t="s">
        <v>87</v>
      </c>
      <c r="AH202" s="51">
        <v>2.5000000000000001E-2</v>
      </c>
      <c r="AI202" s="12" t="s">
        <v>361</v>
      </c>
      <c r="AJ202" s="10" t="s">
        <v>358</v>
      </c>
      <c r="AK202" s="10" t="s">
        <v>352</v>
      </c>
      <c r="AL202" s="10" t="s">
        <v>1377</v>
      </c>
      <c r="AM202" s="11" t="s">
        <v>1388</v>
      </c>
      <c r="AN202" s="11" t="s">
        <v>1428</v>
      </c>
      <c r="AO202" s="5" t="s">
        <v>350</v>
      </c>
      <c r="AP202" s="11" t="s">
        <v>1405</v>
      </c>
      <c r="AQ202" s="11" t="s">
        <v>1406</v>
      </c>
      <c r="AR202" s="11" t="s">
        <v>1367</v>
      </c>
      <c r="AS202" s="36" t="s">
        <v>1427</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1336</v>
      </c>
      <c r="E203" s="26">
        <v>87220</v>
      </c>
      <c r="F203" s="10" t="s">
        <v>1337</v>
      </c>
      <c r="G203" s="39" t="str">
        <f>Tableau1[[#This Row],[Rue]]&amp;CHAR(10)&amp;Tableau1[[#This Row],[Code Postal]]&amp;" - "&amp;Tableau1[[#This Row],[Ville]]</f>
        <v>Centre commercial Boisseuil
Route de Toulouse
87220 - Boisseuil</v>
      </c>
      <c r="H203" s="15" t="s">
        <v>1335</v>
      </c>
      <c r="I203" s="12" t="s">
        <v>37</v>
      </c>
      <c r="J203" s="12" t="s">
        <v>39</v>
      </c>
      <c r="K203" s="10" t="s">
        <v>87</v>
      </c>
      <c r="L203" s="10"/>
      <c r="M203" s="12" t="s">
        <v>87</v>
      </c>
      <c r="N203" s="36" t="s">
        <v>1345</v>
      </c>
      <c r="O203" s="34">
        <v>85</v>
      </c>
      <c r="P203" s="12"/>
      <c r="Q203" s="34">
        <v>265</v>
      </c>
      <c r="R203" s="34" t="s">
        <v>87</v>
      </c>
      <c r="S203" s="34" t="s">
        <v>87</v>
      </c>
      <c r="T203" s="12">
        <f>Tableau1[[#This Row],[Loyer €/m²]]*Tableau1[[#This Row],[Surface GLA]]</f>
        <v>28900</v>
      </c>
      <c r="U203" s="12">
        <f>IFERROR(Tableau1[[#This Row],[Loyer annuel]]/12,"")</f>
        <v>2408.3333333333335</v>
      </c>
      <c r="V203" s="12">
        <v>340</v>
      </c>
      <c r="W203" s="50">
        <v>0.08</v>
      </c>
      <c r="X203" s="6">
        <f>Tableau1[[#This Row],[Charges €/m²]]*Tableau1[[#This Row],[Surface GLA]]</f>
        <v>5950</v>
      </c>
      <c r="Y203" s="12">
        <f>Tableau1[[#This Row],[Charges annuelles]]/12</f>
        <v>495.83333333333331</v>
      </c>
      <c r="Z203" s="12">
        <v>70</v>
      </c>
      <c r="AA203" s="12">
        <f>IFERROR(Tableau1[[#This Row],[Taxe foncière €/m²]]*Tableau1[[#This Row],[Surface GLA]],)</f>
        <v>1360</v>
      </c>
      <c r="AB203" s="12">
        <v>16</v>
      </c>
      <c r="AC203" s="12">
        <f>IFERROR(Tableau1[[#This Row],[Marketing €/m²]]*Tableau1[[#This Row],[Surface GLA]],)</f>
        <v>3145</v>
      </c>
      <c r="AD203" s="12">
        <v>37</v>
      </c>
      <c r="AE203" s="12">
        <f>IFERROR(Tableau1[[#This Row],[Loyer annuel]]+Tableau1[[#This Row],[Charges annuelles]]+Tableau1[[#This Row],[Taxe foncière]]+Tableau1[[#This Row],[Marketing]],"")</f>
        <v>39355</v>
      </c>
      <c r="AF203" s="12" t="str">
        <f t="shared" si="11"/>
        <v>3 mois = 7 225 €</v>
      </c>
      <c r="AG203" s="6" t="s">
        <v>87</v>
      </c>
      <c r="AH203" s="51">
        <v>2.5000000000000001E-2</v>
      </c>
      <c r="AI203" s="12" t="s">
        <v>346</v>
      </c>
      <c r="AJ203" s="10" t="s">
        <v>358</v>
      </c>
      <c r="AK203" s="10" t="s">
        <v>352</v>
      </c>
      <c r="AL203" s="10" t="s">
        <v>1377</v>
      </c>
      <c r="AM203" s="11" t="s">
        <v>1388</v>
      </c>
      <c r="AN203" s="11" t="s">
        <v>1428</v>
      </c>
      <c r="AO203" s="5" t="s">
        <v>350</v>
      </c>
      <c r="AP203" s="11" t="s">
        <v>1407</v>
      </c>
      <c r="AQ203" s="11" t="s">
        <v>1408</v>
      </c>
      <c r="AR203" s="11" t="s">
        <v>1368</v>
      </c>
      <c r="AS203" s="36" t="s">
        <v>1427</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1336</v>
      </c>
      <c r="E204" s="26">
        <v>87220</v>
      </c>
      <c r="F204" s="10" t="s">
        <v>1337</v>
      </c>
      <c r="G204" s="39" t="str">
        <f>Tableau1[[#This Row],[Rue]]&amp;CHAR(10)&amp;Tableau1[[#This Row],[Code Postal]]&amp;" - "&amp;Tableau1[[#This Row],[Ville]]</f>
        <v>Centre commercial Boisseuil
Route de Toulouse
87220 - Boisseuil</v>
      </c>
      <c r="H204" s="15" t="s">
        <v>1335</v>
      </c>
      <c r="I204" s="12" t="s">
        <v>37</v>
      </c>
      <c r="J204" s="12" t="s">
        <v>39</v>
      </c>
      <c r="K204" s="10" t="s">
        <v>87</v>
      </c>
      <c r="L204" s="10"/>
      <c r="M204" s="12" t="s">
        <v>87</v>
      </c>
      <c r="N204" s="36" t="s">
        <v>1346</v>
      </c>
      <c r="O204" s="34">
        <v>164</v>
      </c>
      <c r="P204" s="12"/>
      <c r="Q204" s="34"/>
      <c r="R204" s="34" t="s">
        <v>87</v>
      </c>
      <c r="S204" s="34" t="s">
        <v>87</v>
      </c>
      <c r="T204" s="12">
        <f>Tableau1[[#This Row],[Loyer €/m²]]*Tableau1[[#This Row],[Surface GLA]]</f>
        <v>55760</v>
      </c>
      <c r="U204" s="12">
        <f>IFERROR(Tableau1[[#This Row],[Loyer annuel]]/12,"")</f>
        <v>4646.666666666667</v>
      </c>
      <c r="V204" s="12">
        <v>340</v>
      </c>
      <c r="W204" s="50">
        <v>0.08</v>
      </c>
      <c r="X204" s="6">
        <f>Tableau1[[#This Row],[Charges €/m²]]*Tableau1[[#This Row],[Surface GLA]]</f>
        <v>11480</v>
      </c>
      <c r="Y204" s="12">
        <f>Tableau1[[#This Row],[Charges annuelles]]/12</f>
        <v>956.66666666666663</v>
      </c>
      <c r="Z204" s="12">
        <v>70</v>
      </c>
      <c r="AA204" s="12">
        <f>IFERROR(Tableau1[[#This Row],[Taxe foncière €/m²]]*Tableau1[[#This Row],[Surface GLA]],)</f>
        <v>2624</v>
      </c>
      <c r="AB204" s="12">
        <v>16</v>
      </c>
      <c r="AC204" s="12">
        <f>IFERROR(Tableau1[[#This Row],[Marketing €/m²]]*Tableau1[[#This Row],[Surface GLA]],)</f>
        <v>6068</v>
      </c>
      <c r="AD204" s="12">
        <v>37</v>
      </c>
      <c r="AE204" s="12">
        <f>IFERROR(Tableau1[[#This Row],[Loyer annuel]]+Tableau1[[#This Row],[Charges annuelles]]+Tableau1[[#This Row],[Taxe foncière]]+Tableau1[[#This Row],[Marketing]],"")</f>
        <v>75932</v>
      </c>
      <c r="AF204" s="12" t="str">
        <f t="shared" si="11"/>
        <v>3 mois = 13 940 €</v>
      </c>
      <c r="AG204" s="6" t="s">
        <v>87</v>
      </c>
      <c r="AH204" s="51">
        <v>2.5000000000000001E-2</v>
      </c>
      <c r="AI204" s="12" t="s">
        <v>346</v>
      </c>
      <c r="AJ204" s="10" t="s">
        <v>358</v>
      </c>
      <c r="AK204" s="10" t="s">
        <v>352</v>
      </c>
      <c r="AL204" s="10" t="s">
        <v>1377</v>
      </c>
      <c r="AM204" s="11" t="s">
        <v>1388</v>
      </c>
      <c r="AN204" s="11" t="s">
        <v>1428</v>
      </c>
      <c r="AO204" s="5" t="s">
        <v>350</v>
      </c>
      <c r="AP204" s="11" t="s">
        <v>1409</v>
      </c>
      <c r="AQ204" s="11" t="s">
        <v>1410</v>
      </c>
      <c r="AR204" s="11" t="s">
        <v>1369</v>
      </c>
      <c r="AS204" s="36" t="s">
        <v>1427</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1336</v>
      </c>
      <c r="E205" s="26">
        <v>87220</v>
      </c>
      <c r="F205" s="10" t="s">
        <v>1337</v>
      </c>
      <c r="G205" s="39" t="str">
        <f>Tableau1[[#This Row],[Rue]]&amp;CHAR(10)&amp;Tableau1[[#This Row],[Code Postal]]&amp;" - "&amp;Tableau1[[#This Row],[Ville]]</f>
        <v>Centre commercial Boisseuil
Route de Toulouse
87220 - Boisseuil</v>
      </c>
      <c r="H205" s="15" t="s">
        <v>1335</v>
      </c>
      <c r="I205" s="12" t="s">
        <v>37</v>
      </c>
      <c r="J205" s="12" t="s">
        <v>39</v>
      </c>
      <c r="K205" s="10" t="s">
        <v>87</v>
      </c>
      <c r="L205" s="10"/>
      <c r="M205" s="12" t="s">
        <v>87</v>
      </c>
      <c r="N205" s="36">
        <v>32</v>
      </c>
      <c r="O205" s="34">
        <v>138</v>
      </c>
      <c r="P205" s="12"/>
      <c r="Q205" s="34"/>
      <c r="R205" s="34" t="s">
        <v>87</v>
      </c>
      <c r="S205" s="34" t="s">
        <v>87</v>
      </c>
      <c r="T205" s="12">
        <f>Tableau1[[#This Row],[Loyer €/m²]]*Tableau1[[#This Row],[Surface GLA]]</f>
        <v>46920</v>
      </c>
      <c r="U205" s="12">
        <f>IFERROR(Tableau1[[#This Row],[Loyer annuel]]/12,"")</f>
        <v>3910</v>
      </c>
      <c r="V205" s="12">
        <v>340</v>
      </c>
      <c r="W205" s="50">
        <v>0.08</v>
      </c>
      <c r="X205" s="6">
        <f>Tableau1[[#This Row],[Charges €/m²]]*Tableau1[[#This Row],[Surface GLA]]</f>
        <v>9660</v>
      </c>
      <c r="Y205" s="12">
        <f>Tableau1[[#This Row],[Charges annuelles]]/12</f>
        <v>805</v>
      </c>
      <c r="Z205" s="12">
        <v>70</v>
      </c>
      <c r="AA205" s="12">
        <f>IFERROR(Tableau1[[#This Row],[Taxe foncière €/m²]]*Tableau1[[#This Row],[Surface GLA]],)</f>
        <v>2208</v>
      </c>
      <c r="AB205" s="12">
        <v>16</v>
      </c>
      <c r="AC205" s="12">
        <f>IFERROR(Tableau1[[#This Row],[Marketing €/m²]]*Tableau1[[#This Row],[Surface GLA]],)</f>
        <v>5106</v>
      </c>
      <c r="AD205" s="12">
        <v>37</v>
      </c>
      <c r="AE205" s="12">
        <f>IFERROR(Tableau1[[#This Row],[Loyer annuel]]+Tableau1[[#This Row],[Charges annuelles]]+Tableau1[[#This Row],[Taxe foncière]]+Tableau1[[#This Row],[Marketing]],"")</f>
        <v>63894</v>
      </c>
      <c r="AF205" s="12" t="str">
        <f t="shared" si="11"/>
        <v>3 mois = 11 730 €</v>
      </c>
      <c r="AG205" s="6" t="s">
        <v>87</v>
      </c>
      <c r="AH205" s="51">
        <v>2.5000000000000001E-2</v>
      </c>
      <c r="AI205" s="12" t="s">
        <v>346</v>
      </c>
      <c r="AJ205" s="10" t="s">
        <v>358</v>
      </c>
      <c r="AK205" s="10" t="s">
        <v>352</v>
      </c>
      <c r="AL205" s="10" t="s">
        <v>1377</v>
      </c>
      <c r="AM205" s="11" t="s">
        <v>1388</v>
      </c>
      <c r="AN205" s="11" t="s">
        <v>1428</v>
      </c>
      <c r="AO205" s="5" t="s">
        <v>350</v>
      </c>
      <c r="AP205" s="11" t="s">
        <v>1411</v>
      </c>
      <c r="AQ205" s="11" t="s">
        <v>1412</v>
      </c>
      <c r="AR205" s="11" t="s">
        <v>1370</v>
      </c>
      <c r="AS205" s="36" t="s">
        <v>1427</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1336</v>
      </c>
      <c r="E206" s="26">
        <v>87221</v>
      </c>
      <c r="F206" s="10" t="s">
        <v>1337</v>
      </c>
      <c r="G206" s="39" t="str">
        <f>Tableau1[[#This Row],[Rue]]&amp;CHAR(10)&amp;Tableau1[[#This Row],[Code Postal]]&amp;" - "&amp;Tableau1[[#This Row],[Ville]]</f>
        <v>Centre commercial Boisseuil
Route de Toulouse
87221 - Boisseuil</v>
      </c>
      <c r="H206" s="15" t="s">
        <v>1354</v>
      </c>
      <c r="I206" s="12" t="s">
        <v>37</v>
      </c>
      <c r="J206" s="12" t="s">
        <v>39</v>
      </c>
      <c r="K206" s="10" t="s">
        <v>87</v>
      </c>
      <c r="L206" s="10"/>
      <c r="M206" s="12" t="s">
        <v>87</v>
      </c>
      <c r="N206" s="36" t="s">
        <v>1353</v>
      </c>
      <c r="O206" s="34">
        <v>205</v>
      </c>
      <c r="P206" s="12"/>
      <c r="Q206" s="34"/>
      <c r="R206" s="34" t="s">
        <v>87</v>
      </c>
      <c r="S206" s="34" t="s">
        <v>87</v>
      </c>
      <c r="T206" s="12">
        <f>Tableau1[[#This Row],[Loyer €/m²]]*Tableau1[[#This Row],[Surface GLA]]</f>
        <v>71750</v>
      </c>
      <c r="U206" s="12">
        <f>IFERROR(Tableau1[[#This Row],[Loyer annuel]]/12,"")</f>
        <v>5979.166666666667</v>
      </c>
      <c r="V206" s="12">
        <v>350</v>
      </c>
      <c r="W206" s="50">
        <v>0.08</v>
      </c>
      <c r="X206" s="6">
        <f>Tableau1[[#This Row],[Charges €/m²]]*Tableau1[[#This Row],[Surface GLA]]</f>
        <v>14350</v>
      </c>
      <c r="Y206" s="12">
        <f>Tableau1[[#This Row],[Charges annuelles]]/12</f>
        <v>1195.8333333333333</v>
      </c>
      <c r="Z206" s="12">
        <v>70</v>
      </c>
      <c r="AA206" s="12">
        <f>IFERROR(Tableau1[[#This Row],[Taxe foncière €/m²]]*Tableau1[[#This Row],[Surface GLA]],)</f>
        <v>3280</v>
      </c>
      <c r="AB206" s="12">
        <v>16</v>
      </c>
      <c r="AC206" s="12">
        <f>IFERROR(Tableau1[[#This Row],[Marketing €/m²]]*Tableau1[[#This Row],[Surface GLA]],)</f>
        <v>7585</v>
      </c>
      <c r="AD206" s="12">
        <v>37</v>
      </c>
      <c r="AE206" s="12">
        <f>IFERROR(Tableau1[[#This Row],[Loyer annuel]]+Tableau1[[#This Row],[Charges annuelles]]+Tableau1[[#This Row],[Taxe foncière]]+Tableau1[[#This Row],[Marketing]],"")</f>
        <v>96965</v>
      </c>
      <c r="AF206" s="12" t="str">
        <f t="shared" si="11"/>
        <v>3 mois = 17 938 €</v>
      </c>
      <c r="AG206" s="6" t="s">
        <v>87</v>
      </c>
      <c r="AH206" s="51">
        <v>2.5000000000000001E-2</v>
      </c>
      <c r="AI206" s="12" t="s">
        <v>346</v>
      </c>
      <c r="AJ206" s="10" t="s">
        <v>358</v>
      </c>
      <c r="AK206" s="10" t="s">
        <v>352</v>
      </c>
      <c r="AL206" s="10" t="s">
        <v>1377</v>
      </c>
      <c r="AM206" s="11" t="s">
        <v>1388</v>
      </c>
      <c r="AN206" s="11" t="s">
        <v>1428</v>
      </c>
      <c r="AO206" s="5" t="s">
        <v>350</v>
      </c>
      <c r="AP206" s="11" t="s">
        <v>1413</v>
      </c>
      <c r="AQ206" s="11" t="s">
        <v>1414</v>
      </c>
      <c r="AR206" s="11" t="s">
        <v>1371</v>
      </c>
      <c r="AS206" s="36" t="s">
        <v>1427</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1336</v>
      </c>
      <c r="E207" s="26">
        <v>87220</v>
      </c>
      <c r="F207" s="10" t="s">
        <v>1337</v>
      </c>
      <c r="G207" s="39" t="str">
        <f>Tableau1[[#This Row],[Rue]]&amp;CHAR(10)&amp;Tableau1[[#This Row],[Code Postal]]&amp;" - "&amp;Tableau1[[#This Row],[Ville]]</f>
        <v>Centre commercial Boisseuil
Route de Toulouse
87220 - Boisseuil</v>
      </c>
      <c r="H207" s="15" t="s">
        <v>1335</v>
      </c>
      <c r="I207" s="12" t="s">
        <v>37</v>
      </c>
      <c r="J207" s="12" t="s">
        <v>39</v>
      </c>
      <c r="K207" s="10" t="s">
        <v>87</v>
      </c>
      <c r="L207" s="10"/>
      <c r="M207" s="12" t="s">
        <v>87</v>
      </c>
      <c r="N207" s="36" t="s">
        <v>1347</v>
      </c>
      <c r="O207" s="34">
        <v>468</v>
      </c>
      <c r="P207" s="12" t="s">
        <v>1351</v>
      </c>
      <c r="Q207" s="34"/>
      <c r="R207" s="34" t="s">
        <v>87</v>
      </c>
      <c r="S207" s="34" t="s">
        <v>87</v>
      </c>
      <c r="T207" s="12">
        <f>Tableau1[[#This Row],[Loyer €/m²]]*Tableau1[[#This Row],[Surface GLA]]</f>
        <v>84240</v>
      </c>
      <c r="U207" s="12">
        <f>IFERROR(Tableau1[[#This Row],[Loyer annuel]]/12,"")</f>
        <v>7020</v>
      </c>
      <c r="V207" s="12">
        <v>180</v>
      </c>
      <c r="W207" s="50">
        <v>0.08</v>
      </c>
      <c r="X207" s="6">
        <f>Tableau1[[#This Row],[Charges €/m²]]*Tableau1[[#This Row],[Surface GLA]]</f>
        <v>32760</v>
      </c>
      <c r="Y207" s="12">
        <f>Tableau1[[#This Row],[Charges annuelles]]/12</f>
        <v>2730</v>
      </c>
      <c r="Z207" s="12">
        <v>70</v>
      </c>
      <c r="AA207" s="12">
        <f>IFERROR(Tableau1[[#This Row],[Taxe foncière €/m²]]*Tableau1[[#This Row],[Surface GLA]],)</f>
        <v>7488</v>
      </c>
      <c r="AB207" s="12">
        <v>16</v>
      </c>
      <c r="AC207" s="12">
        <f>IFERROR(Tableau1[[#This Row],[Marketing €/m²]]*Tableau1[[#This Row],[Surface GLA]],)</f>
        <v>17316</v>
      </c>
      <c r="AD207" s="12">
        <v>37</v>
      </c>
      <c r="AE207" s="12">
        <f>IFERROR(Tableau1[[#This Row],[Loyer annuel]]+Tableau1[[#This Row],[Charges annuelles]]+Tableau1[[#This Row],[Taxe foncière]]+Tableau1[[#This Row],[Marketing]],"")</f>
        <v>141804</v>
      </c>
      <c r="AF207" s="12" t="str">
        <f t="shared" si="11"/>
        <v>3 mois = 21 060 €</v>
      </c>
      <c r="AG207" s="6" t="s">
        <v>87</v>
      </c>
      <c r="AH207" s="51">
        <v>2.5000000000000001E-2</v>
      </c>
      <c r="AI207" s="12" t="s">
        <v>346</v>
      </c>
      <c r="AJ207" s="10" t="s">
        <v>358</v>
      </c>
      <c r="AK207" s="10" t="s">
        <v>352</v>
      </c>
      <c r="AL207" s="10" t="s">
        <v>1377</v>
      </c>
      <c r="AM207" s="11" t="s">
        <v>1388</v>
      </c>
      <c r="AN207" s="11" t="s">
        <v>1428</v>
      </c>
      <c r="AO207" s="5" t="s">
        <v>350</v>
      </c>
      <c r="AP207" s="11" t="s">
        <v>1415</v>
      </c>
      <c r="AQ207" s="11" t="s">
        <v>1416</v>
      </c>
      <c r="AR207" s="11" t="s">
        <v>1372</v>
      </c>
      <c r="AS207" s="36" t="s">
        <v>1427</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1336</v>
      </c>
      <c r="E208" s="26">
        <v>87220</v>
      </c>
      <c r="F208" s="10" t="s">
        <v>1337</v>
      </c>
      <c r="G208" s="39" t="str">
        <f>Tableau1[[#This Row],[Rue]]&amp;CHAR(10)&amp;Tableau1[[#This Row],[Code Postal]]&amp;" - "&amp;Tableau1[[#This Row],[Ville]]</f>
        <v>Centre commercial Boisseuil
Route de Toulouse
87220 - Boisseuil</v>
      </c>
      <c r="H208" s="15" t="s">
        <v>1335</v>
      </c>
      <c r="I208" s="12" t="s">
        <v>37</v>
      </c>
      <c r="J208" s="12" t="s">
        <v>39</v>
      </c>
      <c r="K208" s="10" t="s">
        <v>87</v>
      </c>
      <c r="L208" s="10"/>
      <c r="M208" s="12" t="s">
        <v>87</v>
      </c>
      <c r="N208" s="36">
        <v>42</v>
      </c>
      <c r="O208" s="34">
        <v>229</v>
      </c>
      <c r="P208" s="12"/>
      <c r="Q208" s="34"/>
      <c r="R208" s="34" t="s">
        <v>87</v>
      </c>
      <c r="S208" s="34" t="s">
        <v>87</v>
      </c>
      <c r="T208" s="12">
        <f>Tableau1[[#This Row],[Loyer €/m²]]*Tableau1[[#This Row],[Surface GLA]]</f>
        <v>73280</v>
      </c>
      <c r="U208" s="12">
        <f>IFERROR(Tableau1[[#This Row],[Loyer annuel]]/12,"")</f>
        <v>6106.666666666667</v>
      </c>
      <c r="V208" s="12">
        <v>320</v>
      </c>
      <c r="W208" s="50">
        <v>0.08</v>
      </c>
      <c r="X208" s="6">
        <f>Tableau1[[#This Row],[Charges €/m²]]*Tableau1[[#This Row],[Surface GLA]]</f>
        <v>16030</v>
      </c>
      <c r="Y208" s="12">
        <f>Tableau1[[#This Row],[Charges annuelles]]/12</f>
        <v>1335.8333333333333</v>
      </c>
      <c r="Z208" s="12">
        <v>70</v>
      </c>
      <c r="AA208" s="12">
        <f>IFERROR(Tableau1[[#This Row],[Taxe foncière €/m²]]*Tableau1[[#This Row],[Surface GLA]],)</f>
        <v>3664</v>
      </c>
      <c r="AB208" s="12">
        <v>16</v>
      </c>
      <c r="AC208" s="12">
        <f>IFERROR(Tableau1[[#This Row],[Marketing €/m²]]*Tableau1[[#This Row],[Surface GLA]],)</f>
        <v>8473</v>
      </c>
      <c r="AD208" s="12">
        <v>37</v>
      </c>
      <c r="AE208" s="12">
        <f>IFERROR(Tableau1[[#This Row],[Loyer annuel]]+Tableau1[[#This Row],[Charges annuelles]]+Tableau1[[#This Row],[Taxe foncière]]+Tableau1[[#This Row],[Marketing]],"")</f>
        <v>101447</v>
      </c>
      <c r="AF208" s="12" t="str">
        <f t="shared" si="11"/>
        <v>3 mois = 18 320 €</v>
      </c>
      <c r="AG208" s="6" t="s">
        <v>87</v>
      </c>
      <c r="AH208" s="51">
        <v>2.5000000000000001E-2</v>
      </c>
      <c r="AI208" s="12" t="s">
        <v>361</v>
      </c>
      <c r="AJ208" s="10" t="s">
        <v>358</v>
      </c>
      <c r="AK208" s="10" t="s">
        <v>352</v>
      </c>
      <c r="AL208" s="10" t="s">
        <v>1377</v>
      </c>
      <c r="AM208" s="11" t="s">
        <v>1388</v>
      </c>
      <c r="AN208" s="11" t="s">
        <v>1428</v>
      </c>
      <c r="AO208" s="5" t="s">
        <v>350</v>
      </c>
      <c r="AP208" s="11" t="s">
        <v>1417</v>
      </c>
      <c r="AQ208" s="11" t="s">
        <v>1418</v>
      </c>
      <c r="AR208" s="11" t="s">
        <v>1373</v>
      </c>
      <c r="AS208" s="36" t="s">
        <v>1427</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1336</v>
      </c>
      <c r="E209" s="26">
        <v>87220</v>
      </c>
      <c r="F209" s="10" t="s">
        <v>1337</v>
      </c>
      <c r="G209" s="39" t="str">
        <f>Tableau1[[#This Row],[Rue]]&amp;CHAR(10)&amp;Tableau1[[#This Row],[Code Postal]]&amp;" - "&amp;Tableau1[[#This Row],[Ville]]</f>
        <v>Centre commercial Boisseuil
Route de Toulouse
87220 - Boisseuil</v>
      </c>
      <c r="H209" s="15" t="s">
        <v>1335</v>
      </c>
      <c r="I209" s="12" t="s">
        <v>37</v>
      </c>
      <c r="J209" s="12" t="s">
        <v>39</v>
      </c>
      <c r="K209" s="10" t="s">
        <v>87</v>
      </c>
      <c r="L209" s="10"/>
      <c r="M209" s="12" t="s">
        <v>87</v>
      </c>
      <c r="N209" s="36">
        <v>47</v>
      </c>
      <c r="O209" s="34">
        <v>90</v>
      </c>
      <c r="P209" s="12"/>
      <c r="Q209" s="34"/>
      <c r="R209" s="34" t="s">
        <v>87</v>
      </c>
      <c r="S209" s="34" t="s">
        <v>87</v>
      </c>
      <c r="T209" s="12">
        <f>Tableau1[[#This Row],[Loyer €/m²]]*Tableau1[[#This Row],[Surface GLA]]</f>
        <v>32400</v>
      </c>
      <c r="U209" s="12">
        <f>IFERROR(Tableau1[[#This Row],[Loyer annuel]]/12,"")</f>
        <v>2700</v>
      </c>
      <c r="V209" s="12">
        <v>360</v>
      </c>
      <c r="W209" s="50">
        <v>0.08</v>
      </c>
      <c r="X209" s="6">
        <f>Tableau1[[#This Row],[Charges €/m²]]*Tableau1[[#This Row],[Surface GLA]]</f>
        <v>6300</v>
      </c>
      <c r="Y209" s="12">
        <f>Tableau1[[#This Row],[Charges annuelles]]/12</f>
        <v>525</v>
      </c>
      <c r="Z209" s="12">
        <v>70</v>
      </c>
      <c r="AA209" s="12">
        <f>IFERROR(Tableau1[[#This Row],[Taxe foncière €/m²]]*Tableau1[[#This Row],[Surface GLA]],)</f>
        <v>1440</v>
      </c>
      <c r="AB209" s="12">
        <v>16</v>
      </c>
      <c r="AC209" s="12">
        <f>IFERROR(Tableau1[[#This Row],[Marketing €/m²]]*Tableau1[[#This Row],[Surface GLA]],)</f>
        <v>3330</v>
      </c>
      <c r="AD209" s="12">
        <v>37</v>
      </c>
      <c r="AE209" s="12">
        <f>IFERROR(Tableau1[[#This Row],[Loyer annuel]]+Tableau1[[#This Row],[Charges annuelles]]+Tableau1[[#This Row],[Taxe foncière]]+Tableau1[[#This Row],[Marketing]],"")</f>
        <v>43470</v>
      </c>
      <c r="AF209" s="12" t="str">
        <f t="shared" si="11"/>
        <v>3 mois = 8 100 €</v>
      </c>
      <c r="AG209" s="6" t="s">
        <v>87</v>
      </c>
      <c r="AH209" s="51">
        <v>2.5000000000000001E-2</v>
      </c>
      <c r="AI209" s="12" t="s">
        <v>346</v>
      </c>
      <c r="AJ209" s="10" t="s">
        <v>358</v>
      </c>
      <c r="AK209" s="10" t="s">
        <v>352</v>
      </c>
      <c r="AL209" s="10" t="s">
        <v>1377</v>
      </c>
      <c r="AM209" s="11" t="s">
        <v>1388</v>
      </c>
      <c r="AN209" s="11" t="s">
        <v>1428</v>
      </c>
      <c r="AO209" s="5" t="s">
        <v>350</v>
      </c>
      <c r="AP209" s="11" t="s">
        <v>1419</v>
      </c>
      <c r="AQ209" s="11" t="s">
        <v>1420</v>
      </c>
      <c r="AR209" s="11" t="s">
        <v>1374</v>
      </c>
      <c r="AS209" s="36" t="s">
        <v>1427</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1336</v>
      </c>
      <c r="E210" s="26">
        <v>87220</v>
      </c>
      <c r="F210" s="10" t="s">
        <v>1337</v>
      </c>
      <c r="G210" s="39" t="str">
        <f>Tableau1[[#This Row],[Rue]]&amp;CHAR(10)&amp;Tableau1[[#This Row],[Code Postal]]&amp;" - "&amp;Tableau1[[#This Row],[Ville]]</f>
        <v>Centre commercial Boisseuil
Route de Toulouse
87220 - Boisseuil</v>
      </c>
      <c r="H210" s="15" t="s">
        <v>1335</v>
      </c>
      <c r="I210" s="12" t="s">
        <v>37</v>
      </c>
      <c r="J210" s="12" t="s">
        <v>39</v>
      </c>
      <c r="K210" s="10" t="s">
        <v>87</v>
      </c>
      <c r="L210" s="10"/>
      <c r="M210" s="12" t="s">
        <v>87</v>
      </c>
      <c r="N210" s="36">
        <v>48</v>
      </c>
      <c r="O210" s="34">
        <v>174</v>
      </c>
      <c r="P210" s="12">
        <v>358</v>
      </c>
      <c r="Q210" s="34"/>
      <c r="R210" s="34" t="s">
        <v>87</v>
      </c>
      <c r="S210" s="34" t="s">
        <v>87</v>
      </c>
      <c r="T210" s="12">
        <f>Tableau1[[#This Row],[Loyer €/m²]]*Tableau1[[#This Row],[Surface GLA]]</f>
        <v>62640</v>
      </c>
      <c r="U210" s="12">
        <f>IFERROR(Tableau1[[#This Row],[Loyer annuel]]/12,"")</f>
        <v>5220</v>
      </c>
      <c r="V210" s="12">
        <v>360</v>
      </c>
      <c r="W210" s="50">
        <v>0.08</v>
      </c>
      <c r="X210" s="6">
        <f>Tableau1[[#This Row],[Charges €/m²]]*Tableau1[[#This Row],[Surface GLA]]</f>
        <v>12180</v>
      </c>
      <c r="Y210" s="12">
        <f>Tableau1[[#This Row],[Charges annuelles]]/12</f>
        <v>1015</v>
      </c>
      <c r="Z210" s="12">
        <v>70</v>
      </c>
      <c r="AA210" s="12">
        <f>IFERROR(Tableau1[[#This Row],[Taxe foncière €/m²]]*Tableau1[[#This Row],[Surface GLA]],)</f>
        <v>2784</v>
      </c>
      <c r="AB210" s="12">
        <v>16</v>
      </c>
      <c r="AC210" s="12">
        <f>IFERROR(Tableau1[[#This Row],[Marketing €/m²]]*Tableau1[[#This Row],[Surface GLA]],)</f>
        <v>6438</v>
      </c>
      <c r="AD210" s="12">
        <v>37</v>
      </c>
      <c r="AE210" s="12">
        <f>IFERROR(Tableau1[[#This Row],[Loyer annuel]]+Tableau1[[#This Row],[Charges annuelles]]+Tableau1[[#This Row],[Taxe foncière]]+Tableau1[[#This Row],[Marketing]],"")</f>
        <v>84042</v>
      </c>
      <c r="AF210" s="12" t="str">
        <f t="shared" si="11"/>
        <v>3 mois = 15 660 €</v>
      </c>
      <c r="AG210" s="6" t="s">
        <v>87</v>
      </c>
      <c r="AH210" s="51">
        <v>2.5000000000000001E-2</v>
      </c>
      <c r="AI210" s="12" t="s">
        <v>346</v>
      </c>
      <c r="AJ210" s="10" t="s">
        <v>358</v>
      </c>
      <c r="AK210" s="10" t="s">
        <v>352</v>
      </c>
      <c r="AL210" s="10" t="s">
        <v>1377</v>
      </c>
      <c r="AM210" s="11" t="s">
        <v>1388</v>
      </c>
      <c r="AN210" s="11" t="s">
        <v>1428</v>
      </c>
      <c r="AO210" s="5" t="s">
        <v>350</v>
      </c>
      <c r="AP210" s="11" t="s">
        <v>1421</v>
      </c>
      <c r="AQ210" s="11" t="s">
        <v>1422</v>
      </c>
      <c r="AR210" s="11" t="s">
        <v>1375</v>
      </c>
      <c r="AS210" s="36" t="s">
        <v>1427</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1336</v>
      </c>
      <c r="E211" s="26">
        <v>87220</v>
      </c>
      <c r="F211" s="10" t="s">
        <v>1337</v>
      </c>
      <c r="G211" s="39" t="str">
        <f>Tableau1[[#This Row],[Rue]]&amp;CHAR(10)&amp;Tableau1[[#This Row],[Code Postal]]&amp;" - "&amp;Tableau1[[#This Row],[Ville]]</f>
        <v>Centre commercial Boisseuil
Route de Toulouse
87220 - Boisseuil</v>
      </c>
      <c r="H211" s="15" t="s">
        <v>1335</v>
      </c>
      <c r="I211" s="12" t="s">
        <v>37</v>
      </c>
      <c r="J211" s="12" t="s">
        <v>39</v>
      </c>
      <c r="K211" s="10" t="s">
        <v>87</v>
      </c>
      <c r="L211" s="10"/>
      <c r="M211" s="12" t="s">
        <v>87</v>
      </c>
      <c r="N211" s="36">
        <v>49</v>
      </c>
      <c r="O211" s="34">
        <v>184</v>
      </c>
      <c r="P211" s="12">
        <v>358</v>
      </c>
      <c r="Q211" s="34"/>
      <c r="R211" s="34" t="s">
        <v>87</v>
      </c>
      <c r="S211" s="34" t="s">
        <v>87</v>
      </c>
      <c r="T211" s="12">
        <f>Tableau1[[#This Row],[Loyer €/m²]]*Tableau1[[#This Row],[Surface GLA]]</f>
        <v>66240</v>
      </c>
      <c r="U211" s="12">
        <f>IFERROR(Tableau1[[#This Row],[Loyer annuel]]/12,"")</f>
        <v>5520</v>
      </c>
      <c r="V211" s="12">
        <v>360</v>
      </c>
      <c r="W211" s="50">
        <v>0.08</v>
      </c>
      <c r="X211" s="6">
        <f>Tableau1[[#This Row],[Charges €/m²]]*Tableau1[[#This Row],[Surface GLA]]</f>
        <v>12880</v>
      </c>
      <c r="Y211" s="12">
        <f>Tableau1[[#This Row],[Charges annuelles]]/12</f>
        <v>1073.3333333333333</v>
      </c>
      <c r="Z211" s="12">
        <v>70</v>
      </c>
      <c r="AA211" s="12">
        <f>IFERROR(Tableau1[[#This Row],[Taxe foncière €/m²]]*Tableau1[[#This Row],[Surface GLA]],)</f>
        <v>2944</v>
      </c>
      <c r="AB211" s="12">
        <v>16</v>
      </c>
      <c r="AC211" s="12">
        <f>IFERROR(Tableau1[[#This Row],[Marketing €/m²]]*Tableau1[[#This Row],[Surface GLA]],)</f>
        <v>6808</v>
      </c>
      <c r="AD211" s="12">
        <v>37</v>
      </c>
      <c r="AE211" s="12">
        <f>IFERROR(Tableau1[[#This Row],[Loyer annuel]]+Tableau1[[#This Row],[Charges annuelles]]+Tableau1[[#This Row],[Taxe foncière]]+Tableau1[[#This Row],[Marketing]],"")</f>
        <v>88872</v>
      </c>
      <c r="AF211" s="12" t="str">
        <f t="shared" si="11"/>
        <v>3 mois = 16 560 €</v>
      </c>
      <c r="AG211" s="6" t="s">
        <v>87</v>
      </c>
      <c r="AH211" s="51">
        <v>2.5000000000000001E-2</v>
      </c>
      <c r="AI211" s="12" t="s">
        <v>346</v>
      </c>
      <c r="AJ211" s="10" t="s">
        <v>358</v>
      </c>
      <c r="AK211" s="10" t="s">
        <v>352</v>
      </c>
      <c r="AL211" s="10" t="s">
        <v>1377</v>
      </c>
      <c r="AM211" s="11" t="s">
        <v>1388</v>
      </c>
      <c r="AN211" s="11" t="s">
        <v>1428</v>
      </c>
      <c r="AO211" s="5" t="s">
        <v>350</v>
      </c>
      <c r="AP211" s="11" t="s">
        <v>1423</v>
      </c>
      <c r="AQ211" s="11" t="s">
        <v>1424</v>
      </c>
      <c r="AR211" s="11" t="s">
        <v>1376</v>
      </c>
      <c r="AS211" s="36" t="s">
        <v>1427</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1336</v>
      </c>
      <c r="E212" s="26">
        <v>87220</v>
      </c>
      <c r="F212" s="10" t="s">
        <v>1337</v>
      </c>
      <c r="G212" s="39" t="str">
        <f>Tableau1[[#This Row],[Rue]]&amp;CHAR(10)&amp;Tableau1[[#This Row],[Code Postal]]&amp;" - "&amp;Tableau1[[#This Row],[Ville]]</f>
        <v>Centre commercial Boisseuil
Route de Toulouse
87220 - Boisseuil</v>
      </c>
      <c r="H212" s="15" t="s">
        <v>1335</v>
      </c>
      <c r="I212" s="12" t="s">
        <v>37</v>
      </c>
      <c r="J212" s="12" t="s">
        <v>39</v>
      </c>
      <c r="K212" s="10" t="s">
        <v>1190</v>
      </c>
      <c r="L212" s="10"/>
      <c r="M212" s="12" t="s">
        <v>87</v>
      </c>
      <c r="N212" s="36" t="s">
        <v>1348</v>
      </c>
      <c r="O212" s="34">
        <v>48</v>
      </c>
      <c r="P212" s="12" t="s">
        <v>1352</v>
      </c>
      <c r="Q212" s="34"/>
      <c r="R212" s="34" t="s">
        <v>87</v>
      </c>
      <c r="S212" s="34" t="s">
        <v>87</v>
      </c>
      <c r="T212" s="12">
        <f>Tableau1[[#This Row],[Loyer €/m²]]*Tableau1[[#This Row],[Surface GLA]]</f>
        <v>36000</v>
      </c>
      <c r="U212" s="12">
        <f>IFERROR(Tableau1[[#This Row],[Loyer annuel]]/12,"")</f>
        <v>3000</v>
      </c>
      <c r="V212" s="12">
        <v>750</v>
      </c>
      <c r="W212" s="50">
        <v>0.08</v>
      </c>
      <c r="X212" s="6">
        <f>Tableau1[[#This Row],[Charges €/m²]]*Tableau1[[#This Row],[Surface GLA]]</f>
        <v>3360</v>
      </c>
      <c r="Y212" s="12">
        <f>Tableau1[[#This Row],[Charges annuelles]]/12</f>
        <v>280</v>
      </c>
      <c r="Z212" s="12">
        <v>70</v>
      </c>
      <c r="AA212" s="12">
        <f>IFERROR(Tableau1[[#This Row],[Taxe foncière €/m²]]*Tableau1[[#This Row],[Surface GLA]],)</f>
        <v>768</v>
      </c>
      <c r="AB212" s="12">
        <v>16</v>
      </c>
      <c r="AC212" s="12">
        <f>IFERROR(Tableau1[[#This Row],[Marketing €/m²]]*Tableau1[[#This Row],[Surface GLA]],)</f>
        <v>1776</v>
      </c>
      <c r="AD212" s="12">
        <v>37</v>
      </c>
      <c r="AE212" s="12">
        <f>IFERROR(Tableau1[[#This Row],[Loyer annuel]]+Tableau1[[#This Row],[Charges annuelles]]+Tableau1[[#This Row],[Taxe foncière]]+Tableau1[[#This Row],[Marketing]],"")</f>
        <v>41904</v>
      </c>
      <c r="AF212" s="12" t="str">
        <f t="shared" si="11"/>
        <v>3 mois = 9 000 €</v>
      </c>
      <c r="AG212" s="6" t="s">
        <v>87</v>
      </c>
      <c r="AH212" s="51">
        <v>2.5000000000000001E-2</v>
      </c>
      <c r="AI212" s="12" t="s">
        <v>346</v>
      </c>
      <c r="AJ212" s="10" t="s">
        <v>358</v>
      </c>
      <c r="AK212" s="10" t="s">
        <v>352</v>
      </c>
      <c r="AL212" s="10" t="s">
        <v>1377</v>
      </c>
      <c r="AM212" s="11" t="s">
        <v>1388</v>
      </c>
      <c r="AN212" s="11" t="s">
        <v>1428</v>
      </c>
      <c r="AO212" s="5" t="s">
        <v>350</v>
      </c>
      <c r="AP212" s="11" t="s">
        <v>1425</v>
      </c>
      <c r="AQ212" s="11" t="s">
        <v>1426</v>
      </c>
      <c r="AR212" s="11" t="s">
        <v>1389</v>
      </c>
      <c r="AS212" s="36" t="s">
        <v>1427</v>
      </c>
      <c r="AT212" s="11" t="s">
        <v>59</v>
      </c>
      <c r="AU212" s="11"/>
      <c r="AV212" s="13" t="s">
        <v>58</v>
      </c>
      <c r="AW212" s="14"/>
      <c r="AX212" s="44">
        <v>46058</v>
      </c>
    </row>
    <row r="213" spans="1:50" ht="38.25">
      <c r="A213" s="38" t="str">
        <f>VLOOKUP(Tableau1[[#This Row],[N° Département]],Feuil1!$C$6:$E$106,3)</f>
        <v>Grand Est</v>
      </c>
      <c r="B213" s="38" t="str">
        <f>VLOOKUP(Tableau1[[#This Row],[N° Département]],Feuil1!$C$6:$E$106,2)</f>
        <v>Haut-Rhin</v>
      </c>
      <c r="C213" s="38">
        <f>LEFT(Tableau1[[#This Row],[Code Postal]],2)*1</f>
        <v>68</v>
      </c>
      <c r="D213" s="11" t="s">
        <v>1434</v>
      </c>
      <c r="E213" s="26">
        <v>68730</v>
      </c>
      <c r="F213" s="42" t="s">
        <v>1435</v>
      </c>
      <c r="G213" s="39" t="str">
        <f>Tableau1[[#This Row],[Rue]]&amp;CHAR(10)&amp;Tableau1[[#This Row],[Code Postal]]&amp;" - "&amp;Tableau1[[#This Row],[Ville]]</f>
        <v>Hyper Leclerc Blotzheim
5 bis rue Pierre Clostermann
68730 - Blotzheim</v>
      </c>
      <c r="H213" s="15" t="s">
        <v>1436</v>
      </c>
      <c r="I213" s="12" t="s">
        <v>37</v>
      </c>
      <c r="J213" s="12" t="s">
        <v>40</v>
      </c>
      <c r="K213" s="10" t="s">
        <v>87</v>
      </c>
      <c r="L213" s="53" t="s">
        <v>1437</v>
      </c>
      <c r="M213" s="12" t="s">
        <v>87</v>
      </c>
      <c r="N213" s="36"/>
      <c r="O213" s="34">
        <v>446</v>
      </c>
      <c r="P213" s="12"/>
      <c r="Q213" s="34"/>
      <c r="R213" s="34" t="s">
        <v>87</v>
      </c>
      <c r="S213" s="34" t="s">
        <v>87</v>
      </c>
      <c r="T213" s="12">
        <f>Tableau1[[#This Row],[Loyer €/m²]]*Tableau1[[#This Row],[Surface GLA]]</f>
        <v>49952</v>
      </c>
      <c r="U213" s="12">
        <f>IFERROR(Tableau1[[#This Row],[Loyer annuel]]/12,"")</f>
        <v>4162.666666666667</v>
      </c>
      <c r="V213" s="12">
        <v>112</v>
      </c>
      <c r="W213" s="34" t="s">
        <v>87</v>
      </c>
      <c r="X213" s="6">
        <f>Tableau1[[#This Row],[Charges €/m²]]*Tableau1[[#This Row],[Surface GLA]]</f>
        <v>1784</v>
      </c>
      <c r="Y213" s="12">
        <f>Tableau1[[#This Row],[Charges annuelles]]/12</f>
        <v>148.66666666666666</v>
      </c>
      <c r="Z213" s="12">
        <v>4</v>
      </c>
      <c r="AA213" s="12">
        <f>IFERROR(Tableau1[[#This Row],[Taxe foncière €/m²]]*Tableau1[[#This Row],[Surface GLA]],)</f>
        <v>4460</v>
      </c>
      <c r="AB213" s="12">
        <v>10</v>
      </c>
      <c r="AC213" s="12">
        <f>IFERROR(Tableau1[[#This Row],[Marketing €/m²]]*Tableau1[[#This Row],[Surface GLA]],)</f>
        <v>0</v>
      </c>
      <c r="AD213" s="12" t="s">
        <v>87</v>
      </c>
      <c r="AE213" s="12">
        <f>IFERROR(Tableau1[[#This Row],[Loyer annuel]]+Tableau1[[#This Row],[Charges annuelles]]+Tableau1[[#This Row],[Taxe foncière]]+Tableau1[[#This Row],[Marketing]],"")</f>
        <v>56196</v>
      </c>
      <c r="AF213" s="12"/>
      <c r="AG213" s="6" t="s">
        <v>87</v>
      </c>
      <c r="AH213" s="6" t="s">
        <v>87</v>
      </c>
      <c r="AI213" s="12" t="s">
        <v>361</v>
      </c>
      <c r="AJ213" s="10" t="s">
        <v>358</v>
      </c>
      <c r="AK213" s="10" t="s">
        <v>352</v>
      </c>
      <c r="AL213" s="10"/>
      <c r="AM213" s="11"/>
      <c r="AN213" s="11" t="s">
        <v>87</v>
      </c>
      <c r="AO213" s="5" t="s">
        <v>350</v>
      </c>
      <c r="AP213" s="11" t="s">
        <v>1456</v>
      </c>
      <c r="AQ213" s="11" t="s">
        <v>1457</v>
      </c>
      <c r="AR213" s="11">
        <v>64</v>
      </c>
      <c r="AS213" s="36" t="s">
        <v>1452</v>
      </c>
      <c r="AT213" s="11" t="s">
        <v>59</v>
      </c>
      <c r="AU213" s="11"/>
      <c r="AV213" s="13" t="s">
        <v>983</v>
      </c>
      <c r="AW213" s="14"/>
      <c r="AX213" s="44">
        <v>46069</v>
      </c>
    </row>
    <row r="214" spans="1:50" ht="38.25">
      <c r="A214" s="38" t="str">
        <f>VLOOKUP(Tableau1[[#This Row],[N° Département]],Feuil1!$C$6:$E$106,3)</f>
        <v>Grand Est</v>
      </c>
      <c r="B214" s="38" t="str">
        <f>VLOOKUP(Tableau1[[#This Row],[N° Département]],Feuil1!$C$6:$E$106,2)</f>
        <v>Haut-Rhin</v>
      </c>
      <c r="C214" s="38">
        <f>LEFT(Tableau1[[#This Row],[Code Postal]],2)*1</f>
        <v>68</v>
      </c>
      <c r="D214" s="11" t="s">
        <v>1438</v>
      </c>
      <c r="E214" s="26">
        <v>68330</v>
      </c>
      <c r="F214" s="42" t="s">
        <v>851</v>
      </c>
      <c r="G214" s="39" t="str">
        <f>Tableau1[[#This Row],[Rue]]&amp;CHAR(10)&amp;Tableau1[[#This Row],[Code Postal]]&amp;" - "&amp;Tableau1[[#This Row],[Ville]]</f>
        <v>Les galeries d'Huningue
9 avenue d'Alsace
68330 - Huningue</v>
      </c>
      <c r="H214" s="15" t="s">
        <v>1440</v>
      </c>
      <c r="I214" s="12" t="s">
        <v>37</v>
      </c>
      <c r="J214" s="12" t="s">
        <v>40</v>
      </c>
      <c r="K214" s="10" t="s">
        <v>87</v>
      </c>
      <c r="L214" s="53" t="s">
        <v>1437</v>
      </c>
      <c r="M214" s="12" t="s">
        <v>87</v>
      </c>
      <c r="N214" s="36" t="s">
        <v>1451</v>
      </c>
      <c r="O214" s="34">
        <v>300</v>
      </c>
      <c r="P214" s="12"/>
      <c r="Q214" s="34"/>
      <c r="R214" s="34" t="s">
        <v>87</v>
      </c>
      <c r="S214" s="34" t="s">
        <v>87</v>
      </c>
      <c r="T214" s="12">
        <f>Tableau1[[#This Row],[Loyer €/m²]]*Tableau1[[#This Row],[Surface GLA]]</f>
        <v>55800</v>
      </c>
      <c r="U214" s="12">
        <f>IFERROR(Tableau1[[#This Row],[Loyer annuel]]/12,"")</f>
        <v>4650</v>
      </c>
      <c r="V214" s="12">
        <v>186</v>
      </c>
      <c r="W214" s="34" t="s">
        <v>87</v>
      </c>
      <c r="X214" s="12"/>
      <c r="Y214" s="12">
        <f>Tableau1[[#This Row],[Charges annuelles]]/12</f>
        <v>0</v>
      </c>
      <c r="Z214" s="12"/>
      <c r="AA214" s="12">
        <f>IFERROR(Tableau1[[#This Row],[Taxe foncière €/m²]]*Tableau1[[#This Row],[Surface GLA]],)</f>
        <v>0</v>
      </c>
      <c r="AB214" s="12"/>
      <c r="AC214" s="12">
        <f>IFERROR(Tableau1[[#This Row],[Marketing €/m²]]*Tableau1[[#This Row],[Surface GLA]],)</f>
        <v>0</v>
      </c>
      <c r="AD214" s="12" t="s">
        <v>87</v>
      </c>
      <c r="AE214" s="12">
        <f>IFERROR(Tableau1[[#This Row],[Loyer annuel]]+Tableau1[[#This Row],[Charges annuelles]]+Tableau1[[#This Row],[Taxe foncière]]+Tableau1[[#This Row],[Marketing]],"")</f>
        <v>55800</v>
      </c>
      <c r="AF214" s="12"/>
      <c r="AG214" s="6" t="s">
        <v>87</v>
      </c>
      <c r="AH214" s="6" t="s">
        <v>87</v>
      </c>
      <c r="AI214" s="12" t="s">
        <v>361</v>
      </c>
      <c r="AJ214" s="10" t="s">
        <v>358</v>
      </c>
      <c r="AK214" s="10" t="s">
        <v>352</v>
      </c>
      <c r="AL214" s="10"/>
      <c r="AM214" s="11" t="s">
        <v>984</v>
      </c>
      <c r="AN214" s="11" t="s">
        <v>87</v>
      </c>
      <c r="AO214" s="5" t="s">
        <v>350</v>
      </c>
      <c r="AP214" s="11" t="s">
        <v>975</v>
      </c>
      <c r="AQ214" s="11" t="s">
        <v>976</v>
      </c>
      <c r="AR214" s="11" t="s">
        <v>1448</v>
      </c>
      <c r="AS214" s="36" t="s">
        <v>1453</v>
      </c>
      <c r="AT214" s="11" t="s">
        <v>59</v>
      </c>
      <c r="AU214" s="11"/>
      <c r="AV214" s="13" t="s">
        <v>983</v>
      </c>
      <c r="AW214" s="14"/>
      <c r="AX214" s="44">
        <v>46069</v>
      </c>
    </row>
    <row r="215" spans="1:50" ht="38.25">
      <c r="A215" s="38" t="str">
        <f>VLOOKUP(Tableau1[[#This Row],[N° Département]],Feuil1!$C$6:$E$106,3)</f>
        <v>Grand Est</v>
      </c>
      <c r="B215" s="38" t="str">
        <f>VLOOKUP(Tableau1[[#This Row],[N° Département]],Feuil1!$C$6:$E$106,2)</f>
        <v>Haut-Rhin</v>
      </c>
      <c r="C215" s="38">
        <f>LEFT(Tableau1[[#This Row],[Code Postal]],2)*1</f>
        <v>68</v>
      </c>
      <c r="D215" s="11" t="s">
        <v>1439</v>
      </c>
      <c r="E215" s="26">
        <v>68331</v>
      </c>
      <c r="F215" s="42" t="s">
        <v>851</v>
      </c>
      <c r="G215" s="39" t="str">
        <f>Tableau1[[#This Row],[Rue]]&amp;CHAR(10)&amp;Tableau1[[#This Row],[Code Postal]]&amp;" - "&amp;Tableau1[[#This Row],[Ville]]</f>
        <v>Les galeries d'Huningue
7 avenue d'Alsace
68331 - Huningue</v>
      </c>
      <c r="H215" s="15" t="s">
        <v>1441</v>
      </c>
      <c r="I215" s="12" t="s">
        <v>37</v>
      </c>
      <c r="J215" s="12" t="s">
        <v>40</v>
      </c>
      <c r="K215" s="10" t="s">
        <v>87</v>
      </c>
      <c r="L215" s="53" t="s">
        <v>1437</v>
      </c>
      <c r="M215" s="12" t="s">
        <v>1110</v>
      </c>
      <c r="N215" s="36"/>
      <c r="O215" s="34">
        <v>608</v>
      </c>
      <c r="P215" s="12"/>
      <c r="Q215" s="34"/>
      <c r="R215" s="34" t="s">
        <v>87</v>
      </c>
      <c r="S215" s="34" t="s">
        <v>87</v>
      </c>
      <c r="T215" s="12">
        <f>Tableau1[[#This Row],[Loyer €/m²]]*Tableau1[[#This Row],[Surface GLA]]</f>
        <v>113088</v>
      </c>
      <c r="U215" s="12">
        <f>IFERROR(Tableau1[[#This Row],[Loyer annuel]]/12,"")</f>
        <v>9424</v>
      </c>
      <c r="V215" s="12">
        <v>186</v>
      </c>
      <c r="W215" s="34" t="s">
        <v>87</v>
      </c>
      <c r="X215" s="12"/>
      <c r="Y215" s="12">
        <f>Tableau1[[#This Row],[Charges annuelles]]/12</f>
        <v>0</v>
      </c>
      <c r="Z215" s="12"/>
      <c r="AA215" s="12">
        <f>IFERROR(Tableau1[[#This Row],[Taxe foncière €/m²]]*Tableau1[[#This Row],[Surface GLA]],)</f>
        <v>0</v>
      </c>
      <c r="AB215" s="12"/>
      <c r="AC215" s="12">
        <f>IFERROR(Tableau1[[#This Row],[Marketing €/m²]]*Tableau1[[#This Row],[Surface GLA]],)</f>
        <v>0</v>
      </c>
      <c r="AD215" s="12" t="s">
        <v>87</v>
      </c>
      <c r="AE215" s="12">
        <f>IFERROR(Tableau1[[#This Row],[Loyer annuel]]+Tableau1[[#This Row],[Charges annuelles]]+Tableau1[[#This Row],[Taxe foncière]]+Tableau1[[#This Row],[Marketing]],"")</f>
        <v>113088</v>
      </c>
      <c r="AF215" s="12"/>
      <c r="AG215" s="6" t="s">
        <v>87</v>
      </c>
      <c r="AH215" s="6" t="s">
        <v>87</v>
      </c>
      <c r="AI215" s="12" t="s">
        <v>361</v>
      </c>
      <c r="AJ215" s="10" t="s">
        <v>358</v>
      </c>
      <c r="AK215" s="10" t="s">
        <v>352</v>
      </c>
      <c r="AL215" s="10"/>
      <c r="AM215" s="11" t="s">
        <v>1450</v>
      </c>
      <c r="AN215" s="11" t="s">
        <v>87</v>
      </c>
      <c r="AO215" s="5" t="s">
        <v>350</v>
      </c>
      <c r="AP215" s="11" t="s">
        <v>1458</v>
      </c>
      <c r="AQ215" s="11" t="s">
        <v>1459</v>
      </c>
      <c r="AR215" s="11" t="s">
        <v>1449</v>
      </c>
      <c r="AS215" s="36" t="s">
        <v>1454</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1442</v>
      </c>
      <c r="E216" s="26">
        <v>68220</v>
      </c>
      <c r="F216" s="42" t="s">
        <v>1443</v>
      </c>
      <c r="G216" s="39" t="str">
        <f>Tableau1[[#This Row],[Rue]]&amp;CHAR(10)&amp;Tableau1[[#This Row],[Code Postal]]&amp;" - "&amp;Tableau1[[#This Row],[Ville]]</f>
        <v>Les galeries d'Hegenheim
Rue d'Alschwill
68220 - Hegenheim</v>
      </c>
      <c r="H216" s="52"/>
      <c r="I216" s="12"/>
      <c r="J216" s="12"/>
      <c r="K216" s="10" t="s">
        <v>87</v>
      </c>
      <c r="L216" s="53" t="s">
        <v>1437</v>
      </c>
      <c r="M216" s="12" t="s">
        <v>87</v>
      </c>
      <c r="N216" s="36"/>
      <c r="O216" s="34">
        <v>257</v>
      </c>
      <c r="P216" s="12"/>
      <c r="Q216" s="34"/>
      <c r="R216" s="34" t="s">
        <v>87</v>
      </c>
      <c r="S216" s="34" t="s">
        <v>87</v>
      </c>
      <c r="T216" s="12">
        <f>Tableau1[[#This Row],[Loyer €/m²]]*Tableau1[[#This Row],[Surface GLA]]</f>
        <v>47802</v>
      </c>
      <c r="U216" s="12">
        <f>IFERROR(Tableau1[[#This Row],[Loyer annuel]]/12,"")</f>
        <v>3983.5</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47802</v>
      </c>
      <c r="AF216" s="12"/>
      <c r="AG216" s="6" t="s">
        <v>87</v>
      </c>
      <c r="AH216" s="6" t="s">
        <v>87</v>
      </c>
      <c r="AI216" s="12" t="s">
        <v>361</v>
      </c>
      <c r="AJ216" s="10" t="s">
        <v>358</v>
      </c>
      <c r="AK216" s="10" t="s">
        <v>352</v>
      </c>
      <c r="AL216" s="10"/>
      <c r="AM216" s="11"/>
      <c r="AN216" s="11" t="s">
        <v>87</v>
      </c>
      <c r="AO216" s="5" t="s">
        <v>350</v>
      </c>
      <c r="AP216" s="11"/>
      <c r="AQ216" s="11"/>
      <c r="AR216" s="11">
        <v>66</v>
      </c>
      <c r="AS216" s="36" t="s">
        <v>1455</v>
      </c>
      <c r="AT216" s="11" t="s">
        <v>59</v>
      </c>
      <c r="AU216" s="11"/>
      <c r="AV216" s="13" t="s">
        <v>983</v>
      </c>
      <c r="AW216" s="14"/>
      <c r="AX216" s="44">
        <v>46069</v>
      </c>
    </row>
    <row r="217" spans="1:50" ht="25.5">
      <c r="A217" s="38" t="str">
        <f>VLOOKUP(Tableau1[[#This Row],[N° Département]],Feuil1!$C$6:$E$106,3)</f>
        <v>Grand Est</v>
      </c>
      <c r="B217" s="38" t="str">
        <f>VLOOKUP(Tableau1[[#This Row],[N° Département]],Feuil1!$C$6:$E$106,2)</f>
        <v>Haut-Rhin</v>
      </c>
      <c r="C217" s="38">
        <f>LEFT(Tableau1[[#This Row],[Code Postal]],2)*1</f>
        <v>68</v>
      </c>
      <c r="D217" s="10" t="s">
        <v>1444</v>
      </c>
      <c r="E217" s="26">
        <v>68300</v>
      </c>
      <c r="F217" s="42" t="s">
        <v>1445</v>
      </c>
      <c r="G217" s="39" t="str">
        <f>Tableau1[[#This Row],[Rue]]&amp;CHAR(10)&amp;Tableau1[[#This Row],[Code Postal]]&amp;" - "&amp;Tableau1[[#This Row],[Ville]]</f>
        <v>10 rue Alexandre Freund
68300 - Saint-Louis</v>
      </c>
      <c r="H217" s="15" t="s">
        <v>1446</v>
      </c>
      <c r="I217" s="12" t="s">
        <v>37</v>
      </c>
      <c r="J217" s="12"/>
      <c r="K217" s="10" t="s">
        <v>1133</v>
      </c>
      <c r="L217" s="10"/>
      <c r="M217" s="12" t="s">
        <v>87</v>
      </c>
      <c r="N217" s="36"/>
      <c r="O217" s="34">
        <v>250</v>
      </c>
      <c r="P217" s="12"/>
      <c r="Q217" s="34"/>
      <c r="R217" s="34" t="s">
        <v>87</v>
      </c>
      <c r="S217" s="34" t="s">
        <v>87</v>
      </c>
      <c r="T217" s="12">
        <f>Tableau1[[#This Row],[Loyer €/m²]]*Tableau1[[#This Row],[Surface GLA]]</f>
        <v>38500</v>
      </c>
      <c r="U217" s="12">
        <f>IFERROR(Tableau1[[#This Row],[Loyer annuel]]/12,"")</f>
        <v>3208.3333333333335</v>
      </c>
      <c r="V217" s="12">
        <v>154</v>
      </c>
      <c r="W217" s="34" t="s">
        <v>87</v>
      </c>
      <c r="X217" s="12"/>
      <c r="Y217" s="12">
        <f>Tableau1[[#This Row],[Charges annuelles]]/12</f>
        <v>0</v>
      </c>
      <c r="Z217" s="12"/>
      <c r="AA217" s="12">
        <f>IFERROR(Tableau1[[#This Row],[Taxe foncière €/m²]]*Tableau1[[#This Row],[Surface GLA]],)</f>
        <v>2000</v>
      </c>
      <c r="AB217" s="12">
        <v>8</v>
      </c>
      <c r="AC217" s="12">
        <f>IFERROR(Tableau1[[#This Row],[Marketing €/m²]]*Tableau1[[#This Row],[Surface GLA]],)</f>
        <v>0</v>
      </c>
      <c r="AD217" s="12" t="s">
        <v>87</v>
      </c>
      <c r="AE217" s="12">
        <f>IFERROR(Tableau1[[#This Row],[Loyer annuel]]+Tableau1[[#This Row],[Charges annuelles]]+Tableau1[[#This Row],[Taxe foncière]]+Tableau1[[#This Row],[Marketing]],"")</f>
        <v>40500</v>
      </c>
      <c r="AF217" s="12"/>
      <c r="AG217" s="6" t="s">
        <v>87</v>
      </c>
      <c r="AH217" s="6" t="s">
        <v>87</v>
      </c>
      <c r="AI217" s="12" t="s">
        <v>346</v>
      </c>
      <c r="AJ217" s="10" t="s">
        <v>43</v>
      </c>
      <c r="AK217" s="10" t="s">
        <v>87</v>
      </c>
      <c r="AL217" s="10"/>
      <c r="AM217" s="11" t="s">
        <v>1447</v>
      </c>
      <c r="AN217" s="11" t="s">
        <v>87</v>
      </c>
      <c r="AO217" s="5" t="s">
        <v>350</v>
      </c>
      <c r="AP217" s="11" t="s">
        <v>1460</v>
      </c>
      <c r="AQ217" s="11" t="s">
        <v>1461</v>
      </c>
      <c r="AR217" s="11">
        <v>67</v>
      </c>
      <c r="AS217" s="36"/>
      <c r="AT217" s="11" t="s">
        <v>59</v>
      </c>
      <c r="AU217" s="11"/>
      <c r="AV217" s="13" t="s">
        <v>983</v>
      </c>
      <c r="AW217" s="14"/>
      <c r="AX217" s="44">
        <v>46069</v>
      </c>
    </row>
    <row r="218" spans="1:50" ht="38.25">
      <c r="A218" s="38" t="str">
        <f>VLOOKUP(Tableau1[[#This Row],[N° Département]],Feuil1!$C$6:$E$106,3)</f>
        <v>Occitanie</v>
      </c>
      <c r="B218" s="38" t="str">
        <f>VLOOKUP(Tableau1[[#This Row],[N° Département]],Feuil1!$C$6:$E$106,2)</f>
        <v>Lozère</v>
      </c>
      <c r="C218" s="38">
        <f>LEFT(Tableau1[[#This Row],[Code Postal]],2)*1</f>
        <v>48</v>
      </c>
      <c r="D218" s="11" t="s">
        <v>1429</v>
      </c>
      <c r="E218" s="26">
        <v>48000</v>
      </c>
      <c r="F218" s="10" t="s">
        <v>1430</v>
      </c>
      <c r="G218" s="39" t="str">
        <f>Tableau1[[#This Row],[Rue]]&amp;CHAR(10)&amp;Tableau1[[#This Row],[Code Postal]]&amp;" - "&amp;Tableau1[[#This Row],[Ville]]</f>
        <v>Centre commercial Cœur Lozère
Avenue de Ramilles
48000 - Mende</v>
      </c>
      <c r="H218" s="15" t="s">
        <v>1431</v>
      </c>
      <c r="I218" s="12" t="s">
        <v>37</v>
      </c>
      <c r="J218" s="12" t="s">
        <v>39</v>
      </c>
      <c r="K218" s="10" t="s">
        <v>87</v>
      </c>
      <c r="L218" s="10"/>
      <c r="M218" s="12" t="s">
        <v>1110</v>
      </c>
      <c r="N218" s="36" t="s">
        <v>341</v>
      </c>
      <c r="O218" s="34">
        <v>558</v>
      </c>
      <c r="P218" s="12" t="s">
        <v>1686</v>
      </c>
      <c r="Q218" s="34"/>
      <c r="R218" s="34" t="s">
        <v>87</v>
      </c>
      <c r="S218" s="34" t="s">
        <v>87</v>
      </c>
      <c r="T218" s="12">
        <f>Tableau1[[#This Row],[Loyer €/m²]]*Tableau1[[#This Row],[Surface GLA]]</f>
        <v>60264</v>
      </c>
      <c r="U218" s="12">
        <f>IFERROR(Tableau1[[#This Row],[Loyer annuel]]/12,"")</f>
        <v>5022</v>
      </c>
      <c r="V218" s="12">
        <v>108</v>
      </c>
      <c r="W218" s="34" t="s">
        <v>87</v>
      </c>
      <c r="X218" s="6">
        <f>Tableau1[[#This Row],[Charges €/m²]]*Tableau1[[#This Row],[Surface GLA]]</f>
        <v>14508</v>
      </c>
      <c r="Y218" s="12">
        <f>Tableau1[[#This Row],[Charges annuelles]]/12</f>
        <v>1209</v>
      </c>
      <c r="Z218" s="12">
        <v>26</v>
      </c>
      <c r="AA218" s="12">
        <f>IFERROR(Tableau1[[#This Row],[Taxe foncière €/m²]]*Tableau1[[#This Row],[Surface GLA]],)</f>
        <v>7533</v>
      </c>
      <c r="AB218" s="12">
        <v>13.5</v>
      </c>
      <c r="AC218" s="12">
        <f>IFERROR(Tableau1[[#This Row],[Marketing €/m²]]*Tableau1[[#This Row],[Surface GLA]],)</f>
        <v>0</v>
      </c>
      <c r="AD218" s="12" t="s">
        <v>87</v>
      </c>
      <c r="AE218" s="12">
        <f>IFERROR(Tableau1[[#This Row],[Loyer annuel]]+Tableau1[[#This Row],[Charges annuelles]]+Tableau1[[#This Row],[Taxe foncière]]+Tableau1[[#This Row],[Marketing]],"")</f>
        <v>82305</v>
      </c>
      <c r="AF218" s="12" t="str">
        <f t="shared" ref="AF218" si="12">"3 mois = "&amp;TEXT(ROUND(3/12*T218,0),"### ### ##0 €")</f>
        <v>3 mois = 15 066 €</v>
      </c>
      <c r="AG218" s="6" t="s">
        <v>87</v>
      </c>
      <c r="AH218" s="6" t="s">
        <v>87</v>
      </c>
      <c r="AI218" s="12" t="s">
        <v>346</v>
      </c>
      <c r="AJ218" s="10" t="s">
        <v>358</v>
      </c>
      <c r="AK218" s="10" t="s">
        <v>352</v>
      </c>
      <c r="AL218" s="10" t="s">
        <v>1533</v>
      </c>
      <c r="AM218" s="11" t="s">
        <v>1538</v>
      </c>
      <c r="AN218" s="11" t="s">
        <v>87</v>
      </c>
      <c r="AO218" s="5" t="s">
        <v>350</v>
      </c>
      <c r="AP218" s="11" t="s">
        <v>1527</v>
      </c>
      <c r="AQ218" s="11" t="s">
        <v>1528</v>
      </c>
      <c r="AR218" s="11" t="s">
        <v>1499</v>
      </c>
      <c r="AS218" s="36" t="s">
        <v>1687</v>
      </c>
      <c r="AT218" s="11" t="s">
        <v>59</v>
      </c>
      <c r="AU218" s="11"/>
      <c r="AV218" s="13" t="s">
        <v>1503</v>
      </c>
      <c r="AW218" s="14"/>
      <c r="AX218" s="44">
        <v>46071</v>
      </c>
    </row>
    <row r="219" spans="1:50" ht="38.25">
      <c r="A219" s="38" t="str">
        <f>VLOOKUP(Tableau1[[#This Row],[N° Département]],Feuil1!$C$6:$E$106,3)</f>
        <v>Occitanie</v>
      </c>
      <c r="B219" s="38" t="str">
        <f>VLOOKUP(Tableau1[[#This Row],[N° Département]],Feuil1!$C$6:$E$106,2)</f>
        <v>Lozère</v>
      </c>
      <c r="C219" s="38">
        <f>LEFT(Tableau1[[#This Row],[Code Postal]],2)*1</f>
        <v>48</v>
      </c>
      <c r="D219" s="11" t="s">
        <v>1429</v>
      </c>
      <c r="E219" s="26">
        <v>48000</v>
      </c>
      <c r="F219" s="10" t="s">
        <v>1430</v>
      </c>
      <c r="G219" s="39" t="str">
        <f>Tableau1[[#This Row],[Rue]]&amp;CHAR(10)&amp;Tableau1[[#This Row],[Code Postal]]&amp;" - "&amp;Tableau1[[#This Row],[Ville]]</f>
        <v>Centre commercial Cœur Lozère
Avenue de Ramilles
48000 - Mende</v>
      </c>
      <c r="H219" s="15" t="s">
        <v>1432</v>
      </c>
      <c r="I219" s="12" t="s">
        <v>37</v>
      </c>
      <c r="J219" s="12" t="s">
        <v>39</v>
      </c>
      <c r="K219" s="10" t="s">
        <v>87</v>
      </c>
      <c r="L219" s="53" t="s">
        <v>1437</v>
      </c>
      <c r="M219" s="12" t="s">
        <v>1110</v>
      </c>
      <c r="N219" s="36" t="s">
        <v>342</v>
      </c>
      <c r="O219" s="34">
        <v>380</v>
      </c>
      <c r="P219" s="12" t="s">
        <v>1535</v>
      </c>
      <c r="Q219" s="34" t="s">
        <v>87</v>
      </c>
      <c r="R219" s="34" t="s">
        <v>87</v>
      </c>
      <c r="S219" s="34" t="s">
        <v>87</v>
      </c>
      <c r="T219" s="12">
        <f>Tableau1[[#This Row],[Loyer €/m²]]*Tableau1[[#This Row],[Surface GLA]]</f>
        <v>41800</v>
      </c>
      <c r="U219" s="12">
        <f>IFERROR(Tableau1[[#This Row],[Loyer annuel]]/12,"")</f>
        <v>3483.3333333333335</v>
      </c>
      <c r="V219" s="12">
        <v>110</v>
      </c>
      <c r="W219" s="34" t="s">
        <v>87</v>
      </c>
      <c r="X219" s="6">
        <f>Tableau1[[#This Row],[Charges €/m²]]*Tableau1[[#This Row],[Surface GLA]]</f>
        <v>9880</v>
      </c>
      <c r="Y219" s="12">
        <f>Tableau1[[#This Row],[Charges annuelles]]/12</f>
        <v>823.33333333333337</v>
      </c>
      <c r="Z219" s="12">
        <v>26</v>
      </c>
      <c r="AA219" s="12">
        <f>IFERROR(Tableau1[[#This Row],[Taxe foncière €/m²]]*Tableau1[[#This Row],[Surface GLA]],)</f>
        <v>4940</v>
      </c>
      <c r="AB219" s="12">
        <v>13</v>
      </c>
      <c r="AC219" s="12">
        <f>IFERROR(Tableau1[[#This Row],[Marketing €/m²]]*Tableau1[[#This Row],[Surface GLA]],)</f>
        <v>0</v>
      </c>
      <c r="AD219" s="12" t="s">
        <v>87</v>
      </c>
      <c r="AE219" s="12">
        <f>IFERROR(Tableau1[[#This Row],[Loyer annuel]]+Tableau1[[#This Row],[Charges annuelles]]+Tableau1[[#This Row],[Taxe foncière]]+Tableau1[[#This Row],[Marketing]],"")</f>
        <v>56620</v>
      </c>
      <c r="AF219" s="12" t="str">
        <f t="shared" ref="AF219:AF249" si="13">"3 mois = "&amp;TEXT(ROUND(3/12*T219,0),"### ### ##0 €")</f>
        <v>3 mois = 10 450 €</v>
      </c>
      <c r="AG219" s="6" t="s">
        <v>87</v>
      </c>
      <c r="AH219" s="6" t="s">
        <v>87</v>
      </c>
      <c r="AI219" s="12" t="s">
        <v>346</v>
      </c>
      <c r="AJ219" s="10" t="s">
        <v>358</v>
      </c>
      <c r="AK219" s="10" t="s">
        <v>352</v>
      </c>
      <c r="AL219" s="10" t="s">
        <v>1533</v>
      </c>
      <c r="AM219" s="11" t="s">
        <v>1536</v>
      </c>
      <c r="AN219" s="11" t="s">
        <v>87</v>
      </c>
      <c r="AO219" s="5" t="s">
        <v>350</v>
      </c>
      <c r="AP219" s="11" t="s">
        <v>1529</v>
      </c>
      <c r="AQ219" s="11" t="s">
        <v>1530</v>
      </c>
      <c r="AR219" s="11" t="s">
        <v>1500</v>
      </c>
      <c r="AS219" s="36" t="s">
        <v>1537</v>
      </c>
      <c r="AT219" s="11" t="s">
        <v>59</v>
      </c>
      <c r="AU219" s="11"/>
      <c r="AV219" s="13" t="s">
        <v>1503</v>
      </c>
      <c r="AW219" s="14"/>
      <c r="AX219" s="44">
        <v>46071</v>
      </c>
    </row>
    <row r="220" spans="1:50" ht="38.25">
      <c r="A220" s="38" t="str">
        <f>VLOOKUP(Tableau1[[#This Row],[N° Département]],Feuil1!$C$6:$E$106,3)</f>
        <v>Occitanie</v>
      </c>
      <c r="B220" s="38" t="str">
        <f>VLOOKUP(Tableau1[[#This Row],[N° Département]],Feuil1!$C$6:$E$106,2)</f>
        <v>Lozère</v>
      </c>
      <c r="C220" s="38">
        <f>LEFT(Tableau1[[#This Row],[Code Postal]],2)*1</f>
        <v>48</v>
      </c>
      <c r="D220" s="11" t="s">
        <v>1429</v>
      </c>
      <c r="E220" s="26">
        <v>48000</v>
      </c>
      <c r="F220" s="42" t="s">
        <v>1430</v>
      </c>
      <c r="G220" s="39" t="str">
        <f>Tableau1[[#This Row],[Rue]]&amp;CHAR(10)&amp;Tableau1[[#This Row],[Code Postal]]&amp;" - "&amp;Tableau1[[#This Row],[Ville]]</f>
        <v>Centre commercial Cœur Lozère
Avenue de Ramilles
48000 - Mende</v>
      </c>
      <c r="H220" s="15" t="s">
        <v>1433</v>
      </c>
      <c r="I220" s="12" t="s">
        <v>37</v>
      </c>
      <c r="J220" s="12" t="s">
        <v>39</v>
      </c>
      <c r="K220" s="10" t="s">
        <v>1190</v>
      </c>
      <c r="L220" s="10"/>
      <c r="M220" s="12" t="s">
        <v>87</v>
      </c>
      <c r="N220" s="36"/>
      <c r="O220" s="34">
        <v>45</v>
      </c>
      <c r="P220" s="6" t="s">
        <v>87</v>
      </c>
      <c r="Q220" s="34" t="s">
        <v>87</v>
      </c>
      <c r="R220" s="34" t="s">
        <v>87</v>
      </c>
      <c r="S220" s="6" t="s">
        <v>87</v>
      </c>
      <c r="T220" s="12">
        <f>Tableau1[[#This Row],[Loyer €/m²]]*Tableau1[[#This Row],[Surface GLA]]</f>
        <v>5985</v>
      </c>
      <c r="U220" s="12">
        <f>IFERROR(Tableau1[[#This Row],[Loyer annuel]]/12,"")</f>
        <v>498.75</v>
      </c>
      <c r="V220" s="12">
        <v>133</v>
      </c>
      <c r="W220" s="34" t="s">
        <v>87</v>
      </c>
      <c r="X220" s="6">
        <f>Tableau1[[#This Row],[Charges €/m²]]*Tableau1[[#This Row],[Surface GLA]]</f>
        <v>1170</v>
      </c>
      <c r="Y220" s="12">
        <f>Tableau1[[#This Row],[Charges annuelles]]/12</f>
        <v>97.5</v>
      </c>
      <c r="Z220" s="12">
        <v>26</v>
      </c>
      <c r="AA220" s="12">
        <f>IFERROR(Tableau1[[#This Row],[Taxe foncière €/m²]]*Tableau1[[#This Row],[Surface GLA]],)</f>
        <v>630</v>
      </c>
      <c r="AB220" s="12">
        <v>14</v>
      </c>
      <c r="AC220" s="12">
        <f>IFERROR(Tableau1[[#This Row],[Marketing €/m²]]*Tableau1[[#This Row],[Surface GLA]],)</f>
        <v>0</v>
      </c>
      <c r="AD220" s="12" t="s">
        <v>87</v>
      </c>
      <c r="AE220" s="12">
        <f>IFERROR(Tableau1[[#This Row],[Loyer annuel]]+Tableau1[[#This Row],[Charges annuelles]]+Tableau1[[#This Row],[Taxe foncière]]+Tableau1[[#This Row],[Marketing]],"")</f>
        <v>7785</v>
      </c>
      <c r="AF220" s="12" t="str">
        <f t="shared" si="13"/>
        <v>3 mois = 1 496 €</v>
      </c>
      <c r="AG220" s="6" t="s">
        <v>87</v>
      </c>
      <c r="AH220" s="6" t="s">
        <v>87</v>
      </c>
      <c r="AI220" s="12" t="s">
        <v>346</v>
      </c>
      <c r="AJ220" s="10" t="s">
        <v>43</v>
      </c>
      <c r="AK220" s="10" t="s">
        <v>351</v>
      </c>
      <c r="AL220" s="10" t="s">
        <v>1533</v>
      </c>
      <c r="AM220" s="11" t="s">
        <v>1534</v>
      </c>
      <c r="AN220" s="11" t="s">
        <v>87</v>
      </c>
      <c r="AO220" s="5" t="s">
        <v>350</v>
      </c>
      <c r="AP220" s="11" t="s">
        <v>1531</v>
      </c>
      <c r="AQ220" s="11" t="s">
        <v>1532</v>
      </c>
      <c r="AR220" s="11" t="s">
        <v>1502</v>
      </c>
      <c r="AS220" s="36" t="s">
        <v>1537</v>
      </c>
      <c r="AT220" s="11" t="s">
        <v>59</v>
      </c>
      <c r="AU220" s="11"/>
      <c r="AV220" s="13" t="s">
        <v>1503</v>
      </c>
      <c r="AW220" s="14"/>
      <c r="AX220" s="44">
        <v>46071</v>
      </c>
    </row>
    <row r="221" spans="1:50" ht="25.5">
      <c r="A221" s="38" t="str">
        <f>VLOOKUP(Tableau1[[#This Row],[N° Département]],Feuil1!$C$6:$E$106,3)</f>
        <v>Ile-de-France</v>
      </c>
      <c r="B221" s="38" t="str">
        <f>VLOOKUP(Tableau1[[#This Row],[N° Département]],Feuil1!$C$6:$E$106,2)</f>
        <v>Val-de-Marne</v>
      </c>
      <c r="C221" s="38">
        <f>LEFT(Tableau1[[#This Row],[Code Postal]],2)*1</f>
        <v>94</v>
      </c>
      <c r="D221" s="10" t="s">
        <v>1462</v>
      </c>
      <c r="E221" s="26">
        <v>94140</v>
      </c>
      <c r="F221" s="42" t="s">
        <v>1463</v>
      </c>
      <c r="G221" s="39" t="str">
        <f>Tableau1[[#This Row],[Rue]]&amp;CHAR(10)&amp;Tableau1[[#This Row],[Code Postal]]&amp;" - "&amp;Tableau1[[#This Row],[Ville]]</f>
        <v>5 rue Victor Hugo
94140 - Alfortville</v>
      </c>
      <c r="H221" s="15" t="s">
        <v>1645</v>
      </c>
      <c r="I221" s="12" t="s">
        <v>35</v>
      </c>
      <c r="J221" s="12" t="s">
        <v>34</v>
      </c>
      <c r="K221" s="10" t="s">
        <v>87</v>
      </c>
      <c r="L221" s="53" t="s">
        <v>1437</v>
      </c>
      <c r="M221" s="12" t="s">
        <v>87</v>
      </c>
      <c r="N221" s="36"/>
      <c r="O221" s="34">
        <v>143</v>
      </c>
      <c r="P221" s="6" t="s">
        <v>87</v>
      </c>
      <c r="Q221" s="34" t="s">
        <v>87</v>
      </c>
      <c r="R221" s="34" t="s">
        <v>87</v>
      </c>
      <c r="S221" s="6" t="s">
        <v>87</v>
      </c>
      <c r="T221" s="12">
        <f>Tableau1[[#This Row],[Loyer €/m²]]*Tableau1[[#This Row],[Surface GLA]]</f>
        <v>35750</v>
      </c>
      <c r="U221" s="12">
        <f>IFERROR(Tableau1[[#This Row],[Loyer annuel]]/12,"")</f>
        <v>2979.1666666666665</v>
      </c>
      <c r="V221" s="12">
        <v>250</v>
      </c>
      <c r="W221" s="34" t="s">
        <v>87</v>
      </c>
      <c r="X221" s="6">
        <f>Tableau1[[#This Row],[Charges €/m²]]*Tableau1[[#This Row],[Surface GLA]]</f>
        <v>2679.8199999999997</v>
      </c>
      <c r="Y221" s="12">
        <f>Tableau1[[#This Row],[Charges annuelles]]/12</f>
        <v>223.3183333333333</v>
      </c>
      <c r="Z221" s="12">
        <v>18.739999999999998</v>
      </c>
      <c r="AA221" s="12">
        <f>IFERROR(Tableau1[[#This Row],[Taxe foncière €/m²]]*Tableau1[[#This Row],[Surface GLA]],)</f>
        <v>0</v>
      </c>
      <c r="AB221" s="12"/>
      <c r="AC221" s="12">
        <f>IFERROR(Tableau1[[#This Row],[Marketing €/m²]]*Tableau1[[#This Row],[Surface GLA]],)</f>
        <v>0</v>
      </c>
      <c r="AD221" s="12" t="s">
        <v>87</v>
      </c>
      <c r="AE221" s="12">
        <f>IFERROR(Tableau1[[#This Row],[Loyer annuel]]+Tableau1[[#This Row],[Charges annuelles]]+Tableau1[[#This Row],[Taxe foncière]]+Tableau1[[#This Row],[Marketing]],"")</f>
        <v>38429.82</v>
      </c>
      <c r="AF221" s="12" t="str">
        <f t="shared" si="13"/>
        <v>3 mois = 8 938 €</v>
      </c>
      <c r="AG221" s="12" t="s">
        <v>87</v>
      </c>
      <c r="AH221" s="51">
        <v>1.4999999999999999E-2</v>
      </c>
      <c r="AI221" s="12" t="s">
        <v>361</v>
      </c>
      <c r="AJ221" s="10" t="s">
        <v>59</v>
      </c>
      <c r="AK221" s="10" t="s">
        <v>352</v>
      </c>
      <c r="AL221" s="10"/>
      <c r="AM221" s="11"/>
      <c r="AN221" s="11" t="s">
        <v>1466</v>
      </c>
      <c r="AO221" s="5" t="s">
        <v>350</v>
      </c>
      <c r="AP221" s="11" t="s">
        <v>1646</v>
      </c>
      <c r="AQ221" s="11" t="s">
        <v>1647</v>
      </c>
      <c r="AR221" s="11">
        <v>69</v>
      </c>
      <c r="AS221" s="36" t="s">
        <v>1685</v>
      </c>
      <c r="AT221" s="11" t="s">
        <v>59</v>
      </c>
      <c r="AU221" s="11"/>
      <c r="AV221" s="13" t="s">
        <v>1504</v>
      </c>
      <c r="AW221" s="14"/>
      <c r="AX221" s="44">
        <v>46079</v>
      </c>
    </row>
    <row r="222" spans="1:50" ht="25.5">
      <c r="A222" s="38" t="str">
        <f>VLOOKUP(Tableau1[[#This Row],[N° Département]],Feuil1!$C$6:$E$106,3)</f>
        <v>Auvergne-Rhône-Alpes</v>
      </c>
      <c r="B222" s="38" t="str">
        <f>VLOOKUP(Tableau1[[#This Row],[N° Département]],Feuil1!$C$6:$E$106,2)</f>
        <v>Rhône</v>
      </c>
      <c r="C222" s="38">
        <f>LEFT(Tableau1[[#This Row],[Code Postal]],2)*1</f>
        <v>69</v>
      </c>
      <c r="D222" s="10" t="s">
        <v>1465</v>
      </c>
      <c r="E222" s="26">
        <v>69500</v>
      </c>
      <c r="F222" s="54" t="s">
        <v>1464</v>
      </c>
      <c r="G222" s="39" t="str">
        <f>Tableau1[[#This Row],[Rue]]&amp;CHAR(10)&amp;Tableau1[[#This Row],[Code Postal]]&amp;" - "&amp;Tableau1[[#This Row],[Ville]]</f>
        <v>Place du général Jean Raby
69500 - Bron</v>
      </c>
      <c r="H222" s="15" t="s">
        <v>1643</v>
      </c>
      <c r="I222" s="12" t="s">
        <v>35</v>
      </c>
      <c r="J222" s="12" t="s">
        <v>34</v>
      </c>
      <c r="K222" s="10" t="s">
        <v>87</v>
      </c>
      <c r="L222" s="53" t="s">
        <v>1437</v>
      </c>
      <c r="M222" s="12" t="s">
        <v>87</v>
      </c>
      <c r="N222" s="36" t="s">
        <v>319</v>
      </c>
      <c r="O222" s="34">
        <v>228</v>
      </c>
      <c r="P222" s="6" t="s">
        <v>87</v>
      </c>
      <c r="Q222" s="34" t="s">
        <v>87</v>
      </c>
      <c r="R222" s="34" t="s">
        <v>87</v>
      </c>
      <c r="S222" s="6" t="s">
        <v>87</v>
      </c>
      <c r="T222" s="12">
        <f>Tableau1[[#This Row],[Loyer €/m²]]*Tableau1[[#This Row],[Surface GLA]]</f>
        <v>31692</v>
      </c>
      <c r="U222" s="12">
        <f>IFERROR(Tableau1[[#This Row],[Loyer annuel]]/12,"")</f>
        <v>2641</v>
      </c>
      <c r="V222" s="12">
        <v>139</v>
      </c>
      <c r="W222" s="34" t="s">
        <v>87</v>
      </c>
      <c r="X222" s="6">
        <f>Tableau1[[#This Row],[Charges €/m²]]*Tableau1[[#This Row],[Surface GLA]]</f>
        <v>3312.8399999999997</v>
      </c>
      <c r="Y222" s="12">
        <f>Tableau1[[#This Row],[Charges annuelles]]/12</f>
        <v>276.07</v>
      </c>
      <c r="Z222" s="12">
        <v>14.53</v>
      </c>
      <c r="AA222" s="12">
        <f>IFERROR(Tableau1[[#This Row],[Taxe foncière €/m²]]*Tableau1[[#This Row],[Surface GLA]],)</f>
        <v>0</v>
      </c>
      <c r="AB222" s="12"/>
      <c r="AC222" s="12">
        <f>IFERROR(Tableau1[[#This Row],[Marketing €/m²]]*Tableau1[[#This Row],[Surface GLA]],)</f>
        <v>0</v>
      </c>
      <c r="AD222" s="12" t="s">
        <v>87</v>
      </c>
      <c r="AE222" s="12">
        <f>IFERROR(Tableau1[[#This Row],[Loyer annuel]]+Tableau1[[#This Row],[Charges annuelles]]+Tableau1[[#This Row],[Taxe foncière]]+Tableau1[[#This Row],[Marketing]],"")</f>
        <v>35004.839999999997</v>
      </c>
      <c r="AF222" s="12" t="str">
        <f t="shared" si="13"/>
        <v>3 mois = 7 923 €</v>
      </c>
      <c r="AG222" s="12" t="s">
        <v>87</v>
      </c>
      <c r="AH222" s="51">
        <v>1.4999999999999999E-2</v>
      </c>
      <c r="AI222" s="12" t="s">
        <v>361</v>
      </c>
      <c r="AJ222" s="10" t="s">
        <v>59</v>
      </c>
      <c r="AK222" s="10" t="s">
        <v>352</v>
      </c>
      <c r="AL222" s="10"/>
      <c r="AM222" s="11"/>
      <c r="AN222" s="11" t="s">
        <v>1466</v>
      </c>
      <c r="AO222" s="5" t="s">
        <v>350</v>
      </c>
      <c r="AP222" s="11" t="s">
        <v>1617</v>
      </c>
      <c r="AQ222" s="11" t="s">
        <v>1618</v>
      </c>
      <c r="AR222" s="11" t="s">
        <v>1505</v>
      </c>
      <c r="AS222" s="36" t="s">
        <v>1629</v>
      </c>
      <c r="AT222" s="11" t="s">
        <v>59</v>
      </c>
      <c r="AU222" s="11"/>
      <c r="AV222" s="13" t="s">
        <v>1504</v>
      </c>
      <c r="AW222" s="14"/>
      <c r="AX222" s="44">
        <v>46079</v>
      </c>
    </row>
    <row r="223" spans="1:50" ht="25.5">
      <c r="A223" s="38" t="str">
        <f>VLOOKUP(Tableau1[[#This Row],[N° Département]],Feuil1!$C$6:$E$106,3)</f>
        <v>Auvergne-Rhône-Alpes</v>
      </c>
      <c r="B223" s="38" t="str">
        <f>VLOOKUP(Tableau1[[#This Row],[N° Département]],Feuil1!$C$6:$E$106,2)</f>
        <v>Rhône</v>
      </c>
      <c r="C223" s="38">
        <f>LEFT(Tableau1[[#This Row],[Code Postal]],2)*1</f>
        <v>69</v>
      </c>
      <c r="D223" s="10" t="s">
        <v>1491</v>
      </c>
      <c r="E223" s="26">
        <v>69500</v>
      </c>
      <c r="F223" s="54" t="s">
        <v>1464</v>
      </c>
      <c r="G223" s="39" t="str">
        <f>Tableau1[[#This Row],[Rue]]&amp;CHAR(10)&amp;Tableau1[[#This Row],[Code Postal]]&amp;" - "&amp;Tableau1[[#This Row],[Ville]]</f>
        <v>rue du Colonel Arnaud Beltrame
69500 - Bron</v>
      </c>
      <c r="H223" s="15" t="s">
        <v>1644</v>
      </c>
      <c r="I223" s="12" t="s">
        <v>35</v>
      </c>
      <c r="J223" s="12" t="s">
        <v>34</v>
      </c>
      <c r="K223" s="10" t="s">
        <v>87</v>
      </c>
      <c r="L223" s="53" t="s">
        <v>1437</v>
      </c>
      <c r="M223" s="12" t="s">
        <v>87</v>
      </c>
      <c r="N223" s="36" t="s">
        <v>1117</v>
      </c>
      <c r="O223" s="34">
        <v>363</v>
      </c>
      <c r="P223" s="6" t="s">
        <v>87</v>
      </c>
      <c r="Q223" s="34" t="s">
        <v>87</v>
      </c>
      <c r="R223" s="34" t="s">
        <v>87</v>
      </c>
      <c r="S223" s="6" t="s">
        <v>87</v>
      </c>
      <c r="T223" s="12">
        <f>Tableau1[[#This Row],[Loyer €/m²]]*Tableau1[[#This Row],[Surface GLA]]</f>
        <v>29040</v>
      </c>
      <c r="U223" s="12">
        <f>IFERROR(Tableau1[[#This Row],[Loyer annuel]]/12,"")</f>
        <v>2420</v>
      </c>
      <c r="V223" s="12">
        <v>80</v>
      </c>
      <c r="W223" s="34" t="s">
        <v>87</v>
      </c>
      <c r="X223" s="6">
        <f>Tableau1[[#This Row],[Charges €/m²]]*Tableau1[[#This Row],[Surface GLA]]</f>
        <v>1190.6399999999999</v>
      </c>
      <c r="Y223" s="12">
        <f>Tableau1[[#This Row],[Charges annuelles]]/12</f>
        <v>99.219999999999985</v>
      </c>
      <c r="Z223" s="12">
        <v>3.28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30230.639999999999</v>
      </c>
      <c r="AF223" s="12" t="str">
        <f t="shared" si="13"/>
        <v>3 mois = 7 260 €</v>
      </c>
      <c r="AG223" s="12" t="s">
        <v>87</v>
      </c>
      <c r="AH223" s="51">
        <v>1.4999999999999999E-2</v>
      </c>
      <c r="AI223" s="12" t="s">
        <v>361</v>
      </c>
      <c r="AJ223" s="10" t="s">
        <v>59</v>
      </c>
      <c r="AK223" s="10" t="s">
        <v>352</v>
      </c>
      <c r="AL223" s="10"/>
      <c r="AM223" s="11"/>
      <c r="AN223" s="11" t="s">
        <v>1466</v>
      </c>
      <c r="AO223" s="5" t="s">
        <v>350</v>
      </c>
      <c r="AP223" s="11" t="s">
        <v>1619</v>
      </c>
      <c r="AQ223" s="11" t="s">
        <v>1620</v>
      </c>
      <c r="AR223" s="11" t="s">
        <v>1506</v>
      </c>
      <c r="AS223" s="36" t="s">
        <v>1630</v>
      </c>
      <c r="AT223" s="11" t="s">
        <v>59</v>
      </c>
      <c r="AU223" s="11"/>
      <c r="AV223" s="13" t="s">
        <v>1504</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1491</v>
      </c>
      <c r="E224" s="26">
        <v>69500</v>
      </c>
      <c r="F224" s="54" t="s">
        <v>1464</v>
      </c>
      <c r="G224" s="39" t="str">
        <f>Tableau1[[#This Row],[Rue]]&amp;CHAR(10)&amp;Tableau1[[#This Row],[Code Postal]]&amp;" - "&amp;Tableau1[[#This Row],[Ville]]</f>
        <v>rue du Colonel Arnaud Beltrame
69500 - Bron</v>
      </c>
      <c r="H224" s="15" t="s">
        <v>1644</v>
      </c>
      <c r="I224" s="12" t="s">
        <v>35</v>
      </c>
      <c r="J224" s="12" t="s">
        <v>34</v>
      </c>
      <c r="K224" s="10" t="s">
        <v>87</v>
      </c>
      <c r="L224" s="53" t="s">
        <v>1437</v>
      </c>
      <c r="M224" s="12" t="s">
        <v>87</v>
      </c>
      <c r="N224" s="36" t="s">
        <v>1476</v>
      </c>
      <c r="O224" s="34">
        <v>110</v>
      </c>
      <c r="P224" s="6" t="s">
        <v>87</v>
      </c>
      <c r="Q224" s="34">
        <v>222</v>
      </c>
      <c r="R224" s="34" t="s">
        <v>87</v>
      </c>
      <c r="S224" s="6" t="s">
        <v>87</v>
      </c>
      <c r="T224" s="12">
        <f>Tableau1[[#This Row],[Loyer €/m²]]*Tableau1[[#This Row],[Surface GLA]]</f>
        <v>20130</v>
      </c>
      <c r="U224" s="12">
        <f>IFERROR(Tableau1[[#This Row],[Loyer annuel]]/12,"")</f>
        <v>1677.5</v>
      </c>
      <c r="V224" s="12">
        <v>183</v>
      </c>
      <c r="W224" s="34" t="s">
        <v>87</v>
      </c>
      <c r="X224" s="6">
        <f>Tableau1[[#This Row],[Charges €/m²]]*Tableau1[[#This Row],[Surface GLA]]</f>
        <v>359.7</v>
      </c>
      <c r="Y224" s="12">
        <f>Tableau1[[#This Row],[Charges annuelles]]/12</f>
        <v>29.974999999999998</v>
      </c>
      <c r="Z224" s="12">
        <v>3.27</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20489.7</v>
      </c>
      <c r="AF224" s="12" t="str">
        <f t="shared" si="13"/>
        <v>3 mois = 5 033 €</v>
      </c>
      <c r="AG224" s="12" t="s">
        <v>87</v>
      </c>
      <c r="AH224" s="51">
        <v>1.4999999999999999E-2</v>
      </c>
      <c r="AI224" s="12" t="s">
        <v>361</v>
      </c>
      <c r="AJ224" s="10" t="s">
        <v>59</v>
      </c>
      <c r="AK224" s="10" t="s">
        <v>352</v>
      </c>
      <c r="AL224" s="10"/>
      <c r="AM224" s="11"/>
      <c r="AN224" s="11" t="s">
        <v>1466</v>
      </c>
      <c r="AO224" s="5" t="s">
        <v>350</v>
      </c>
      <c r="AP224" s="11" t="s">
        <v>1621</v>
      </c>
      <c r="AQ224" s="11" t="s">
        <v>1622</v>
      </c>
      <c r="AR224" s="11" t="s">
        <v>1507</v>
      </c>
      <c r="AS224" s="36" t="s">
        <v>1631</v>
      </c>
      <c r="AT224" s="11" t="s">
        <v>59</v>
      </c>
      <c r="AU224" s="11"/>
      <c r="AV224" s="13" t="s">
        <v>1504</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1491</v>
      </c>
      <c r="E225" s="26">
        <v>69500</v>
      </c>
      <c r="F225" s="54" t="s">
        <v>1464</v>
      </c>
      <c r="G225" s="39" t="str">
        <f>Tableau1[[#This Row],[Rue]]&amp;CHAR(10)&amp;Tableau1[[#This Row],[Code Postal]]&amp;" - "&amp;Tableau1[[#This Row],[Ville]]</f>
        <v>rue du Colonel Arnaud Beltrame
69500 - Bron</v>
      </c>
      <c r="H225" s="15" t="s">
        <v>1644</v>
      </c>
      <c r="I225" s="12" t="s">
        <v>35</v>
      </c>
      <c r="J225" s="12" t="s">
        <v>34</v>
      </c>
      <c r="K225" s="10" t="s">
        <v>87</v>
      </c>
      <c r="L225" s="53" t="s">
        <v>1437</v>
      </c>
      <c r="M225" s="12" t="s">
        <v>87</v>
      </c>
      <c r="N225" s="36" t="s">
        <v>1128</v>
      </c>
      <c r="O225" s="34">
        <v>112</v>
      </c>
      <c r="P225" s="6" t="s">
        <v>87</v>
      </c>
      <c r="Q225" s="34">
        <v>222</v>
      </c>
      <c r="R225" s="34" t="s">
        <v>87</v>
      </c>
      <c r="S225" s="6" t="s">
        <v>87</v>
      </c>
      <c r="T225" s="12">
        <f>Tableau1[[#This Row],[Loyer €/m²]]*Tableau1[[#This Row],[Surface GLA]]</f>
        <v>20496</v>
      </c>
      <c r="U225" s="12">
        <f>IFERROR(Tableau1[[#This Row],[Loyer annuel]]/12,"")</f>
        <v>1708</v>
      </c>
      <c r="V225" s="12">
        <v>183</v>
      </c>
      <c r="W225" s="34" t="s">
        <v>87</v>
      </c>
      <c r="X225" s="6">
        <f>Tableau1[[#This Row],[Charges €/m²]]*Tableau1[[#This Row],[Surface GLA]]</f>
        <v>243.04</v>
      </c>
      <c r="Y225" s="12">
        <f>Tableau1[[#This Row],[Charges annuelles]]/12</f>
        <v>20.253333333333334</v>
      </c>
      <c r="Z225" s="12">
        <v>2.17</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20739.04</v>
      </c>
      <c r="AF225" s="12" t="str">
        <f t="shared" si="13"/>
        <v>3 mois = 5 124 €</v>
      </c>
      <c r="AG225" s="12" t="s">
        <v>87</v>
      </c>
      <c r="AH225" s="51">
        <v>1.4999999999999999E-2</v>
      </c>
      <c r="AI225" s="12" t="s">
        <v>361</v>
      </c>
      <c r="AJ225" s="10" t="s">
        <v>59</v>
      </c>
      <c r="AK225" s="10" t="s">
        <v>352</v>
      </c>
      <c r="AL225" s="10"/>
      <c r="AM225" s="11"/>
      <c r="AN225" s="11" t="s">
        <v>1466</v>
      </c>
      <c r="AO225" s="5" t="s">
        <v>350</v>
      </c>
      <c r="AP225" s="11" t="s">
        <v>1623</v>
      </c>
      <c r="AQ225" s="11" t="s">
        <v>1624</v>
      </c>
      <c r="AR225" s="11" t="s">
        <v>1508</v>
      </c>
      <c r="AS225" s="36" t="s">
        <v>1631</v>
      </c>
      <c r="AT225" s="11" t="s">
        <v>59</v>
      </c>
      <c r="AU225" s="11"/>
      <c r="AV225" s="13" t="s">
        <v>1504</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1491</v>
      </c>
      <c r="E226" s="26">
        <v>69500</v>
      </c>
      <c r="F226" s="54" t="s">
        <v>1464</v>
      </c>
      <c r="G226" s="39" t="str">
        <f>Tableau1[[#This Row],[Rue]]&amp;CHAR(10)&amp;Tableau1[[#This Row],[Code Postal]]&amp;" - "&amp;Tableau1[[#This Row],[Ville]]</f>
        <v>rue du Colonel Arnaud Beltrame
69500 - Bron</v>
      </c>
      <c r="H226" s="15" t="s">
        <v>1644</v>
      </c>
      <c r="I226" s="12" t="s">
        <v>35</v>
      </c>
      <c r="J226" s="12" t="s">
        <v>34</v>
      </c>
      <c r="K226" s="10" t="s">
        <v>87</v>
      </c>
      <c r="L226" s="53" t="s">
        <v>1437</v>
      </c>
      <c r="M226" s="12" t="s">
        <v>87</v>
      </c>
      <c r="N226" s="36" t="s">
        <v>1477</v>
      </c>
      <c r="O226" s="34">
        <v>86</v>
      </c>
      <c r="P226" s="6" t="s">
        <v>87</v>
      </c>
      <c r="Q226" s="34">
        <v>179</v>
      </c>
      <c r="R226" s="34" t="s">
        <v>87</v>
      </c>
      <c r="S226" s="6" t="s">
        <v>87</v>
      </c>
      <c r="T226" s="12">
        <f>Tableau1[[#This Row],[Loyer €/m²]]*Tableau1[[#This Row],[Surface GLA]]</f>
        <v>15996</v>
      </c>
      <c r="U226" s="12">
        <f>IFERROR(Tableau1[[#This Row],[Loyer annuel]]/12,"")</f>
        <v>1333</v>
      </c>
      <c r="V226" s="12">
        <v>186</v>
      </c>
      <c r="W226" s="34" t="s">
        <v>87</v>
      </c>
      <c r="X226" s="6">
        <f>Tableau1[[#This Row],[Charges €/m²]]*Tableau1[[#This Row],[Surface GLA]]</f>
        <v>283.8</v>
      </c>
      <c r="Y226" s="12">
        <f>Tableau1[[#This Row],[Charges annuelles]]/12</f>
        <v>23.650000000000002</v>
      </c>
      <c r="Z226" s="12">
        <v>3.3</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16279.8</v>
      </c>
      <c r="AF226" s="12" t="str">
        <f t="shared" si="13"/>
        <v>3 mois = 3 999 €</v>
      </c>
      <c r="AG226" s="12" t="s">
        <v>87</v>
      </c>
      <c r="AH226" s="51">
        <v>1.4999999999999999E-2</v>
      </c>
      <c r="AI226" s="12" t="s">
        <v>361</v>
      </c>
      <c r="AJ226" s="10" t="s">
        <v>59</v>
      </c>
      <c r="AK226" s="10" t="s">
        <v>352</v>
      </c>
      <c r="AL226" s="10"/>
      <c r="AM226" s="11"/>
      <c r="AN226" s="11" t="s">
        <v>1466</v>
      </c>
      <c r="AO226" s="5" t="s">
        <v>350</v>
      </c>
      <c r="AP226" s="11" t="s">
        <v>1625</v>
      </c>
      <c r="AQ226" s="11" t="s">
        <v>1626</v>
      </c>
      <c r="AR226" s="11" t="s">
        <v>1509</v>
      </c>
      <c r="AS226" s="36" t="s">
        <v>1632</v>
      </c>
      <c r="AT226" s="11" t="s">
        <v>59</v>
      </c>
      <c r="AU226" s="11"/>
      <c r="AV226" s="13" t="s">
        <v>1504</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1491</v>
      </c>
      <c r="E227" s="26">
        <v>69500</v>
      </c>
      <c r="F227" s="54" t="s">
        <v>1464</v>
      </c>
      <c r="G227" s="39" t="str">
        <f>Tableau1[[#This Row],[Rue]]&amp;CHAR(10)&amp;Tableau1[[#This Row],[Code Postal]]&amp;" - "&amp;Tableau1[[#This Row],[Ville]]</f>
        <v>rue du Colonel Arnaud Beltrame
69500 - Bron</v>
      </c>
      <c r="H227" s="15" t="s">
        <v>1644</v>
      </c>
      <c r="I227" s="12" t="s">
        <v>35</v>
      </c>
      <c r="J227" s="12" t="s">
        <v>34</v>
      </c>
      <c r="K227" s="10" t="s">
        <v>87</v>
      </c>
      <c r="L227" s="53" t="s">
        <v>1437</v>
      </c>
      <c r="M227" s="12" t="s">
        <v>87</v>
      </c>
      <c r="N227" s="36" t="s">
        <v>1478</v>
      </c>
      <c r="O227" s="34">
        <v>91</v>
      </c>
      <c r="P227" s="6" t="s">
        <v>87</v>
      </c>
      <c r="Q227" s="34">
        <v>179</v>
      </c>
      <c r="R227" s="34" t="s">
        <v>87</v>
      </c>
      <c r="S227" s="6" t="s">
        <v>87</v>
      </c>
      <c r="T227" s="12">
        <f>Tableau1[[#This Row],[Loyer €/m²]]*Tableau1[[#This Row],[Surface GLA]]</f>
        <v>16926</v>
      </c>
      <c r="U227" s="12">
        <f>IFERROR(Tableau1[[#This Row],[Loyer annuel]]/12,"")</f>
        <v>1410.5</v>
      </c>
      <c r="V227" s="12">
        <v>186</v>
      </c>
      <c r="W227" s="34" t="s">
        <v>87</v>
      </c>
      <c r="X227" s="6">
        <f>Tableau1[[#This Row],[Charges €/m²]]*Tableau1[[#This Row],[Surface GLA]]</f>
        <v>322.14</v>
      </c>
      <c r="Y227" s="12">
        <f>Tableau1[[#This Row],[Charges annuelles]]/12</f>
        <v>26.844999999999999</v>
      </c>
      <c r="Z227" s="12">
        <v>3.54</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17248.14</v>
      </c>
      <c r="AF227" s="12" t="str">
        <f t="shared" si="13"/>
        <v>3 mois = 4 232 €</v>
      </c>
      <c r="AG227" s="12" t="s">
        <v>87</v>
      </c>
      <c r="AH227" s="51">
        <v>1.4999999999999999E-2</v>
      </c>
      <c r="AI227" s="12" t="s">
        <v>361</v>
      </c>
      <c r="AJ227" s="10" t="s">
        <v>59</v>
      </c>
      <c r="AK227" s="10" t="s">
        <v>352</v>
      </c>
      <c r="AL227" s="10"/>
      <c r="AM227" s="11"/>
      <c r="AN227" s="11" t="s">
        <v>1466</v>
      </c>
      <c r="AO227" s="5" t="s">
        <v>350</v>
      </c>
      <c r="AP227" s="11" t="s">
        <v>1627</v>
      </c>
      <c r="AQ227" s="11" t="s">
        <v>1628</v>
      </c>
      <c r="AR227" s="11" t="s">
        <v>1510</v>
      </c>
      <c r="AS227" s="36" t="s">
        <v>1632</v>
      </c>
      <c r="AT227" s="11" t="s">
        <v>59</v>
      </c>
      <c r="AU227" s="11"/>
      <c r="AV227" s="13" t="s">
        <v>1504</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1491</v>
      </c>
      <c r="E228" s="26">
        <v>69500</v>
      </c>
      <c r="F228" s="54" t="s">
        <v>1464</v>
      </c>
      <c r="G228" s="39" t="str">
        <f>Tableau1[[#This Row],[Rue]]&amp;CHAR(10)&amp;Tableau1[[#This Row],[Code Postal]]&amp;" - "&amp;Tableau1[[#This Row],[Ville]]</f>
        <v>rue du Colonel Arnaud Beltrame
69500 - Bron</v>
      </c>
      <c r="H228" s="15" t="s">
        <v>1642</v>
      </c>
      <c r="I228" s="12" t="s">
        <v>35</v>
      </c>
      <c r="J228" s="12" t="s">
        <v>34</v>
      </c>
      <c r="K228" s="10" t="s">
        <v>87</v>
      </c>
      <c r="L228" s="53" t="s">
        <v>1437</v>
      </c>
      <c r="M228" s="12" t="s">
        <v>87</v>
      </c>
      <c r="N228" s="36" t="s">
        <v>1479</v>
      </c>
      <c r="O228" s="34">
        <v>167</v>
      </c>
      <c r="P228" s="6" t="s">
        <v>87</v>
      </c>
      <c r="Q228" s="34">
        <v>260</v>
      </c>
      <c r="R228" s="34" t="s">
        <v>87</v>
      </c>
      <c r="S228" s="6" t="s">
        <v>87</v>
      </c>
      <c r="T228" s="12">
        <f>Tableau1[[#This Row],[Loyer €/m²]]*Tableau1[[#This Row],[Surface GLA]]</f>
        <v>25050</v>
      </c>
      <c r="U228" s="12">
        <f>IFERROR(Tableau1[[#This Row],[Loyer annuel]]/12,"")</f>
        <v>2087.5</v>
      </c>
      <c r="V228" s="12">
        <v>150</v>
      </c>
      <c r="W228" s="34" t="s">
        <v>87</v>
      </c>
      <c r="X228" s="6">
        <f>Tableau1[[#This Row],[Charges €/m²]]*Tableau1[[#This Row],[Surface GLA]]</f>
        <v>646.29</v>
      </c>
      <c r="Y228" s="12">
        <f>Tableau1[[#This Row],[Charges annuelles]]/12</f>
        <v>53.857499999999995</v>
      </c>
      <c r="Z228" s="12">
        <v>3.87</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25696.29</v>
      </c>
      <c r="AF228" s="12" t="str">
        <f t="shared" si="13"/>
        <v>3 mois = 6 263 €</v>
      </c>
      <c r="AG228" s="12" t="s">
        <v>87</v>
      </c>
      <c r="AH228" s="51">
        <v>1.4999999999999999E-2</v>
      </c>
      <c r="AI228" s="12" t="s">
        <v>361</v>
      </c>
      <c r="AJ228" s="10" t="s">
        <v>59</v>
      </c>
      <c r="AK228" s="10" t="s">
        <v>352</v>
      </c>
      <c r="AL228" s="10"/>
      <c r="AM228" s="11"/>
      <c r="AN228" s="11" t="s">
        <v>1466</v>
      </c>
      <c r="AO228" s="5" t="s">
        <v>350</v>
      </c>
      <c r="AP228" s="11" t="s">
        <v>1633</v>
      </c>
      <c r="AQ228" s="11" t="s">
        <v>1634</v>
      </c>
      <c r="AR228" s="11" t="s">
        <v>1511</v>
      </c>
      <c r="AS228" s="36" t="s">
        <v>1639</v>
      </c>
      <c r="AT228" s="11" t="s">
        <v>59</v>
      </c>
      <c r="AU228" s="11"/>
      <c r="AV228" s="13" t="s">
        <v>1504</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1491</v>
      </c>
      <c r="E229" s="26">
        <v>69500</v>
      </c>
      <c r="F229" s="54" t="s">
        <v>1464</v>
      </c>
      <c r="G229" s="39" t="str">
        <f>Tableau1[[#This Row],[Rue]]&amp;CHAR(10)&amp;Tableau1[[#This Row],[Code Postal]]&amp;" - "&amp;Tableau1[[#This Row],[Ville]]</f>
        <v>rue du Colonel Arnaud Beltrame
69500 - Bron</v>
      </c>
      <c r="H229" s="15" t="s">
        <v>1642</v>
      </c>
      <c r="I229" s="12" t="s">
        <v>35</v>
      </c>
      <c r="J229" s="12" t="s">
        <v>34</v>
      </c>
      <c r="K229" s="10" t="s">
        <v>87</v>
      </c>
      <c r="L229" s="53" t="s">
        <v>1437</v>
      </c>
      <c r="M229" s="12" t="s">
        <v>87</v>
      </c>
      <c r="N229" s="36" t="s">
        <v>1544</v>
      </c>
      <c r="O229" s="34">
        <v>93</v>
      </c>
      <c r="P229" s="6" t="s">
        <v>87</v>
      </c>
      <c r="Q229" s="34">
        <v>260</v>
      </c>
      <c r="R229" s="34" t="s">
        <v>87</v>
      </c>
      <c r="S229" s="6" t="s">
        <v>87</v>
      </c>
      <c r="T229" s="12">
        <f>Tableau1[[#This Row],[Loyer €/m²]]*Tableau1[[#This Row],[Surface GLA]]</f>
        <v>13950</v>
      </c>
      <c r="U229" s="12">
        <f>IFERROR(Tableau1[[#This Row],[Loyer annuel]]/12,"")</f>
        <v>1162.5</v>
      </c>
      <c r="V229" s="12">
        <v>150</v>
      </c>
      <c r="W229" s="34" t="s">
        <v>87</v>
      </c>
      <c r="X229" s="6">
        <f>Tableau1[[#This Row],[Charges €/m²]]*Tableau1[[#This Row],[Surface GLA]]</f>
        <v>452.91</v>
      </c>
      <c r="Y229" s="12">
        <f>Tableau1[[#This Row],[Charges annuelles]]/12</f>
        <v>37.7425</v>
      </c>
      <c r="Z229" s="12">
        <v>4.87</v>
      </c>
      <c r="AA229" s="12">
        <f>IFERROR(Tableau1[[#This Row],[Taxe foncière €/m²]]*Tableau1[[#This Row],[Surface GLA]],)</f>
        <v>0</v>
      </c>
      <c r="AB229" s="12"/>
      <c r="AC229" s="12">
        <f>IFERROR(Tableau1[[#This Row],[Marketing €/m²]]*Tableau1[[#This Row],[Surface GLA]],)</f>
        <v>0</v>
      </c>
      <c r="AD229" s="12"/>
      <c r="AE229" s="12">
        <f>IFERROR(Tableau1[[#This Row],[Loyer annuel]]+Tableau1[[#This Row],[Charges annuelles]]+Tableau1[[#This Row],[Taxe foncière]]+Tableau1[[#This Row],[Marketing]],"")</f>
        <v>14402.91</v>
      </c>
      <c r="AF229" s="12" t="str">
        <f t="shared" ref="AF229" si="14">"3 mois = "&amp;TEXT(ROUND(3/12*T229,0),"### ### ##0 €")</f>
        <v>3 mois = 3 488 €</v>
      </c>
      <c r="AG229" s="12" t="s">
        <v>87</v>
      </c>
      <c r="AH229" s="51">
        <v>1.4999999999999999E-2</v>
      </c>
      <c r="AI229" s="12" t="s">
        <v>361</v>
      </c>
      <c r="AJ229" s="10" t="s">
        <v>59</v>
      </c>
      <c r="AK229" s="10" t="s">
        <v>352</v>
      </c>
      <c r="AL229" s="10"/>
      <c r="AM229" s="11"/>
      <c r="AN229" s="11" t="s">
        <v>1545</v>
      </c>
      <c r="AO229" s="5" t="s">
        <v>350</v>
      </c>
      <c r="AP229" s="11" t="s">
        <v>1635</v>
      </c>
      <c r="AQ229" s="11" t="s">
        <v>1636</v>
      </c>
      <c r="AR229" s="11" t="s">
        <v>1512</v>
      </c>
      <c r="AS229" s="36" t="s">
        <v>1640</v>
      </c>
      <c r="AT229" s="11" t="s">
        <v>59</v>
      </c>
      <c r="AU229" s="11"/>
      <c r="AV229" s="13" t="s">
        <v>1504</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1491</v>
      </c>
      <c r="E230" s="26">
        <v>69500</v>
      </c>
      <c r="F230" s="54" t="s">
        <v>1464</v>
      </c>
      <c r="G230" s="39" t="str">
        <f>Tableau1[[#This Row],[Rue]]&amp;CHAR(10)&amp;Tableau1[[#This Row],[Code Postal]]&amp;" - "&amp;Tableau1[[#This Row],[Ville]]</f>
        <v>rue du Colonel Arnaud Beltrame
69500 - Bron</v>
      </c>
      <c r="H230" s="15" t="s">
        <v>1642</v>
      </c>
      <c r="I230" s="12" t="s">
        <v>35</v>
      </c>
      <c r="J230" s="12" t="s">
        <v>34</v>
      </c>
      <c r="K230" s="10" t="s">
        <v>87</v>
      </c>
      <c r="L230" s="53" t="s">
        <v>1437</v>
      </c>
      <c r="M230" s="12" t="s">
        <v>87</v>
      </c>
      <c r="N230" s="36" t="s">
        <v>154</v>
      </c>
      <c r="O230" s="34">
        <v>123</v>
      </c>
      <c r="P230" s="6" t="s">
        <v>87</v>
      </c>
      <c r="Q230" s="34" t="s">
        <v>87</v>
      </c>
      <c r="R230" s="34" t="s">
        <v>87</v>
      </c>
      <c r="S230" s="6" t="s">
        <v>87</v>
      </c>
      <c r="T230" s="12">
        <f>Tableau1[[#This Row],[Loyer €/m²]]*Tableau1[[#This Row],[Surface GLA]]</f>
        <v>18450</v>
      </c>
      <c r="U230" s="12">
        <f>IFERROR(Tableau1[[#This Row],[Loyer annuel]]/12,"")</f>
        <v>1537.5</v>
      </c>
      <c r="V230" s="12">
        <v>150</v>
      </c>
      <c r="W230" s="34" t="s">
        <v>87</v>
      </c>
      <c r="X230" s="6">
        <f>Tableau1[[#This Row],[Charges €/m²]]*Tableau1[[#This Row],[Surface GLA]]</f>
        <v>476.01</v>
      </c>
      <c r="Y230" s="12">
        <f>Tableau1[[#This Row],[Charges annuelles]]/12</f>
        <v>39.667499999999997</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18926.009999999998</v>
      </c>
      <c r="AF230" s="12" t="str">
        <f t="shared" si="13"/>
        <v>3 mois = 4 613 €</v>
      </c>
      <c r="AG230" s="12" t="s">
        <v>87</v>
      </c>
      <c r="AH230" s="51">
        <v>1.4999999999999999E-2</v>
      </c>
      <c r="AI230" s="12" t="s">
        <v>361</v>
      </c>
      <c r="AJ230" s="10" t="s">
        <v>59</v>
      </c>
      <c r="AK230" s="10" t="s">
        <v>352</v>
      </c>
      <c r="AL230" s="10"/>
      <c r="AM230" s="11"/>
      <c r="AN230" s="11" t="s">
        <v>1466</v>
      </c>
      <c r="AO230" s="5" t="s">
        <v>350</v>
      </c>
      <c r="AP230" s="11" t="s">
        <v>1637</v>
      </c>
      <c r="AQ230" s="11" t="s">
        <v>1638</v>
      </c>
      <c r="AR230" s="11" t="s">
        <v>1546</v>
      </c>
      <c r="AS230" s="36" t="s">
        <v>1641</v>
      </c>
      <c r="AT230" s="11" t="s">
        <v>59</v>
      </c>
      <c r="AU230" s="11"/>
      <c r="AV230" s="13" t="s">
        <v>1504</v>
      </c>
      <c r="AW230" s="14"/>
      <c r="AX230" s="44">
        <v>46079</v>
      </c>
    </row>
    <row r="231" spans="1:50" ht="25.5">
      <c r="A231" s="38" t="str">
        <f>VLOOKUP(Tableau1[[#This Row],[N° Département]],Feuil1!$C$6:$E$106,3)</f>
        <v>Ile-de-France</v>
      </c>
      <c r="B231" s="38" t="str">
        <f>VLOOKUP(Tableau1[[#This Row],[N° Département]],Feuil1!$C$6:$E$106,2)</f>
        <v>Hauts-de-Seine</v>
      </c>
      <c r="C231" s="38">
        <f>LEFT(Tableau1[[#This Row],[Code Postal]],2)*1</f>
        <v>92</v>
      </c>
      <c r="D231" s="10" t="s">
        <v>1548</v>
      </c>
      <c r="E231" s="26">
        <v>92700</v>
      </c>
      <c r="F231" s="54" t="s">
        <v>1467</v>
      </c>
      <c r="G231" s="39" t="str">
        <f>Tableau1[[#This Row],[Rue]]&amp;CHAR(10)&amp;Tableau1[[#This Row],[Code Postal]]&amp;" - "&amp;Tableau1[[#This Row],[Ville]]</f>
        <v>165 rue des Entrepreneurs
92700 - Colombes</v>
      </c>
      <c r="H231" s="15" t="s">
        <v>1547</v>
      </c>
      <c r="I231" s="12" t="s">
        <v>35</v>
      </c>
      <c r="J231" s="12" t="s">
        <v>34</v>
      </c>
      <c r="K231" s="10" t="s">
        <v>87</v>
      </c>
      <c r="L231" s="53" t="s">
        <v>1437</v>
      </c>
      <c r="M231" s="12" t="s">
        <v>87</v>
      </c>
      <c r="N231" s="36" t="s">
        <v>340</v>
      </c>
      <c r="O231" s="34">
        <v>200</v>
      </c>
      <c r="P231" s="6" t="s">
        <v>87</v>
      </c>
      <c r="Q231" s="34" t="s">
        <v>87</v>
      </c>
      <c r="R231" s="34" t="s">
        <v>87</v>
      </c>
      <c r="S231" s="6" t="s">
        <v>87</v>
      </c>
      <c r="T231" s="12">
        <f>Tableau1[[#This Row],[Loyer €/m²]]*Tableau1[[#This Row],[Surface GLA]]</f>
        <v>16000</v>
      </c>
      <c r="U231" s="12">
        <f>IFERROR(Tableau1[[#This Row],[Loyer annuel]]/12,"")</f>
        <v>1333.3333333333333</v>
      </c>
      <c r="V231" s="12">
        <v>80</v>
      </c>
      <c r="W231" s="34" t="s">
        <v>87</v>
      </c>
      <c r="X231" s="6">
        <f>Tableau1[[#This Row],[Charges €/m²]]*Tableau1[[#This Row],[Surface GLA]]</f>
        <v>0</v>
      </c>
      <c r="Y231" s="12">
        <f>Tableau1[[#This Row],[Charges annuelles]]/12</f>
        <v>0</v>
      </c>
      <c r="Z231" s="12"/>
      <c r="AA231" s="12">
        <f>IFERROR(Tableau1[[#This Row],[Taxe foncière €/m²]]*Tableau1[[#This Row],[Surface GLA]],)</f>
        <v>0</v>
      </c>
      <c r="AB231" s="12"/>
      <c r="AC231" s="12">
        <f>IFERROR(Tableau1[[#This Row],[Marketing €/m²]]*Tableau1[[#This Row],[Surface GLA]],)</f>
        <v>0</v>
      </c>
      <c r="AD231" s="12" t="s">
        <v>87</v>
      </c>
      <c r="AE231" s="12">
        <f>IFERROR(Tableau1[[#This Row],[Loyer annuel]]+Tableau1[[#This Row],[Charges annuelles]]+Tableau1[[#This Row],[Taxe foncière]]+Tableau1[[#This Row],[Marketing]],"")</f>
        <v>16000</v>
      </c>
      <c r="AF231" s="12" t="str">
        <f t="shared" si="13"/>
        <v>3 mois = 4 000 €</v>
      </c>
      <c r="AG231" s="12" t="s">
        <v>87</v>
      </c>
      <c r="AH231" s="51">
        <v>1.4999999999999999E-2</v>
      </c>
      <c r="AI231" s="12" t="s">
        <v>361</v>
      </c>
      <c r="AJ231" s="10" t="s">
        <v>59</v>
      </c>
      <c r="AK231" s="10" t="s">
        <v>352</v>
      </c>
      <c r="AL231" s="10"/>
      <c r="AM231" s="11"/>
      <c r="AN231" s="11" t="s">
        <v>1466</v>
      </c>
      <c r="AO231" s="5" t="s">
        <v>350</v>
      </c>
      <c r="AP231" s="11" t="s">
        <v>1549</v>
      </c>
      <c r="AQ231" s="11" t="s">
        <v>1550</v>
      </c>
      <c r="AR231" s="11">
        <v>71</v>
      </c>
      <c r="AS231" s="36" t="s">
        <v>1551</v>
      </c>
      <c r="AT231" s="11" t="s">
        <v>59</v>
      </c>
      <c r="AU231" s="11"/>
      <c r="AV231" s="13" t="s">
        <v>1504</v>
      </c>
      <c r="AW231" s="14"/>
      <c r="AX231" s="44">
        <v>46079</v>
      </c>
    </row>
    <row r="232" spans="1:50" ht="25.5">
      <c r="A232" s="38" t="str">
        <f>VLOOKUP(Tableau1[[#This Row],[N° Département]],Feuil1!$C$6:$E$106,3)</f>
        <v>Centre-Val de Loire</v>
      </c>
      <c r="B232" s="38" t="str">
        <f>VLOOKUP(Tableau1[[#This Row],[N° Département]],Feuil1!$C$6:$E$106,2)</f>
        <v>Indre-et-Loire</v>
      </c>
      <c r="C232" s="38">
        <f>LEFT(Tableau1[[#This Row],[Code Postal]],2)*1</f>
        <v>37</v>
      </c>
      <c r="D232" s="10" t="s">
        <v>1541</v>
      </c>
      <c r="E232" s="26">
        <v>37300</v>
      </c>
      <c r="F232" s="42" t="s">
        <v>1468</v>
      </c>
      <c r="G232" s="39" t="str">
        <f>Tableau1[[#This Row],[Rue]]&amp;CHAR(10)&amp;Tableau1[[#This Row],[Code Postal]]&amp;" - "&amp;Tableau1[[#This Row],[Ville]]</f>
        <v>18 rue de la rotière
37300 - Joué les Tours</v>
      </c>
      <c r="H232" s="15" t="s">
        <v>1540</v>
      </c>
      <c r="I232" s="12" t="s">
        <v>35</v>
      </c>
      <c r="J232" s="12" t="s">
        <v>34</v>
      </c>
      <c r="K232" s="10" t="s">
        <v>87</v>
      </c>
      <c r="L232" s="53" t="s">
        <v>1437</v>
      </c>
      <c r="M232" s="12" t="s">
        <v>87</v>
      </c>
      <c r="N232" s="36"/>
      <c r="O232" s="34">
        <v>54</v>
      </c>
      <c r="P232" s="6" t="s">
        <v>87</v>
      </c>
      <c r="Q232" s="34" t="s">
        <v>87</v>
      </c>
      <c r="R232" s="34" t="s">
        <v>87</v>
      </c>
      <c r="S232" s="6" t="s">
        <v>87</v>
      </c>
      <c r="T232" s="12">
        <f>Tableau1[[#This Row],[Loyer €/m²]]*Tableau1[[#This Row],[Surface GLA]]</f>
        <v>8478</v>
      </c>
      <c r="U232" s="12">
        <f>IFERROR(Tableau1[[#This Row],[Loyer annuel]]/12,"")</f>
        <v>706.5</v>
      </c>
      <c r="V232" s="12">
        <v>157</v>
      </c>
      <c r="W232" s="34" t="s">
        <v>87</v>
      </c>
      <c r="X232" s="6">
        <f>Tableau1[[#This Row],[Charges €/m²]]*Tableau1[[#This Row],[Surface GLA]]</f>
        <v>99.36</v>
      </c>
      <c r="Y232" s="12">
        <f>Tableau1[[#This Row],[Charges annuelles]]/12</f>
        <v>8.2799999999999994</v>
      </c>
      <c r="Z232" s="12">
        <v>1.84</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8577.36</v>
      </c>
      <c r="AF232" s="12" t="str">
        <f t="shared" si="13"/>
        <v>3 mois = 2 120 €</v>
      </c>
      <c r="AG232" s="12" t="s">
        <v>87</v>
      </c>
      <c r="AH232" s="51">
        <v>1.4999999999999999E-2</v>
      </c>
      <c r="AI232" s="12" t="s">
        <v>361</v>
      </c>
      <c r="AJ232" s="10" t="s">
        <v>59</v>
      </c>
      <c r="AK232" s="10" t="s">
        <v>352</v>
      </c>
      <c r="AL232" s="10"/>
      <c r="AM232" s="11"/>
      <c r="AN232" s="11" t="s">
        <v>1466</v>
      </c>
      <c r="AO232" s="5" t="s">
        <v>350</v>
      </c>
      <c r="AP232" s="11" t="s">
        <v>1648</v>
      </c>
      <c r="AQ232" s="11" t="s">
        <v>1649</v>
      </c>
      <c r="AR232" s="11">
        <v>72</v>
      </c>
      <c r="AS232" s="36" t="s">
        <v>2452</v>
      </c>
      <c r="AT232" s="11" t="s">
        <v>59</v>
      </c>
      <c r="AU232" s="11"/>
      <c r="AV232" s="13" t="s">
        <v>1504</v>
      </c>
      <c r="AW232" s="14"/>
      <c r="AX232" s="44">
        <v>46079</v>
      </c>
    </row>
    <row r="233" spans="1:50" ht="25.5">
      <c r="A233" s="38" t="str">
        <f>VLOOKUP(Tableau1[[#This Row],[N° Département]],Feuil1!$C$6:$E$106,3)</f>
        <v>Hauts-de-France</v>
      </c>
      <c r="B233" s="38" t="str">
        <f>VLOOKUP(Tableau1[[#This Row],[N° Département]],Feuil1!$C$6:$E$106,2)</f>
        <v>Nord</v>
      </c>
      <c r="C233" s="38">
        <f>LEFT(Tableau1[[#This Row],[Code Postal]],2)*1</f>
        <v>59</v>
      </c>
      <c r="D233" s="10" t="s">
        <v>1542</v>
      </c>
      <c r="E233" s="26">
        <v>59800</v>
      </c>
      <c r="F233" s="54" t="s">
        <v>1469</v>
      </c>
      <c r="G233" s="39" t="str">
        <f>Tableau1[[#This Row],[Rue]]&amp;CHAR(10)&amp;Tableau1[[#This Row],[Code Postal]]&amp;" - "&amp;Tableau1[[#This Row],[Ville]]</f>
        <v>12 rue des chaudronniers
59800 - Lille Fives</v>
      </c>
      <c r="H233" s="15" t="s">
        <v>1552</v>
      </c>
      <c r="I233" s="12" t="s">
        <v>35</v>
      </c>
      <c r="J233" s="12" t="s">
        <v>34</v>
      </c>
      <c r="K233" s="10" t="s">
        <v>87</v>
      </c>
      <c r="L233" s="53" t="s">
        <v>1437</v>
      </c>
      <c r="M233" s="12" t="s">
        <v>87</v>
      </c>
      <c r="N233" s="36" t="s">
        <v>318</v>
      </c>
      <c r="O233" s="34">
        <v>150</v>
      </c>
      <c r="P233" s="6" t="s">
        <v>87</v>
      </c>
      <c r="Q233" s="34" t="s">
        <v>87</v>
      </c>
      <c r="R233" s="34" t="s">
        <v>87</v>
      </c>
      <c r="S233" s="6" t="s">
        <v>87</v>
      </c>
      <c r="T233" s="12">
        <f>Tableau1[[#This Row],[Loyer €/m²]]*Tableau1[[#This Row],[Surface GLA]]</f>
        <v>21000</v>
      </c>
      <c r="U233" s="12">
        <f>IFERROR(Tableau1[[#This Row],[Loyer annuel]]/12,"")</f>
        <v>1750</v>
      </c>
      <c r="V233" s="12">
        <v>140</v>
      </c>
      <c r="W233" s="34" t="s">
        <v>87</v>
      </c>
      <c r="X233" s="6">
        <f>Tableau1[[#This Row],[Charges €/m²]]*Tableau1[[#This Row],[Surface GLA]]</f>
        <v>877.5</v>
      </c>
      <c r="Y233" s="12">
        <f>Tableau1[[#This Row],[Charges annuelles]]/12</f>
        <v>73.125</v>
      </c>
      <c r="Z233" s="12">
        <v>5.85</v>
      </c>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21877.5</v>
      </c>
      <c r="AF233" s="12" t="str">
        <f t="shared" si="13"/>
        <v>3 mois = 5 250 €</v>
      </c>
      <c r="AG233" s="12" t="s">
        <v>87</v>
      </c>
      <c r="AH233" s="51">
        <v>1.4999999999999999E-2</v>
      </c>
      <c r="AI233" s="12" t="s">
        <v>361</v>
      </c>
      <c r="AJ233" s="10" t="s">
        <v>59</v>
      </c>
      <c r="AK233" s="10" t="s">
        <v>352</v>
      </c>
      <c r="AL233" s="10"/>
      <c r="AM233" s="11"/>
      <c r="AN233" s="11" t="s">
        <v>1466</v>
      </c>
      <c r="AO233" s="5" t="s">
        <v>350</v>
      </c>
      <c r="AP233" s="11" t="s">
        <v>1554</v>
      </c>
      <c r="AQ233" s="11" t="s">
        <v>1553</v>
      </c>
      <c r="AR233" s="11">
        <v>73</v>
      </c>
      <c r="AS233" s="36" t="s">
        <v>1555</v>
      </c>
      <c r="AT233" s="11" t="s">
        <v>59</v>
      </c>
      <c r="AU233" s="11"/>
      <c r="AV233" s="13" t="s">
        <v>1504</v>
      </c>
      <c r="AW233" s="14"/>
      <c r="AX233" s="44">
        <v>46079</v>
      </c>
    </row>
    <row r="234" spans="1:50" ht="25.5">
      <c r="A234" s="38" t="str">
        <f>VLOOKUP(Tableau1[[#This Row],[N° Département]],Feuil1!$C$6:$E$106,3)</f>
        <v>Hauts-de-France</v>
      </c>
      <c r="B234" s="38" t="str">
        <f>VLOOKUP(Tableau1[[#This Row],[N° Département]],Feuil1!$C$6:$E$106,2)</f>
        <v>Nord</v>
      </c>
      <c r="C234" s="38">
        <f>LEFT(Tableau1[[#This Row],[Code Postal]],2)*1</f>
        <v>59</v>
      </c>
      <c r="D234" s="10" t="s">
        <v>1492</v>
      </c>
      <c r="E234" s="26">
        <v>59800</v>
      </c>
      <c r="F234" s="54" t="s">
        <v>1470</v>
      </c>
      <c r="G234" s="39" t="str">
        <f>Tableau1[[#This Row],[Rue]]&amp;CHAR(10)&amp;Tableau1[[#This Row],[Code Postal]]&amp;" - "&amp;Tableau1[[#This Row],[Ville]]</f>
        <v>178 rue Faidherbes
59800 - Lille Hellemmes</v>
      </c>
      <c r="H234" s="15" t="s">
        <v>1493</v>
      </c>
      <c r="I234" s="12" t="s">
        <v>35</v>
      </c>
      <c r="J234" s="12" t="s">
        <v>34</v>
      </c>
      <c r="K234" s="10" t="s">
        <v>87</v>
      </c>
      <c r="L234" s="53" t="s">
        <v>1437</v>
      </c>
      <c r="M234" s="12" t="s">
        <v>87</v>
      </c>
      <c r="N234" s="36" t="s">
        <v>1480</v>
      </c>
      <c r="O234" s="34">
        <v>173</v>
      </c>
      <c r="P234" s="6" t="s">
        <v>87</v>
      </c>
      <c r="Q234" s="34" t="s">
        <v>87</v>
      </c>
      <c r="R234" s="34" t="s">
        <v>87</v>
      </c>
      <c r="S234" s="6" t="s">
        <v>87</v>
      </c>
      <c r="T234" s="12">
        <f>Tableau1[[#This Row],[Loyer €/m²]]*Tableau1[[#This Row],[Surface GLA]]</f>
        <v>20068</v>
      </c>
      <c r="U234" s="12">
        <f>IFERROR(Tableau1[[#This Row],[Loyer annuel]]/12,"")</f>
        <v>1672.3333333333333</v>
      </c>
      <c r="V234" s="12">
        <v>116</v>
      </c>
      <c r="W234" s="34" t="s">
        <v>87</v>
      </c>
      <c r="X234" s="6">
        <f>Tableau1[[#This Row],[Charges €/m²]]*Tableau1[[#This Row],[Surface GLA]]</f>
        <v>9205.33</v>
      </c>
      <c r="Y234" s="12">
        <f>Tableau1[[#This Row],[Charges annuelles]]/12</f>
        <v>767.11083333333329</v>
      </c>
      <c r="Z234" s="12">
        <v>53.21</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29273.33</v>
      </c>
      <c r="AF234" s="12" t="str">
        <f t="shared" si="13"/>
        <v>3 mois = 5 017 €</v>
      </c>
      <c r="AG234" s="12" t="s">
        <v>87</v>
      </c>
      <c r="AH234" s="51">
        <v>1.4999999999999999E-2</v>
      </c>
      <c r="AI234" s="12" t="s">
        <v>361</v>
      </c>
      <c r="AJ234" s="10" t="s">
        <v>59</v>
      </c>
      <c r="AK234" s="10" t="s">
        <v>352</v>
      </c>
      <c r="AL234" s="10"/>
      <c r="AM234" s="11"/>
      <c r="AN234" s="11" t="s">
        <v>1466</v>
      </c>
      <c r="AO234" s="5" t="s">
        <v>350</v>
      </c>
      <c r="AP234" s="11" t="s">
        <v>1556</v>
      </c>
      <c r="AQ234" s="11" t="s">
        <v>1557</v>
      </c>
      <c r="AR234" s="11" t="s">
        <v>1513</v>
      </c>
      <c r="AS234" s="36" t="s">
        <v>1561</v>
      </c>
      <c r="AT234" s="11" t="s">
        <v>59</v>
      </c>
      <c r="AU234" s="11"/>
      <c r="AV234" s="13" t="s">
        <v>1504</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1492</v>
      </c>
      <c r="E235" s="26">
        <v>59800</v>
      </c>
      <c r="F235" s="54" t="s">
        <v>1470</v>
      </c>
      <c r="G235" s="39" t="str">
        <f>Tableau1[[#This Row],[Rue]]&amp;CHAR(10)&amp;Tableau1[[#This Row],[Code Postal]]&amp;" - "&amp;Tableau1[[#This Row],[Ville]]</f>
        <v>178 rue Faidherbes
59800 - Lille Hellemmes</v>
      </c>
      <c r="H235" s="15" t="s">
        <v>1493</v>
      </c>
      <c r="I235" s="12" t="s">
        <v>35</v>
      </c>
      <c r="J235" s="12" t="s">
        <v>34</v>
      </c>
      <c r="K235" s="10" t="s">
        <v>87</v>
      </c>
      <c r="L235" s="53" t="s">
        <v>1437</v>
      </c>
      <c r="M235" s="12" t="s">
        <v>87</v>
      </c>
      <c r="N235" s="36" t="s">
        <v>1481</v>
      </c>
      <c r="O235" s="34">
        <v>52</v>
      </c>
      <c r="P235" s="6" t="s">
        <v>87</v>
      </c>
      <c r="Q235" s="34">
        <v>211</v>
      </c>
      <c r="R235" s="34" t="s">
        <v>87</v>
      </c>
      <c r="S235" s="6" t="s">
        <v>87</v>
      </c>
      <c r="T235" s="12">
        <f>Tableau1[[#This Row],[Loyer €/m²]]*Tableau1[[#This Row],[Surface GLA]]</f>
        <v>10348</v>
      </c>
      <c r="U235" s="12">
        <f>IFERROR(Tableau1[[#This Row],[Loyer annuel]]/12,"")</f>
        <v>862.33333333333337</v>
      </c>
      <c r="V235" s="12">
        <v>199</v>
      </c>
      <c r="W235" s="34" t="s">
        <v>87</v>
      </c>
      <c r="X235" s="6">
        <f>Tableau1[[#This Row],[Charges €/m²]]*Tableau1[[#This Row],[Surface GLA]]</f>
        <v>982.28</v>
      </c>
      <c r="Y235" s="12">
        <f>Tableau1[[#This Row],[Charges annuelles]]/12</f>
        <v>81.856666666666669</v>
      </c>
      <c r="Z235" s="12">
        <v>18.89</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11330.28</v>
      </c>
      <c r="AF235" s="12" t="str">
        <f t="shared" si="13"/>
        <v>3 mois = 2 587 €</v>
      </c>
      <c r="AG235" s="12" t="s">
        <v>87</v>
      </c>
      <c r="AH235" s="51">
        <v>1.4999999999999999E-2</v>
      </c>
      <c r="AI235" s="12" t="s">
        <v>361</v>
      </c>
      <c r="AJ235" s="10" t="s">
        <v>59</v>
      </c>
      <c r="AK235" s="10" t="s">
        <v>352</v>
      </c>
      <c r="AL235" s="10"/>
      <c r="AM235" s="11"/>
      <c r="AN235" s="11" t="s">
        <v>1466</v>
      </c>
      <c r="AO235" s="5" t="s">
        <v>350</v>
      </c>
      <c r="AP235" s="11" t="s">
        <v>1558</v>
      </c>
      <c r="AQ235" s="11" t="s">
        <v>1557</v>
      </c>
      <c r="AR235" s="11" t="s">
        <v>1514</v>
      </c>
      <c r="AS235" s="36" t="s">
        <v>1562</v>
      </c>
      <c r="AT235" s="11" t="s">
        <v>59</v>
      </c>
      <c r="AU235" s="11"/>
      <c r="AV235" s="13" t="s">
        <v>1504</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1492</v>
      </c>
      <c r="E236" s="26">
        <v>59800</v>
      </c>
      <c r="F236" s="54" t="s">
        <v>1470</v>
      </c>
      <c r="G236" s="39" t="str">
        <f>Tableau1[[#This Row],[Rue]]&amp;CHAR(10)&amp;Tableau1[[#This Row],[Code Postal]]&amp;" - "&amp;Tableau1[[#This Row],[Ville]]</f>
        <v>178 rue Faidherbes
59800 - Lille Hellemmes</v>
      </c>
      <c r="H236" s="15" t="s">
        <v>1493</v>
      </c>
      <c r="I236" s="12" t="s">
        <v>35</v>
      </c>
      <c r="J236" s="12" t="s">
        <v>34</v>
      </c>
      <c r="K236" s="10" t="s">
        <v>87</v>
      </c>
      <c r="L236" s="53" t="s">
        <v>1437</v>
      </c>
      <c r="M236" s="12" t="s">
        <v>87</v>
      </c>
      <c r="N236" s="36" t="s">
        <v>1482</v>
      </c>
      <c r="O236" s="34">
        <v>38</v>
      </c>
      <c r="P236" s="6" t="s">
        <v>87</v>
      </c>
      <c r="Q236" s="34">
        <v>211</v>
      </c>
      <c r="R236" s="34" t="s">
        <v>87</v>
      </c>
      <c r="S236" s="6" t="s">
        <v>87</v>
      </c>
      <c r="T236" s="12">
        <f>Tableau1[[#This Row],[Loyer €/m²]]*Tableau1[[#This Row],[Surface GLA]]</f>
        <v>7524</v>
      </c>
      <c r="U236" s="12">
        <f>IFERROR(Tableau1[[#This Row],[Loyer annuel]]/12,"")</f>
        <v>627</v>
      </c>
      <c r="V236" s="12">
        <v>198</v>
      </c>
      <c r="W236" s="34" t="s">
        <v>87</v>
      </c>
      <c r="X236" s="6">
        <f>Tableau1[[#This Row],[Charges €/m²]]*Tableau1[[#This Row],[Surface GLA]]</f>
        <v>123.12</v>
      </c>
      <c r="Y236" s="12">
        <f>Tableau1[[#This Row],[Charges annuelles]]/12</f>
        <v>10.26</v>
      </c>
      <c r="Z236" s="12">
        <v>3.24</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7647.12</v>
      </c>
      <c r="AF236" s="12" t="str">
        <f t="shared" si="13"/>
        <v>3 mois = 1 881 €</v>
      </c>
      <c r="AG236" s="12" t="s">
        <v>87</v>
      </c>
      <c r="AH236" s="51">
        <v>1.4999999999999999E-2</v>
      </c>
      <c r="AI236" s="12" t="s">
        <v>361</v>
      </c>
      <c r="AJ236" s="10" t="s">
        <v>59</v>
      </c>
      <c r="AK236" s="10" t="s">
        <v>352</v>
      </c>
      <c r="AL236" s="10"/>
      <c r="AM236" s="11"/>
      <c r="AN236" s="11" t="s">
        <v>1466</v>
      </c>
      <c r="AO236" s="5" t="s">
        <v>350</v>
      </c>
      <c r="AP236" s="11" t="s">
        <v>1559</v>
      </c>
      <c r="AQ236" s="11" t="s">
        <v>1560</v>
      </c>
      <c r="AR236" s="11" t="s">
        <v>1515</v>
      </c>
      <c r="AS236" s="36" t="s">
        <v>1563</v>
      </c>
      <c r="AT236" s="11" t="s">
        <v>59</v>
      </c>
      <c r="AU236" s="11"/>
      <c r="AV236" s="13" t="s">
        <v>1504</v>
      </c>
      <c r="AW236" s="14"/>
      <c r="AX236" s="44">
        <v>46079</v>
      </c>
    </row>
    <row r="237" spans="1:50" ht="25.5">
      <c r="A237" s="38" t="str">
        <f>VLOOKUP(Tableau1[[#This Row],[N° Département]],Feuil1!$C$6:$E$106,3)</f>
        <v>Ile-de-France</v>
      </c>
      <c r="B237" s="38" t="str">
        <f>VLOOKUP(Tableau1[[#This Row],[N° Département]],Feuil1!$C$6:$E$106,2)</f>
        <v>Seine-Saint-Denis</v>
      </c>
      <c r="C237" s="38">
        <f>LEFT(Tableau1[[#This Row],[Code Postal]],2)*1</f>
        <v>93</v>
      </c>
      <c r="D237" s="10" t="s">
        <v>1494</v>
      </c>
      <c r="E237" s="26">
        <v>93100</v>
      </c>
      <c r="F237" s="54" t="s">
        <v>1471</v>
      </c>
      <c r="G237" s="39" t="str">
        <f>Tableau1[[#This Row],[Rue]]&amp;CHAR(10)&amp;Tableau1[[#This Row],[Code Postal]]&amp;" - "&amp;Tableau1[[#This Row],[Ville]]</f>
        <v>299 rue de Rosny
93100 - Montreuil</v>
      </c>
      <c r="H237" s="15" t="s">
        <v>1564</v>
      </c>
      <c r="I237" s="12" t="s">
        <v>35</v>
      </c>
      <c r="J237" s="12" t="s">
        <v>34</v>
      </c>
      <c r="K237" s="10" t="s">
        <v>87</v>
      </c>
      <c r="L237" s="53" t="s">
        <v>1437</v>
      </c>
      <c r="M237" s="12" t="s">
        <v>87</v>
      </c>
      <c r="N237" s="36" t="s">
        <v>1483</v>
      </c>
      <c r="O237" s="34">
        <v>320</v>
      </c>
      <c r="P237" s="6" t="s">
        <v>87</v>
      </c>
      <c r="Q237" s="34">
        <v>600</v>
      </c>
      <c r="R237" s="34" t="s">
        <v>87</v>
      </c>
      <c r="S237" s="6" t="s">
        <v>87</v>
      </c>
      <c r="T237" s="12">
        <f>Tableau1[[#This Row],[Loyer €/m²]]*Tableau1[[#This Row],[Surface GLA]]</f>
        <v>47040</v>
      </c>
      <c r="U237" s="12">
        <f>IFERROR(Tableau1[[#This Row],[Loyer annuel]]/12,"")</f>
        <v>3920</v>
      </c>
      <c r="V237" s="12">
        <v>147</v>
      </c>
      <c r="W237" s="34" t="s">
        <v>87</v>
      </c>
      <c r="X237" s="6">
        <f>Tableau1[[#This Row],[Charges €/m²]]*Tableau1[[#This Row],[Surface GLA]]</f>
        <v>0</v>
      </c>
      <c r="Y237" s="12">
        <f>Tableau1[[#This Row],[Charges annuelles]]/12</f>
        <v>0</v>
      </c>
      <c r="Z237" s="12"/>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47040</v>
      </c>
      <c r="AF237" s="12" t="str">
        <f t="shared" si="13"/>
        <v>3 mois = 11 760 €</v>
      </c>
      <c r="AG237" s="12" t="s">
        <v>87</v>
      </c>
      <c r="AH237" s="51">
        <v>1.4999999999999999E-2</v>
      </c>
      <c r="AI237" s="12" t="s">
        <v>361</v>
      </c>
      <c r="AJ237" s="10" t="s">
        <v>59</v>
      </c>
      <c r="AK237" s="10" t="s">
        <v>352</v>
      </c>
      <c r="AL237" s="10"/>
      <c r="AM237" s="11"/>
      <c r="AN237" s="11" t="s">
        <v>1466</v>
      </c>
      <c r="AO237" s="5" t="s">
        <v>350</v>
      </c>
      <c r="AP237" s="11" t="s">
        <v>1567</v>
      </c>
      <c r="AQ237" s="11" t="s">
        <v>1568</v>
      </c>
      <c r="AR237" s="11" t="s">
        <v>1516</v>
      </c>
      <c r="AS237" s="36" t="s">
        <v>1565</v>
      </c>
      <c r="AT237" s="11" t="s">
        <v>59</v>
      </c>
      <c r="AU237" s="11"/>
      <c r="AV237" s="13" t="s">
        <v>1504</v>
      </c>
      <c r="AW237" s="14"/>
      <c r="AX237" s="44">
        <v>46079</v>
      </c>
    </row>
    <row r="238" spans="1:50" ht="25.5">
      <c r="A238" s="38" t="str">
        <f>VLOOKUP(Tableau1[[#This Row],[N° Département]],Feuil1!$C$6:$E$106,3)</f>
        <v>Ile-de-France</v>
      </c>
      <c r="B238" s="38" t="str">
        <f>VLOOKUP(Tableau1[[#This Row],[N° Département]],Feuil1!$C$6:$E$106,2)</f>
        <v>Seine-Saint-Denis</v>
      </c>
      <c r="C238" s="38">
        <f>LEFT(Tableau1[[#This Row],[Code Postal]],2)*1</f>
        <v>93</v>
      </c>
      <c r="D238" s="10" t="s">
        <v>1494</v>
      </c>
      <c r="E238" s="26">
        <v>93100</v>
      </c>
      <c r="F238" s="54" t="s">
        <v>1471</v>
      </c>
      <c r="G238" s="39" t="str">
        <f>Tableau1[[#This Row],[Rue]]&amp;CHAR(10)&amp;Tableau1[[#This Row],[Code Postal]]&amp;" - "&amp;Tableau1[[#This Row],[Ville]]</f>
        <v>299 rue de Rosny
93100 - Montreuil</v>
      </c>
      <c r="H238" s="15" t="s">
        <v>1564</v>
      </c>
      <c r="I238" s="12" t="s">
        <v>35</v>
      </c>
      <c r="J238" s="12" t="s">
        <v>34</v>
      </c>
      <c r="K238" s="10" t="s">
        <v>87</v>
      </c>
      <c r="L238" s="53" t="s">
        <v>1437</v>
      </c>
      <c r="M238" s="12" t="s">
        <v>87</v>
      </c>
      <c r="N238" s="36" t="s">
        <v>1484</v>
      </c>
      <c r="O238" s="34">
        <v>280</v>
      </c>
      <c r="P238" s="6" t="s">
        <v>87</v>
      </c>
      <c r="Q238" s="34">
        <v>600</v>
      </c>
      <c r="R238" s="34" t="s">
        <v>87</v>
      </c>
      <c r="S238" s="6" t="s">
        <v>87</v>
      </c>
      <c r="T238" s="12">
        <f>Tableau1[[#This Row],[Loyer €/m²]]*Tableau1[[#This Row],[Surface GLA]]</f>
        <v>42000</v>
      </c>
      <c r="U238" s="12">
        <f>IFERROR(Tableau1[[#This Row],[Loyer annuel]]/12,"")</f>
        <v>3500</v>
      </c>
      <c r="V238" s="12">
        <v>150</v>
      </c>
      <c r="W238" s="34" t="s">
        <v>87</v>
      </c>
      <c r="X238" s="6">
        <f>Tableau1[[#This Row],[Charges €/m²]]*Tableau1[[#This Row],[Surface GLA]]</f>
        <v>0</v>
      </c>
      <c r="Y238" s="12">
        <f>Tableau1[[#This Row],[Charges annuelles]]/12</f>
        <v>0</v>
      </c>
      <c r="Z238" s="12"/>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42000</v>
      </c>
      <c r="AF238" s="12" t="str">
        <f t="shared" si="13"/>
        <v>3 mois = 10 500 €</v>
      </c>
      <c r="AG238" s="12" t="s">
        <v>87</v>
      </c>
      <c r="AH238" s="51">
        <v>1.4999999999999999E-2</v>
      </c>
      <c r="AI238" s="12" t="s">
        <v>361</v>
      </c>
      <c r="AJ238" s="10" t="s">
        <v>59</v>
      </c>
      <c r="AK238" s="10" t="s">
        <v>352</v>
      </c>
      <c r="AL238" s="10"/>
      <c r="AM238" s="11"/>
      <c r="AN238" s="11" t="s">
        <v>1466</v>
      </c>
      <c r="AO238" s="5" t="s">
        <v>350</v>
      </c>
      <c r="AP238" s="11" t="s">
        <v>1569</v>
      </c>
      <c r="AQ238" s="11" t="s">
        <v>1570</v>
      </c>
      <c r="AR238" s="11" t="s">
        <v>1517</v>
      </c>
      <c r="AS238" s="36" t="s">
        <v>1566</v>
      </c>
      <c r="AT238" s="11" t="s">
        <v>59</v>
      </c>
      <c r="AU238" s="11"/>
      <c r="AV238" s="13" t="s">
        <v>1504</v>
      </c>
      <c r="AW238" s="14"/>
      <c r="AX238" s="44">
        <v>46079</v>
      </c>
    </row>
    <row r="239" spans="1:50" ht="25.5">
      <c r="A239" s="38" t="str">
        <f>VLOOKUP(Tableau1[[#This Row],[N° Département]],Feuil1!$C$6:$E$106,3)</f>
        <v>Ile-de-France</v>
      </c>
      <c r="B239" s="38" t="str">
        <f>VLOOKUP(Tableau1[[#This Row],[N° Département]],Feuil1!$C$6:$E$106,2)</f>
        <v>Yvelines</v>
      </c>
      <c r="C239" s="38">
        <f>LEFT(Tableau1[[#This Row],[Code Postal]],2)*1</f>
        <v>78</v>
      </c>
      <c r="D239" s="10" t="s">
        <v>1495</v>
      </c>
      <c r="E239" s="26">
        <v>78300</v>
      </c>
      <c r="F239" s="54" t="s">
        <v>1472</v>
      </c>
      <c r="G239" s="39" t="str">
        <f>Tableau1[[#This Row],[Rue]]&amp;CHAR(10)&amp;Tableau1[[#This Row],[Code Postal]]&amp;" - "&amp;Tableau1[[#This Row],[Ville]]</f>
        <v>30 rue Maurice Clerc
78300 - Poissy</v>
      </c>
      <c r="H239" s="15" t="s">
        <v>1572</v>
      </c>
      <c r="I239" s="12" t="s">
        <v>35</v>
      </c>
      <c r="J239" s="12" t="s">
        <v>34</v>
      </c>
      <c r="K239" s="10" t="s">
        <v>87</v>
      </c>
      <c r="L239" s="53" t="s">
        <v>1437</v>
      </c>
      <c r="M239" s="12" t="s">
        <v>87</v>
      </c>
      <c r="N239" s="36" t="s">
        <v>1485</v>
      </c>
      <c r="O239" s="34">
        <v>132</v>
      </c>
      <c r="P239" s="6" t="s">
        <v>87</v>
      </c>
      <c r="Q239" s="34" t="s">
        <v>87</v>
      </c>
      <c r="R239" s="34" t="s">
        <v>87</v>
      </c>
      <c r="S239" s="6" t="s">
        <v>87</v>
      </c>
      <c r="T239" s="12">
        <f>Tableau1[[#This Row],[Loyer €/m²]]*Tableau1[[#This Row],[Surface GLA]]</f>
        <v>24288</v>
      </c>
      <c r="U239" s="12">
        <f>IFERROR(Tableau1[[#This Row],[Loyer annuel]]/12,"")</f>
        <v>2024</v>
      </c>
      <c r="V239" s="12">
        <v>184</v>
      </c>
      <c r="W239" s="34" t="s">
        <v>87</v>
      </c>
      <c r="X239" s="6">
        <f>Tableau1[[#This Row],[Charges €/m²]]*Tableau1[[#This Row],[Surface GLA]]</f>
        <v>1222.32</v>
      </c>
      <c r="Y239" s="12">
        <f>Tableau1[[#This Row],[Charges annuelles]]/12</f>
        <v>101.86</v>
      </c>
      <c r="Z239" s="12">
        <v>9.26</v>
      </c>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25510.32</v>
      </c>
      <c r="AF239" s="12" t="str">
        <f t="shared" si="13"/>
        <v>3 mois = 6 072 €</v>
      </c>
      <c r="AG239" s="12" t="s">
        <v>87</v>
      </c>
      <c r="AH239" s="51">
        <v>1.4999999999999999E-2</v>
      </c>
      <c r="AI239" s="12" t="s">
        <v>361</v>
      </c>
      <c r="AJ239" s="10" t="s">
        <v>59</v>
      </c>
      <c r="AK239" s="10" t="s">
        <v>352</v>
      </c>
      <c r="AL239" s="10"/>
      <c r="AM239" s="11"/>
      <c r="AN239" s="11" t="s">
        <v>1466</v>
      </c>
      <c r="AO239" s="5" t="s">
        <v>350</v>
      </c>
      <c r="AP239" s="11" t="s">
        <v>1574</v>
      </c>
      <c r="AQ239" s="11" t="s">
        <v>1575</v>
      </c>
      <c r="AR239" s="11" t="s">
        <v>1518</v>
      </c>
      <c r="AS239" s="36" t="s">
        <v>1578</v>
      </c>
      <c r="AT239" s="11" t="s">
        <v>59</v>
      </c>
      <c r="AU239" s="11"/>
      <c r="AV239" s="13" t="s">
        <v>1504</v>
      </c>
      <c r="AW239" s="14"/>
      <c r="AX239" s="44">
        <v>46079</v>
      </c>
    </row>
    <row r="240" spans="1:50" ht="25.5">
      <c r="A240" s="38" t="str">
        <f>VLOOKUP(Tableau1[[#This Row],[N° Département]],Feuil1!$C$6:$E$106,3)</f>
        <v>Ile-de-France</v>
      </c>
      <c r="B240" s="38" t="str">
        <f>VLOOKUP(Tableau1[[#This Row],[N° Département]],Feuil1!$C$6:$E$106,2)</f>
        <v>Yvelines</v>
      </c>
      <c r="C240" s="38">
        <f>LEFT(Tableau1[[#This Row],[Code Postal]],2)*1</f>
        <v>78</v>
      </c>
      <c r="D240" s="10" t="s">
        <v>1571</v>
      </c>
      <c r="E240" s="26">
        <v>78300</v>
      </c>
      <c r="F240" s="54" t="s">
        <v>1472</v>
      </c>
      <c r="G240" s="39" t="str">
        <f>Tableau1[[#This Row],[Rue]]&amp;CHAR(10)&amp;Tableau1[[#This Row],[Code Postal]]&amp;" - "&amp;Tableau1[[#This Row],[Ville]]</f>
        <v>23 rue Maurice Clerc
78300 - Poissy</v>
      </c>
      <c r="H240" s="15" t="s">
        <v>1573</v>
      </c>
      <c r="I240" s="12" t="s">
        <v>35</v>
      </c>
      <c r="J240" s="12" t="s">
        <v>34</v>
      </c>
      <c r="K240" s="10" t="s">
        <v>87</v>
      </c>
      <c r="L240" s="53" t="s">
        <v>1437</v>
      </c>
      <c r="M240" s="12" t="s">
        <v>87</v>
      </c>
      <c r="N240" s="36" t="s">
        <v>1486</v>
      </c>
      <c r="O240" s="34">
        <v>111</v>
      </c>
      <c r="P240" s="6" t="s">
        <v>87</v>
      </c>
      <c r="Q240" s="34" t="s">
        <v>87</v>
      </c>
      <c r="R240" s="34" t="s">
        <v>87</v>
      </c>
      <c r="S240" s="6" t="s">
        <v>87</v>
      </c>
      <c r="T240" s="12">
        <f>Tableau1[[#This Row],[Loyer €/m²]]*Tableau1[[#This Row],[Surface GLA]]</f>
        <v>20424</v>
      </c>
      <c r="U240" s="12">
        <f>IFERROR(Tableau1[[#This Row],[Loyer annuel]]/12,"")</f>
        <v>1702</v>
      </c>
      <c r="V240" s="12">
        <v>184</v>
      </c>
      <c r="W240" s="34" t="s">
        <v>87</v>
      </c>
      <c r="X240" s="6">
        <f>Tableau1[[#This Row],[Charges €/m²]]*Tableau1[[#This Row],[Surface GLA]]</f>
        <v>1279.83</v>
      </c>
      <c r="Y240" s="12">
        <f>Tableau1[[#This Row],[Charges annuelles]]/12</f>
        <v>106.65249999999999</v>
      </c>
      <c r="Z240" s="12">
        <v>11.53</v>
      </c>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21703.83</v>
      </c>
      <c r="AF240" s="12" t="str">
        <f t="shared" si="13"/>
        <v>3 mois = 5 106 €</v>
      </c>
      <c r="AG240" s="12" t="s">
        <v>87</v>
      </c>
      <c r="AH240" s="51">
        <v>1.4999999999999999E-2</v>
      </c>
      <c r="AI240" s="12" t="s">
        <v>361</v>
      </c>
      <c r="AJ240" s="10" t="s">
        <v>59</v>
      </c>
      <c r="AK240" s="10" t="s">
        <v>352</v>
      </c>
      <c r="AL240" s="10"/>
      <c r="AM240" s="11"/>
      <c r="AN240" s="11" t="s">
        <v>1466</v>
      </c>
      <c r="AO240" s="5" t="s">
        <v>350</v>
      </c>
      <c r="AP240" s="11" t="s">
        <v>1576</v>
      </c>
      <c r="AQ240" s="11" t="s">
        <v>1577</v>
      </c>
      <c r="AR240" s="11" t="s">
        <v>1519</v>
      </c>
      <c r="AS240" s="36" t="s">
        <v>1579</v>
      </c>
      <c r="AT240" s="11" t="s">
        <v>59</v>
      </c>
      <c r="AU240" s="11"/>
      <c r="AV240" s="13" t="s">
        <v>1504</v>
      </c>
      <c r="AW240" s="14"/>
      <c r="AX240" s="44">
        <v>46079</v>
      </c>
    </row>
    <row r="241" spans="1:50" ht="25.5">
      <c r="A241" s="38" t="str">
        <f>VLOOKUP(Tableau1[[#This Row],[N° Département]],Feuil1!$C$6:$E$106,3)</f>
        <v>Ile-de-France</v>
      </c>
      <c r="B241" s="38" t="str">
        <f>VLOOKUP(Tableau1[[#This Row],[N° Département]],Feuil1!$C$6:$E$106,2)</f>
        <v>Seine-Saint-Denis</v>
      </c>
      <c r="C241" s="38">
        <f>LEFT(Tableau1[[#This Row],[Code Postal]],2)*1</f>
        <v>93</v>
      </c>
      <c r="D241" s="10" t="s">
        <v>1496</v>
      </c>
      <c r="E241" s="26">
        <v>93400</v>
      </c>
      <c r="F241" s="54" t="s">
        <v>1473</v>
      </c>
      <c r="G241" s="39" t="str">
        <f>Tableau1[[#This Row],[Rue]]&amp;CHAR(10)&amp;Tableau1[[#This Row],[Code Postal]]&amp;" - "&amp;Tableau1[[#This Row],[Ville]]</f>
        <v>12 bis rue des Bateliers
93400 - Saint-Ouen</v>
      </c>
      <c r="H241" s="15" t="s">
        <v>1543</v>
      </c>
      <c r="I241" s="12" t="s">
        <v>35</v>
      </c>
      <c r="J241" s="12" t="s">
        <v>34</v>
      </c>
      <c r="K241" s="10" t="s">
        <v>87</v>
      </c>
      <c r="L241" s="53" t="s">
        <v>1437</v>
      </c>
      <c r="M241" s="12" t="s">
        <v>87</v>
      </c>
      <c r="N241" s="36" t="s">
        <v>318</v>
      </c>
      <c r="O241" s="34">
        <v>142</v>
      </c>
      <c r="P241" s="6" t="s">
        <v>1580</v>
      </c>
      <c r="Q241" s="34" t="s">
        <v>87</v>
      </c>
      <c r="R241" s="34" t="s">
        <v>87</v>
      </c>
      <c r="S241" s="6" t="s">
        <v>87</v>
      </c>
      <c r="T241" s="12">
        <f>Tableau1[[#This Row],[Loyer €/m²]]*Tableau1[[#This Row],[Surface GLA]]</f>
        <v>44020</v>
      </c>
      <c r="U241" s="12">
        <f>IFERROR(Tableau1[[#This Row],[Loyer annuel]]/12,"")</f>
        <v>3668.3333333333335</v>
      </c>
      <c r="V241" s="12">
        <v>310</v>
      </c>
      <c r="W241" s="34" t="s">
        <v>87</v>
      </c>
      <c r="X241" s="6">
        <f>Tableau1[[#This Row],[Charges €/m²]]*Tableau1[[#This Row],[Surface GLA]]</f>
        <v>0</v>
      </c>
      <c r="Y241" s="12">
        <f>Tableau1[[#This Row],[Charges annuelles]]/12</f>
        <v>0</v>
      </c>
      <c r="Z241" s="12"/>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44020</v>
      </c>
      <c r="AF241" s="12" t="str">
        <f t="shared" si="13"/>
        <v>3 mois = 11 005 €</v>
      </c>
      <c r="AG241" s="12" t="s">
        <v>87</v>
      </c>
      <c r="AH241" s="51">
        <v>1.4999999999999999E-2</v>
      </c>
      <c r="AI241" s="12" t="s">
        <v>361</v>
      </c>
      <c r="AJ241" s="10" t="s">
        <v>59</v>
      </c>
      <c r="AK241" s="10" t="s">
        <v>352</v>
      </c>
      <c r="AL241" s="10"/>
      <c r="AM241" s="11"/>
      <c r="AN241" s="11" t="s">
        <v>1466</v>
      </c>
      <c r="AO241" s="5" t="s">
        <v>350</v>
      </c>
      <c r="AP241" s="11" t="s">
        <v>1583</v>
      </c>
      <c r="AQ241" s="11" t="s">
        <v>1582</v>
      </c>
      <c r="AR241" s="11">
        <v>77</v>
      </c>
      <c r="AS241" s="36" t="s">
        <v>1581</v>
      </c>
      <c r="AT241" s="11" t="s">
        <v>59</v>
      </c>
      <c r="AU241" s="11"/>
      <c r="AV241" s="13" t="s">
        <v>1504</v>
      </c>
      <c r="AW241" s="14"/>
      <c r="AX241" s="44">
        <v>46079</v>
      </c>
    </row>
    <row r="242" spans="1:50" ht="25.5">
      <c r="A242" s="38" t="str">
        <f>VLOOKUP(Tableau1[[#This Row],[N° Département]],Feuil1!$C$6:$E$106,3)</f>
        <v>Ile-de-France</v>
      </c>
      <c r="B242" s="38" t="str">
        <f>VLOOKUP(Tableau1[[#This Row],[N° Département]],Feuil1!$C$6:$E$106,2)</f>
        <v>Val-de-Marne</v>
      </c>
      <c r="C242" s="38">
        <f>LEFT(Tableau1[[#This Row],[Code Postal]],2)*1</f>
        <v>94</v>
      </c>
      <c r="D242" s="10" t="s">
        <v>1497</v>
      </c>
      <c r="E242" s="26">
        <v>94513</v>
      </c>
      <c r="F242" s="54" t="s">
        <v>1474</v>
      </c>
      <c r="G242" s="39" t="str">
        <f>Tableau1[[#This Row],[Rue]]&amp;CHAR(10)&amp;Tableau1[[#This Row],[Code Postal]]&amp;" - "&amp;Tableau1[[#This Row],[Ville]]</f>
        <v>rue Dunoyer de Segonzac
94513 - La Queue en Brie</v>
      </c>
      <c r="H242" s="15" t="s">
        <v>1585</v>
      </c>
      <c r="I242" s="12" t="s">
        <v>35</v>
      </c>
      <c r="J242" s="12" t="s">
        <v>34</v>
      </c>
      <c r="K242" s="10" t="s">
        <v>87</v>
      </c>
      <c r="L242" s="53" t="s">
        <v>1437</v>
      </c>
      <c r="M242" s="12" t="s">
        <v>87</v>
      </c>
      <c r="N242" s="36" t="s">
        <v>340</v>
      </c>
      <c r="O242" s="34">
        <v>38</v>
      </c>
      <c r="P242" s="6" t="s">
        <v>87</v>
      </c>
      <c r="Q242" s="34" t="s">
        <v>87</v>
      </c>
      <c r="R242" s="34" t="s">
        <v>87</v>
      </c>
      <c r="S242" s="6" t="s">
        <v>87</v>
      </c>
      <c r="T242" s="12">
        <f>Tableau1[[#This Row],[Loyer €/m²]]*Tableau1[[#This Row],[Surface GLA]]</f>
        <v>9880</v>
      </c>
      <c r="U242" s="12">
        <f>IFERROR(Tableau1[[#This Row],[Loyer annuel]]/12,"")</f>
        <v>823.33333333333337</v>
      </c>
      <c r="V242" s="12">
        <v>260</v>
      </c>
      <c r="W242" s="34" t="s">
        <v>87</v>
      </c>
      <c r="X242" s="6">
        <f>Tableau1[[#This Row],[Charges €/m²]]*Tableau1[[#This Row],[Surface GLA]]</f>
        <v>0</v>
      </c>
      <c r="Y242" s="12">
        <f>Tableau1[[#This Row],[Charges annuelles]]/12</f>
        <v>0</v>
      </c>
      <c r="Z242" s="12"/>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9880</v>
      </c>
      <c r="AF242" s="12" t="str">
        <f>"3 mois = "&amp;TEXT(ROUND(3/12*T242,0),"### ### ##0 €")</f>
        <v>3 mois = 2 470 €</v>
      </c>
      <c r="AG242" s="12" t="s">
        <v>87</v>
      </c>
      <c r="AH242" s="51">
        <v>1.4999999999999999E-2</v>
      </c>
      <c r="AI242" s="12" t="s">
        <v>361</v>
      </c>
      <c r="AJ242" s="10" t="s">
        <v>59</v>
      </c>
      <c r="AK242" s="10" t="s">
        <v>352</v>
      </c>
      <c r="AL242" s="10"/>
      <c r="AM242" s="11"/>
      <c r="AN242" s="11" t="s">
        <v>1466</v>
      </c>
      <c r="AO242" s="5" t="s">
        <v>350</v>
      </c>
      <c r="AP242" s="11" t="s">
        <v>1590</v>
      </c>
      <c r="AQ242" s="11" t="s">
        <v>1591</v>
      </c>
      <c r="AR242" s="11" t="s">
        <v>1520</v>
      </c>
      <c r="AS242" s="36" t="s">
        <v>1586</v>
      </c>
      <c r="AT242" s="11" t="s">
        <v>59</v>
      </c>
      <c r="AU242" s="11"/>
      <c r="AV242" s="13" t="s">
        <v>1504</v>
      </c>
      <c r="AW242" s="14"/>
      <c r="AX242" s="44">
        <v>46079</v>
      </c>
    </row>
    <row r="243" spans="1:50" ht="25.5">
      <c r="A243" s="38" t="str">
        <f>VLOOKUP(Tableau1[[#This Row],[N° Département]],Feuil1!$C$6:$E$106,3)</f>
        <v>Ile-de-France</v>
      </c>
      <c r="B243" s="38" t="str">
        <f>VLOOKUP(Tableau1[[#This Row],[N° Département]],Feuil1!$C$6:$E$106,2)</f>
        <v>Val-de-Marne</v>
      </c>
      <c r="C243" s="38">
        <f>LEFT(Tableau1[[#This Row],[Code Postal]],2)*1</f>
        <v>94</v>
      </c>
      <c r="D243" s="10" t="s">
        <v>1497</v>
      </c>
      <c r="E243" s="26">
        <v>94512</v>
      </c>
      <c r="F243" s="54" t="s">
        <v>1474</v>
      </c>
      <c r="G243" s="39" t="str">
        <f>Tableau1[[#This Row],[Rue]]&amp;CHAR(10)&amp;Tableau1[[#This Row],[Code Postal]]&amp;" - "&amp;Tableau1[[#This Row],[Ville]]</f>
        <v>rue Dunoyer de Segonzac
94512 - La Queue en Brie</v>
      </c>
      <c r="H243" s="15" t="s">
        <v>1585</v>
      </c>
      <c r="I243" s="12" t="s">
        <v>35</v>
      </c>
      <c r="J243" s="12" t="s">
        <v>34</v>
      </c>
      <c r="K243" s="10" t="s">
        <v>87</v>
      </c>
      <c r="L243" s="53" t="s">
        <v>1437</v>
      </c>
      <c r="M243" s="12" t="s">
        <v>87</v>
      </c>
      <c r="N243" s="36" t="s">
        <v>341</v>
      </c>
      <c r="O243" s="34">
        <v>95</v>
      </c>
      <c r="P243" s="6" t="s">
        <v>87</v>
      </c>
      <c r="Q243" s="34" t="s">
        <v>87</v>
      </c>
      <c r="R243" s="34" t="s">
        <v>87</v>
      </c>
      <c r="S243" s="6" t="s">
        <v>87</v>
      </c>
      <c r="T243" s="12">
        <f>Tableau1[[#This Row],[Loyer €/m²]]*Tableau1[[#This Row],[Surface GLA]]</f>
        <v>19475</v>
      </c>
      <c r="U243" s="12">
        <f>IFERROR(Tableau1[[#This Row],[Loyer annuel]]/12,"")</f>
        <v>1622.9166666666667</v>
      </c>
      <c r="V243" s="12">
        <v>205</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19475</v>
      </c>
      <c r="AF243" s="12" t="str">
        <f>"3 mois = "&amp;TEXT(ROUND(3/12*T243,0),"### ### ##0 €")</f>
        <v>3 mois = 4 869 €</v>
      </c>
      <c r="AG243" s="12" t="s">
        <v>87</v>
      </c>
      <c r="AH243" s="51">
        <v>1.4999999999999999E-2</v>
      </c>
      <c r="AI243" s="12" t="s">
        <v>361</v>
      </c>
      <c r="AJ243" s="10" t="s">
        <v>59</v>
      </c>
      <c r="AK243" s="10" t="s">
        <v>352</v>
      </c>
      <c r="AL243" s="10"/>
      <c r="AM243" s="11"/>
      <c r="AN243" s="11" t="s">
        <v>1466</v>
      </c>
      <c r="AO243" s="5" t="s">
        <v>350</v>
      </c>
      <c r="AP243" s="11" t="s">
        <v>1592</v>
      </c>
      <c r="AQ243" s="11" t="s">
        <v>1593</v>
      </c>
      <c r="AR243" s="11" t="s">
        <v>1501</v>
      </c>
      <c r="AS243" s="36" t="s">
        <v>1587</v>
      </c>
      <c r="AT243" s="11" t="s">
        <v>59</v>
      </c>
      <c r="AU243" s="11"/>
      <c r="AV243" s="13" t="s">
        <v>1504</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1497</v>
      </c>
      <c r="E244" s="26">
        <v>94511</v>
      </c>
      <c r="F244" s="54" t="s">
        <v>1474</v>
      </c>
      <c r="G244" s="39" t="str">
        <f>Tableau1[[#This Row],[Rue]]&amp;CHAR(10)&amp;Tableau1[[#This Row],[Code Postal]]&amp;" - "&amp;Tableau1[[#This Row],[Ville]]</f>
        <v>rue Dunoyer de Segonzac
94511 - La Queue en Brie</v>
      </c>
      <c r="H244" s="15" t="s">
        <v>1585</v>
      </c>
      <c r="I244" s="12" t="s">
        <v>35</v>
      </c>
      <c r="J244" s="12" t="s">
        <v>34</v>
      </c>
      <c r="K244" s="10" t="s">
        <v>87</v>
      </c>
      <c r="L244" s="53" t="s">
        <v>1437</v>
      </c>
      <c r="M244" s="12" t="s">
        <v>87</v>
      </c>
      <c r="N244" s="36" t="s">
        <v>342</v>
      </c>
      <c r="O244" s="34">
        <v>152</v>
      </c>
      <c r="P244" s="6" t="s">
        <v>87</v>
      </c>
      <c r="Q244" s="34">
        <v>205</v>
      </c>
      <c r="R244" s="34" t="s">
        <v>87</v>
      </c>
      <c r="S244" s="6" t="s">
        <v>87</v>
      </c>
      <c r="T244" s="12">
        <f>Tableau1[[#This Row],[Loyer €/m²]]*Tableau1[[#This Row],[Surface GLA]]</f>
        <v>30400</v>
      </c>
      <c r="U244" s="12">
        <f>IFERROR(Tableau1[[#This Row],[Loyer annuel]]/12,"")</f>
        <v>2533.3333333333335</v>
      </c>
      <c r="V244" s="12">
        <v>200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30400</v>
      </c>
      <c r="AF244" s="12" t="str">
        <f>"3 mois = "&amp;TEXT(ROUND(3/12*T244,0),"### ### ##0 €")</f>
        <v>3 mois = 7 600 €</v>
      </c>
      <c r="AG244" s="12" t="s">
        <v>87</v>
      </c>
      <c r="AH244" s="51">
        <v>1.4999999999999999E-2</v>
      </c>
      <c r="AI244" s="12" t="s">
        <v>361</v>
      </c>
      <c r="AJ244" s="10" t="s">
        <v>59</v>
      </c>
      <c r="AK244" s="10" t="s">
        <v>352</v>
      </c>
      <c r="AL244" s="10"/>
      <c r="AM244" s="11"/>
      <c r="AN244" s="11" t="s">
        <v>1466</v>
      </c>
      <c r="AO244" s="5" t="s">
        <v>350</v>
      </c>
      <c r="AP244" s="11" t="s">
        <v>1594</v>
      </c>
      <c r="AQ244" s="11" t="s">
        <v>1595</v>
      </c>
      <c r="AR244" s="11" t="s">
        <v>1521</v>
      </c>
      <c r="AS244" s="36" t="s">
        <v>1588</v>
      </c>
      <c r="AT244" s="11" t="s">
        <v>59</v>
      </c>
      <c r="AU244" s="11"/>
      <c r="AV244" s="13" t="s">
        <v>1504</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1497</v>
      </c>
      <c r="E245" s="26">
        <v>94510</v>
      </c>
      <c r="F245" s="54" t="s">
        <v>1474</v>
      </c>
      <c r="G245" s="39" t="str">
        <f>Tableau1[[#This Row],[Rue]]&amp;CHAR(10)&amp;Tableau1[[#This Row],[Code Postal]]&amp;" - "&amp;Tableau1[[#This Row],[Ville]]</f>
        <v>rue Dunoyer de Segonzac
94510 - La Queue en Brie</v>
      </c>
      <c r="H245" s="15" t="s">
        <v>1584</v>
      </c>
      <c r="I245" s="12" t="s">
        <v>35</v>
      </c>
      <c r="J245" s="12" t="s">
        <v>34</v>
      </c>
      <c r="K245" s="10" t="s">
        <v>87</v>
      </c>
      <c r="L245" s="53" t="s">
        <v>1437</v>
      </c>
      <c r="M245" s="12" t="s">
        <v>87</v>
      </c>
      <c r="N245" s="36" t="s">
        <v>343</v>
      </c>
      <c r="O245" s="34">
        <v>53</v>
      </c>
      <c r="P245" s="6" t="s">
        <v>87</v>
      </c>
      <c r="Q245" s="34">
        <v>205</v>
      </c>
      <c r="R245" s="34" t="s">
        <v>87</v>
      </c>
      <c r="S245" s="6" t="s">
        <v>87</v>
      </c>
      <c r="T245" s="12">
        <f>Tableau1[[#This Row],[Loyer €/m²]]*Tableau1[[#This Row],[Surface GLA]]</f>
        <v>13250</v>
      </c>
      <c r="U245" s="12">
        <f>IFERROR(Tableau1[[#This Row],[Loyer annuel]]/12,"")</f>
        <v>1104.1666666666667</v>
      </c>
      <c r="V245" s="12">
        <v>250</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13250</v>
      </c>
      <c r="AF245" s="12" t="str">
        <f t="shared" si="13"/>
        <v>3 mois = 3 313 €</v>
      </c>
      <c r="AG245" s="12" t="s">
        <v>87</v>
      </c>
      <c r="AH245" s="51">
        <v>1.4999999999999999E-2</v>
      </c>
      <c r="AI245" s="12" t="s">
        <v>361</v>
      </c>
      <c r="AJ245" s="10" t="s">
        <v>59</v>
      </c>
      <c r="AK245" s="10" t="s">
        <v>352</v>
      </c>
      <c r="AL245" s="10"/>
      <c r="AM245" s="11"/>
      <c r="AN245" s="11" t="s">
        <v>1466</v>
      </c>
      <c r="AO245" s="5" t="s">
        <v>350</v>
      </c>
      <c r="AP245" s="11" t="s">
        <v>1596</v>
      </c>
      <c r="AQ245" s="11" t="s">
        <v>1597</v>
      </c>
      <c r="AR245" s="11" t="s">
        <v>1522</v>
      </c>
      <c r="AS245" s="36" t="s">
        <v>1589</v>
      </c>
      <c r="AT245" s="11" t="s">
        <v>59</v>
      </c>
      <c r="AU245" s="11"/>
      <c r="AV245" s="13" t="s">
        <v>1504</v>
      </c>
      <c r="AW245" s="14"/>
      <c r="AX245" s="44">
        <v>46079</v>
      </c>
    </row>
    <row r="246" spans="1:50" ht="25.5">
      <c r="A246" s="38" t="str">
        <f>VLOOKUP(Tableau1[[#This Row],[N° Département]],Feuil1!$C$6:$E$106,3)</f>
        <v>Auvergne-Rhône-Alpes</v>
      </c>
      <c r="B246" s="38" t="str">
        <f>VLOOKUP(Tableau1[[#This Row],[N° Département]],Feuil1!$C$6:$E$106,2)</f>
        <v>Rhône</v>
      </c>
      <c r="C246" s="38">
        <f>LEFT(Tableau1[[#This Row],[Code Postal]],2)*1</f>
        <v>69</v>
      </c>
      <c r="D246" s="10" t="s">
        <v>1498</v>
      </c>
      <c r="E246" s="26">
        <v>69002</v>
      </c>
      <c r="F246" s="54" t="s">
        <v>1475</v>
      </c>
      <c r="G246" s="39" t="str">
        <f>Tableau1[[#This Row],[Rue]]&amp;CHAR(10)&amp;Tableau1[[#This Row],[Code Postal]]&amp;" - "&amp;Tableau1[[#This Row],[Ville]]</f>
        <v>Allée Louis Thomas Achille
69002 - Lyon Confluence</v>
      </c>
      <c r="H246" s="15" t="s">
        <v>1608</v>
      </c>
      <c r="I246" s="12" t="s">
        <v>35</v>
      </c>
      <c r="J246" s="12" t="s">
        <v>34</v>
      </c>
      <c r="K246" s="10" t="s">
        <v>87</v>
      </c>
      <c r="L246" s="53" t="s">
        <v>1437</v>
      </c>
      <c r="M246" s="12" t="s">
        <v>87</v>
      </c>
      <c r="N246" s="36" t="s">
        <v>1487</v>
      </c>
      <c r="O246" s="34">
        <v>248</v>
      </c>
      <c r="P246" s="6" t="s">
        <v>1598</v>
      </c>
      <c r="Q246" s="34">
        <v>512</v>
      </c>
      <c r="R246" s="34">
        <v>240</v>
      </c>
      <c r="S246" s="6" t="s">
        <v>1599</v>
      </c>
      <c r="T246" s="12">
        <f>Tableau1[[#This Row],[Loyer €/m²]]*Tableau1[[#This Row],[Surface GLA]]</f>
        <v>41664</v>
      </c>
      <c r="U246" s="12">
        <f>IFERROR(Tableau1[[#This Row],[Loyer annuel]]/12,"")</f>
        <v>3472</v>
      </c>
      <c r="V246" s="12">
        <v>168</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41664</v>
      </c>
      <c r="AF246" s="12" t="str">
        <f t="shared" si="13"/>
        <v>3 mois = 10 416 €</v>
      </c>
      <c r="AG246" s="12" t="s">
        <v>87</v>
      </c>
      <c r="AH246" s="51">
        <v>1.4999999999999999E-2</v>
      </c>
      <c r="AI246" s="12" t="s">
        <v>361</v>
      </c>
      <c r="AJ246" s="10" t="s">
        <v>59</v>
      </c>
      <c r="AK246" s="10" t="s">
        <v>352</v>
      </c>
      <c r="AL246" s="10"/>
      <c r="AM246" s="11"/>
      <c r="AN246" s="11" t="s">
        <v>1466</v>
      </c>
      <c r="AO246" s="5" t="s">
        <v>350</v>
      </c>
      <c r="AP246" s="11" t="s">
        <v>1609</v>
      </c>
      <c r="AQ246" s="11" t="s">
        <v>1610</v>
      </c>
      <c r="AR246" s="11" t="s">
        <v>1523</v>
      </c>
      <c r="AS246" s="36" t="s">
        <v>1604</v>
      </c>
      <c r="AT246" s="11" t="s">
        <v>59</v>
      </c>
      <c r="AU246" s="11"/>
      <c r="AV246" s="13" t="s">
        <v>1504</v>
      </c>
      <c r="AW246" s="14"/>
      <c r="AX246" s="44">
        <v>46079</v>
      </c>
    </row>
    <row r="247" spans="1:50" ht="25.5">
      <c r="A247" s="38" t="str">
        <f>VLOOKUP(Tableau1[[#This Row],[N° Département]],Feuil1!$C$6:$E$106,3)</f>
        <v>Auvergne-Rhône-Alpes</v>
      </c>
      <c r="B247" s="38" t="str">
        <f>VLOOKUP(Tableau1[[#This Row],[N° Département]],Feuil1!$C$6:$E$106,2)</f>
        <v>Rhône</v>
      </c>
      <c r="C247" s="38">
        <f>LEFT(Tableau1[[#This Row],[Code Postal]],2)*1</f>
        <v>69</v>
      </c>
      <c r="D247" s="10" t="s">
        <v>1498</v>
      </c>
      <c r="E247" s="26">
        <v>69002</v>
      </c>
      <c r="F247" s="54" t="s">
        <v>1475</v>
      </c>
      <c r="G247" s="39" t="str">
        <f>Tableau1[[#This Row],[Rue]]&amp;CHAR(10)&amp;Tableau1[[#This Row],[Code Postal]]&amp;" - "&amp;Tableau1[[#This Row],[Ville]]</f>
        <v>Allée Louis Thomas Achille
69002 - Lyon Confluence</v>
      </c>
      <c r="H247" s="15" t="s">
        <v>1608</v>
      </c>
      <c r="I247" s="12" t="s">
        <v>35</v>
      </c>
      <c r="J247" s="12" t="s">
        <v>34</v>
      </c>
      <c r="K247" s="10" t="s">
        <v>87</v>
      </c>
      <c r="L247" s="53" t="s">
        <v>1437</v>
      </c>
      <c r="M247" s="12" t="s">
        <v>87</v>
      </c>
      <c r="N247" s="36" t="s">
        <v>1488</v>
      </c>
      <c r="O247" s="34">
        <v>264</v>
      </c>
      <c r="P247" s="6" t="s">
        <v>1600</v>
      </c>
      <c r="Q247" s="34">
        <v>512</v>
      </c>
      <c r="R247" s="34">
        <v>252</v>
      </c>
      <c r="S247" s="6" t="s">
        <v>1601</v>
      </c>
      <c r="T247" s="12">
        <f>Tableau1[[#This Row],[Loyer €/m²]]*Tableau1[[#This Row],[Surface GLA]]</f>
        <v>34584</v>
      </c>
      <c r="U247" s="12">
        <f>IFERROR(Tableau1[[#This Row],[Loyer annuel]]/12,"")</f>
        <v>2882</v>
      </c>
      <c r="V247" s="12">
        <v>131</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34584</v>
      </c>
      <c r="AF247" s="12" t="str">
        <f t="shared" si="13"/>
        <v>3 mois = 8 646 €</v>
      </c>
      <c r="AG247" s="12" t="s">
        <v>87</v>
      </c>
      <c r="AH247" s="51">
        <v>1.4999999999999999E-2</v>
      </c>
      <c r="AI247" s="12" t="s">
        <v>361</v>
      </c>
      <c r="AJ247" s="10" t="s">
        <v>59</v>
      </c>
      <c r="AK247" s="10" t="s">
        <v>352</v>
      </c>
      <c r="AL247" s="10"/>
      <c r="AM247" s="11"/>
      <c r="AN247" s="11" t="s">
        <v>1466</v>
      </c>
      <c r="AO247" s="5" t="s">
        <v>350</v>
      </c>
      <c r="AP247" s="11" t="s">
        <v>1611</v>
      </c>
      <c r="AQ247" s="11" t="s">
        <v>1612</v>
      </c>
      <c r="AR247" s="11" t="s">
        <v>1524</v>
      </c>
      <c r="AS247" s="36" t="s">
        <v>1605</v>
      </c>
      <c r="AT247" s="11" t="s">
        <v>59</v>
      </c>
      <c r="AU247" s="11"/>
      <c r="AV247" s="13" t="s">
        <v>1504</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1498</v>
      </c>
      <c r="E248" s="26">
        <v>69002</v>
      </c>
      <c r="F248" s="54" t="s">
        <v>1475</v>
      </c>
      <c r="G248" s="39" t="str">
        <f>Tableau1[[#This Row],[Rue]]&amp;CHAR(10)&amp;Tableau1[[#This Row],[Code Postal]]&amp;" - "&amp;Tableau1[[#This Row],[Ville]]</f>
        <v>Allée Louis Thomas Achille
69002 - Lyon Confluence</v>
      </c>
      <c r="H248" s="15" t="s">
        <v>1608</v>
      </c>
      <c r="I248" s="12" t="s">
        <v>35</v>
      </c>
      <c r="J248" s="12" t="s">
        <v>34</v>
      </c>
      <c r="K248" s="10" t="s">
        <v>87</v>
      </c>
      <c r="L248" s="53" t="s">
        <v>1437</v>
      </c>
      <c r="M248" s="12" t="s">
        <v>87</v>
      </c>
      <c r="N248" s="36" t="s">
        <v>1489</v>
      </c>
      <c r="O248" s="34">
        <v>174</v>
      </c>
      <c r="P248" s="6" t="s">
        <v>87</v>
      </c>
      <c r="Q248" s="34" t="s">
        <v>87</v>
      </c>
      <c r="R248" s="34">
        <v>168</v>
      </c>
      <c r="S248" s="6" t="s">
        <v>87</v>
      </c>
      <c r="T248" s="12">
        <f>Tableau1[[#This Row],[Loyer €/m²]]*Tableau1[[#This Row],[Surface GLA]]</f>
        <v>34800</v>
      </c>
      <c r="U248" s="12">
        <f>IFERROR(Tableau1[[#This Row],[Loyer annuel]]/12,"")</f>
        <v>2900</v>
      </c>
      <c r="V248" s="12">
        <v>200</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34800</v>
      </c>
      <c r="AF248" s="12" t="str">
        <f t="shared" si="13"/>
        <v>3 mois = 8 700 €</v>
      </c>
      <c r="AG248" s="12" t="s">
        <v>87</v>
      </c>
      <c r="AH248" s="51">
        <v>1.4999999999999999E-2</v>
      </c>
      <c r="AI248" s="12" t="s">
        <v>361</v>
      </c>
      <c r="AJ248" s="10" t="s">
        <v>59</v>
      </c>
      <c r="AK248" s="10" t="s">
        <v>352</v>
      </c>
      <c r="AL248" s="10"/>
      <c r="AM248" s="11"/>
      <c r="AN248" s="11" t="s">
        <v>1466</v>
      </c>
      <c r="AO248" s="5" t="s">
        <v>350</v>
      </c>
      <c r="AP248" s="11" t="s">
        <v>1613</v>
      </c>
      <c r="AQ248" s="11" t="s">
        <v>1614</v>
      </c>
      <c r="AR248" s="11" t="s">
        <v>1525</v>
      </c>
      <c r="AS248" s="36" t="s">
        <v>1606</v>
      </c>
      <c r="AT248" s="11" t="s">
        <v>59</v>
      </c>
      <c r="AU248" s="11"/>
      <c r="AV248" s="13" t="s">
        <v>1504</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1498</v>
      </c>
      <c r="E249" s="26">
        <v>69002</v>
      </c>
      <c r="F249" s="54" t="s">
        <v>1475</v>
      </c>
      <c r="G249" s="39" t="str">
        <f>Tableau1[[#This Row],[Rue]]&amp;CHAR(10)&amp;Tableau1[[#This Row],[Code Postal]]&amp;" - "&amp;Tableau1[[#This Row],[Ville]]</f>
        <v>Allée Louis Thomas Achille
69002 - Lyon Confluence</v>
      </c>
      <c r="H249" s="15" t="s">
        <v>1608</v>
      </c>
      <c r="I249" s="12" t="s">
        <v>35</v>
      </c>
      <c r="J249" s="12" t="s">
        <v>34</v>
      </c>
      <c r="K249" s="10" t="s">
        <v>87</v>
      </c>
      <c r="L249" s="53" t="s">
        <v>1437</v>
      </c>
      <c r="M249" s="12" t="s">
        <v>87</v>
      </c>
      <c r="N249" s="36" t="s">
        <v>1490</v>
      </c>
      <c r="O249" s="34">
        <v>239</v>
      </c>
      <c r="P249" s="6" t="s">
        <v>1602</v>
      </c>
      <c r="Q249" s="34" t="s">
        <v>87</v>
      </c>
      <c r="R249" s="34">
        <v>235</v>
      </c>
      <c r="S249" s="6" t="s">
        <v>1603</v>
      </c>
      <c r="T249" s="12">
        <f>Tableau1[[#This Row],[Loyer €/m²]]*Tableau1[[#This Row],[Surface GLA]]</f>
        <v>31787</v>
      </c>
      <c r="U249" s="12">
        <f>IFERROR(Tableau1[[#This Row],[Loyer annuel]]/12,"")</f>
        <v>2648.9166666666665</v>
      </c>
      <c r="V249" s="12">
        <v>133</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31787</v>
      </c>
      <c r="AF249" s="12" t="str">
        <f t="shared" si="13"/>
        <v>3 mois = 7 947 €</v>
      </c>
      <c r="AG249" s="12" t="s">
        <v>87</v>
      </c>
      <c r="AH249" s="51">
        <v>1.4999999999999999E-2</v>
      </c>
      <c r="AI249" s="12" t="s">
        <v>361</v>
      </c>
      <c r="AJ249" s="10" t="s">
        <v>59</v>
      </c>
      <c r="AK249" s="10" t="s">
        <v>352</v>
      </c>
      <c r="AL249" s="10"/>
      <c r="AM249" s="11"/>
      <c r="AN249" s="11" t="s">
        <v>1466</v>
      </c>
      <c r="AO249" s="5" t="s">
        <v>350</v>
      </c>
      <c r="AP249" s="11" t="s">
        <v>1615</v>
      </c>
      <c r="AQ249" s="11" t="s">
        <v>1616</v>
      </c>
      <c r="AR249" s="11" t="s">
        <v>1526</v>
      </c>
      <c r="AS249" s="36" t="s">
        <v>1607</v>
      </c>
      <c r="AT249" s="11" t="s">
        <v>59</v>
      </c>
      <c r="AU249" s="11"/>
      <c r="AV249" s="13" t="s">
        <v>1504</v>
      </c>
      <c r="AW249" s="14"/>
      <c r="AX249" s="44">
        <v>46079</v>
      </c>
    </row>
    <row r="250" spans="1:50" ht="25.5">
      <c r="A250" s="38" t="str">
        <f>VLOOKUP(Tableau1[[#This Row],[N° Département]],Feuil1!$C$6:$E$106,3)</f>
        <v>Occitanie</v>
      </c>
      <c r="B250" s="38" t="str">
        <f>VLOOKUP(Tableau1[[#This Row],[N° Département]],Feuil1!$C$6:$E$106,2)</f>
        <v>Gard</v>
      </c>
      <c r="C250" s="38">
        <f>LEFT(Tableau1[[#This Row],[Code Postal]],2)*1</f>
        <v>30</v>
      </c>
      <c r="D250" s="10" t="s">
        <v>1666</v>
      </c>
      <c r="E250" s="26">
        <v>30130</v>
      </c>
      <c r="F250" s="10" t="s">
        <v>1667</v>
      </c>
      <c r="G250" s="39" t="str">
        <f>Tableau1[[#This Row],[Rue]]&amp;CHAR(10)&amp;Tableau1[[#This Row],[Code Postal]]&amp;" - "&amp;Tableau1[[#This Row],[Ville]]</f>
        <v>Avenue du Général de Gaulle
30130 - Pont-Saint-Esprit</v>
      </c>
      <c r="H250" s="15" t="s">
        <v>1668</v>
      </c>
      <c r="I250" s="12" t="s">
        <v>37</v>
      </c>
      <c r="J250" s="12" t="s">
        <v>40</v>
      </c>
      <c r="K250" s="10" t="s">
        <v>87</v>
      </c>
      <c r="L250" s="12" t="s">
        <v>87</v>
      </c>
      <c r="M250" s="12" t="s">
        <v>87</v>
      </c>
      <c r="N250" s="12" t="s">
        <v>87</v>
      </c>
      <c r="O250" s="34">
        <v>76</v>
      </c>
      <c r="P250" s="6" t="s">
        <v>87</v>
      </c>
      <c r="Q250" s="34" t="s">
        <v>87</v>
      </c>
      <c r="R250" s="34" t="s">
        <v>87</v>
      </c>
      <c r="S250" s="6" t="s">
        <v>87</v>
      </c>
      <c r="T250" s="12">
        <f>Tableau1[[#This Row],[Loyer €/m²]]*Tableau1[[#This Row],[Surface GLA]]</f>
        <v>12008</v>
      </c>
      <c r="U250" s="12">
        <f>IFERROR(Tableau1[[#This Row],[Loyer annuel]]/12,"")</f>
        <v>1000.6666666666666</v>
      </c>
      <c r="V250" s="12">
        <v>158</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12008</v>
      </c>
      <c r="AF250" s="12"/>
      <c r="AG250" s="12" t="s">
        <v>87</v>
      </c>
      <c r="AH250" s="12" t="s">
        <v>87</v>
      </c>
      <c r="AI250" s="12" t="s">
        <v>346</v>
      </c>
      <c r="AJ250" s="10" t="s">
        <v>358</v>
      </c>
      <c r="AK250" s="10" t="s">
        <v>352</v>
      </c>
      <c r="AL250" s="10"/>
      <c r="AM250" s="11" t="s">
        <v>1669</v>
      </c>
      <c r="AN250" s="11"/>
      <c r="AO250" s="5" t="s">
        <v>350</v>
      </c>
      <c r="AP250" s="11" t="s">
        <v>1670</v>
      </c>
      <c r="AQ250" s="11" t="s">
        <v>1671</v>
      </c>
      <c r="AR250" s="11">
        <v>80</v>
      </c>
      <c r="AS250" s="36" t="s">
        <v>1672</v>
      </c>
      <c r="AT250" s="11" t="s">
        <v>59</v>
      </c>
      <c r="AU250" s="11"/>
      <c r="AV250" s="13" t="s">
        <v>1673</v>
      </c>
      <c r="AW250" s="14"/>
      <c r="AX250" s="44">
        <v>46085</v>
      </c>
    </row>
    <row r="251" spans="1:50" ht="38.25">
      <c r="A251" s="38" t="str">
        <f>VLOOKUP(Tableau1[[#This Row],[N° Département]],Feuil1!$C$6:$E$106,3)</f>
        <v>Occitanie</v>
      </c>
      <c r="B251" s="38" t="str">
        <f>VLOOKUP(Tableau1[[#This Row],[N° Département]],Feuil1!$C$6:$E$106,2)</f>
        <v>Gard</v>
      </c>
      <c r="C251" s="38">
        <f>LEFT(Tableau1[[#This Row],[Code Postal]],2)*1</f>
        <v>30</v>
      </c>
      <c r="D251" s="11" t="s">
        <v>1677</v>
      </c>
      <c r="E251" s="26">
        <v>30100</v>
      </c>
      <c r="F251" s="54" t="s">
        <v>1676</v>
      </c>
      <c r="G251" s="39" t="str">
        <f>Tableau1[[#This Row],[Rue]]&amp;CHAR(10)&amp;Tableau1[[#This Row],[Code Postal]]&amp;" - "&amp;Tableau1[[#This Row],[Ville]]</f>
        <v>Zone Commerciale Porte Sud
1585 Quai du Mas d'Hours
30100 - Alès</v>
      </c>
      <c r="H251" s="15" t="s">
        <v>1675</v>
      </c>
      <c r="I251" s="12" t="s">
        <v>37</v>
      </c>
      <c r="J251" s="12" t="s">
        <v>40</v>
      </c>
      <c r="K251" s="10" t="s">
        <v>87</v>
      </c>
      <c r="L251" s="12" t="s">
        <v>87</v>
      </c>
      <c r="M251" s="12" t="s">
        <v>87</v>
      </c>
      <c r="N251" s="12" t="s">
        <v>87</v>
      </c>
      <c r="O251" s="34">
        <v>533</v>
      </c>
      <c r="P251" s="6" t="s">
        <v>87</v>
      </c>
      <c r="Q251" s="34" t="s">
        <v>87</v>
      </c>
      <c r="R251" s="34" t="s">
        <v>87</v>
      </c>
      <c r="S251" s="6" t="s">
        <v>87</v>
      </c>
      <c r="T251" s="12">
        <f>Tableau1[[#This Row],[Loyer €/m²]]*Tableau1[[#This Row],[Surface GLA]]</f>
        <v>0</v>
      </c>
      <c r="U251" s="12">
        <f>IFERROR(Tableau1[[#This Row],[Loyer annuel]]/12,"")</f>
        <v>0</v>
      </c>
      <c r="V251" s="12"/>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0</v>
      </c>
      <c r="AF251" s="12"/>
      <c r="AG251" s="12" t="s">
        <v>87</v>
      </c>
      <c r="AH251" s="12" t="s">
        <v>87</v>
      </c>
      <c r="AI251" s="12" t="s">
        <v>346</v>
      </c>
      <c r="AJ251" s="10" t="s">
        <v>358</v>
      </c>
      <c r="AK251" s="10" t="s">
        <v>352</v>
      </c>
      <c r="AL251" s="10"/>
      <c r="AM251" s="11"/>
      <c r="AN251" s="11"/>
      <c r="AO251" s="5" t="s">
        <v>350</v>
      </c>
      <c r="AP251" s="11" t="s">
        <v>1678</v>
      </c>
      <c r="AQ251" s="11" t="s">
        <v>1679</v>
      </c>
      <c r="AR251" s="11">
        <v>81</v>
      </c>
      <c r="AS251" s="36" t="s">
        <v>1674</v>
      </c>
      <c r="AT251" s="11" t="s">
        <v>43</v>
      </c>
      <c r="AU251" s="11"/>
      <c r="AV251" s="13" t="s">
        <v>1673</v>
      </c>
      <c r="AW251" s="14"/>
      <c r="AX251" s="44">
        <v>46085</v>
      </c>
    </row>
    <row r="252" spans="1:50" ht="38.25">
      <c r="A252" s="38" t="str">
        <f>VLOOKUP(Tableau1[[#This Row],[N° Département]],Feuil1!$C$6:$E$106,3)</f>
        <v>Ile-de-France</v>
      </c>
      <c r="B252" s="38" t="str">
        <f>VLOOKUP(Tableau1[[#This Row],[N° Département]],Feuil1!$C$6:$E$106,2)</f>
        <v>Val-D'Oise</v>
      </c>
      <c r="C252" s="38">
        <f>LEFT(Tableau1[[#This Row],[Code Postal]],2)*1</f>
        <v>95</v>
      </c>
      <c r="D252" s="11" t="s">
        <v>1681</v>
      </c>
      <c r="E252" s="26">
        <v>95290</v>
      </c>
      <c r="F252" s="54" t="s">
        <v>939</v>
      </c>
      <c r="G252" s="39" t="str">
        <f>Tableau1[[#This Row],[Rue]]&amp;CHAR(10)&amp;Tableau1[[#This Row],[Code Postal]]&amp;" - "&amp;Tableau1[[#This Row],[Ville]]</f>
        <v>Boulevard de Tilsit - Carrefour ZAC du Pont des Rayons
95290 - L'Isle-Adam</v>
      </c>
      <c r="H252" s="15" t="s">
        <v>1680</v>
      </c>
      <c r="I252" s="12" t="s">
        <v>37</v>
      </c>
      <c r="J252" s="12" t="s">
        <v>40</v>
      </c>
      <c r="K252" s="10" t="s">
        <v>87</v>
      </c>
      <c r="L252" s="12" t="s">
        <v>87</v>
      </c>
      <c r="M252" s="12" t="s">
        <v>87</v>
      </c>
      <c r="N252" s="12" t="s">
        <v>275</v>
      </c>
      <c r="O252" s="34">
        <v>760</v>
      </c>
      <c r="P252" s="6" t="s">
        <v>87</v>
      </c>
      <c r="Q252" s="34" t="s">
        <v>87</v>
      </c>
      <c r="R252" s="34" t="s">
        <v>87</v>
      </c>
      <c r="S252" s="6" t="s">
        <v>87</v>
      </c>
      <c r="T252" s="12">
        <f>Tableau1[[#This Row],[Loyer €/m²]]*Tableau1[[#This Row],[Surface GLA]]</f>
        <v>0</v>
      </c>
      <c r="U252" s="12">
        <f>IFERROR(Tableau1[[#This Row],[Loyer annuel]]/12,"")</f>
        <v>0</v>
      </c>
      <c r="V252" s="12"/>
      <c r="W252" s="34" t="s">
        <v>87</v>
      </c>
      <c r="X252" s="6">
        <f>Tableau1[[#This Row],[Charges €/m²]]*Tableau1[[#This Row],[Surface GLA]]</f>
        <v>31160</v>
      </c>
      <c r="Y252" s="12">
        <f>Tableau1[[#This Row],[Charges annuelles]]/12</f>
        <v>2596.6666666666665</v>
      </c>
      <c r="Z252" s="12">
        <v>41</v>
      </c>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31160</v>
      </c>
      <c r="AF252" s="12"/>
      <c r="AG252" s="12" t="s">
        <v>87</v>
      </c>
      <c r="AH252" s="12" t="s">
        <v>87</v>
      </c>
      <c r="AI252" s="12" t="s">
        <v>87</v>
      </c>
      <c r="AJ252" s="10" t="s">
        <v>358</v>
      </c>
      <c r="AK252" s="10" t="s">
        <v>352</v>
      </c>
      <c r="AL252" s="10"/>
      <c r="AM252" s="11"/>
      <c r="AN252" s="11"/>
      <c r="AO252" s="5" t="s">
        <v>350</v>
      </c>
      <c r="AP252" s="11" t="s">
        <v>1682</v>
      </c>
      <c r="AQ252" s="11" t="s">
        <v>1683</v>
      </c>
      <c r="AR252" s="11">
        <v>82</v>
      </c>
      <c r="AS252" s="36" t="s">
        <v>1684</v>
      </c>
      <c r="AT252" s="11" t="s">
        <v>59</v>
      </c>
      <c r="AU252" s="11"/>
      <c r="AV252" s="13" t="s">
        <v>902</v>
      </c>
      <c r="AW252" s="14"/>
      <c r="AX252" s="44">
        <v>46087</v>
      </c>
    </row>
    <row r="253" spans="1:50" ht="25.5">
      <c r="A253" s="38" t="str">
        <f>VLOOKUP(Tableau1[[#This Row],[N° Département]],Feuil1!$C$6:$E$106,3)</f>
        <v>Ile-de-France</v>
      </c>
      <c r="B253" s="38" t="str">
        <f>VLOOKUP(Tableau1[[#This Row],[N° Département]],Feuil1!$C$6:$E$106,2)</f>
        <v>Hauts-de-Seine</v>
      </c>
      <c r="C253" s="38">
        <f>LEFT(Tableau1[[#This Row],[Code Postal]],2)*1</f>
        <v>92</v>
      </c>
      <c r="D253" s="11" t="s">
        <v>1690</v>
      </c>
      <c r="E253" s="26">
        <v>92370</v>
      </c>
      <c r="F253" s="54" t="s">
        <v>1692</v>
      </c>
      <c r="G253" s="39" t="str">
        <f>Tableau1[[#This Row],[Rue]]&amp;CHAR(10)&amp;Tableau1[[#This Row],[Code Postal]]&amp;" - "&amp;Tableau1[[#This Row],[Ville]]</f>
        <v>34 rue Carnot
92370 - Chaville</v>
      </c>
      <c r="H253" s="15" t="s">
        <v>1691</v>
      </c>
      <c r="I253" s="12" t="s">
        <v>35</v>
      </c>
      <c r="J253" s="12" t="s">
        <v>34</v>
      </c>
      <c r="K253" s="10" t="s">
        <v>87</v>
      </c>
      <c r="L253" s="53" t="s">
        <v>1437</v>
      </c>
      <c r="M253" s="12" t="s">
        <v>87</v>
      </c>
      <c r="N253" s="36"/>
      <c r="O253" s="34">
        <v>255</v>
      </c>
      <c r="P253" s="6" t="s">
        <v>87</v>
      </c>
      <c r="Q253" s="34" t="s">
        <v>87</v>
      </c>
      <c r="R253" s="34" t="s">
        <v>87</v>
      </c>
      <c r="S253" s="6" t="s">
        <v>87</v>
      </c>
      <c r="T253" s="12">
        <f>Tableau1[[#This Row],[Loyer €/m²]]*Tableau1[[#This Row],[Surface GLA]]</f>
        <v>81345</v>
      </c>
      <c r="U253" s="12">
        <f>IFERROR(Tableau1[[#This Row],[Loyer annuel]]/12,"")</f>
        <v>6778.75</v>
      </c>
      <c r="V253" s="12">
        <v>319</v>
      </c>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81345</v>
      </c>
      <c r="AF253" s="12" t="str">
        <f t="shared" ref="AF253" si="15">"3 mois = "&amp;TEXT(ROUND(3/12*T253,0),"### ### ##0 €")</f>
        <v>3 mois = 20 336 €</v>
      </c>
      <c r="AG253" s="12" t="s">
        <v>87</v>
      </c>
      <c r="AH253" s="51">
        <v>1.4999999999999999E-2</v>
      </c>
      <c r="AI253" s="12" t="s">
        <v>346</v>
      </c>
      <c r="AJ253" s="10" t="s">
        <v>358</v>
      </c>
      <c r="AK253" s="10" t="s">
        <v>352</v>
      </c>
      <c r="AL253" s="10"/>
      <c r="AM253" s="11"/>
      <c r="AN253" s="11" t="s">
        <v>1693</v>
      </c>
      <c r="AO253" s="5" t="s">
        <v>350</v>
      </c>
      <c r="AP253" s="11" t="s">
        <v>1694</v>
      </c>
      <c r="AQ253" s="11" t="s">
        <v>1695</v>
      </c>
      <c r="AR253" s="11">
        <v>83</v>
      </c>
      <c r="AS253" s="36" t="s">
        <v>1696</v>
      </c>
      <c r="AT253" s="11" t="s">
        <v>59</v>
      </c>
      <c r="AU253" s="11"/>
      <c r="AV253" s="13" t="s">
        <v>1504</v>
      </c>
      <c r="AW253" s="14"/>
      <c r="AX253" s="44">
        <v>46099</v>
      </c>
    </row>
    <row r="254" spans="1:50" ht="25.5">
      <c r="A254" s="38" t="str">
        <f>VLOOKUP(Tableau1[[#This Row],[N° Département]],Feuil1!$C$6:$E$106,3)</f>
        <v>Centre-Val de Loire</v>
      </c>
      <c r="B254" s="38" t="str">
        <f>VLOOKUP(Tableau1[[#This Row],[N° Département]],Feuil1!$C$6:$E$106,2)</f>
        <v>Eure-et-Loir</v>
      </c>
      <c r="C254" s="38">
        <f>LEFT(Tableau1[[#This Row],[Code Postal]],2)*1</f>
        <v>28</v>
      </c>
      <c r="D254" s="11" t="s">
        <v>1707</v>
      </c>
      <c r="E254" s="26">
        <v>28260</v>
      </c>
      <c r="F254" s="10" t="s">
        <v>1706</v>
      </c>
      <c r="G254" s="39" t="str">
        <f>Tableau1[[#This Row],[Rue]]&amp;CHAR(10)&amp;Tableau1[[#This Row],[Code Postal]]&amp;" - "&amp;Tableau1[[#This Row],[Ville]]</f>
        <v>Leclerc Anet
28260 - Anet</v>
      </c>
      <c r="H254" s="15" t="s">
        <v>1708</v>
      </c>
      <c r="I254" s="12" t="s">
        <v>37</v>
      </c>
      <c r="J254" s="12" t="s">
        <v>41</v>
      </c>
      <c r="K254" s="10" t="s">
        <v>87</v>
      </c>
      <c r="L254" s="12" t="s">
        <v>87</v>
      </c>
      <c r="M254" s="12" t="s">
        <v>87</v>
      </c>
      <c r="N254" s="36"/>
      <c r="O254" s="34">
        <v>120</v>
      </c>
      <c r="P254" s="6" t="s">
        <v>87</v>
      </c>
      <c r="Q254" s="34" t="s">
        <v>87</v>
      </c>
      <c r="R254" s="34" t="s">
        <v>87</v>
      </c>
      <c r="S254" s="6" t="s">
        <v>87</v>
      </c>
      <c r="T254" s="12">
        <f>Tableau1[[#This Row],[Loyer €/m²]]*Tableau1[[#This Row],[Surface GLA]]</f>
        <v>42000</v>
      </c>
      <c r="U254" s="12">
        <f>IFERROR(Tableau1[[#This Row],[Loyer annuel]]/12,"")</f>
        <v>3500</v>
      </c>
      <c r="V254" s="12">
        <v>350</v>
      </c>
      <c r="W254" s="34" t="s">
        <v>87</v>
      </c>
      <c r="X254" s="6">
        <f>Tableau1[[#This Row],[Charges €/m²]]*Tableau1[[#This Row],[Surface GLA]]</f>
        <v>0</v>
      </c>
      <c r="Y254" s="12">
        <f>Tableau1[[#This Row],[Charges annuelles]]/12</f>
        <v>0</v>
      </c>
      <c r="Z254" s="12"/>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42000</v>
      </c>
      <c r="AF254" s="12"/>
      <c r="AG254" s="12" t="s">
        <v>87</v>
      </c>
      <c r="AH254" s="12" t="s">
        <v>87</v>
      </c>
      <c r="AI254" s="12" t="s">
        <v>346</v>
      </c>
      <c r="AJ254" s="10" t="s">
        <v>43</v>
      </c>
      <c r="AK254" s="10" t="s">
        <v>351</v>
      </c>
      <c r="AL254" s="10"/>
      <c r="AM254" s="11" t="s">
        <v>1711</v>
      </c>
      <c r="AN254" s="11"/>
      <c r="AO254" s="5" t="s">
        <v>350</v>
      </c>
      <c r="AP254" s="11" t="s">
        <v>1709</v>
      </c>
      <c r="AQ254" s="11" t="s">
        <v>1710</v>
      </c>
      <c r="AR254" s="11">
        <v>84</v>
      </c>
      <c r="AS254" s="36" t="s">
        <v>1720</v>
      </c>
      <c r="AT254" s="11" t="s">
        <v>59</v>
      </c>
      <c r="AU254" s="11"/>
      <c r="AV254" s="13" t="s">
        <v>1707</v>
      </c>
      <c r="AW254" s="14"/>
      <c r="AX254" s="44">
        <v>46132</v>
      </c>
    </row>
    <row r="255" spans="1:50" ht="25.5">
      <c r="A255" s="38" t="str">
        <f>VLOOKUP(Tableau1[[#This Row],[N° Département]],Feuil1!$C$6:$E$106,3)</f>
        <v>Centre-Val de Loire</v>
      </c>
      <c r="B255" s="38" t="str">
        <f>VLOOKUP(Tableau1[[#This Row],[N° Département]],Feuil1!$C$6:$E$106,2)</f>
        <v>Eure-et-Loir</v>
      </c>
      <c r="C255" s="38">
        <f>LEFT(Tableau1[[#This Row],[Code Postal]],2)*1</f>
        <v>28</v>
      </c>
      <c r="D255" s="11" t="s">
        <v>1712</v>
      </c>
      <c r="E255" s="26">
        <v>28260</v>
      </c>
      <c r="F255" s="10" t="s">
        <v>1706</v>
      </c>
      <c r="G255" s="39" t="str">
        <f>Tableau1[[#This Row],[Rue]]&amp;CHAR(10)&amp;Tableau1[[#This Row],[Code Postal]]&amp;" - "&amp;Tableau1[[#This Row],[Ville]]</f>
        <v>11 rue Diane de Poitiers
28260 - Anet</v>
      </c>
      <c r="H255" s="15" t="s">
        <v>1713</v>
      </c>
      <c r="I255" s="12" t="s">
        <v>35</v>
      </c>
      <c r="J255" s="12" t="s">
        <v>34</v>
      </c>
      <c r="K255" s="10" t="s">
        <v>87</v>
      </c>
      <c r="L255" s="12" t="s">
        <v>87</v>
      </c>
      <c r="M255" s="12" t="s">
        <v>87</v>
      </c>
      <c r="N255" s="36"/>
      <c r="O255" s="34">
        <v>190</v>
      </c>
      <c r="P255" s="6" t="s">
        <v>87</v>
      </c>
      <c r="Q255" s="34" t="s">
        <v>87</v>
      </c>
      <c r="R255" s="34" t="s">
        <v>87</v>
      </c>
      <c r="S255" s="6" t="s">
        <v>87</v>
      </c>
      <c r="T255" s="12">
        <f>Tableau1[[#This Row],[Loyer €/m²]]*Tableau1[[#This Row],[Surface GLA]]</f>
        <v>0</v>
      </c>
      <c r="U255" s="12">
        <f>IFERROR(Tableau1[[#This Row],[Loyer annuel]]/12,"")</f>
        <v>0</v>
      </c>
      <c r="V255" s="12"/>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0</v>
      </c>
      <c r="AF255" s="12"/>
      <c r="AG255" s="12" t="s">
        <v>87</v>
      </c>
      <c r="AH255" s="12" t="s">
        <v>87</v>
      </c>
      <c r="AI255" s="12" t="s">
        <v>361</v>
      </c>
      <c r="AJ255" s="10" t="s">
        <v>43</v>
      </c>
      <c r="AK255" s="10" t="s">
        <v>43</v>
      </c>
      <c r="AL255" s="10" t="s">
        <v>1715</v>
      </c>
      <c r="AM255" s="11" t="s">
        <v>1714</v>
      </c>
      <c r="AN255" s="11"/>
      <c r="AO255" s="5" t="s">
        <v>350</v>
      </c>
      <c r="AP255" s="11" t="s">
        <v>1717</v>
      </c>
      <c r="AQ255" s="11" t="s">
        <v>1718</v>
      </c>
      <c r="AR255" s="11">
        <v>85</v>
      </c>
      <c r="AS255" s="36" t="s">
        <v>1719</v>
      </c>
      <c r="AT255" s="11" t="s">
        <v>59</v>
      </c>
      <c r="AU255" s="11"/>
      <c r="AV255" s="13" t="s">
        <v>1716</v>
      </c>
      <c r="AW255" s="14"/>
      <c r="AX255" s="44">
        <v>46132</v>
      </c>
    </row>
    <row r="256" spans="1:50" ht="25.5">
      <c r="A256" s="38" t="str">
        <f>VLOOKUP(Tableau1[[#This Row],[N° Département]],Feuil1!$C$6:$E$106,3)</f>
        <v>Pays de la Loire</v>
      </c>
      <c r="B256" s="38" t="str">
        <f>VLOOKUP(Tableau1[[#This Row],[N° Département]],Feuil1!$C$6:$E$106,2)</f>
        <v>Maine-et-Loire</v>
      </c>
      <c r="C256" s="38">
        <f>LEFT(Tableau1[[#This Row],[Code Postal]],2)*1</f>
        <v>49</v>
      </c>
      <c r="D256" s="10" t="s">
        <v>2325</v>
      </c>
      <c r="E256" s="26">
        <v>49000</v>
      </c>
      <c r="F256" s="10" t="s">
        <v>1730</v>
      </c>
      <c r="G256" s="39" t="str">
        <f>Tableau1[[#This Row],[Rue]]&amp;CHAR(10)&amp;Tableau1[[#This Row],[Code Postal]]&amp;" - "&amp;Tableau1[[#This Row],[Ville]]</f>
        <v>Grand Maine, 10 Rue du Grand Launay
49000 - Angers</v>
      </c>
      <c r="H256" s="15" t="s">
        <v>1731</v>
      </c>
      <c r="I256" s="12" t="s">
        <v>37</v>
      </c>
      <c r="J256" s="12" t="s">
        <v>39</v>
      </c>
      <c r="K256" s="10" t="s">
        <v>87</v>
      </c>
      <c r="L256" s="12" t="s">
        <v>87</v>
      </c>
      <c r="M256" s="12" t="s">
        <v>87</v>
      </c>
      <c r="N256" s="36" t="s">
        <v>1732</v>
      </c>
      <c r="O256" s="34">
        <v>160</v>
      </c>
      <c r="P256" s="6" t="s">
        <v>87</v>
      </c>
      <c r="Q256" s="34" t="s">
        <v>87</v>
      </c>
      <c r="R256" s="34" t="s">
        <v>87</v>
      </c>
      <c r="S256" s="6" t="s">
        <v>87</v>
      </c>
      <c r="T256" s="12">
        <f>Tableau1[[#This Row],[Loyer €/m²]]*Tableau1[[#This Row],[Surface GLA]]</f>
        <v>48000</v>
      </c>
      <c r="U256" s="12">
        <f>IFERROR(Tableau1[[#This Row],[Loyer annuel]]/12,"")</f>
        <v>4000</v>
      </c>
      <c r="V256" s="12">
        <v>300</v>
      </c>
      <c r="W256" s="34" t="s">
        <v>87</v>
      </c>
      <c r="X256" s="6">
        <f>Tableau1[[#This Row],[Charges €/m²]]*Tableau1[[#This Row],[Surface GLA]]</f>
        <v>12000</v>
      </c>
      <c r="Y256" s="12">
        <f>Tableau1[[#This Row],[Charges annuelles]]/12</f>
        <v>1000</v>
      </c>
      <c r="Z256" s="12">
        <v>75</v>
      </c>
      <c r="AA256" s="12">
        <f>IFERROR(Tableau1[[#This Row],[Taxe foncière €/m²]]*Tableau1[[#This Row],[Surface GLA]],)</f>
        <v>4640</v>
      </c>
      <c r="AB256" s="12">
        <v>29</v>
      </c>
      <c r="AC256" s="12">
        <f>IFERROR(Tableau1[[#This Row],[Marketing €/m²]]*Tableau1[[#This Row],[Surface GLA]],)</f>
        <v>5600</v>
      </c>
      <c r="AD256" s="12">
        <v>35</v>
      </c>
      <c r="AE256" s="12">
        <f>IFERROR(Tableau1[[#This Row],[Loyer annuel]]+Tableau1[[#This Row],[Charges annuelles]]+Tableau1[[#This Row],[Taxe foncière]]+Tableau1[[#This Row],[Marketing]],"")</f>
        <v>70240</v>
      </c>
      <c r="AF256" s="12" t="str">
        <f t="shared" ref="AF256:AF322" si="16">"3 mois = "&amp;TEXT(ROUND(3/12*T256,0),"### ### ##0 €")</f>
        <v>3 mois = 12 000 €</v>
      </c>
      <c r="AG256" s="12" t="s">
        <v>87</v>
      </c>
      <c r="AH256" s="12" t="s">
        <v>87</v>
      </c>
      <c r="AI256" s="12" t="s">
        <v>346</v>
      </c>
      <c r="AJ256" s="10" t="s">
        <v>358</v>
      </c>
      <c r="AK256" s="10" t="s">
        <v>352</v>
      </c>
      <c r="AL256" s="10" t="s">
        <v>2323</v>
      </c>
      <c r="AM256" s="11" t="s">
        <v>2322</v>
      </c>
      <c r="AN256" s="11" t="s">
        <v>1308</v>
      </c>
      <c r="AO256" s="5" t="s">
        <v>350</v>
      </c>
      <c r="AP256" s="11" t="s">
        <v>1747</v>
      </c>
      <c r="AQ256" s="11" t="s">
        <v>1748</v>
      </c>
      <c r="AR256" s="11" t="s">
        <v>1779</v>
      </c>
      <c r="AS256" s="36" t="s">
        <v>1795</v>
      </c>
      <c r="AT256" s="11" t="s">
        <v>59</v>
      </c>
      <c r="AU256" s="11"/>
      <c r="AV256" s="13" t="s">
        <v>1746</v>
      </c>
      <c r="AW256" s="14"/>
      <c r="AX256" s="44">
        <v>46175</v>
      </c>
    </row>
    <row r="257" spans="1:50" ht="25.5">
      <c r="A257" s="38" t="str">
        <f>VLOOKUP(Tableau1[[#This Row],[N° Département]],Feuil1!$C$6:$E$106,3)</f>
        <v>Pays de la Loire</v>
      </c>
      <c r="B257" s="38" t="str">
        <f>VLOOKUP(Tableau1[[#This Row],[N° Département]],Feuil1!$C$6:$E$106,2)</f>
        <v>Maine-et-Loire</v>
      </c>
      <c r="C257" s="38">
        <f>LEFT(Tableau1[[#This Row],[Code Postal]],2)*1</f>
        <v>49</v>
      </c>
      <c r="D257" s="10" t="s">
        <v>2325</v>
      </c>
      <c r="E257" s="26">
        <v>49000</v>
      </c>
      <c r="F257" s="10" t="s">
        <v>1730</v>
      </c>
      <c r="G257" s="39" t="str">
        <f>Tableau1[[#This Row],[Rue]]&amp;CHAR(10)&amp;Tableau1[[#This Row],[Code Postal]]&amp;" - "&amp;Tableau1[[#This Row],[Ville]]</f>
        <v>Grand Maine, 10 Rue du Grand Launay
49000 - Angers</v>
      </c>
      <c r="H257" s="15" t="s">
        <v>1731</v>
      </c>
      <c r="I257" s="12" t="s">
        <v>37</v>
      </c>
      <c r="J257" s="12" t="s">
        <v>39</v>
      </c>
      <c r="K257" s="10" t="s">
        <v>87</v>
      </c>
      <c r="L257" s="12" t="s">
        <v>87</v>
      </c>
      <c r="M257" s="12" t="s">
        <v>87</v>
      </c>
      <c r="N257" s="36" t="s">
        <v>1733</v>
      </c>
      <c r="O257" s="34">
        <v>164</v>
      </c>
      <c r="P257" s="6" t="s">
        <v>87</v>
      </c>
      <c r="Q257" s="34">
        <v>203</v>
      </c>
      <c r="R257" s="34" t="s">
        <v>87</v>
      </c>
      <c r="S257" s="6" t="s">
        <v>87</v>
      </c>
      <c r="T257" s="12">
        <f>Tableau1[[#This Row],[Loyer €/m²]]*Tableau1[[#This Row],[Surface GLA]]</f>
        <v>49200</v>
      </c>
      <c r="U257" s="12">
        <f>IFERROR(Tableau1[[#This Row],[Loyer annuel]]/12,"")</f>
        <v>4100</v>
      </c>
      <c r="V257" s="12">
        <v>300</v>
      </c>
      <c r="W257" s="34" t="s">
        <v>87</v>
      </c>
      <c r="X257" s="6">
        <f>Tableau1[[#This Row],[Charges €/m²]]*Tableau1[[#This Row],[Surface GLA]]</f>
        <v>12300</v>
      </c>
      <c r="Y257" s="12">
        <f>Tableau1[[#This Row],[Charges annuelles]]/12</f>
        <v>1025</v>
      </c>
      <c r="Z257" s="12">
        <v>75</v>
      </c>
      <c r="AA257" s="12">
        <f>IFERROR(Tableau1[[#This Row],[Taxe foncière €/m²]]*Tableau1[[#This Row],[Surface GLA]],)</f>
        <v>4756</v>
      </c>
      <c r="AB257" s="12">
        <v>29</v>
      </c>
      <c r="AC257" s="12">
        <f>IFERROR(Tableau1[[#This Row],[Marketing €/m²]]*Tableau1[[#This Row],[Surface GLA]],)</f>
        <v>5740</v>
      </c>
      <c r="AD257" s="12">
        <v>35</v>
      </c>
      <c r="AE257" s="12">
        <f>IFERROR(Tableau1[[#This Row],[Loyer annuel]]+Tableau1[[#This Row],[Charges annuelles]]+Tableau1[[#This Row],[Taxe foncière]]+Tableau1[[#This Row],[Marketing]],"")</f>
        <v>71996</v>
      </c>
      <c r="AF257" s="12" t="str">
        <f t="shared" si="16"/>
        <v>3 mois = 12 300 €</v>
      </c>
      <c r="AG257" s="12" t="s">
        <v>87</v>
      </c>
      <c r="AH257" s="12" t="s">
        <v>87</v>
      </c>
      <c r="AI257" s="12" t="s">
        <v>346</v>
      </c>
      <c r="AJ257" s="10"/>
      <c r="AK257" s="10"/>
      <c r="AL257" s="10" t="s">
        <v>2323</v>
      </c>
      <c r="AM257" s="11" t="s">
        <v>2322</v>
      </c>
      <c r="AN257" s="11" t="s">
        <v>1308</v>
      </c>
      <c r="AO257" s="5" t="s">
        <v>350</v>
      </c>
      <c r="AP257" s="11" t="s">
        <v>1749</v>
      </c>
      <c r="AQ257" s="11" t="s">
        <v>1750</v>
      </c>
      <c r="AR257" s="11" t="s">
        <v>1780</v>
      </c>
      <c r="AS257" s="36" t="s">
        <v>1795</v>
      </c>
      <c r="AT257" s="11" t="s">
        <v>59</v>
      </c>
      <c r="AU257" s="11"/>
      <c r="AV257" s="13" t="s">
        <v>1746</v>
      </c>
      <c r="AW257" s="14"/>
      <c r="AX257" s="44">
        <v>46175</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2325</v>
      </c>
      <c r="E258" s="26">
        <v>49000</v>
      </c>
      <c r="F258" s="10" t="s">
        <v>1730</v>
      </c>
      <c r="G258" s="39" t="str">
        <f>Tableau1[[#This Row],[Rue]]&amp;CHAR(10)&amp;Tableau1[[#This Row],[Code Postal]]&amp;" - "&amp;Tableau1[[#This Row],[Ville]]</f>
        <v>Grand Maine, 10 Rue du Grand Launay
49000 - Angers</v>
      </c>
      <c r="H258" s="15" t="s">
        <v>1731</v>
      </c>
      <c r="I258" s="12" t="s">
        <v>37</v>
      </c>
      <c r="J258" s="12" t="s">
        <v>39</v>
      </c>
      <c r="K258" s="10" t="s">
        <v>87</v>
      </c>
      <c r="L258" s="12" t="s">
        <v>87</v>
      </c>
      <c r="M258" s="12" t="s">
        <v>87</v>
      </c>
      <c r="N258" s="36" t="s">
        <v>291</v>
      </c>
      <c r="O258" s="34">
        <v>39</v>
      </c>
      <c r="P258" s="6" t="s">
        <v>87</v>
      </c>
      <c r="Q258" s="34">
        <v>203</v>
      </c>
      <c r="R258" s="34" t="s">
        <v>87</v>
      </c>
      <c r="S258" s="6" t="s">
        <v>87</v>
      </c>
      <c r="T258" s="12">
        <f>Tableau1[[#This Row],[Loyer €/m²]]*Tableau1[[#This Row],[Surface GLA]]</f>
        <v>19500</v>
      </c>
      <c r="U258" s="12">
        <f>IFERROR(Tableau1[[#This Row],[Loyer annuel]]/12,"")</f>
        <v>1625</v>
      </c>
      <c r="V258" s="12">
        <v>500</v>
      </c>
      <c r="W258" s="34" t="s">
        <v>87</v>
      </c>
      <c r="X258" s="6">
        <f>Tableau1[[#This Row],[Charges €/m²]]*Tableau1[[#This Row],[Surface GLA]]</f>
        <v>2925</v>
      </c>
      <c r="Y258" s="12">
        <f>Tableau1[[#This Row],[Charges annuelles]]/12</f>
        <v>243.75</v>
      </c>
      <c r="Z258" s="12">
        <v>75</v>
      </c>
      <c r="AA258" s="12">
        <f>IFERROR(Tableau1[[#This Row],[Taxe foncière €/m²]]*Tableau1[[#This Row],[Surface GLA]],)</f>
        <v>1131</v>
      </c>
      <c r="AB258" s="12">
        <v>29</v>
      </c>
      <c r="AC258" s="12">
        <f>IFERROR(Tableau1[[#This Row],[Marketing €/m²]]*Tableau1[[#This Row],[Surface GLA]],)</f>
        <v>1365</v>
      </c>
      <c r="AD258" s="12">
        <v>35</v>
      </c>
      <c r="AE258" s="12">
        <f>IFERROR(Tableau1[[#This Row],[Loyer annuel]]+Tableau1[[#This Row],[Charges annuelles]]+Tableau1[[#This Row],[Taxe foncière]]+Tableau1[[#This Row],[Marketing]],"")</f>
        <v>24921</v>
      </c>
      <c r="AF258" s="12" t="str">
        <f t="shared" si="16"/>
        <v>3 mois = 4 875 €</v>
      </c>
      <c r="AG258" s="12" t="s">
        <v>87</v>
      </c>
      <c r="AH258" s="12" t="s">
        <v>87</v>
      </c>
      <c r="AI258" s="12" t="s">
        <v>346</v>
      </c>
      <c r="AJ258" s="10"/>
      <c r="AK258" s="10"/>
      <c r="AL258" s="10" t="s">
        <v>2323</v>
      </c>
      <c r="AM258" s="11" t="s">
        <v>2322</v>
      </c>
      <c r="AN258" s="11" t="s">
        <v>1308</v>
      </c>
      <c r="AO258" s="5" t="s">
        <v>350</v>
      </c>
      <c r="AP258" s="11" t="s">
        <v>1751</v>
      </c>
      <c r="AQ258" s="11" t="s">
        <v>1752</v>
      </c>
      <c r="AR258" s="11" t="s">
        <v>1781</v>
      </c>
      <c r="AS258" s="36" t="s">
        <v>1795</v>
      </c>
      <c r="AT258" s="11" t="s">
        <v>59</v>
      </c>
      <c r="AU258" s="11"/>
      <c r="AV258" s="13" t="s">
        <v>1746</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2325</v>
      </c>
      <c r="E259" s="26">
        <v>49000</v>
      </c>
      <c r="F259" s="10" t="s">
        <v>1730</v>
      </c>
      <c r="G259" s="39" t="str">
        <f>Tableau1[[#This Row],[Rue]]&amp;CHAR(10)&amp;Tableau1[[#This Row],[Code Postal]]&amp;" - "&amp;Tableau1[[#This Row],[Ville]]</f>
        <v>Grand Maine, 10 Rue du Grand Launay
49000 - Angers</v>
      </c>
      <c r="H259" s="15" t="s">
        <v>1731</v>
      </c>
      <c r="I259" s="12" t="s">
        <v>37</v>
      </c>
      <c r="J259" s="12" t="s">
        <v>39</v>
      </c>
      <c r="K259" s="10" t="s">
        <v>87</v>
      </c>
      <c r="L259" s="12" t="s">
        <v>87</v>
      </c>
      <c r="M259" s="12" t="s">
        <v>87</v>
      </c>
      <c r="N259" s="36" t="s">
        <v>1734</v>
      </c>
      <c r="O259" s="34">
        <v>84</v>
      </c>
      <c r="P259" s="6" t="s">
        <v>87</v>
      </c>
      <c r="Q259" s="34">
        <v>203</v>
      </c>
      <c r="R259" s="34" t="s">
        <v>87</v>
      </c>
      <c r="S259" s="6" t="s">
        <v>87</v>
      </c>
      <c r="T259" s="12">
        <f>Tableau1[[#This Row],[Loyer €/m²]]*Tableau1[[#This Row],[Surface GLA]]</f>
        <v>33600</v>
      </c>
      <c r="U259" s="12">
        <f>IFERROR(Tableau1[[#This Row],[Loyer annuel]]/12,"")</f>
        <v>2800</v>
      </c>
      <c r="V259" s="12">
        <v>400</v>
      </c>
      <c r="W259" s="34" t="s">
        <v>87</v>
      </c>
      <c r="X259" s="6">
        <f>Tableau1[[#This Row],[Charges €/m²]]*Tableau1[[#This Row],[Surface GLA]]</f>
        <v>6300</v>
      </c>
      <c r="Y259" s="12">
        <f>Tableau1[[#This Row],[Charges annuelles]]/12</f>
        <v>525</v>
      </c>
      <c r="Z259" s="12">
        <v>75</v>
      </c>
      <c r="AA259" s="12">
        <f>IFERROR(Tableau1[[#This Row],[Taxe foncière €/m²]]*Tableau1[[#This Row],[Surface GLA]],)</f>
        <v>2436</v>
      </c>
      <c r="AB259" s="12">
        <v>29</v>
      </c>
      <c r="AC259" s="12">
        <f>IFERROR(Tableau1[[#This Row],[Marketing €/m²]]*Tableau1[[#This Row],[Surface GLA]],)</f>
        <v>2940</v>
      </c>
      <c r="AD259" s="12">
        <v>35</v>
      </c>
      <c r="AE259" s="12">
        <f>IFERROR(Tableau1[[#This Row],[Loyer annuel]]+Tableau1[[#This Row],[Charges annuelles]]+Tableau1[[#This Row],[Taxe foncière]]+Tableau1[[#This Row],[Marketing]],"")</f>
        <v>45276</v>
      </c>
      <c r="AF259" s="12" t="str">
        <f t="shared" si="16"/>
        <v>3 mois = 8 400 €</v>
      </c>
      <c r="AG259" s="12" t="s">
        <v>87</v>
      </c>
      <c r="AH259" s="12" t="s">
        <v>87</v>
      </c>
      <c r="AI259" s="12" t="s">
        <v>346</v>
      </c>
      <c r="AJ259" s="10"/>
      <c r="AK259" s="10"/>
      <c r="AL259" s="10" t="s">
        <v>2323</v>
      </c>
      <c r="AM259" s="11" t="s">
        <v>2322</v>
      </c>
      <c r="AN259" s="11" t="s">
        <v>1308</v>
      </c>
      <c r="AO259" s="5" t="s">
        <v>350</v>
      </c>
      <c r="AP259" s="11" t="s">
        <v>1753</v>
      </c>
      <c r="AQ259" s="11" t="s">
        <v>1754</v>
      </c>
      <c r="AR259" s="11" t="s">
        <v>1782</v>
      </c>
      <c r="AS259" s="36" t="s">
        <v>1795</v>
      </c>
      <c r="AT259" s="11" t="s">
        <v>59</v>
      </c>
      <c r="AU259" s="11"/>
      <c r="AV259" s="13" t="s">
        <v>1746</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2325</v>
      </c>
      <c r="E260" s="26">
        <v>49000</v>
      </c>
      <c r="F260" s="10" t="s">
        <v>1730</v>
      </c>
      <c r="G260" s="39" t="str">
        <f>Tableau1[[#This Row],[Rue]]&amp;CHAR(10)&amp;Tableau1[[#This Row],[Code Postal]]&amp;" - "&amp;Tableau1[[#This Row],[Ville]]</f>
        <v>Grand Maine, 10 Rue du Grand Launay
49000 - Angers</v>
      </c>
      <c r="H260" s="15" t="s">
        <v>1731</v>
      </c>
      <c r="I260" s="12" t="s">
        <v>37</v>
      </c>
      <c r="J260" s="12" t="s">
        <v>39</v>
      </c>
      <c r="K260" s="10" t="s">
        <v>87</v>
      </c>
      <c r="L260" s="12" t="s">
        <v>87</v>
      </c>
      <c r="M260" s="12" t="s">
        <v>87</v>
      </c>
      <c r="N260" s="36" t="s">
        <v>1735</v>
      </c>
      <c r="O260" s="34">
        <v>101</v>
      </c>
      <c r="P260" s="6" t="s">
        <v>87</v>
      </c>
      <c r="Q260" s="34" t="s">
        <v>87</v>
      </c>
      <c r="R260" s="34" t="s">
        <v>87</v>
      </c>
      <c r="S260" s="6" t="s">
        <v>87</v>
      </c>
      <c r="T260" s="12">
        <f>Tableau1[[#This Row],[Loyer €/m²]]*Tableau1[[#This Row],[Surface GLA]]</f>
        <v>35350</v>
      </c>
      <c r="U260" s="12">
        <f>IFERROR(Tableau1[[#This Row],[Loyer annuel]]/12,"")</f>
        <v>2945.8333333333335</v>
      </c>
      <c r="V260" s="12">
        <v>350</v>
      </c>
      <c r="W260" s="34" t="s">
        <v>87</v>
      </c>
      <c r="X260" s="6">
        <f>Tableau1[[#This Row],[Charges €/m²]]*Tableau1[[#This Row],[Surface GLA]]</f>
        <v>7575</v>
      </c>
      <c r="Y260" s="12">
        <f>Tableau1[[#This Row],[Charges annuelles]]/12</f>
        <v>631.25</v>
      </c>
      <c r="Z260" s="12">
        <v>75</v>
      </c>
      <c r="AA260" s="12">
        <f>IFERROR(Tableau1[[#This Row],[Taxe foncière €/m²]]*Tableau1[[#This Row],[Surface GLA]],)</f>
        <v>2929</v>
      </c>
      <c r="AB260" s="12">
        <v>29</v>
      </c>
      <c r="AC260" s="12">
        <f>IFERROR(Tableau1[[#This Row],[Marketing €/m²]]*Tableau1[[#This Row],[Surface GLA]],)</f>
        <v>3535</v>
      </c>
      <c r="AD260" s="12">
        <v>35</v>
      </c>
      <c r="AE260" s="12">
        <f>IFERROR(Tableau1[[#This Row],[Loyer annuel]]+Tableau1[[#This Row],[Charges annuelles]]+Tableau1[[#This Row],[Taxe foncière]]+Tableau1[[#This Row],[Marketing]],"")</f>
        <v>49389</v>
      </c>
      <c r="AF260" s="12" t="str">
        <f t="shared" si="16"/>
        <v>3 mois = 8 838 €</v>
      </c>
      <c r="AG260" s="12" t="s">
        <v>87</v>
      </c>
      <c r="AH260" s="12" t="s">
        <v>87</v>
      </c>
      <c r="AI260" s="12" t="s">
        <v>346</v>
      </c>
      <c r="AJ260" s="10" t="s">
        <v>358</v>
      </c>
      <c r="AK260" s="10" t="s">
        <v>352</v>
      </c>
      <c r="AL260" s="10" t="s">
        <v>2323</v>
      </c>
      <c r="AM260" s="11" t="s">
        <v>2322</v>
      </c>
      <c r="AN260" s="11" t="s">
        <v>1308</v>
      </c>
      <c r="AO260" s="5" t="s">
        <v>350</v>
      </c>
      <c r="AP260" s="11" t="s">
        <v>1755</v>
      </c>
      <c r="AQ260" s="11" t="s">
        <v>1756</v>
      </c>
      <c r="AR260" s="11" t="s">
        <v>1783</v>
      </c>
      <c r="AS260" s="36" t="s">
        <v>1795</v>
      </c>
      <c r="AT260" s="11" t="s">
        <v>59</v>
      </c>
      <c r="AU260" s="11"/>
      <c r="AV260" s="13" t="s">
        <v>1746</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2325</v>
      </c>
      <c r="E261" s="26">
        <v>49000</v>
      </c>
      <c r="F261" s="10" t="s">
        <v>1730</v>
      </c>
      <c r="G261" s="39" t="str">
        <f>Tableau1[[#This Row],[Rue]]&amp;CHAR(10)&amp;Tableau1[[#This Row],[Code Postal]]&amp;" - "&amp;Tableau1[[#This Row],[Ville]]</f>
        <v>Grand Maine, 10 Rue du Grand Launay
49000 - Angers</v>
      </c>
      <c r="H261" s="15" t="s">
        <v>1731</v>
      </c>
      <c r="I261" s="12" t="s">
        <v>37</v>
      </c>
      <c r="J261" s="12" t="s">
        <v>39</v>
      </c>
      <c r="K261" s="10" t="s">
        <v>87</v>
      </c>
      <c r="L261" s="12" t="s">
        <v>87</v>
      </c>
      <c r="M261" s="12" t="s">
        <v>87</v>
      </c>
      <c r="N261" s="36" t="s">
        <v>1736</v>
      </c>
      <c r="O261" s="34">
        <v>64</v>
      </c>
      <c r="P261" s="6" t="s">
        <v>87</v>
      </c>
      <c r="Q261" s="34" t="s">
        <v>87</v>
      </c>
      <c r="R261" s="34" t="s">
        <v>87</v>
      </c>
      <c r="S261" s="6" t="s">
        <v>87</v>
      </c>
      <c r="T261" s="12">
        <f>Tableau1[[#This Row],[Loyer €/m²]]*Tableau1[[#This Row],[Surface GLA]]</f>
        <v>25600</v>
      </c>
      <c r="U261" s="12">
        <f>IFERROR(Tableau1[[#This Row],[Loyer annuel]]/12,"")</f>
        <v>2133.3333333333335</v>
      </c>
      <c r="V261" s="12">
        <v>400</v>
      </c>
      <c r="W261" s="34" t="s">
        <v>87</v>
      </c>
      <c r="X261" s="6">
        <f>Tableau1[[#This Row],[Charges €/m²]]*Tableau1[[#This Row],[Surface GLA]]</f>
        <v>4800</v>
      </c>
      <c r="Y261" s="12">
        <f>Tableau1[[#This Row],[Charges annuelles]]/12</f>
        <v>400</v>
      </c>
      <c r="Z261" s="12">
        <v>75</v>
      </c>
      <c r="AA261" s="12">
        <f>IFERROR(Tableau1[[#This Row],[Taxe foncière €/m²]]*Tableau1[[#This Row],[Surface GLA]],)</f>
        <v>1856</v>
      </c>
      <c r="AB261" s="12">
        <v>29</v>
      </c>
      <c r="AC261" s="12">
        <f>IFERROR(Tableau1[[#This Row],[Marketing €/m²]]*Tableau1[[#This Row],[Surface GLA]],)</f>
        <v>2240</v>
      </c>
      <c r="AD261" s="12">
        <v>35</v>
      </c>
      <c r="AE261" s="12">
        <f>IFERROR(Tableau1[[#This Row],[Loyer annuel]]+Tableau1[[#This Row],[Charges annuelles]]+Tableau1[[#This Row],[Taxe foncière]]+Tableau1[[#This Row],[Marketing]],"")</f>
        <v>34496</v>
      </c>
      <c r="AF261" s="12" t="str">
        <f t="shared" si="16"/>
        <v>3 mois = 6 400 €</v>
      </c>
      <c r="AG261" s="12" t="s">
        <v>87</v>
      </c>
      <c r="AH261" s="12" t="s">
        <v>87</v>
      </c>
      <c r="AI261" s="12" t="s">
        <v>346</v>
      </c>
      <c r="AJ261" s="10" t="s">
        <v>358</v>
      </c>
      <c r="AK261" s="10" t="s">
        <v>352</v>
      </c>
      <c r="AL261" s="10" t="s">
        <v>2323</v>
      </c>
      <c r="AM261" s="11" t="s">
        <v>2322</v>
      </c>
      <c r="AN261" s="11" t="s">
        <v>1308</v>
      </c>
      <c r="AO261" s="5" t="s">
        <v>350</v>
      </c>
      <c r="AP261" s="11" t="s">
        <v>1757</v>
      </c>
      <c r="AQ261" s="11" t="s">
        <v>1758</v>
      </c>
      <c r="AR261" s="11" t="s">
        <v>1784</v>
      </c>
      <c r="AS261" s="36" t="s">
        <v>1795</v>
      </c>
      <c r="AT261" s="11" t="s">
        <v>59</v>
      </c>
      <c r="AU261" s="11"/>
      <c r="AV261" s="13" t="s">
        <v>1746</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2325</v>
      </c>
      <c r="E262" s="26">
        <v>49000</v>
      </c>
      <c r="F262" s="10" t="s">
        <v>1730</v>
      </c>
      <c r="G262" s="39" t="str">
        <f>Tableau1[[#This Row],[Rue]]&amp;CHAR(10)&amp;Tableau1[[#This Row],[Code Postal]]&amp;" - "&amp;Tableau1[[#This Row],[Ville]]</f>
        <v>Grand Maine, 10 Rue du Grand Launay
49000 - Angers</v>
      </c>
      <c r="H262" s="15" t="s">
        <v>1731</v>
      </c>
      <c r="I262" s="12" t="s">
        <v>37</v>
      </c>
      <c r="J262" s="12" t="s">
        <v>39</v>
      </c>
      <c r="K262" s="10" t="s">
        <v>87</v>
      </c>
      <c r="L262" s="12" t="s">
        <v>87</v>
      </c>
      <c r="M262" s="12" t="s">
        <v>87</v>
      </c>
      <c r="N262" s="36" t="s">
        <v>1737</v>
      </c>
      <c r="O262" s="34">
        <v>46</v>
      </c>
      <c r="P262" s="6" t="s">
        <v>87</v>
      </c>
      <c r="Q262" s="34">
        <v>136</v>
      </c>
      <c r="R262" s="34" t="s">
        <v>87</v>
      </c>
      <c r="S262" s="6" t="s">
        <v>87</v>
      </c>
      <c r="T262" s="12">
        <f>Tableau1[[#This Row],[Loyer €/m²]]*Tableau1[[#This Row],[Surface GLA]]</f>
        <v>23000</v>
      </c>
      <c r="U262" s="12">
        <f>IFERROR(Tableau1[[#This Row],[Loyer annuel]]/12,"")</f>
        <v>1916.6666666666667</v>
      </c>
      <c r="V262" s="12">
        <v>500</v>
      </c>
      <c r="W262" s="34" t="s">
        <v>87</v>
      </c>
      <c r="X262" s="6">
        <f>Tableau1[[#This Row],[Charges €/m²]]*Tableau1[[#This Row],[Surface GLA]]</f>
        <v>3450</v>
      </c>
      <c r="Y262" s="12">
        <f>Tableau1[[#This Row],[Charges annuelles]]/12</f>
        <v>287.5</v>
      </c>
      <c r="Z262" s="12">
        <v>75</v>
      </c>
      <c r="AA262" s="12">
        <f>IFERROR(Tableau1[[#This Row],[Taxe foncière €/m²]]*Tableau1[[#This Row],[Surface GLA]],)</f>
        <v>1334</v>
      </c>
      <c r="AB262" s="12">
        <v>29</v>
      </c>
      <c r="AC262" s="12">
        <f>IFERROR(Tableau1[[#This Row],[Marketing €/m²]]*Tableau1[[#This Row],[Surface GLA]],)</f>
        <v>1610</v>
      </c>
      <c r="AD262" s="12">
        <v>35</v>
      </c>
      <c r="AE262" s="12">
        <f>IFERROR(Tableau1[[#This Row],[Loyer annuel]]+Tableau1[[#This Row],[Charges annuelles]]+Tableau1[[#This Row],[Taxe foncière]]+Tableau1[[#This Row],[Marketing]],"")</f>
        <v>29394</v>
      </c>
      <c r="AF262" s="12" t="str">
        <f t="shared" si="16"/>
        <v>3 mois = 5 750 €</v>
      </c>
      <c r="AG262" s="12" t="s">
        <v>87</v>
      </c>
      <c r="AH262" s="12" t="s">
        <v>87</v>
      </c>
      <c r="AI262" s="12" t="s">
        <v>346</v>
      </c>
      <c r="AJ262" s="10" t="s">
        <v>358</v>
      </c>
      <c r="AK262" s="10" t="s">
        <v>352</v>
      </c>
      <c r="AL262" s="10" t="s">
        <v>2323</v>
      </c>
      <c r="AM262" s="11" t="s">
        <v>2322</v>
      </c>
      <c r="AN262" s="11" t="s">
        <v>1308</v>
      </c>
      <c r="AO262" s="5" t="s">
        <v>350</v>
      </c>
      <c r="AP262" s="11" t="s">
        <v>1759</v>
      </c>
      <c r="AQ262" s="11" t="s">
        <v>1760</v>
      </c>
      <c r="AR262" s="11" t="s">
        <v>1785</v>
      </c>
      <c r="AS262" s="36" t="s">
        <v>1795</v>
      </c>
      <c r="AT262" s="11" t="s">
        <v>59</v>
      </c>
      <c r="AU262" s="11"/>
      <c r="AV262" s="13" t="s">
        <v>1746</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2325</v>
      </c>
      <c r="E263" s="26">
        <v>49000</v>
      </c>
      <c r="F263" s="10" t="s">
        <v>1730</v>
      </c>
      <c r="G263" s="39" t="str">
        <f>Tableau1[[#This Row],[Rue]]&amp;CHAR(10)&amp;Tableau1[[#This Row],[Code Postal]]&amp;" - "&amp;Tableau1[[#This Row],[Ville]]</f>
        <v>Grand Maine, 10 Rue du Grand Launay
49000 - Angers</v>
      </c>
      <c r="H263" s="15" t="s">
        <v>1731</v>
      </c>
      <c r="I263" s="12" t="s">
        <v>37</v>
      </c>
      <c r="J263" s="12" t="s">
        <v>39</v>
      </c>
      <c r="K263" s="10" t="s">
        <v>87</v>
      </c>
      <c r="L263" s="12" t="s">
        <v>87</v>
      </c>
      <c r="M263" s="12" t="s">
        <v>87</v>
      </c>
      <c r="N263" s="36" t="s">
        <v>1738</v>
      </c>
      <c r="O263" s="34">
        <v>90</v>
      </c>
      <c r="P263" s="6" t="s">
        <v>87</v>
      </c>
      <c r="Q263" s="34">
        <v>136</v>
      </c>
      <c r="R263" s="34" t="s">
        <v>87</v>
      </c>
      <c r="S263" s="6" t="s">
        <v>87</v>
      </c>
      <c r="T263" s="12">
        <f>Tableau1[[#This Row],[Loyer €/m²]]*Tableau1[[#This Row],[Surface GLA]]</f>
        <v>36000</v>
      </c>
      <c r="U263" s="12">
        <f>IFERROR(Tableau1[[#This Row],[Loyer annuel]]/12,"")</f>
        <v>3000</v>
      </c>
      <c r="V263" s="12">
        <v>400</v>
      </c>
      <c r="W263" s="34" t="s">
        <v>87</v>
      </c>
      <c r="X263" s="6">
        <f>Tableau1[[#This Row],[Charges €/m²]]*Tableau1[[#This Row],[Surface GLA]]</f>
        <v>6750</v>
      </c>
      <c r="Y263" s="12">
        <f>Tableau1[[#This Row],[Charges annuelles]]/12</f>
        <v>562.5</v>
      </c>
      <c r="Z263" s="12">
        <v>75</v>
      </c>
      <c r="AA263" s="12">
        <f>IFERROR(Tableau1[[#This Row],[Taxe foncière €/m²]]*Tableau1[[#This Row],[Surface GLA]],)</f>
        <v>2610</v>
      </c>
      <c r="AB263" s="12">
        <v>29</v>
      </c>
      <c r="AC263" s="12">
        <f>IFERROR(Tableau1[[#This Row],[Marketing €/m²]]*Tableau1[[#This Row],[Surface GLA]],)</f>
        <v>3150</v>
      </c>
      <c r="AD263" s="12">
        <v>35</v>
      </c>
      <c r="AE263" s="12">
        <f>IFERROR(Tableau1[[#This Row],[Loyer annuel]]+Tableau1[[#This Row],[Charges annuelles]]+Tableau1[[#This Row],[Taxe foncière]]+Tableau1[[#This Row],[Marketing]],"")</f>
        <v>48510</v>
      </c>
      <c r="AF263" s="12" t="str">
        <f t="shared" si="16"/>
        <v>3 mois = 9 000 €</v>
      </c>
      <c r="AG263" s="12" t="s">
        <v>87</v>
      </c>
      <c r="AH263" s="12" t="s">
        <v>87</v>
      </c>
      <c r="AI263" s="12" t="s">
        <v>346</v>
      </c>
      <c r="AJ263" s="10" t="s">
        <v>358</v>
      </c>
      <c r="AK263" s="10" t="s">
        <v>352</v>
      </c>
      <c r="AL263" s="10" t="s">
        <v>2323</v>
      </c>
      <c r="AM263" s="11" t="s">
        <v>2322</v>
      </c>
      <c r="AN263" s="11" t="s">
        <v>1308</v>
      </c>
      <c r="AO263" s="5" t="s">
        <v>350</v>
      </c>
      <c r="AP263" s="11" t="s">
        <v>1761</v>
      </c>
      <c r="AQ263" s="11" t="s">
        <v>1762</v>
      </c>
      <c r="AR263" s="11" t="s">
        <v>1786</v>
      </c>
      <c r="AS263" s="36" t="s">
        <v>1795</v>
      </c>
      <c r="AT263" s="11" t="s">
        <v>59</v>
      </c>
      <c r="AU263" s="11"/>
      <c r="AV263" s="13" t="s">
        <v>1746</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2325</v>
      </c>
      <c r="E264" s="26">
        <v>49000</v>
      </c>
      <c r="F264" s="10" t="s">
        <v>1730</v>
      </c>
      <c r="G264" s="39" t="str">
        <f>Tableau1[[#This Row],[Rue]]&amp;CHAR(10)&amp;Tableau1[[#This Row],[Code Postal]]&amp;" - "&amp;Tableau1[[#This Row],[Ville]]</f>
        <v>Grand Maine, 10 Rue du Grand Launay
49000 - Angers</v>
      </c>
      <c r="H264" s="15" t="s">
        <v>1731</v>
      </c>
      <c r="I264" s="12" t="s">
        <v>37</v>
      </c>
      <c r="J264" s="12" t="s">
        <v>39</v>
      </c>
      <c r="K264" s="10" t="s">
        <v>87</v>
      </c>
      <c r="L264" s="12" t="s">
        <v>87</v>
      </c>
      <c r="M264" s="12" t="s">
        <v>87</v>
      </c>
      <c r="N264" s="36" t="s">
        <v>1739</v>
      </c>
      <c r="O264" s="34">
        <v>56</v>
      </c>
      <c r="P264" s="6" t="s">
        <v>87</v>
      </c>
      <c r="Q264" s="34">
        <v>163</v>
      </c>
      <c r="R264" s="34" t="s">
        <v>87</v>
      </c>
      <c r="S264" s="6" t="s">
        <v>87</v>
      </c>
      <c r="T264" s="12">
        <f>Tableau1[[#This Row],[Loyer €/m²]]*Tableau1[[#This Row],[Surface GLA]]</f>
        <v>22400</v>
      </c>
      <c r="U264" s="12">
        <f>IFERROR(Tableau1[[#This Row],[Loyer annuel]]/12,"")</f>
        <v>1866.6666666666667</v>
      </c>
      <c r="V264" s="12">
        <v>400</v>
      </c>
      <c r="W264" s="34" t="s">
        <v>87</v>
      </c>
      <c r="X264" s="6">
        <f>Tableau1[[#This Row],[Charges €/m²]]*Tableau1[[#This Row],[Surface GLA]]</f>
        <v>4200</v>
      </c>
      <c r="Y264" s="12">
        <f>Tableau1[[#This Row],[Charges annuelles]]/12</f>
        <v>350</v>
      </c>
      <c r="Z264" s="12">
        <v>75</v>
      </c>
      <c r="AA264" s="12">
        <f>IFERROR(Tableau1[[#This Row],[Taxe foncière €/m²]]*Tableau1[[#This Row],[Surface GLA]],)</f>
        <v>1624</v>
      </c>
      <c r="AB264" s="12">
        <v>29</v>
      </c>
      <c r="AC264" s="12">
        <f>IFERROR(Tableau1[[#This Row],[Marketing €/m²]]*Tableau1[[#This Row],[Surface GLA]],)</f>
        <v>1960</v>
      </c>
      <c r="AD264" s="12">
        <v>35</v>
      </c>
      <c r="AE264" s="12">
        <f>IFERROR(Tableau1[[#This Row],[Loyer annuel]]+Tableau1[[#This Row],[Charges annuelles]]+Tableau1[[#This Row],[Taxe foncière]]+Tableau1[[#This Row],[Marketing]],"")</f>
        <v>30184</v>
      </c>
      <c r="AF264" s="12" t="str">
        <f t="shared" si="16"/>
        <v>3 mois = 5 600 €</v>
      </c>
      <c r="AG264" s="12" t="s">
        <v>87</v>
      </c>
      <c r="AH264" s="12" t="s">
        <v>87</v>
      </c>
      <c r="AI264" s="12" t="s">
        <v>346</v>
      </c>
      <c r="AJ264" s="10"/>
      <c r="AK264" s="10"/>
      <c r="AL264" s="10" t="s">
        <v>2323</v>
      </c>
      <c r="AM264" s="11" t="s">
        <v>2322</v>
      </c>
      <c r="AN264" s="11" t="s">
        <v>1308</v>
      </c>
      <c r="AO264" s="5" t="s">
        <v>350</v>
      </c>
      <c r="AP264" s="11" t="s">
        <v>1763</v>
      </c>
      <c r="AQ264" s="11" t="s">
        <v>1764</v>
      </c>
      <c r="AR264" s="11" t="s">
        <v>1787</v>
      </c>
      <c r="AS264" s="36" t="s">
        <v>1795</v>
      </c>
      <c r="AT264" s="11" t="s">
        <v>59</v>
      </c>
      <c r="AU264" s="11"/>
      <c r="AV264" s="13" t="s">
        <v>1746</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2325</v>
      </c>
      <c r="E265" s="26">
        <v>49000</v>
      </c>
      <c r="F265" s="10" t="s">
        <v>1730</v>
      </c>
      <c r="G265" s="39" t="str">
        <f>Tableau1[[#This Row],[Rue]]&amp;CHAR(10)&amp;Tableau1[[#This Row],[Code Postal]]&amp;" - "&amp;Tableau1[[#This Row],[Ville]]</f>
        <v>Grand Maine, 10 Rue du Grand Launay
49000 - Angers</v>
      </c>
      <c r="H265" s="15" t="s">
        <v>1731</v>
      </c>
      <c r="I265" s="12" t="s">
        <v>37</v>
      </c>
      <c r="J265" s="12" t="s">
        <v>39</v>
      </c>
      <c r="K265" s="10" t="s">
        <v>87</v>
      </c>
      <c r="L265" s="12" t="s">
        <v>87</v>
      </c>
      <c r="M265" s="12" t="s">
        <v>87</v>
      </c>
      <c r="N265" s="36" t="s">
        <v>1740</v>
      </c>
      <c r="O265" s="34">
        <v>107</v>
      </c>
      <c r="P265" s="6" t="s">
        <v>87</v>
      </c>
      <c r="Q265" s="34">
        <v>163</v>
      </c>
      <c r="R265" s="34" t="s">
        <v>87</v>
      </c>
      <c r="S265" s="6" t="s">
        <v>87</v>
      </c>
      <c r="T265" s="12">
        <f>Tableau1[[#This Row],[Loyer €/m²]]*Tableau1[[#This Row],[Surface GLA]]</f>
        <v>37450</v>
      </c>
      <c r="U265" s="12">
        <f>IFERROR(Tableau1[[#This Row],[Loyer annuel]]/12,"")</f>
        <v>3120.8333333333335</v>
      </c>
      <c r="V265" s="12">
        <v>350</v>
      </c>
      <c r="W265" s="34" t="s">
        <v>87</v>
      </c>
      <c r="X265" s="6">
        <f>Tableau1[[#This Row],[Charges €/m²]]*Tableau1[[#This Row],[Surface GLA]]</f>
        <v>8025</v>
      </c>
      <c r="Y265" s="12">
        <f>Tableau1[[#This Row],[Charges annuelles]]/12</f>
        <v>668.75</v>
      </c>
      <c r="Z265" s="12">
        <v>75</v>
      </c>
      <c r="AA265" s="12">
        <f>IFERROR(Tableau1[[#This Row],[Taxe foncière €/m²]]*Tableau1[[#This Row],[Surface GLA]],)</f>
        <v>3103</v>
      </c>
      <c r="AB265" s="12">
        <v>29</v>
      </c>
      <c r="AC265" s="12">
        <f>IFERROR(Tableau1[[#This Row],[Marketing €/m²]]*Tableau1[[#This Row],[Surface GLA]],)</f>
        <v>3745</v>
      </c>
      <c r="AD265" s="12">
        <v>35</v>
      </c>
      <c r="AE265" s="12">
        <f>IFERROR(Tableau1[[#This Row],[Loyer annuel]]+Tableau1[[#This Row],[Charges annuelles]]+Tableau1[[#This Row],[Taxe foncière]]+Tableau1[[#This Row],[Marketing]],"")</f>
        <v>52323</v>
      </c>
      <c r="AF265" s="12" t="str">
        <f t="shared" si="16"/>
        <v>3 mois = 9 363 €</v>
      </c>
      <c r="AG265" s="12" t="s">
        <v>87</v>
      </c>
      <c r="AH265" s="12" t="s">
        <v>87</v>
      </c>
      <c r="AI265" s="12" t="s">
        <v>346</v>
      </c>
      <c r="AJ265" s="10"/>
      <c r="AK265" s="10"/>
      <c r="AL265" s="10" t="s">
        <v>2323</v>
      </c>
      <c r="AM265" s="11" t="s">
        <v>2322</v>
      </c>
      <c r="AN265" s="11" t="s">
        <v>1308</v>
      </c>
      <c r="AO265" s="5" t="s">
        <v>350</v>
      </c>
      <c r="AP265" s="11" t="s">
        <v>1765</v>
      </c>
      <c r="AQ265" s="11" t="s">
        <v>1766</v>
      </c>
      <c r="AR265" s="11" t="s">
        <v>1788</v>
      </c>
      <c r="AS265" s="36" t="s">
        <v>1795</v>
      </c>
      <c r="AT265" s="11" t="s">
        <v>59</v>
      </c>
      <c r="AU265" s="11"/>
      <c r="AV265" s="13" t="s">
        <v>1746</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2325</v>
      </c>
      <c r="E266" s="26">
        <v>49000</v>
      </c>
      <c r="F266" s="10" t="s">
        <v>1730</v>
      </c>
      <c r="G266" s="39" t="str">
        <f>Tableau1[[#This Row],[Rue]]&amp;CHAR(10)&amp;Tableau1[[#This Row],[Code Postal]]&amp;" - "&amp;Tableau1[[#This Row],[Ville]]</f>
        <v>Grand Maine, 10 Rue du Grand Launay
49000 - Angers</v>
      </c>
      <c r="H266" s="15" t="s">
        <v>1731</v>
      </c>
      <c r="I266" s="12" t="s">
        <v>37</v>
      </c>
      <c r="J266" s="12" t="s">
        <v>39</v>
      </c>
      <c r="K266" s="10" t="s">
        <v>87</v>
      </c>
      <c r="L266" s="12" t="s">
        <v>87</v>
      </c>
      <c r="M266" s="12" t="s">
        <v>87</v>
      </c>
      <c r="N266" s="36" t="s">
        <v>1741</v>
      </c>
      <c r="O266" s="34">
        <v>127</v>
      </c>
      <c r="P266" s="6" t="s">
        <v>87</v>
      </c>
      <c r="Q266" s="34" t="s">
        <v>87</v>
      </c>
      <c r="R266" s="34" t="s">
        <v>87</v>
      </c>
      <c r="S266" s="6" t="s">
        <v>87</v>
      </c>
      <c r="T266" s="12">
        <f>Tableau1[[#This Row],[Loyer €/m²]]*Tableau1[[#This Row],[Surface GLA]]</f>
        <v>44450</v>
      </c>
      <c r="U266" s="12">
        <f>IFERROR(Tableau1[[#This Row],[Loyer annuel]]/12,"")</f>
        <v>3704.1666666666665</v>
      </c>
      <c r="V266" s="12">
        <v>350</v>
      </c>
      <c r="W266" s="34" t="s">
        <v>87</v>
      </c>
      <c r="X266" s="6">
        <f>Tableau1[[#This Row],[Charges €/m²]]*Tableau1[[#This Row],[Surface GLA]]</f>
        <v>9525</v>
      </c>
      <c r="Y266" s="12">
        <f>Tableau1[[#This Row],[Charges annuelles]]/12</f>
        <v>793.75</v>
      </c>
      <c r="Z266" s="12">
        <v>75</v>
      </c>
      <c r="AA266" s="12">
        <f>IFERROR(Tableau1[[#This Row],[Taxe foncière €/m²]]*Tableau1[[#This Row],[Surface GLA]],)</f>
        <v>3683</v>
      </c>
      <c r="AB266" s="12">
        <v>29</v>
      </c>
      <c r="AC266" s="12">
        <f>IFERROR(Tableau1[[#This Row],[Marketing €/m²]]*Tableau1[[#This Row],[Surface GLA]],)</f>
        <v>4445</v>
      </c>
      <c r="AD266" s="12">
        <v>35</v>
      </c>
      <c r="AE266" s="12">
        <f>IFERROR(Tableau1[[#This Row],[Loyer annuel]]+Tableau1[[#This Row],[Charges annuelles]]+Tableau1[[#This Row],[Taxe foncière]]+Tableau1[[#This Row],[Marketing]],"")</f>
        <v>62103</v>
      </c>
      <c r="AF266" s="12" t="str">
        <f t="shared" si="16"/>
        <v>3 mois = 11 113 €</v>
      </c>
      <c r="AG266" s="12" t="s">
        <v>87</v>
      </c>
      <c r="AH266" s="12" t="s">
        <v>87</v>
      </c>
      <c r="AI266" s="12" t="s">
        <v>346</v>
      </c>
      <c r="AJ266" s="10"/>
      <c r="AK266" s="10"/>
      <c r="AL266" s="10" t="s">
        <v>2323</v>
      </c>
      <c r="AM266" s="11" t="s">
        <v>2322</v>
      </c>
      <c r="AN266" s="11" t="s">
        <v>1308</v>
      </c>
      <c r="AO266" s="5" t="s">
        <v>350</v>
      </c>
      <c r="AP266" s="11" t="s">
        <v>1767</v>
      </c>
      <c r="AQ266" s="11" t="s">
        <v>1768</v>
      </c>
      <c r="AR266" s="11" t="s">
        <v>1789</v>
      </c>
      <c r="AS266" s="36" t="s">
        <v>1795</v>
      </c>
      <c r="AT266" s="11" t="s">
        <v>59</v>
      </c>
      <c r="AU266" s="11"/>
      <c r="AV266" s="13" t="s">
        <v>1746</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2325</v>
      </c>
      <c r="E267" s="26">
        <v>49000</v>
      </c>
      <c r="F267" s="10" t="s">
        <v>1730</v>
      </c>
      <c r="G267" s="39" t="str">
        <f>Tableau1[[#This Row],[Rue]]&amp;CHAR(10)&amp;Tableau1[[#This Row],[Code Postal]]&amp;" - "&amp;Tableau1[[#This Row],[Ville]]</f>
        <v>Grand Maine, 10 Rue du Grand Launay
49000 - Angers</v>
      </c>
      <c r="H267" s="15" t="s">
        <v>1731</v>
      </c>
      <c r="I267" s="12" t="s">
        <v>37</v>
      </c>
      <c r="J267" s="12" t="s">
        <v>39</v>
      </c>
      <c r="K267" s="10" t="s">
        <v>87</v>
      </c>
      <c r="L267" s="12" t="s">
        <v>87</v>
      </c>
      <c r="M267" s="12" t="s">
        <v>87</v>
      </c>
      <c r="N267" s="36" t="s">
        <v>296</v>
      </c>
      <c r="O267" s="34">
        <v>97</v>
      </c>
      <c r="P267" s="6" t="s">
        <v>87</v>
      </c>
      <c r="Q267" s="34">
        <v>144</v>
      </c>
      <c r="R267" s="34" t="s">
        <v>87</v>
      </c>
      <c r="S267" s="6" t="s">
        <v>87</v>
      </c>
      <c r="T267" s="12">
        <f>Tableau1[[#This Row],[Loyer €/m²]]*Tableau1[[#This Row],[Surface GLA]]</f>
        <v>38800</v>
      </c>
      <c r="U267" s="12">
        <f>IFERROR(Tableau1[[#This Row],[Loyer annuel]]/12,"")</f>
        <v>3233.3333333333335</v>
      </c>
      <c r="V267" s="12">
        <v>400</v>
      </c>
      <c r="W267" s="34" t="s">
        <v>87</v>
      </c>
      <c r="X267" s="6">
        <f>Tableau1[[#This Row],[Charges €/m²]]*Tableau1[[#This Row],[Surface GLA]]</f>
        <v>7275</v>
      </c>
      <c r="Y267" s="12">
        <f>Tableau1[[#This Row],[Charges annuelles]]/12</f>
        <v>606.25</v>
      </c>
      <c r="Z267" s="12">
        <v>75</v>
      </c>
      <c r="AA267" s="12">
        <f>IFERROR(Tableau1[[#This Row],[Taxe foncière €/m²]]*Tableau1[[#This Row],[Surface GLA]],)</f>
        <v>2813</v>
      </c>
      <c r="AB267" s="12">
        <v>29</v>
      </c>
      <c r="AC267" s="12">
        <f>IFERROR(Tableau1[[#This Row],[Marketing €/m²]]*Tableau1[[#This Row],[Surface GLA]],)</f>
        <v>3395</v>
      </c>
      <c r="AD267" s="12">
        <v>35</v>
      </c>
      <c r="AE267" s="12">
        <f>IFERROR(Tableau1[[#This Row],[Loyer annuel]]+Tableau1[[#This Row],[Charges annuelles]]+Tableau1[[#This Row],[Taxe foncière]]+Tableau1[[#This Row],[Marketing]],"")</f>
        <v>52283</v>
      </c>
      <c r="AF267" s="12" t="str">
        <f t="shared" si="16"/>
        <v>3 mois = 9 700 €</v>
      </c>
      <c r="AG267" s="12" t="s">
        <v>87</v>
      </c>
      <c r="AH267" s="12" t="s">
        <v>87</v>
      </c>
      <c r="AI267" s="12" t="s">
        <v>346</v>
      </c>
      <c r="AJ267" s="10"/>
      <c r="AK267" s="10"/>
      <c r="AL267" s="10" t="s">
        <v>2323</v>
      </c>
      <c r="AM267" s="11" t="s">
        <v>2322</v>
      </c>
      <c r="AN267" s="11" t="s">
        <v>1308</v>
      </c>
      <c r="AO267" s="5" t="s">
        <v>350</v>
      </c>
      <c r="AP267" s="11" t="s">
        <v>1769</v>
      </c>
      <c r="AQ267" s="11" t="s">
        <v>1770</v>
      </c>
      <c r="AR267" s="11" t="s">
        <v>1790</v>
      </c>
      <c r="AS267" s="36" t="s">
        <v>1795</v>
      </c>
      <c r="AT267" s="11" t="s">
        <v>59</v>
      </c>
      <c r="AU267" s="11"/>
      <c r="AV267" s="13" t="s">
        <v>1746</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2325</v>
      </c>
      <c r="E268" s="26">
        <v>49000</v>
      </c>
      <c r="F268" s="10" t="s">
        <v>1730</v>
      </c>
      <c r="G268" s="39" t="str">
        <f>Tableau1[[#This Row],[Rue]]&amp;CHAR(10)&amp;Tableau1[[#This Row],[Code Postal]]&amp;" - "&amp;Tableau1[[#This Row],[Ville]]</f>
        <v>Grand Maine, 10 Rue du Grand Launay
49000 - Angers</v>
      </c>
      <c r="H268" s="15" t="s">
        <v>1731</v>
      </c>
      <c r="I268" s="12" t="s">
        <v>37</v>
      </c>
      <c r="J268" s="12" t="s">
        <v>39</v>
      </c>
      <c r="K268" s="10" t="s">
        <v>87</v>
      </c>
      <c r="L268" s="12" t="s">
        <v>87</v>
      </c>
      <c r="M268" s="12" t="s">
        <v>87</v>
      </c>
      <c r="N268" s="36" t="s">
        <v>1742</v>
      </c>
      <c r="O268" s="34">
        <v>47</v>
      </c>
      <c r="P268" s="6" t="s">
        <v>87</v>
      </c>
      <c r="Q268" s="34">
        <v>144</v>
      </c>
      <c r="R268" s="34" t="s">
        <v>87</v>
      </c>
      <c r="S268" s="6" t="s">
        <v>87</v>
      </c>
      <c r="T268" s="12">
        <f>Tableau1[[#This Row],[Loyer €/m²]]*Tableau1[[#This Row],[Surface GLA]]</f>
        <v>23500</v>
      </c>
      <c r="U268" s="12">
        <f>IFERROR(Tableau1[[#This Row],[Loyer annuel]]/12,"")</f>
        <v>1958.3333333333333</v>
      </c>
      <c r="V268" s="12">
        <v>500</v>
      </c>
      <c r="W268" s="34" t="s">
        <v>87</v>
      </c>
      <c r="X268" s="6">
        <f>Tableau1[[#This Row],[Charges €/m²]]*Tableau1[[#This Row],[Surface GLA]]</f>
        <v>3525</v>
      </c>
      <c r="Y268" s="12">
        <f>Tableau1[[#This Row],[Charges annuelles]]/12</f>
        <v>293.75</v>
      </c>
      <c r="Z268" s="12">
        <v>75</v>
      </c>
      <c r="AA268" s="12">
        <f>IFERROR(Tableau1[[#This Row],[Taxe foncière €/m²]]*Tableau1[[#This Row],[Surface GLA]],)</f>
        <v>1363</v>
      </c>
      <c r="AB268" s="12">
        <v>29</v>
      </c>
      <c r="AC268" s="12">
        <f>IFERROR(Tableau1[[#This Row],[Marketing €/m²]]*Tableau1[[#This Row],[Surface GLA]],)</f>
        <v>1645</v>
      </c>
      <c r="AD268" s="12">
        <v>35</v>
      </c>
      <c r="AE268" s="12">
        <f>IFERROR(Tableau1[[#This Row],[Loyer annuel]]+Tableau1[[#This Row],[Charges annuelles]]+Tableau1[[#This Row],[Taxe foncière]]+Tableau1[[#This Row],[Marketing]],"")</f>
        <v>30033</v>
      </c>
      <c r="AF268" s="12" t="str">
        <f t="shared" si="16"/>
        <v>3 mois = 5 875 €</v>
      </c>
      <c r="AG268" s="12" t="s">
        <v>87</v>
      </c>
      <c r="AH268" s="12" t="s">
        <v>87</v>
      </c>
      <c r="AI268" s="12" t="s">
        <v>346</v>
      </c>
      <c r="AJ268" s="10"/>
      <c r="AK268" s="10"/>
      <c r="AL268" s="10" t="s">
        <v>2323</v>
      </c>
      <c r="AM268" s="11" t="s">
        <v>2322</v>
      </c>
      <c r="AN268" s="11" t="s">
        <v>1308</v>
      </c>
      <c r="AO268" s="5" t="s">
        <v>350</v>
      </c>
      <c r="AP268" s="11" t="s">
        <v>1771</v>
      </c>
      <c r="AQ268" s="11" t="s">
        <v>1772</v>
      </c>
      <c r="AR268" s="11" t="s">
        <v>1791</v>
      </c>
      <c r="AS268" s="36" t="s">
        <v>1795</v>
      </c>
      <c r="AT268" s="11" t="s">
        <v>59</v>
      </c>
      <c r="AU268" s="11"/>
      <c r="AV268" s="13" t="s">
        <v>1746</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2325</v>
      </c>
      <c r="E269" s="26">
        <v>49000</v>
      </c>
      <c r="F269" s="10" t="s">
        <v>1730</v>
      </c>
      <c r="G269" s="39" t="str">
        <f>Tableau1[[#This Row],[Rue]]&amp;CHAR(10)&amp;Tableau1[[#This Row],[Code Postal]]&amp;" - "&amp;Tableau1[[#This Row],[Ville]]</f>
        <v>Grand Maine, 10 Rue du Grand Launay
49000 - Angers</v>
      </c>
      <c r="H269" s="15" t="s">
        <v>1731</v>
      </c>
      <c r="I269" s="12" t="s">
        <v>37</v>
      </c>
      <c r="J269" s="12" t="s">
        <v>39</v>
      </c>
      <c r="K269" s="10" t="s">
        <v>87</v>
      </c>
      <c r="L269" s="12" t="s">
        <v>87</v>
      </c>
      <c r="M269" s="12" t="s">
        <v>87</v>
      </c>
      <c r="N269" s="36" t="s">
        <v>1743</v>
      </c>
      <c r="O269" s="34">
        <v>171</v>
      </c>
      <c r="P269" s="6" t="s">
        <v>87</v>
      </c>
      <c r="Q269" s="34" t="s">
        <v>87</v>
      </c>
      <c r="R269" s="34" t="s">
        <v>87</v>
      </c>
      <c r="S269" s="6" t="s">
        <v>87</v>
      </c>
      <c r="T269" s="12">
        <f>Tableau1[[#This Row],[Loyer €/m²]]*Tableau1[[#This Row],[Surface GLA]]</f>
        <v>51300</v>
      </c>
      <c r="U269" s="12">
        <f>IFERROR(Tableau1[[#This Row],[Loyer annuel]]/12,"")</f>
        <v>4275</v>
      </c>
      <c r="V269" s="12">
        <v>300</v>
      </c>
      <c r="W269" s="34" t="s">
        <v>87</v>
      </c>
      <c r="X269" s="6">
        <f>Tableau1[[#This Row],[Charges €/m²]]*Tableau1[[#This Row],[Surface GLA]]</f>
        <v>12825</v>
      </c>
      <c r="Y269" s="12">
        <f>Tableau1[[#This Row],[Charges annuelles]]/12</f>
        <v>1068.75</v>
      </c>
      <c r="Z269" s="12">
        <v>75</v>
      </c>
      <c r="AA269" s="12">
        <f>IFERROR(Tableau1[[#This Row],[Taxe foncière €/m²]]*Tableau1[[#This Row],[Surface GLA]],)</f>
        <v>4959</v>
      </c>
      <c r="AB269" s="12">
        <v>29</v>
      </c>
      <c r="AC269" s="12">
        <f>IFERROR(Tableau1[[#This Row],[Marketing €/m²]]*Tableau1[[#This Row],[Surface GLA]],)</f>
        <v>5985</v>
      </c>
      <c r="AD269" s="12">
        <v>35</v>
      </c>
      <c r="AE269" s="12">
        <f>IFERROR(Tableau1[[#This Row],[Loyer annuel]]+Tableau1[[#This Row],[Charges annuelles]]+Tableau1[[#This Row],[Taxe foncière]]+Tableau1[[#This Row],[Marketing]],"")</f>
        <v>75069</v>
      </c>
      <c r="AF269" s="12" t="str">
        <f t="shared" si="16"/>
        <v>3 mois = 12 825 €</v>
      </c>
      <c r="AG269" s="12" t="s">
        <v>87</v>
      </c>
      <c r="AH269" s="12" t="s">
        <v>87</v>
      </c>
      <c r="AI269" s="12" t="s">
        <v>346</v>
      </c>
      <c r="AJ269" s="10"/>
      <c r="AK269" s="10"/>
      <c r="AL269" s="10" t="s">
        <v>2323</v>
      </c>
      <c r="AM269" s="11" t="s">
        <v>2322</v>
      </c>
      <c r="AN269" s="11" t="s">
        <v>1308</v>
      </c>
      <c r="AO269" s="5" t="s">
        <v>350</v>
      </c>
      <c r="AP269" s="11" t="s">
        <v>1774</v>
      </c>
      <c r="AQ269" s="11" t="s">
        <v>1775</v>
      </c>
      <c r="AR269" s="11" t="s">
        <v>1792</v>
      </c>
      <c r="AS269" s="36" t="s">
        <v>1795</v>
      </c>
      <c r="AT269" s="11" t="s">
        <v>59</v>
      </c>
      <c r="AU269" s="11"/>
      <c r="AV269" s="13" t="s">
        <v>1746</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2325</v>
      </c>
      <c r="E270" s="26">
        <v>49000</v>
      </c>
      <c r="F270" s="10" t="s">
        <v>1730</v>
      </c>
      <c r="G270" s="39" t="str">
        <f>Tableau1[[#This Row],[Rue]]&amp;CHAR(10)&amp;Tableau1[[#This Row],[Code Postal]]&amp;" - "&amp;Tableau1[[#This Row],[Ville]]</f>
        <v>Grand Maine, 10 Rue du Grand Launay
49000 - Angers</v>
      </c>
      <c r="H270" s="15" t="s">
        <v>1731</v>
      </c>
      <c r="I270" s="12" t="s">
        <v>37</v>
      </c>
      <c r="J270" s="12" t="s">
        <v>39</v>
      </c>
      <c r="K270" s="10" t="s">
        <v>87</v>
      </c>
      <c r="L270" s="12" t="s">
        <v>87</v>
      </c>
      <c r="M270" s="12" t="s">
        <v>87</v>
      </c>
      <c r="N270" s="36" t="s">
        <v>1744</v>
      </c>
      <c r="O270" s="34">
        <v>192</v>
      </c>
      <c r="P270" s="6" t="s">
        <v>87</v>
      </c>
      <c r="Q270" s="34" t="s">
        <v>87</v>
      </c>
      <c r="R270" s="34" t="s">
        <v>87</v>
      </c>
      <c r="S270" s="6" t="s">
        <v>87</v>
      </c>
      <c r="T270" s="12">
        <f>Tableau1[[#This Row],[Loyer €/m²]]*Tableau1[[#This Row],[Surface GLA]]</f>
        <v>57600</v>
      </c>
      <c r="U270" s="12">
        <f>IFERROR(Tableau1[[#This Row],[Loyer annuel]]/12,"")</f>
        <v>4800</v>
      </c>
      <c r="V270" s="12">
        <v>300</v>
      </c>
      <c r="W270" s="34" t="s">
        <v>87</v>
      </c>
      <c r="X270" s="6">
        <f>Tableau1[[#This Row],[Charges €/m²]]*Tableau1[[#This Row],[Surface GLA]]</f>
        <v>14400</v>
      </c>
      <c r="Y270" s="12">
        <f>Tableau1[[#This Row],[Charges annuelles]]/12</f>
        <v>1200</v>
      </c>
      <c r="Z270" s="12">
        <v>75</v>
      </c>
      <c r="AA270" s="12">
        <f>IFERROR(Tableau1[[#This Row],[Taxe foncière €/m²]]*Tableau1[[#This Row],[Surface GLA]],)</f>
        <v>5568</v>
      </c>
      <c r="AB270" s="12">
        <v>29</v>
      </c>
      <c r="AC270" s="12">
        <f>IFERROR(Tableau1[[#This Row],[Marketing €/m²]]*Tableau1[[#This Row],[Surface GLA]],)</f>
        <v>6720</v>
      </c>
      <c r="AD270" s="12">
        <v>35</v>
      </c>
      <c r="AE270" s="12">
        <f>IFERROR(Tableau1[[#This Row],[Loyer annuel]]+Tableau1[[#This Row],[Charges annuelles]]+Tableau1[[#This Row],[Taxe foncière]]+Tableau1[[#This Row],[Marketing]],"")</f>
        <v>84288</v>
      </c>
      <c r="AF270" s="12" t="str">
        <f t="shared" si="16"/>
        <v>3 mois = 14 400 €</v>
      </c>
      <c r="AG270" s="12" t="s">
        <v>87</v>
      </c>
      <c r="AH270" s="12" t="s">
        <v>87</v>
      </c>
      <c r="AI270" s="12" t="s">
        <v>346</v>
      </c>
      <c r="AJ270" s="10"/>
      <c r="AK270" s="10"/>
      <c r="AL270" s="10" t="s">
        <v>2323</v>
      </c>
      <c r="AM270" s="11" t="s">
        <v>2322</v>
      </c>
      <c r="AN270" s="11" t="s">
        <v>1308</v>
      </c>
      <c r="AO270" s="5" t="s">
        <v>350</v>
      </c>
      <c r="AP270" s="11" t="s">
        <v>1776</v>
      </c>
      <c r="AQ270" s="11" t="s">
        <v>1777</v>
      </c>
      <c r="AR270" s="11" t="s">
        <v>1793</v>
      </c>
      <c r="AS270" s="36" t="s">
        <v>1795</v>
      </c>
      <c r="AT270" s="11" t="s">
        <v>59</v>
      </c>
      <c r="AU270" s="11"/>
      <c r="AV270" s="13" t="s">
        <v>1746</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2325</v>
      </c>
      <c r="E271" s="26">
        <v>49000</v>
      </c>
      <c r="F271" s="10" t="s">
        <v>1730</v>
      </c>
      <c r="G271" s="39" t="str">
        <f>Tableau1[[#This Row],[Rue]]&amp;CHAR(10)&amp;Tableau1[[#This Row],[Code Postal]]&amp;" - "&amp;Tableau1[[#This Row],[Ville]]</f>
        <v>Grand Maine, 10 Rue du Grand Launay
49000 - Angers</v>
      </c>
      <c r="H271" s="15" t="s">
        <v>1731</v>
      </c>
      <c r="I271" s="12" t="s">
        <v>37</v>
      </c>
      <c r="J271" s="12" t="s">
        <v>39</v>
      </c>
      <c r="K271" s="10" t="s">
        <v>87</v>
      </c>
      <c r="L271" s="12" t="s">
        <v>87</v>
      </c>
      <c r="M271" s="12" t="s">
        <v>87</v>
      </c>
      <c r="N271" s="36" t="s">
        <v>1745</v>
      </c>
      <c r="O271" s="34">
        <v>148</v>
      </c>
      <c r="P271" s="6" t="s">
        <v>87</v>
      </c>
      <c r="Q271" s="34" t="s">
        <v>87</v>
      </c>
      <c r="R271" s="34" t="s">
        <v>87</v>
      </c>
      <c r="S271" s="6" t="s">
        <v>87</v>
      </c>
      <c r="T271" s="12">
        <f>Tableau1[[#This Row],[Loyer €/m²]]*Tableau1[[#This Row],[Surface GLA]]</f>
        <v>51800</v>
      </c>
      <c r="U271" s="12">
        <f>IFERROR(Tableau1[[#This Row],[Loyer annuel]]/12,"")</f>
        <v>4316.666666666667</v>
      </c>
      <c r="V271" s="12">
        <v>350</v>
      </c>
      <c r="W271" s="34" t="s">
        <v>87</v>
      </c>
      <c r="X271" s="6">
        <f>Tableau1[[#This Row],[Charges €/m²]]*Tableau1[[#This Row],[Surface GLA]]</f>
        <v>11100</v>
      </c>
      <c r="Y271" s="12">
        <f>Tableau1[[#This Row],[Charges annuelles]]/12</f>
        <v>925</v>
      </c>
      <c r="Z271" s="12">
        <v>75</v>
      </c>
      <c r="AA271" s="12">
        <f>IFERROR(Tableau1[[#This Row],[Taxe foncière €/m²]]*Tableau1[[#This Row],[Surface GLA]],)</f>
        <v>4292</v>
      </c>
      <c r="AB271" s="12">
        <v>29</v>
      </c>
      <c r="AC271" s="12">
        <f>IFERROR(Tableau1[[#This Row],[Marketing €/m²]]*Tableau1[[#This Row],[Surface GLA]],)</f>
        <v>5180</v>
      </c>
      <c r="AD271" s="12">
        <v>35</v>
      </c>
      <c r="AE271" s="12">
        <f>IFERROR(Tableau1[[#This Row],[Loyer annuel]]+Tableau1[[#This Row],[Charges annuelles]]+Tableau1[[#This Row],[Taxe foncière]]+Tableau1[[#This Row],[Marketing]],"")</f>
        <v>72372</v>
      </c>
      <c r="AF271" s="12" t="str">
        <f t="shared" si="16"/>
        <v>3 mois = 12 950 €</v>
      </c>
      <c r="AG271" s="12" t="s">
        <v>87</v>
      </c>
      <c r="AH271" s="12" t="s">
        <v>87</v>
      </c>
      <c r="AI271" s="12" t="s">
        <v>346</v>
      </c>
      <c r="AJ271" s="10" t="s">
        <v>358</v>
      </c>
      <c r="AK271" s="10" t="s">
        <v>352</v>
      </c>
      <c r="AL271" s="10" t="s">
        <v>2323</v>
      </c>
      <c r="AM271" s="11" t="s">
        <v>2322</v>
      </c>
      <c r="AN271" s="11" t="s">
        <v>1308</v>
      </c>
      <c r="AO271" s="5" t="s">
        <v>350</v>
      </c>
      <c r="AP271" s="11" t="s">
        <v>1773</v>
      </c>
      <c r="AQ271" s="11" t="s">
        <v>1778</v>
      </c>
      <c r="AR271" s="11" t="s">
        <v>1794</v>
      </c>
      <c r="AS271" s="36" t="s">
        <v>1795</v>
      </c>
      <c r="AT271" s="11" t="s">
        <v>59</v>
      </c>
      <c r="AU271" s="11"/>
      <c r="AV271" s="13" t="s">
        <v>1746</v>
      </c>
      <c r="AW271" s="14"/>
      <c r="AX271" s="44">
        <v>46175</v>
      </c>
    </row>
    <row r="272" spans="1:50" ht="25.5">
      <c r="A272" s="38" t="str">
        <f>VLOOKUP(Tableau1[[#This Row],[N° Département]],Feuil1!$C$6:$E$106,3)</f>
        <v>Provence-Alpes-Côte d'Azur</v>
      </c>
      <c r="B272" s="38" t="str">
        <f>VLOOKUP(Tableau1[[#This Row],[N° Département]],Feuil1!$C$6:$E$106,2)</f>
        <v>Vaucluse</v>
      </c>
      <c r="C272" s="38">
        <f>LEFT(Tableau1[[#This Row],[Code Postal]],2)*1</f>
        <v>84</v>
      </c>
      <c r="D272" s="10" t="s">
        <v>2326</v>
      </c>
      <c r="E272" s="26">
        <v>84000</v>
      </c>
      <c r="F272" s="10" t="s">
        <v>1019</v>
      </c>
      <c r="G272" s="39" t="str">
        <f>Tableau1[[#This Row],[Rue]]&amp;CHAR(10)&amp;Tableau1[[#This Row],[Code Postal]]&amp;" - "&amp;Tableau1[[#This Row],[Ville]]</f>
        <v>Carrefour, 390 Rue Jean Marie Tjibaou
84000 - Avignon</v>
      </c>
      <c r="H272" s="15" t="s">
        <v>1796</v>
      </c>
      <c r="I272" s="12" t="s">
        <v>37</v>
      </c>
      <c r="J272" s="12" t="s">
        <v>41</v>
      </c>
      <c r="K272" s="10" t="s">
        <v>87</v>
      </c>
      <c r="L272" s="10" t="s">
        <v>87</v>
      </c>
      <c r="M272" s="12" t="s">
        <v>87</v>
      </c>
      <c r="N272" s="36" t="s">
        <v>319</v>
      </c>
      <c r="O272" s="34">
        <v>76</v>
      </c>
      <c r="P272" s="6" t="s">
        <v>87</v>
      </c>
      <c r="Q272" s="34" t="s">
        <v>87</v>
      </c>
      <c r="R272" s="34" t="s">
        <v>87</v>
      </c>
      <c r="S272" s="6" t="s">
        <v>87</v>
      </c>
      <c r="T272" s="12">
        <f>Tableau1[[#This Row],[Loyer €/m²]]*Tableau1[[#This Row],[Surface GLA]]</f>
        <v>15200</v>
      </c>
      <c r="U272" s="12">
        <f>IFERROR(Tableau1[[#This Row],[Loyer annuel]]/12,"")</f>
        <v>1266.6666666666667</v>
      </c>
      <c r="V272" s="12">
        <v>200</v>
      </c>
      <c r="W272" s="34" t="s">
        <v>87</v>
      </c>
      <c r="X272" s="6">
        <f>Tableau1[[#This Row],[Charges €/m²]]*Tableau1[[#This Row],[Surface GLA]]</f>
        <v>3040</v>
      </c>
      <c r="Y272" s="12">
        <f>Tableau1[[#This Row],[Charges annuelles]]/12</f>
        <v>253.33333333333334</v>
      </c>
      <c r="Z272" s="12">
        <v>40</v>
      </c>
      <c r="AA272" s="12">
        <f>IFERROR(Tableau1[[#This Row],[Taxe foncière €/m²]]*Tableau1[[#This Row],[Surface GLA]],)</f>
        <v>1596</v>
      </c>
      <c r="AB272" s="12">
        <v>21</v>
      </c>
      <c r="AC272" s="12">
        <f>IFERROR(Tableau1[[#This Row],[Marketing €/m²]]*Tableau1[[#This Row],[Surface GLA]],)</f>
        <v>0</v>
      </c>
      <c r="AD272" s="12"/>
      <c r="AE272" s="12">
        <f>IFERROR(Tableau1[[#This Row],[Loyer annuel]]+Tableau1[[#This Row],[Charges annuelles]]+Tableau1[[#This Row],[Taxe foncière]]+Tableau1[[#This Row],[Marketing]],"")</f>
        <v>19836</v>
      </c>
      <c r="AF272" s="12" t="str">
        <f t="shared" si="16"/>
        <v>3 mois = 3 800 €</v>
      </c>
      <c r="AG272" s="12" t="s">
        <v>87</v>
      </c>
      <c r="AH272" s="12" t="s">
        <v>87</v>
      </c>
      <c r="AI272" s="12" t="s">
        <v>346</v>
      </c>
      <c r="AJ272" s="10" t="s">
        <v>358</v>
      </c>
      <c r="AK272" s="10" t="s">
        <v>352</v>
      </c>
      <c r="AL272" s="10" t="s">
        <v>2324</v>
      </c>
      <c r="AM272" s="11" t="s">
        <v>2364</v>
      </c>
      <c r="AN272" s="11" t="s">
        <v>1308</v>
      </c>
      <c r="AO272" s="5" t="s">
        <v>350</v>
      </c>
      <c r="AP272" s="11" t="s">
        <v>1824</v>
      </c>
      <c r="AQ272" s="11" t="s">
        <v>1825</v>
      </c>
      <c r="AR272" s="11" t="s">
        <v>1807</v>
      </c>
      <c r="AS272" s="36" t="s">
        <v>1823</v>
      </c>
      <c r="AT272" s="11" t="s">
        <v>59</v>
      </c>
      <c r="AU272" s="11"/>
      <c r="AV272" s="13" t="s">
        <v>1746</v>
      </c>
      <c r="AW272" s="14"/>
      <c r="AX272" s="44">
        <v>46175</v>
      </c>
    </row>
    <row r="273" spans="1:50" ht="25.5">
      <c r="A273" s="38" t="str">
        <f>VLOOKUP(Tableau1[[#This Row],[N° Département]],Feuil1!$C$6:$E$106,3)</f>
        <v>Provence-Alpes-Côte d'Azur</v>
      </c>
      <c r="B273" s="38" t="str">
        <f>VLOOKUP(Tableau1[[#This Row],[N° Département]],Feuil1!$C$6:$E$106,2)</f>
        <v>Vaucluse</v>
      </c>
      <c r="C273" s="38">
        <f>LEFT(Tableau1[[#This Row],[Code Postal]],2)*1</f>
        <v>84</v>
      </c>
      <c r="D273" s="10" t="s">
        <v>2326</v>
      </c>
      <c r="E273" s="26">
        <v>84000</v>
      </c>
      <c r="F273" s="10" t="s">
        <v>1019</v>
      </c>
      <c r="G273" s="39" t="str">
        <f>Tableau1[[#This Row],[Rue]]&amp;CHAR(10)&amp;Tableau1[[#This Row],[Code Postal]]&amp;" - "&amp;Tableau1[[#This Row],[Ville]]</f>
        <v>Carrefour, 390 Rue Jean Marie Tjibaou
84000 - Avignon</v>
      </c>
      <c r="H273" s="15" t="s">
        <v>1796</v>
      </c>
      <c r="I273" s="12" t="s">
        <v>37</v>
      </c>
      <c r="J273" s="12" t="s">
        <v>41</v>
      </c>
      <c r="K273" s="10" t="s">
        <v>87</v>
      </c>
      <c r="L273" s="10" t="s">
        <v>87</v>
      </c>
      <c r="M273" s="12" t="s">
        <v>87</v>
      </c>
      <c r="N273" s="36" t="s">
        <v>878</v>
      </c>
      <c r="O273" s="34">
        <v>223</v>
      </c>
      <c r="P273" s="6" t="s">
        <v>87</v>
      </c>
      <c r="Q273" s="34">
        <v>307</v>
      </c>
      <c r="R273" s="34" t="s">
        <v>87</v>
      </c>
      <c r="S273" s="6" t="s">
        <v>87</v>
      </c>
      <c r="T273" s="12">
        <f>Tableau1[[#This Row],[Loyer €/m²]]*Tableau1[[#This Row],[Surface GLA]]</f>
        <v>44600</v>
      </c>
      <c r="U273" s="12">
        <f>IFERROR(Tableau1[[#This Row],[Loyer annuel]]/12,"")</f>
        <v>3716.6666666666665</v>
      </c>
      <c r="V273" s="12">
        <v>200</v>
      </c>
      <c r="W273" s="34" t="s">
        <v>87</v>
      </c>
      <c r="X273" s="6">
        <f>Tableau1[[#This Row],[Charges €/m²]]*Tableau1[[#This Row],[Surface GLA]]</f>
        <v>8920</v>
      </c>
      <c r="Y273" s="12">
        <f>Tableau1[[#This Row],[Charges annuelles]]/12</f>
        <v>743.33333333333337</v>
      </c>
      <c r="Z273" s="12">
        <v>40</v>
      </c>
      <c r="AA273" s="12">
        <f>IFERROR(Tableau1[[#This Row],[Taxe foncière €/m²]]*Tableau1[[#This Row],[Surface GLA]],)</f>
        <v>4683</v>
      </c>
      <c r="AB273" s="12">
        <v>21</v>
      </c>
      <c r="AC273" s="12">
        <f>IFERROR(Tableau1[[#This Row],[Marketing €/m²]]*Tableau1[[#This Row],[Surface GLA]],)</f>
        <v>0</v>
      </c>
      <c r="AD273" s="12"/>
      <c r="AE273" s="12">
        <f>IFERROR(Tableau1[[#This Row],[Loyer annuel]]+Tableau1[[#This Row],[Charges annuelles]]+Tableau1[[#This Row],[Taxe foncière]]+Tableau1[[#This Row],[Marketing]],"")</f>
        <v>58203</v>
      </c>
      <c r="AF273" s="12" t="str">
        <f t="shared" si="16"/>
        <v>3 mois = 11 150 €</v>
      </c>
      <c r="AG273" s="12" t="s">
        <v>87</v>
      </c>
      <c r="AH273" s="12" t="s">
        <v>87</v>
      </c>
      <c r="AI273" s="12" t="s">
        <v>346</v>
      </c>
      <c r="AJ273" s="10" t="s">
        <v>358</v>
      </c>
      <c r="AK273" s="10" t="s">
        <v>352</v>
      </c>
      <c r="AL273" s="10" t="s">
        <v>2324</v>
      </c>
      <c r="AM273" s="11" t="s">
        <v>2364</v>
      </c>
      <c r="AN273" s="11" t="s">
        <v>1308</v>
      </c>
      <c r="AO273" s="5" t="s">
        <v>350</v>
      </c>
      <c r="AP273" s="11" t="s">
        <v>1826</v>
      </c>
      <c r="AQ273" s="11" t="s">
        <v>1827</v>
      </c>
      <c r="AR273" s="11" t="s">
        <v>1811</v>
      </c>
      <c r="AS273" s="36" t="s">
        <v>1823</v>
      </c>
      <c r="AT273" s="11" t="s">
        <v>59</v>
      </c>
      <c r="AU273" s="11"/>
      <c r="AV273" s="13" t="s">
        <v>1746</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2326</v>
      </c>
      <c r="E274" s="26">
        <v>84000</v>
      </c>
      <c r="F274" s="10" t="s">
        <v>1019</v>
      </c>
      <c r="G274" s="39" t="str">
        <f>Tableau1[[#This Row],[Rue]]&amp;CHAR(10)&amp;Tableau1[[#This Row],[Code Postal]]&amp;" - "&amp;Tableau1[[#This Row],[Ville]]</f>
        <v>Carrefour, 390 Rue Jean Marie Tjibaou
84000 - Avignon</v>
      </c>
      <c r="H274" s="15" t="s">
        <v>1796</v>
      </c>
      <c r="I274" s="12" t="s">
        <v>37</v>
      </c>
      <c r="J274" s="12" t="s">
        <v>41</v>
      </c>
      <c r="K274" s="10" t="s">
        <v>87</v>
      </c>
      <c r="L274" s="10" t="s">
        <v>87</v>
      </c>
      <c r="M274" s="12" t="s">
        <v>87</v>
      </c>
      <c r="N274" s="36" t="s">
        <v>343</v>
      </c>
      <c r="O274" s="34">
        <v>84</v>
      </c>
      <c r="P274" s="6" t="s">
        <v>87</v>
      </c>
      <c r="Q274" s="34">
        <v>307</v>
      </c>
      <c r="R274" s="34" t="s">
        <v>87</v>
      </c>
      <c r="S274" s="6" t="s">
        <v>87</v>
      </c>
      <c r="T274" s="12">
        <f>Tableau1[[#This Row],[Loyer €/m²]]*Tableau1[[#This Row],[Surface GLA]]</f>
        <v>16800</v>
      </c>
      <c r="U274" s="12">
        <f>IFERROR(Tableau1[[#This Row],[Loyer annuel]]/12,"")</f>
        <v>1400</v>
      </c>
      <c r="V274" s="12">
        <v>200</v>
      </c>
      <c r="W274" s="34" t="s">
        <v>87</v>
      </c>
      <c r="X274" s="6">
        <f>Tableau1[[#This Row],[Charges €/m²]]*Tableau1[[#This Row],[Surface GLA]]</f>
        <v>3360</v>
      </c>
      <c r="Y274" s="12">
        <f>Tableau1[[#This Row],[Charges annuelles]]/12</f>
        <v>280</v>
      </c>
      <c r="Z274" s="12">
        <v>40</v>
      </c>
      <c r="AA274" s="12">
        <f>IFERROR(Tableau1[[#This Row],[Taxe foncière €/m²]]*Tableau1[[#This Row],[Surface GLA]],)</f>
        <v>1764</v>
      </c>
      <c r="AB274" s="12">
        <v>21</v>
      </c>
      <c r="AC274" s="12">
        <f>IFERROR(Tableau1[[#This Row],[Marketing €/m²]]*Tableau1[[#This Row],[Surface GLA]],)</f>
        <v>0</v>
      </c>
      <c r="AD274" s="12"/>
      <c r="AE274" s="12">
        <f>IFERROR(Tableau1[[#This Row],[Loyer annuel]]+Tableau1[[#This Row],[Charges annuelles]]+Tableau1[[#This Row],[Taxe foncière]]+Tableau1[[#This Row],[Marketing]],"")</f>
        <v>21924</v>
      </c>
      <c r="AF274" s="12" t="str">
        <f t="shared" si="16"/>
        <v>3 mois = 4 200 €</v>
      </c>
      <c r="AG274" s="12" t="s">
        <v>87</v>
      </c>
      <c r="AH274" s="12" t="s">
        <v>87</v>
      </c>
      <c r="AI274" s="12" t="s">
        <v>346</v>
      </c>
      <c r="AJ274" s="10" t="s">
        <v>358</v>
      </c>
      <c r="AK274" s="10" t="s">
        <v>352</v>
      </c>
      <c r="AL274" s="10" t="s">
        <v>2324</v>
      </c>
      <c r="AM274" s="11" t="s">
        <v>2364</v>
      </c>
      <c r="AN274" s="11" t="s">
        <v>1308</v>
      </c>
      <c r="AO274" s="5" t="s">
        <v>350</v>
      </c>
      <c r="AP274" s="11" t="s">
        <v>1828</v>
      </c>
      <c r="AQ274" s="11" t="s">
        <v>1829</v>
      </c>
      <c r="AR274" s="11" t="s">
        <v>1810</v>
      </c>
      <c r="AS274" s="36" t="s">
        <v>1823</v>
      </c>
      <c r="AT274" s="11" t="s">
        <v>59</v>
      </c>
      <c r="AU274" s="11"/>
      <c r="AV274" s="13" t="s">
        <v>1746</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2326</v>
      </c>
      <c r="E275" s="26">
        <v>84000</v>
      </c>
      <c r="F275" s="10" t="s">
        <v>1019</v>
      </c>
      <c r="G275" s="39" t="str">
        <f>Tableau1[[#This Row],[Rue]]&amp;CHAR(10)&amp;Tableau1[[#This Row],[Code Postal]]&amp;" - "&amp;Tableau1[[#This Row],[Ville]]</f>
        <v>Carrefour, 390 Rue Jean Marie Tjibaou
84000 - Avignon</v>
      </c>
      <c r="H275" s="15" t="s">
        <v>1796</v>
      </c>
      <c r="I275" s="12" t="s">
        <v>37</v>
      </c>
      <c r="J275" s="12" t="s">
        <v>41</v>
      </c>
      <c r="K275" s="10" t="s">
        <v>87</v>
      </c>
      <c r="L275" s="10" t="s">
        <v>87</v>
      </c>
      <c r="M275" s="12" t="s">
        <v>87</v>
      </c>
      <c r="N275" s="36" t="s">
        <v>1797</v>
      </c>
      <c r="O275" s="34">
        <v>279</v>
      </c>
      <c r="P275" s="6" t="s">
        <v>87</v>
      </c>
      <c r="Q275" s="34">
        <v>429</v>
      </c>
      <c r="R275" s="34" t="s">
        <v>87</v>
      </c>
      <c r="S275" s="6" t="s">
        <v>87</v>
      </c>
      <c r="T275" s="12">
        <f>Tableau1[[#This Row],[Loyer €/m²]]*Tableau1[[#This Row],[Surface GLA]]</f>
        <v>55800</v>
      </c>
      <c r="U275" s="12">
        <f>IFERROR(Tableau1[[#This Row],[Loyer annuel]]/12,"")</f>
        <v>4650</v>
      </c>
      <c r="V275" s="12">
        <v>200</v>
      </c>
      <c r="W275" s="34" t="s">
        <v>87</v>
      </c>
      <c r="X275" s="6">
        <f>Tableau1[[#This Row],[Charges €/m²]]*Tableau1[[#This Row],[Surface GLA]]</f>
        <v>11160</v>
      </c>
      <c r="Y275" s="12">
        <f>Tableau1[[#This Row],[Charges annuelles]]/12</f>
        <v>930</v>
      </c>
      <c r="Z275" s="12">
        <v>40</v>
      </c>
      <c r="AA275" s="12">
        <f>IFERROR(Tableau1[[#This Row],[Taxe foncière €/m²]]*Tableau1[[#This Row],[Surface GLA]],)</f>
        <v>5859</v>
      </c>
      <c r="AB275" s="12">
        <v>21</v>
      </c>
      <c r="AC275" s="12">
        <f>IFERROR(Tableau1[[#This Row],[Marketing €/m²]]*Tableau1[[#This Row],[Surface GLA]],)</f>
        <v>0</v>
      </c>
      <c r="AD275" s="12"/>
      <c r="AE275" s="12">
        <f>IFERROR(Tableau1[[#This Row],[Loyer annuel]]+Tableau1[[#This Row],[Charges annuelles]]+Tableau1[[#This Row],[Taxe foncière]]+Tableau1[[#This Row],[Marketing]],"")</f>
        <v>72819</v>
      </c>
      <c r="AF275" s="12" t="str">
        <f t="shared" si="16"/>
        <v>3 mois = 13 950 €</v>
      </c>
      <c r="AG275" s="12" t="s">
        <v>87</v>
      </c>
      <c r="AH275" s="12" t="s">
        <v>87</v>
      </c>
      <c r="AI275" s="12" t="s">
        <v>346</v>
      </c>
      <c r="AJ275" s="10" t="s">
        <v>59</v>
      </c>
      <c r="AK275" s="10" t="s">
        <v>352</v>
      </c>
      <c r="AL275" s="10" t="s">
        <v>2324</v>
      </c>
      <c r="AM275" s="11" t="s">
        <v>2364</v>
      </c>
      <c r="AN275" s="11" t="s">
        <v>1308</v>
      </c>
      <c r="AO275" s="5" t="s">
        <v>350</v>
      </c>
      <c r="AP275" s="11" t="s">
        <v>1830</v>
      </c>
      <c r="AQ275" s="11" t="s">
        <v>1831</v>
      </c>
      <c r="AR275" s="11" t="s">
        <v>1808</v>
      </c>
      <c r="AS275" s="36" t="s">
        <v>1823</v>
      </c>
      <c r="AT275" s="11" t="s">
        <v>59</v>
      </c>
      <c r="AU275" s="11"/>
      <c r="AV275" s="13" t="s">
        <v>1746</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2326</v>
      </c>
      <c r="E276" s="26">
        <v>84000</v>
      </c>
      <c r="F276" s="10" t="s">
        <v>1019</v>
      </c>
      <c r="G276" s="39" t="str">
        <f>Tableau1[[#This Row],[Rue]]&amp;CHAR(10)&amp;Tableau1[[#This Row],[Code Postal]]&amp;" - "&amp;Tableau1[[#This Row],[Ville]]</f>
        <v>Carrefour, 390 Rue Jean Marie Tjibaou
84000 - Avignon</v>
      </c>
      <c r="H276" s="15" t="s">
        <v>1796</v>
      </c>
      <c r="I276" s="12" t="s">
        <v>37</v>
      </c>
      <c r="J276" s="12" t="s">
        <v>41</v>
      </c>
      <c r="K276" s="10" t="s">
        <v>87</v>
      </c>
      <c r="L276" s="10" t="s">
        <v>87</v>
      </c>
      <c r="M276" s="12" t="s">
        <v>87</v>
      </c>
      <c r="N276" s="36" t="s">
        <v>1798</v>
      </c>
      <c r="O276" s="34">
        <v>150</v>
      </c>
      <c r="P276" s="6" t="s">
        <v>87</v>
      </c>
      <c r="Q276" s="34">
        <v>429</v>
      </c>
      <c r="R276" s="34" t="s">
        <v>87</v>
      </c>
      <c r="S276" s="6" t="s">
        <v>87</v>
      </c>
      <c r="T276" s="12">
        <f>Tableau1[[#This Row],[Loyer €/m²]]*Tableau1[[#This Row],[Surface GLA]]</f>
        <v>30000</v>
      </c>
      <c r="U276" s="12">
        <f>IFERROR(Tableau1[[#This Row],[Loyer annuel]]/12,"")</f>
        <v>2500</v>
      </c>
      <c r="V276" s="12">
        <v>200</v>
      </c>
      <c r="W276" s="34" t="s">
        <v>87</v>
      </c>
      <c r="X276" s="6">
        <f>Tableau1[[#This Row],[Charges €/m²]]*Tableau1[[#This Row],[Surface GLA]]</f>
        <v>6000</v>
      </c>
      <c r="Y276" s="12">
        <f>Tableau1[[#This Row],[Charges annuelles]]/12</f>
        <v>500</v>
      </c>
      <c r="Z276" s="12">
        <v>40</v>
      </c>
      <c r="AA276" s="12">
        <f>IFERROR(Tableau1[[#This Row],[Taxe foncière €/m²]]*Tableau1[[#This Row],[Surface GLA]],)</f>
        <v>3150</v>
      </c>
      <c r="AB276" s="12">
        <v>21</v>
      </c>
      <c r="AC276" s="12">
        <f>IFERROR(Tableau1[[#This Row],[Marketing €/m²]]*Tableau1[[#This Row],[Surface GLA]],)</f>
        <v>0</v>
      </c>
      <c r="AD276" s="12"/>
      <c r="AE276" s="12">
        <f>IFERROR(Tableau1[[#This Row],[Loyer annuel]]+Tableau1[[#This Row],[Charges annuelles]]+Tableau1[[#This Row],[Taxe foncière]]+Tableau1[[#This Row],[Marketing]],"")</f>
        <v>39150</v>
      </c>
      <c r="AF276" s="12" t="str">
        <f t="shared" si="16"/>
        <v>3 mois = 7 500 €</v>
      </c>
      <c r="AG276" s="12" t="s">
        <v>87</v>
      </c>
      <c r="AH276" s="12" t="s">
        <v>87</v>
      </c>
      <c r="AI276" s="12" t="s">
        <v>346</v>
      </c>
      <c r="AJ276" s="10" t="s">
        <v>358</v>
      </c>
      <c r="AK276" s="10" t="s">
        <v>352</v>
      </c>
      <c r="AL276" s="10" t="s">
        <v>2324</v>
      </c>
      <c r="AM276" s="11" t="s">
        <v>2364</v>
      </c>
      <c r="AN276" s="11" t="s">
        <v>1308</v>
      </c>
      <c r="AO276" s="5" t="s">
        <v>350</v>
      </c>
      <c r="AP276" s="11" t="s">
        <v>1832</v>
      </c>
      <c r="AQ276" s="11" t="s">
        <v>1833</v>
      </c>
      <c r="AR276" s="11" t="s">
        <v>1809</v>
      </c>
      <c r="AS276" s="36" t="s">
        <v>1823</v>
      </c>
      <c r="AT276" s="11" t="s">
        <v>59</v>
      </c>
      <c r="AU276" s="11"/>
      <c r="AV276" s="13" t="s">
        <v>1746</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2326</v>
      </c>
      <c r="E277" s="26">
        <v>84000</v>
      </c>
      <c r="F277" s="10" t="s">
        <v>1019</v>
      </c>
      <c r="G277" s="39" t="str">
        <f>Tableau1[[#This Row],[Rue]]&amp;CHAR(10)&amp;Tableau1[[#This Row],[Code Postal]]&amp;" - "&amp;Tableau1[[#This Row],[Ville]]</f>
        <v>Carrefour, 390 Rue Jean Marie Tjibaou
84000 - Avignon</v>
      </c>
      <c r="H277" s="15" t="s">
        <v>1796</v>
      </c>
      <c r="I277" s="12" t="s">
        <v>37</v>
      </c>
      <c r="J277" s="12" t="s">
        <v>41</v>
      </c>
      <c r="K277" s="10" t="s">
        <v>87</v>
      </c>
      <c r="L277" s="10" t="s">
        <v>87</v>
      </c>
      <c r="M277" s="12" t="s">
        <v>87</v>
      </c>
      <c r="N277" s="36" t="s">
        <v>572</v>
      </c>
      <c r="O277" s="34">
        <v>58</v>
      </c>
      <c r="P277" s="6" t="s">
        <v>87</v>
      </c>
      <c r="Q277" s="34">
        <v>610</v>
      </c>
      <c r="R277" s="34" t="s">
        <v>87</v>
      </c>
      <c r="S277" s="6" t="s">
        <v>87</v>
      </c>
      <c r="T277" s="12">
        <f>Tableau1[[#This Row],[Loyer €/m²]]*Tableau1[[#This Row],[Surface GLA]]</f>
        <v>11600</v>
      </c>
      <c r="U277" s="12">
        <f>IFERROR(Tableau1[[#This Row],[Loyer annuel]]/12,"")</f>
        <v>966.66666666666663</v>
      </c>
      <c r="V277" s="12">
        <v>200</v>
      </c>
      <c r="W277" s="34" t="s">
        <v>87</v>
      </c>
      <c r="X277" s="6">
        <f>Tableau1[[#This Row],[Charges €/m²]]*Tableau1[[#This Row],[Surface GLA]]</f>
        <v>2320</v>
      </c>
      <c r="Y277" s="12">
        <f>Tableau1[[#This Row],[Charges annuelles]]/12</f>
        <v>193.33333333333334</v>
      </c>
      <c r="Z277" s="12">
        <v>40</v>
      </c>
      <c r="AA277" s="12">
        <f>IFERROR(Tableau1[[#This Row],[Taxe foncière €/m²]]*Tableau1[[#This Row],[Surface GLA]],)</f>
        <v>1218</v>
      </c>
      <c r="AB277" s="12">
        <v>21</v>
      </c>
      <c r="AC277" s="12">
        <f>IFERROR(Tableau1[[#This Row],[Marketing €/m²]]*Tableau1[[#This Row],[Surface GLA]],)</f>
        <v>0</v>
      </c>
      <c r="AD277" s="12"/>
      <c r="AE277" s="12">
        <f>IFERROR(Tableau1[[#This Row],[Loyer annuel]]+Tableau1[[#This Row],[Charges annuelles]]+Tableau1[[#This Row],[Taxe foncière]]+Tableau1[[#This Row],[Marketing]],"")</f>
        <v>15138</v>
      </c>
      <c r="AF277" s="12" t="str">
        <f t="shared" si="16"/>
        <v>3 mois = 2 900 €</v>
      </c>
      <c r="AG277" s="12" t="s">
        <v>87</v>
      </c>
      <c r="AH277" s="12" t="s">
        <v>87</v>
      </c>
      <c r="AI277" s="12" t="s">
        <v>346</v>
      </c>
      <c r="AJ277" s="10" t="s">
        <v>358</v>
      </c>
      <c r="AK277" s="10" t="s">
        <v>352</v>
      </c>
      <c r="AL277" s="10" t="s">
        <v>2324</v>
      </c>
      <c r="AM277" s="11" t="s">
        <v>2364</v>
      </c>
      <c r="AN277" s="11" t="s">
        <v>1308</v>
      </c>
      <c r="AO277" s="5" t="s">
        <v>350</v>
      </c>
      <c r="AP277" s="11" t="s">
        <v>1834</v>
      </c>
      <c r="AQ277" s="11" t="s">
        <v>1835</v>
      </c>
      <c r="AR277" s="11" t="s">
        <v>1812</v>
      </c>
      <c r="AS277" s="36" t="s">
        <v>1823</v>
      </c>
      <c r="AT277" s="11" t="s">
        <v>59</v>
      </c>
      <c r="AU277" s="11"/>
      <c r="AV277" s="13" t="s">
        <v>1746</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2326</v>
      </c>
      <c r="E278" s="26">
        <v>84000</v>
      </c>
      <c r="F278" s="10" t="s">
        <v>1019</v>
      </c>
      <c r="G278" s="39" t="str">
        <f>Tableau1[[#This Row],[Rue]]&amp;CHAR(10)&amp;Tableau1[[#This Row],[Code Postal]]&amp;" - "&amp;Tableau1[[#This Row],[Ville]]</f>
        <v>Carrefour, 390 Rue Jean Marie Tjibaou
84000 - Avignon</v>
      </c>
      <c r="H278" s="15" t="s">
        <v>1796</v>
      </c>
      <c r="I278" s="12" t="s">
        <v>37</v>
      </c>
      <c r="J278" s="12" t="s">
        <v>41</v>
      </c>
      <c r="K278" s="10" t="s">
        <v>87</v>
      </c>
      <c r="L278" s="10" t="s">
        <v>87</v>
      </c>
      <c r="M278" s="12" t="s">
        <v>87</v>
      </c>
      <c r="N278" s="36" t="s">
        <v>1799</v>
      </c>
      <c r="O278" s="34">
        <v>164</v>
      </c>
      <c r="P278" s="6" t="s">
        <v>87</v>
      </c>
      <c r="Q278" s="34">
        <v>610</v>
      </c>
      <c r="R278" s="34" t="s">
        <v>87</v>
      </c>
      <c r="S278" s="6" t="s">
        <v>87</v>
      </c>
      <c r="T278" s="12">
        <f>Tableau1[[#This Row],[Loyer €/m²]]*Tableau1[[#This Row],[Surface GLA]]</f>
        <v>32800</v>
      </c>
      <c r="U278" s="12">
        <f>IFERROR(Tableau1[[#This Row],[Loyer annuel]]/12,"")</f>
        <v>2733.3333333333335</v>
      </c>
      <c r="V278" s="12">
        <v>200</v>
      </c>
      <c r="W278" s="34" t="s">
        <v>87</v>
      </c>
      <c r="X278" s="6">
        <f>Tableau1[[#This Row],[Charges €/m²]]*Tableau1[[#This Row],[Surface GLA]]</f>
        <v>6560</v>
      </c>
      <c r="Y278" s="12">
        <f>Tableau1[[#This Row],[Charges annuelles]]/12</f>
        <v>546.66666666666663</v>
      </c>
      <c r="Z278" s="12">
        <v>40</v>
      </c>
      <c r="AA278" s="12">
        <f>IFERROR(Tableau1[[#This Row],[Taxe foncière €/m²]]*Tableau1[[#This Row],[Surface GLA]],)</f>
        <v>3444</v>
      </c>
      <c r="AB278" s="12">
        <v>21</v>
      </c>
      <c r="AC278" s="12">
        <f>IFERROR(Tableau1[[#This Row],[Marketing €/m²]]*Tableau1[[#This Row],[Surface GLA]],)</f>
        <v>0</v>
      </c>
      <c r="AD278" s="12"/>
      <c r="AE278" s="12">
        <f>IFERROR(Tableau1[[#This Row],[Loyer annuel]]+Tableau1[[#This Row],[Charges annuelles]]+Tableau1[[#This Row],[Taxe foncière]]+Tableau1[[#This Row],[Marketing]],"")</f>
        <v>42804</v>
      </c>
      <c r="AF278" s="12" t="str">
        <f t="shared" si="16"/>
        <v>3 mois = 8 200 €</v>
      </c>
      <c r="AG278" s="12" t="s">
        <v>87</v>
      </c>
      <c r="AH278" s="12" t="s">
        <v>87</v>
      </c>
      <c r="AI278" s="12" t="s">
        <v>346</v>
      </c>
      <c r="AJ278" s="10" t="s">
        <v>358</v>
      </c>
      <c r="AK278" s="10" t="s">
        <v>352</v>
      </c>
      <c r="AL278" s="10" t="s">
        <v>2324</v>
      </c>
      <c r="AM278" s="11" t="s">
        <v>2364</v>
      </c>
      <c r="AN278" s="11" t="s">
        <v>1308</v>
      </c>
      <c r="AO278" s="5" t="s">
        <v>350</v>
      </c>
      <c r="AP278" s="11" t="s">
        <v>1836</v>
      </c>
      <c r="AQ278" s="11" t="s">
        <v>1837</v>
      </c>
      <c r="AR278" s="11" t="s">
        <v>1813</v>
      </c>
      <c r="AS278" s="36" t="s">
        <v>1823</v>
      </c>
      <c r="AT278" s="11" t="s">
        <v>59</v>
      </c>
      <c r="AU278" s="11"/>
      <c r="AV278" s="13" t="s">
        <v>1746</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2326</v>
      </c>
      <c r="E279" s="26">
        <v>84000</v>
      </c>
      <c r="F279" s="10" t="s">
        <v>1019</v>
      </c>
      <c r="G279" s="39" t="str">
        <f>Tableau1[[#This Row],[Rue]]&amp;CHAR(10)&amp;Tableau1[[#This Row],[Code Postal]]&amp;" - "&amp;Tableau1[[#This Row],[Ville]]</f>
        <v>Carrefour, 390 Rue Jean Marie Tjibaou
84000 - Avignon</v>
      </c>
      <c r="H279" s="15" t="s">
        <v>1796</v>
      </c>
      <c r="I279" s="12" t="s">
        <v>37</v>
      </c>
      <c r="J279" s="12" t="s">
        <v>41</v>
      </c>
      <c r="K279" s="10" t="s">
        <v>87</v>
      </c>
      <c r="L279" s="10" t="s">
        <v>87</v>
      </c>
      <c r="M279" s="12" t="s">
        <v>87</v>
      </c>
      <c r="N279" s="36" t="s">
        <v>1800</v>
      </c>
      <c r="O279" s="34">
        <v>278</v>
      </c>
      <c r="P279" s="6" t="s">
        <v>87</v>
      </c>
      <c r="Q279" s="34">
        <v>610</v>
      </c>
      <c r="R279" s="34" t="s">
        <v>87</v>
      </c>
      <c r="S279" s="6" t="s">
        <v>87</v>
      </c>
      <c r="T279" s="12">
        <f>Tableau1[[#This Row],[Loyer €/m²]]*Tableau1[[#This Row],[Surface GLA]]</f>
        <v>55600</v>
      </c>
      <c r="U279" s="12">
        <f>IFERROR(Tableau1[[#This Row],[Loyer annuel]]/12,"")</f>
        <v>4633.333333333333</v>
      </c>
      <c r="V279" s="12">
        <v>200</v>
      </c>
      <c r="W279" s="34" t="s">
        <v>87</v>
      </c>
      <c r="X279" s="6">
        <f>Tableau1[[#This Row],[Charges €/m²]]*Tableau1[[#This Row],[Surface GLA]]</f>
        <v>11120</v>
      </c>
      <c r="Y279" s="12">
        <f>Tableau1[[#This Row],[Charges annuelles]]/12</f>
        <v>926.66666666666663</v>
      </c>
      <c r="Z279" s="12">
        <v>40</v>
      </c>
      <c r="AA279" s="12">
        <f>IFERROR(Tableau1[[#This Row],[Taxe foncière €/m²]]*Tableau1[[#This Row],[Surface GLA]],)</f>
        <v>5838</v>
      </c>
      <c r="AB279" s="12">
        <v>21</v>
      </c>
      <c r="AC279" s="12">
        <f>IFERROR(Tableau1[[#This Row],[Marketing €/m²]]*Tableau1[[#This Row],[Surface GLA]],)</f>
        <v>0</v>
      </c>
      <c r="AD279" s="12"/>
      <c r="AE279" s="12">
        <f>IFERROR(Tableau1[[#This Row],[Loyer annuel]]+Tableau1[[#This Row],[Charges annuelles]]+Tableau1[[#This Row],[Taxe foncière]]+Tableau1[[#This Row],[Marketing]],"")</f>
        <v>72558</v>
      </c>
      <c r="AF279" s="12" t="str">
        <f t="shared" si="16"/>
        <v>3 mois = 13 900 €</v>
      </c>
      <c r="AG279" s="12" t="s">
        <v>87</v>
      </c>
      <c r="AH279" s="12" t="s">
        <v>87</v>
      </c>
      <c r="AI279" s="12" t="s">
        <v>346</v>
      </c>
      <c r="AJ279" s="10" t="s">
        <v>358</v>
      </c>
      <c r="AK279" s="10" t="s">
        <v>352</v>
      </c>
      <c r="AL279" s="10" t="s">
        <v>2324</v>
      </c>
      <c r="AM279" s="11" t="s">
        <v>2364</v>
      </c>
      <c r="AN279" s="11" t="s">
        <v>1308</v>
      </c>
      <c r="AO279" s="5" t="s">
        <v>350</v>
      </c>
      <c r="AP279" s="11" t="s">
        <v>1838</v>
      </c>
      <c r="AQ279" s="11" t="s">
        <v>1839</v>
      </c>
      <c r="AR279" s="11" t="s">
        <v>1814</v>
      </c>
      <c r="AS279" s="36" t="s">
        <v>1823</v>
      </c>
      <c r="AT279" s="11" t="s">
        <v>59</v>
      </c>
      <c r="AU279" s="11"/>
      <c r="AV279" s="13" t="s">
        <v>1746</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2326</v>
      </c>
      <c r="E280" s="26">
        <v>84000</v>
      </c>
      <c r="F280" s="10" t="s">
        <v>1019</v>
      </c>
      <c r="G280" s="39" t="str">
        <f>Tableau1[[#This Row],[Rue]]&amp;CHAR(10)&amp;Tableau1[[#This Row],[Code Postal]]&amp;" - "&amp;Tableau1[[#This Row],[Ville]]</f>
        <v>Carrefour, 390 Rue Jean Marie Tjibaou
84000 - Avignon</v>
      </c>
      <c r="H280" s="15" t="s">
        <v>1796</v>
      </c>
      <c r="I280" s="12" t="s">
        <v>37</v>
      </c>
      <c r="J280" s="12" t="s">
        <v>41</v>
      </c>
      <c r="K280" s="10" t="s">
        <v>87</v>
      </c>
      <c r="L280" s="10" t="s">
        <v>87</v>
      </c>
      <c r="M280" s="12" t="s">
        <v>87</v>
      </c>
      <c r="N280" s="36" t="s">
        <v>1801</v>
      </c>
      <c r="O280" s="34">
        <v>54</v>
      </c>
      <c r="P280" s="6" t="s">
        <v>87</v>
      </c>
      <c r="Q280" s="34">
        <v>610</v>
      </c>
      <c r="R280" s="34" t="s">
        <v>87</v>
      </c>
      <c r="S280" s="6" t="s">
        <v>87</v>
      </c>
      <c r="T280" s="12">
        <f>Tableau1[[#This Row],[Loyer €/m²]]*Tableau1[[#This Row],[Surface GLA]]</f>
        <v>10800</v>
      </c>
      <c r="U280" s="12">
        <f>IFERROR(Tableau1[[#This Row],[Loyer annuel]]/12,"")</f>
        <v>900</v>
      </c>
      <c r="V280" s="12">
        <v>200</v>
      </c>
      <c r="W280" s="34" t="s">
        <v>87</v>
      </c>
      <c r="X280" s="6">
        <f>Tableau1[[#This Row],[Charges €/m²]]*Tableau1[[#This Row],[Surface GLA]]</f>
        <v>2160</v>
      </c>
      <c r="Y280" s="12">
        <f>Tableau1[[#This Row],[Charges annuelles]]/12</f>
        <v>180</v>
      </c>
      <c r="Z280" s="12">
        <v>40</v>
      </c>
      <c r="AA280" s="12">
        <f>IFERROR(Tableau1[[#This Row],[Taxe foncière €/m²]]*Tableau1[[#This Row],[Surface GLA]],)</f>
        <v>1134</v>
      </c>
      <c r="AB280" s="12">
        <v>21</v>
      </c>
      <c r="AC280" s="12">
        <f>IFERROR(Tableau1[[#This Row],[Marketing €/m²]]*Tableau1[[#This Row],[Surface GLA]],)</f>
        <v>0</v>
      </c>
      <c r="AD280" s="12"/>
      <c r="AE280" s="12">
        <f>IFERROR(Tableau1[[#This Row],[Loyer annuel]]+Tableau1[[#This Row],[Charges annuelles]]+Tableau1[[#This Row],[Taxe foncière]]+Tableau1[[#This Row],[Marketing]],"")</f>
        <v>14094</v>
      </c>
      <c r="AF280" s="12" t="str">
        <f t="shared" si="16"/>
        <v>3 mois = 2 700 €</v>
      </c>
      <c r="AG280" s="12" t="s">
        <v>87</v>
      </c>
      <c r="AH280" s="12" t="s">
        <v>87</v>
      </c>
      <c r="AI280" s="12" t="s">
        <v>346</v>
      </c>
      <c r="AJ280" s="10" t="s">
        <v>358</v>
      </c>
      <c r="AK280" s="10" t="s">
        <v>352</v>
      </c>
      <c r="AL280" s="10" t="s">
        <v>2324</v>
      </c>
      <c r="AM280" s="11" t="s">
        <v>2364</v>
      </c>
      <c r="AN280" s="11" t="s">
        <v>1308</v>
      </c>
      <c r="AO280" s="5" t="s">
        <v>350</v>
      </c>
      <c r="AP280" s="11" t="s">
        <v>1840</v>
      </c>
      <c r="AQ280" s="11" t="s">
        <v>1841</v>
      </c>
      <c r="AR280" s="11" t="s">
        <v>1815</v>
      </c>
      <c r="AS280" s="36" t="s">
        <v>1823</v>
      </c>
      <c r="AT280" s="11" t="s">
        <v>59</v>
      </c>
      <c r="AU280" s="11"/>
      <c r="AV280" s="13" t="s">
        <v>1746</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2326</v>
      </c>
      <c r="E281" s="26">
        <v>84000</v>
      </c>
      <c r="F281" s="10" t="s">
        <v>1019</v>
      </c>
      <c r="G281" s="39" t="str">
        <f>Tableau1[[#This Row],[Rue]]&amp;CHAR(10)&amp;Tableau1[[#This Row],[Code Postal]]&amp;" - "&amp;Tableau1[[#This Row],[Ville]]</f>
        <v>Carrefour, 390 Rue Jean Marie Tjibaou
84000 - Avignon</v>
      </c>
      <c r="H281" s="15" t="s">
        <v>1796</v>
      </c>
      <c r="I281" s="12" t="s">
        <v>37</v>
      </c>
      <c r="J281" s="12" t="s">
        <v>41</v>
      </c>
      <c r="K281" s="10" t="s">
        <v>87</v>
      </c>
      <c r="L281" s="10" t="s">
        <v>87</v>
      </c>
      <c r="M281" s="12" t="s">
        <v>87</v>
      </c>
      <c r="N281" s="36" t="s">
        <v>292</v>
      </c>
      <c r="O281" s="34">
        <v>56</v>
      </c>
      <c r="P281" s="6" t="s">
        <v>87</v>
      </c>
      <c r="Q281" s="34">
        <v>610</v>
      </c>
      <c r="R281" s="34" t="s">
        <v>87</v>
      </c>
      <c r="S281" s="6" t="s">
        <v>87</v>
      </c>
      <c r="T281" s="12">
        <f>Tableau1[[#This Row],[Loyer €/m²]]*Tableau1[[#This Row],[Surface GLA]]</f>
        <v>11200</v>
      </c>
      <c r="U281" s="12">
        <f>IFERROR(Tableau1[[#This Row],[Loyer annuel]]/12,"")</f>
        <v>933.33333333333337</v>
      </c>
      <c r="V281" s="12">
        <v>200</v>
      </c>
      <c r="W281" s="34" t="s">
        <v>87</v>
      </c>
      <c r="X281" s="6">
        <f>Tableau1[[#This Row],[Charges €/m²]]*Tableau1[[#This Row],[Surface GLA]]</f>
        <v>2240</v>
      </c>
      <c r="Y281" s="12">
        <f>Tableau1[[#This Row],[Charges annuelles]]/12</f>
        <v>186.66666666666666</v>
      </c>
      <c r="Z281" s="12">
        <v>40</v>
      </c>
      <c r="AA281" s="12">
        <f>IFERROR(Tableau1[[#This Row],[Taxe foncière €/m²]]*Tableau1[[#This Row],[Surface GLA]],)</f>
        <v>1176</v>
      </c>
      <c r="AB281" s="12">
        <v>21</v>
      </c>
      <c r="AC281" s="12">
        <f>IFERROR(Tableau1[[#This Row],[Marketing €/m²]]*Tableau1[[#This Row],[Surface GLA]],)</f>
        <v>0</v>
      </c>
      <c r="AD281" s="12"/>
      <c r="AE281" s="12">
        <f>IFERROR(Tableau1[[#This Row],[Loyer annuel]]+Tableau1[[#This Row],[Charges annuelles]]+Tableau1[[#This Row],[Taxe foncière]]+Tableau1[[#This Row],[Marketing]],"")</f>
        <v>14616</v>
      </c>
      <c r="AF281" s="12" t="str">
        <f t="shared" si="16"/>
        <v>3 mois = 2 800 €</v>
      </c>
      <c r="AG281" s="12" t="s">
        <v>87</v>
      </c>
      <c r="AH281" s="12" t="s">
        <v>87</v>
      </c>
      <c r="AI281" s="12" t="s">
        <v>346</v>
      </c>
      <c r="AJ281" s="10" t="s">
        <v>358</v>
      </c>
      <c r="AK281" s="10" t="s">
        <v>352</v>
      </c>
      <c r="AL281" s="10" t="s">
        <v>2324</v>
      </c>
      <c r="AM281" s="11" t="s">
        <v>2364</v>
      </c>
      <c r="AN281" s="11" t="s">
        <v>1308</v>
      </c>
      <c r="AO281" s="5" t="s">
        <v>350</v>
      </c>
      <c r="AP281" s="11" t="s">
        <v>1842</v>
      </c>
      <c r="AQ281" s="11" t="s">
        <v>1843</v>
      </c>
      <c r="AR281" s="11" t="s">
        <v>1816</v>
      </c>
      <c r="AS281" s="36" t="s">
        <v>1823</v>
      </c>
      <c r="AT281" s="11" t="s">
        <v>59</v>
      </c>
      <c r="AU281" s="11"/>
      <c r="AV281" s="13" t="s">
        <v>1746</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2326</v>
      </c>
      <c r="E282" s="26">
        <v>84000</v>
      </c>
      <c r="F282" s="10" t="s">
        <v>1019</v>
      </c>
      <c r="G282" s="39" t="str">
        <f>Tableau1[[#This Row],[Rue]]&amp;CHAR(10)&amp;Tableau1[[#This Row],[Code Postal]]&amp;" - "&amp;Tableau1[[#This Row],[Ville]]</f>
        <v>Carrefour, 390 Rue Jean Marie Tjibaou
84000 - Avignon</v>
      </c>
      <c r="H282" s="15" t="s">
        <v>1796</v>
      </c>
      <c r="I282" s="12" t="s">
        <v>37</v>
      </c>
      <c r="J282" s="12" t="s">
        <v>41</v>
      </c>
      <c r="K282" s="10" t="s">
        <v>87</v>
      </c>
      <c r="L282" s="10" t="s">
        <v>87</v>
      </c>
      <c r="M282" s="12" t="s">
        <v>87</v>
      </c>
      <c r="N282" s="36" t="s">
        <v>1802</v>
      </c>
      <c r="O282" s="34">
        <v>107</v>
      </c>
      <c r="P282" s="6" t="s">
        <v>87</v>
      </c>
      <c r="Q282" s="34" t="s">
        <v>87</v>
      </c>
      <c r="R282" s="34" t="s">
        <v>87</v>
      </c>
      <c r="S282" s="6" t="s">
        <v>87</v>
      </c>
      <c r="T282" s="12">
        <f>Tableau1[[#This Row],[Loyer €/m²]]*Tableau1[[#This Row],[Surface GLA]]</f>
        <v>21400</v>
      </c>
      <c r="U282" s="12">
        <f>IFERROR(Tableau1[[#This Row],[Loyer annuel]]/12,"")</f>
        <v>1783.3333333333333</v>
      </c>
      <c r="V282" s="12">
        <v>200</v>
      </c>
      <c r="W282" s="34" t="s">
        <v>87</v>
      </c>
      <c r="X282" s="6">
        <f>Tableau1[[#This Row],[Charges €/m²]]*Tableau1[[#This Row],[Surface GLA]]</f>
        <v>4280</v>
      </c>
      <c r="Y282" s="12">
        <f>Tableau1[[#This Row],[Charges annuelles]]/12</f>
        <v>356.66666666666669</v>
      </c>
      <c r="Z282" s="12">
        <v>40</v>
      </c>
      <c r="AA282" s="12">
        <f>IFERROR(Tableau1[[#This Row],[Taxe foncière €/m²]]*Tableau1[[#This Row],[Surface GLA]],)</f>
        <v>2247</v>
      </c>
      <c r="AB282" s="12">
        <v>21</v>
      </c>
      <c r="AC282" s="12">
        <f>IFERROR(Tableau1[[#This Row],[Marketing €/m²]]*Tableau1[[#This Row],[Surface GLA]],)</f>
        <v>0</v>
      </c>
      <c r="AD282" s="12"/>
      <c r="AE282" s="12">
        <f>IFERROR(Tableau1[[#This Row],[Loyer annuel]]+Tableau1[[#This Row],[Charges annuelles]]+Tableau1[[#This Row],[Taxe foncière]]+Tableau1[[#This Row],[Marketing]],"")</f>
        <v>27927</v>
      </c>
      <c r="AF282" s="12" t="str">
        <f t="shared" si="16"/>
        <v>3 mois = 5 350 €</v>
      </c>
      <c r="AG282" s="12" t="s">
        <v>87</v>
      </c>
      <c r="AH282" s="12" t="s">
        <v>87</v>
      </c>
      <c r="AI282" s="12" t="s">
        <v>346</v>
      </c>
      <c r="AJ282" s="10" t="s">
        <v>358</v>
      </c>
      <c r="AK282" s="10" t="s">
        <v>352</v>
      </c>
      <c r="AL282" s="10" t="s">
        <v>2324</v>
      </c>
      <c r="AM282" s="11" t="s">
        <v>2364</v>
      </c>
      <c r="AN282" s="11" t="s">
        <v>1308</v>
      </c>
      <c r="AO282" s="5" t="s">
        <v>350</v>
      </c>
      <c r="AP282" s="11" t="s">
        <v>1844</v>
      </c>
      <c r="AQ282" s="11" t="s">
        <v>1845</v>
      </c>
      <c r="AR282" s="11" t="s">
        <v>1817</v>
      </c>
      <c r="AS282" s="36" t="s">
        <v>1823</v>
      </c>
      <c r="AT282" s="11" t="s">
        <v>59</v>
      </c>
      <c r="AU282" s="11"/>
      <c r="AV282" s="13" t="s">
        <v>1746</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2326</v>
      </c>
      <c r="E283" s="26">
        <v>84000</v>
      </c>
      <c r="F283" s="10" t="s">
        <v>1019</v>
      </c>
      <c r="G283" s="39" t="str">
        <f>Tableau1[[#This Row],[Rue]]&amp;CHAR(10)&amp;Tableau1[[#This Row],[Code Postal]]&amp;" - "&amp;Tableau1[[#This Row],[Ville]]</f>
        <v>Carrefour, 390 Rue Jean Marie Tjibaou
84000 - Avignon</v>
      </c>
      <c r="H283" s="15" t="s">
        <v>1796</v>
      </c>
      <c r="I283" s="12" t="s">
        <v>37</v>
      </c>
      <c r="J283" s="12" t="s">
        <v>41</v>
      </c>
      <c r="K283" s="10" t="s">
        <v>87</v>
      </c>
      <c r="L283" s="10" t="s">
        <v>87</v>
      </c>
      <c r="M283" s="12" t="s">
        <v>87</v>
      </c>
      <c r="N283" s="36" t="s">
        <v>1803</v>
      </c>
      <c r="O283" s="34">
        <v>63</v>
      </c>
      <c r="P283" s="6" t="s">
        <v>87</v>
      </c>
      <c r="Q283" s="34" t="s">
        <v>87</v>
      </c>
      <c r="R283" s="34" t="s">
        <v>87</v>
      </c>
      <c r="S283" s="6" t="s">
        <v>87</v>
      </c>
      <c r="T283" s="12">
        <f>Tableau1[[#This Row],[Loyer €/m²]]*Tableau1[[#This Row],[Surface GLA]]</f>
        <v>12600</v>
      </c>
      <c r="U283" s="12">
        <f>IFERROR(Tableau1[[#This Row],[Loyer annuel]]/12,"")</f>
        <v>1050</v>
      </c>
      <c r="V283" s="12">
        <v>200</v>
      </c>
      <c r="W283" s="34" t="s">
        <v>87</v>
      </c>
      <c r="X283" s="6">
        <f>Tableau1[[#This Row],[Charges €/m²]]*Tableau1[[#This Row],[Surface GLA]]</f>
        <v>2520</v>
      </c>
      <c r="Y283" s="12">
        <f>Tableau1[[#This Row],[Charges annuelles]]/12</f>
        <v>210</v>
      </c>
      <c r="Z283" s="12">
        <v>40</v>
      </c>
      <c r="AA283" s="12">
        <f>IFERROR(Tableau1[[#This Row],[Taxe foncière €/m²]]*Tableau1[[#This Row],[Surface GLA]],)</f>
        <v>1323</v>
      </c>
      <c r="AB283" s="12">
        <v>21</v>
      </c>
      <c r="AC283" s="12">
        <f>IFERROR(Tableau1[[#This Row],[Marketing €/m²]]*Tableau1[[#This Row],[Surface GLA]],)</f>
        <v>0</v>
      </c>
      <c r="AD283" s="12"/>
      <c r="AE283" s="12">
        <f>IFERROR(Tableau1[[#This Row],[Loyer annuel]]+Tableau1[[#This Row],[Charges annuelles]]+Tableau1[[#This Row],[Taxe foncière]]+Tableau1[[#This Row],[Marketing]],"")</f>
        <v>16443</v>
      </c>
      <c r="AF283" s="12" t="str">
        <f t="shared" si="16"/>
        <v>3 mois = 3 150 €</v>
      </c>
      <c r="AG283" s="12" t="s">
        <v>87</v>
      </c>
      <c r="AH283" s="12" t="s">
        <v>87</v>
      </c>
      <c r="AI283" s="12" t="s">
        <v>346</v>
      </c>
      <c r="AJ283" s="10" t="s">
        <v>358</v>
      </c>
      <c r="AK283" s="10" t="s">
        <v>352</v>
      </c>
      <c r="AL283" s="10" t="s">
        <v>2324</v>
      </c>
      <c r="AM283" s="11" t="s">
        <v>2364</v>
      </c>
      <c r="AN283" s="11" t="s">
        <v>1308</v>
      </c>
      <c r="AO283" s="5" t="s">
        <v>350</v>
      </c>
      <c r="AP283" s="11" t="s">
        <v>1846</v>
      </c>
      <c r="AQ283" s="11" t="s">
        <v>1847</v>
      </c>
      <c r="AR283" s="11" t="s">
        <v>1818</v>
      </c>
      <c r="AS283" s="36" t="s">
        <v>1823</v>
      </c>
      <c r="AT283" s="11" t="s">
        <v>59</v>
      </c>
      <c r="AU283" s="11"/>
      <c r="AV283" s="13" t="s">
        <v>1746</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2326</v>
      </c>
      <c r="E284" s="26">
        <v>84000</v>
      </c>
      <c r="F284" s="10" t="s">
        <v>1019</v>
      </c>
      <c r="G284" s="39" t="str">
        <f>Tableau1[[#This Row],[Rue]]&amp;CHAR(10)&amp;Tableau1[[#This Row],[Code Postal]]&amp;" - "&amp;Tableau1[[#This Row],[Ville]]</f>
        <v>Carrefour, 390 Rue Jean Marie Tjibaou
84000 - Avignon</v>
      </c>
      <c r="H284" s="15" t="s">
        <v>1796</v>
      </c>
      <c r="I284" s="12" t="s">
        <v>37</v>
      </c>
      <c r="J284" s="12" t="s">
        <v>41</v>
      </c>
      <c r="K284" s="10" t="s">
        <v>87</v>
      </c>
      <c r="L284" s="10" t="s">
        <v>87</v>
      </c>
      <c r="M284" s="12" t="s">
        <v>87</v>
      </c>
      <c r="N284" s="36" t="s">
        <v>1804</v>
      </c>
      <c r="O284" s="34">
        <v>282</v>
      </c>
      <c r="P284" s="6" t="s">
        <v>87</v>
      </c>
      <c r="Q284" s="34" t="s">
        <v>87</v>
      </c>
      <c r="R284" s="34" t="s">
        <v>87</v>
      </c>
      <c r="S284" s="6" t="s">
        <v>87</v>
      </c>
      <c r="T284" s="12">
        <f>Tableau1[[#This Row],[Loyer €/m²]]*Tableau1[[#This Row],[Surface GLA]]</f>
        <v>56400</v>
      </c>
      <c r="U284" s="12">
        <f>IFERROR(Tableau1[[#This Row],[Loyer annuel]]/12,"")</f>
        <v>4700</v>
      </c>
      <c r="V284" s="12">
        <v>200</v>
      </c>
      <c r="W284" s="34" t="s">
        <v>87</v>
      </c>
      <c r="X284" s="6">
        <f>Tableau1[[#This Row],[Charges €/m²]]*Tableau1[[#This Row],[Surface GLA]]</f>
        <v>11280</v>
      </c>
      <c r="Y284" s="12">
        <f>Tableau1[[#This Row],[Charges annuelles]]/12</f>
        <v>940</v>
      </c>
      <c r="Z284" s="12">
        <v>40</v>
      </c>
      <c r="AA284" s="12">
        <f>IFERROR(Tableau1[[#This Row],[Taxe foncière €/m²]]*Tableau1[[#This Row],[Surface GLA]],)</f>
        <v>5922</v>
      </c>
      <c r="AB284" s="12">
        <v>21</v>
      </c>
      <c r="AC284" s="12">
        <f>IFERROR(Tableau1[[#This Row],[Marketing €/m²]]*Tableau1[[#This Row],[Surface GLA]],)</f>
        <v>0</v>
      </c>
      <c r="AD284" s="12"/>
      <c r="AE284" s="12">
        <f>IFERROR(Tableau1[[#This Row],[Loyer annuel]]+Tableau1[[#This Row],[Charges annuelles]]+Tableau1[[#This Row],[Taxe foncière]]+Tableau1[[#This Row],[Marketing]],"")</f>
        <v>73602</v>
      </c>
      <c r="AF284" s="12" t="str">
        <f t="shared" si="16"/>
        <v>3 mois = 14 100 €</v>
      </c>
      <c r="AG284" s="12" t="s">
        <v>87</v>
      </c>
      <c r="AH284" s="12" t="s">
        <v>87</v>
      </c>
      <c r="AI284" s="12" t="s">
        <v>346</v>
      </c>
      <c r="AJ284" s="10" t="s">
        <v>358</v>
      </c>
      <c r="AK284" s="10" t="s">
        <v>352</v>
      </c>
      <c r="AL284" s="10" t="s">
        <v>2324</v>
      </c>
      <c r="AM284" s="11" t="s">
        <v>2364</v>
      </c>
      <c r="AN284" s="11" t="s">
        <v>1308</v>
      </c>
      <c r="AO284" s="5" t="s">
        <v>350</v>
      </c>
      <c r="AP284" s="11" t="s">
        <v>1848</v>
      </c>
      <c r="AQ284" s="11" t="s">
        <v>1849</v>
      </c>
      <c r="AR284" s="11" t="s">
        <v>1819</v>
      </c>
      <c r="AS284" s="36" t="s">
        <v>1823</v>
      </c>
      <c r="AT284" s="11" t="s">
        <v>59</v>
      </c>
      <c r="AU284" s="11"/>
      <c r="AV284" s="13" t="s">
        <v>1746</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2326</v>
      </c>
      <c r="E285" s="26">
        <v>84000</v>
      </c>
      <c r="F285" s="10" t="s">
        <v>1019</v>
      </c>
      <c r="G285" s="39" t="str">
        <f>Tableau1[[#This Row],[Rue]]&amp;CHAR(10)&amp;Tableau1[[#This Row],[Code Postal]]&amp;" - "&amp;Tableau1[[#This Row],[Ville]]</f>
        <v>Carrefour, 390 Rue Jean Marie Tjibaou
84000 - Avignon</v>
      </c>
      <c r="H285" s="15" t="s">
        <v>1796</v>
      </c>
      <c r="I285" s="12" t="s">
        <v>37</v>
      </c>
      <c r="J285" s="12" t="s">
        <v>41</v>
      </c>
      <c r="K285" s="10" t="s">
        <v>87</v>
      </c>
      <c r="L285" s="10" t="s">
        <v>87</v>
      </c>
      <c r="M285" s="12" t="s">
        <v>87</v>
      </c>
      <c r="N285" s="36" t="s">
        <v>1805</v>
      </c>
      <c r="O285" s="34">
        <v>104</v>
      </c>
      <c r="P285" s="6" t="s">
        <v>87</v>
      </c>
      <c r="Q285" s="34" t="s">
        <v>87</v>
      </c>
      <c r="R285" s="34" t="s">
        <v>87</v>
      </c>
      <c r="S285" s="6" t="s">
        <v>87</v>
      </c>
      <c r="T285" s="12">
        <f>Tableau1[[#This Row],[Loyer €/m²]]*Tableau1[[#This Row],[Surface GLA]]</f>
        <v>20800</v>
      </c>
      <c r="U285" s="12">
        <f>IFERROR(Tableau1[[#This Row],[Loyer annuel]]/12,"")</f>
        <v>1733.3333333333333</v>
      </c>
      <c r="V285" s="12">
        <v>200</v>
      </c>
      <c r="W285" s="34" t="s">
        <v>87</v>
      </c>
      <c r="X285" s="6">
        <f>Tableau1[[#This Row],[Charges €/m²]]*Tableau1[[#This Row],[Surface GLA]]</f>
        <v>4160</v>
      </c>
      <c r="Y285" s="12">
        <f>Tableau1[[#This Row],[Charges annuelles]]/12</f>
        <v>346.66666666666669</v>
      </c>
      <c r="Z285" s="12">
        <v>40</v>
      </c>
      <c r="AA285" s="12">
        <f>IFERROR(Tableau1[[#This Row],[Taxe foncière €/m²]]*Tableau1[[#This Row],[Surface GLA]],)</f>
        <v>2184</v>
      </c>
      <c r="AB285" s="12">
        <v>21</v>
      </c>
      <c r="AC285" s="12">
        <f>IFERROR(Tableau1[[#This Row],[Marketing €/m²]]*Tableau1[[#This Row],[Surface GLA]],)</f>
        <v>0</v>
      </c>
      <c r="AD285" s="12"/>
      <c r="AE285" s="12">
        <f>IFERROR(Tableau1[[#This Row],[Loyer annuel]]+Tableau1[[#This Row],[Charges annuelles]]+Tableau1[[#This Row],[Taxe foncière]]+Tableau1[[#This Row],[Marketing]],"")</f>
        <v>27144</v>
      </c>
      <c r="AF285" s="12" t="str">
        <f t="shared" si="16"/>
        <v>3 mois = 5 200 €</v>
      </c>
      <c r="AG285" s="12" t="s">
        <v>87</v>
      </c>
      <c r="AH285" s="12" t="s">
        <v>87</v>
      </c>
      <c r="AI285" s="12" t="s">
        <v>346</v>
      </c>
      <c r="AJ285" s="10" t="s">
        <v>358</v>
      </c>
      <c r="AK285" s="10" t="s">
        <v>352</v>
      </c>
      <c r="AL285" s="10" t="s">
        <v>2324</v>
      </c>
      <c r="AM285" s="11" t="s">
        <v>2364</v>
      </c>
      <c r="AN285" s="11" t="s">
        <v>1308</v>
      </c>
      <c r="AO285" s="5" t="s">
        <v>350</v>
      </c>
      <c r="AP285" s="11" t="s">
        <v>1850</v>
      </c>
      <c r="AQ285" s="11" t="s">
        <v>1851</v>
      </c>
      <c r="AR285" s="11" t="s">
        <v>1820</v>
      </c>
      <c r="AS285" s="36" t="s">
        <v>1823</v>
      </c>
      <c r="AT285" s="11" t="s">
        <v>59</v>
      </c>
      <c r="AU285" s="11"/>
      <c r="AV285" s="13" t="s">
        <v>1746</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2326</v>
      </c>
      <c r="E286" s="26">
        <v>84000</v>
      </c>
      <c r="F286" s="10" t="s">
        <v>1019</v>
      </c>
      <c r="G286" s="39" t="str">
        <f>Tableau1[[#This Row],[Rue]]&amp;CHAR(10)&amp;Tableau1[[#This Row],[Code Postal]]&amp;" - "&amp;Tableau1[[#This Row],[Ville]]</f>
        <v>Carrefour, 390 Rue Jean Marie Tjibaou
84000 - Avignon</v>
      </c>
      <c r="H286" s="15" t="s">
        <v>1796</v>
      </c>
      <c r="I286" s="12" t="s">
        <v>37</v>
      </c>
      <c r="J286" s="12" t="s">
        <v>41</v>
      </c>
      <c r="K286" s="10" t="s">
        <v>87</v>
      </c>
      <c r="L286" s="10" t="s">
        <v>87</v>
      </c>
      <c r="M286" s="12" t="s">
        <v>87</v>
      </c>
      <c r="N286" s="36" t="s">
        <v>294</v>
      </c>
      <c r="O286" s="34">
        <v>142</v>
      </c>
      <c r="P286" s="6" t="s">
        <v>87</v>
      </c>
      <c r="Q286" s="34">
        <v>184</v>
      </c>
      <c r="R286" s="34" t="s">
        <v>87</v>
      </c>
      <c r="S286" s="6" t="s">
        <v>87</v>
      </c>
      <c r="T286" s="12">
        <f>Tableau1[[#This Row],[Loyer €/m²]]*Tableau1[[#This Row],[Surface GLA]]</f>
        <v>28400</v>
      </c>
      <c r="U286" s="12">
        <f>IFERROR(Tableau1[[#This Row],[Loyer annuel]]/12,"")</f>
        <v>2366.6666666666665</v>
      </c>
      <c r="V286" s="12">
        <v>200</v>
      </c>
      <c r="W286" s="34" t="s">
        <v>87</v>
      </c>
      <c r="X286" s="6">
        <f>Tableau1[[#This Row],[Charges €/m²]]*Tableau1[[#This Row],[Surface GLA]]</f>
        <v>5680</v>
      </c>
      <c r="Y286" s="12">
        <f>Tableau1[[#This Row],[Charges annuelles]]/12</f>
        <v>473.33333333333331</v>
      </c>
      <c r="Z286" s="12">
        <v>40</v>
      </c>
      <c r="AA286" s="12">
        <f>IFERROR(Tableau1[[#This Row],[Taxe foncière €/m²]]*Tableau1[[#This Row],[Surface GLA]],)</f>
        <v>2982</v>
      </c>
      <c r="AB286" s="12">
        <v>21</v>
      </c>
      <c r="AC286" s="12">
        <f>IFERROR(Tableau1[[#This Row],[Marketing €/m²]]*Tableau1[[#This Row],[Surface GLA]],)</f>
        <v>0</v>
      </c>
      <c r="AD286" s="12"/>
      <c r="AE286" s="12">
        <f>IFERROR(Tableau1[[#This Row],[Loyer annuel]]+Tableau1[[#This Row],[Charges annuelles]]+Tableau1[[#This Row],[Taxe foncière]]+Tableau1[[#This Row],[Marketing]],"")</f>
        <v>37062</v>
      </c>
      <c r="AF286" s="12" t="str">
        <f t="shared" si="16"/>
        <v>3 mois = 7 100 €</v>
      </c>
      <c r="AG286" s="12" t="s">
        <v>87</v>
      </c>
      <c r="AH286" s="12" t="s">
        <v>87</v>
      </c>
      <c r="AI286" s="12" t="s">
        <v>346</v>
      </c>
      <c r="AJ286" s="10" t="s">
        <v>59</v>
      </c>
      <c r="AK286" s="10" t="s">
        <v>352</v>
      </c>
      <c r="AL286" s="10" t="s">
        <v>2324</v>
      </c>
      <c r="AM286" s="11" t="s">
        <v>2364</v>
      </c>
      <c r="AN286" s="11" t="s">
        <v>1308</v>
      </c>
      <c r="AO286" s="5" t="s">
        <v>350</v>
      </c>
      <c r="AP286" s="11" t="s">
        <v>1852</v>
      </c>
      <c r="AQ286" s="11" t="s">
        <v>1853</v>
      </c>
      <c r="AR286" s="11" t="s">
        <v>1821</v>
      </c>
      <c r="AS286" s="36" t="s">
        <v>1823</v>
      </c>
      <c r="AT286" s="11" t="s">
        <v>59</v>
      </c>
      <c r="AU286" s="11"/>
      <c r="AV286" s="13" t="s">
        <v>1746</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2326</v>
      </c>
      <c r="E287" s="26">
        <v>84000</v>
      </c>
      <c r="F287" s="10" t="s">
        <v>1019</v>
      </c>
      <c r="G287" s="39" t="str">
        <f>Tableau1[[#This Row],[Rue]]&amp;CHAR(10)&amp;Tableau1[[#This Row],[Code Postal]]&amp;" - "&amp;Tableau1[[#This Row],[Ville]]</f>
        <v>Carrefour, 390 Rue Jean Marie Tjibaou
84000 - Avignon</v>
      </c>
      <c r="H287" s="15" t="s">
        <v>1796</v>
      </c>
      <c r="I287" s="12" t="s">
        <v>37</v>
      </c>
      <c r="J287" s="12" t="s">
        <v>41</v>
      </c>
      <c r="K287" s="10" t="s">
        <v>87</v>
      </c>
      <c r="L287" s="10" t="s">
        <v>87</v>
      </c>
      <c r="M287" s="12" t="s">
        <v>87</v>
      </c>
      <c r="N287" s="36" t="s">
        <v>1806</v>
      </c>
      <c r="O287" s="34">
        <v>172</v>
      </c>
      <c r="P287" s="6" t="s">
        <v>87</v>
      </c>
      <c r="Q287" s="34">
        <v>184</v>
      </c>
      <c r="R287" s="34" t="s">
        <v>87</v>
      </c>
      <c r="S287" s="6" t="s">
        <v>87</v>
      </c>
      <c r="T287" s="12">
        <f>Tableau1[[#This Row],[Loyer €/m²]]*Tableau1[[#This Row],[Surface GLA]]</f>
        <v>34400</v>
      </c>
      <c r="U287" s="12">
        <f>IFERROR(Tableau1[[#This Row],[Loyer annuel]]/12,"")</f>
        <v>2866.6666666666665</v>
      </c>
      <c r="V287" s="12">
        <v>200</v>
      </c>
      <c r="W287" s="34" t="s">
        <v>87</v>
      </c>
      <c r="X287" s="6">
        <f>Tableau1[[#This Row],[Charges €/m²]]*Tableau1[[#This Row],[Surface GLA]]</f>
        <v>6880</v>
      </c>
      <c r="Y287" s="12">
        <f>Tableau1[[#This Row],[Charges annuelles]]/12</f>
        <v>573.33333333333337</v>
      </c>
      <c r="Z287" s="12">
        <v>40</v>
      </c>
      <c r="AA287" s="12">
        <f>IFERROR(Tableau1[[#This Row],[Taxe foncière €/m²]]*Tableau1[[#This Row],[Surface GLA]],)</f>
        <v>3612</v>
      </c>
      <c r="AB287" s="12">
        <v>21</v>
      </c>
      <c r="AC287" s="12">
        <f>IFERROR(Tableau1[[#This Row],[Marketing €/m²]]*Tableau1[[#This Row],[Surface GLA]],)</f>
        <v>0</v>
      </c>
      <c r="AD287" s="12"/>
      <c r="AE287" s="12">
        <f>IFERROR(Tableau1[[#This Row],[Loyer annuel]]+Tableau1[[#This Row],[Charges annuelles]]+Tableau1[[#This Row],[Taxe foncière]]+Tableau1[[#This Row],[Marketing]],"")</f>
        <v>44892</v>
      </c>
      <c r="AF287" s="12" t="str">
        <f t="shared" si="16"/>
        <v>3 mois = 8 600 €</v>
      </c>
      <c r="AG287" s="12" t="s">
        <v>87</v>
      </c>
      <c r="AH287" s="12" t="s">
        <v>87</v>
      </c>
      <c r="AI287" s="12" t="s">
        <v>346</v>
      </c>
      <c r="AJ287" s="10" t="s">
        <v>358</v>
      </c>
      <c r="AK287" s="10" t="s">
        <v>352</v>
      </c>
      <c r="AL287" s="10" t="s">
        <v>2324</v>
      </c>
      <c r="AM287" s="11" t="s">
        <v>2364</v>
      </c>
      <c r="AN287" s="11" t="s">
        <v>1308</v>
      </c>
      <c r="AO287" s="5" t="s">
        <v>350</v>
      </c>
      <c r="AP287" s="11" t="s">
        <v>1854</v>
      </c>
      <c r="AQ287" s="11" t="s">
        <v>1855</v>
      </c>
      <c r="AR287" s="11" t="s">
        <v>1822</v>
      </c>
      <c r="AS287" s="36" t="s">
        <v>1823</v>
      </c>
      <c r="AT287" s="11" t="s">
        <v>59</v>
      </c>
      <c r="AU287" s="11"/>
      <c r="AV287" s="13" t="s">
        <v>1746</v>
      </c>
      <c r="AW287" s="14"/>
      <c r="AX287" s="44">
        <v>46175</v>
      </c>
    </row>
    <row r="288" spans="1:50" ht="25.5">
      <c r="A288" s="38" t="str">
        <f>VLOOKUP(Tableau1[[#This Row],[N° Département]],Feuil1!$C$6:$E$106,3)</f>
        <v>Grand Est</v>
      </c>
      <c r="B288" s="38" t="str">
        <f>VLOOKUP(Tableau1[[#This Row],[N° Département]],Feuil1!$C$6:$E$106,2)</f>
        <v>Meuse</v>
      </c>
      <c r="C288" s="38">
        <f>LEFT(Tableau1[[#This Row],[Code Postal]],2)*1</f>
        <v>55</v>
      </c>
      <c r="D288" s="10" t="s">
        <v>2327</v>
      </c>
      <c r="E288" s="26">
        <v>55000</v>
      </c>
      <c r="F288" s="10" t="s">
        <v>1857</v>
      </c>
      <c r="G288" s="39" t="str">
        <f>Tableau1[[#This Row],[Rue]]&amp;CHAR(10)&amp;Tableau1[[#This Row],[Code Postal]]&amp;" - "&amp;Tableau1[[#This Row],[Ville]]</f>
        <v>Auchan Bar-le-Duc, 1 Rue de Longeville
55000 - Savonnières-devant-Bar</v>
      </c>
      <c r="H288" s="15" t="s">
        <v>1856</v>
      </c>
      <c r="I288" s="12" t="s">
        <v>37</v>
      </c>
      <c r="J288" s="12" t="s">
        <v>41</v>
      </c>
      <c r="K288" s="10" t="s">
        <v>87</v>
      </c>
      <c r="L288" s="10" t="s">
        <v>87</v>
      </c>
      <c r="M288" s="12" t="s">
        <v>87</v>
      </c>
      <c r="N288" s="36" t="s">
        <v>1479</v>
      </c>
      <c r="O288" s="34">
        <v>51</v>
      </c>
      <c r="P288" s="6" t="s">
        <v>87</v>
      </c>
      <c r="Q288" s="34">
        <v>162</v>
      </c>
      <c r="R288" s="34" t="s">
        <v>87</v>
      </c>
      <c r="S288" s="6" t="s">
        <v>87</v>
      </c>
      <c r="T288" s="12">
        <f>Tableau1[[#This Row],[Loyer €/m²]]*Tableau1[[#This Row],[Surface GLA]]</f>
        <v>10200</v>
      </c>
      <c r="U288" s="12">
        <f>IFERROR(Tableau1[[#This Row],[Loyer annuel]]/12,"")</f>
        <v>850</v>
      </c>
      <c r="V288" s="12">
        <v>200</v>
      </c>
      <c r="W288" s="34" t="s">
        <v>87</v>
      </c>
      <c r="X288" s="6">
        <f>Tableau1[[#This Row],[Charges €/m²]]*Tableau1[[#This Row],[Surface GLA]]</f>
        <v>2805</v>
      </c>
      <c r="Y288" s="12">
        <f>Tableau1[[#This Row],[Charges annuelles]]/12</f>
        <v>233.75</v>
      </c>
      <c r="Z288" s="12">
        <v>55</v>
      </c>
      <c r="AA288" s="12">
        <f>IFERROR(Tableau1[[#This Row],[Taxe foncière €/m²]]*Tableau1[[#This Row],[Surface GLA]],)</f>
        <v>714</v>
      </c>
      <c r="AB288" s="12">
        <v>14</v>
      </c>
      <c r="AC288" s="12">
        <f>IFERROR(Tableau1[[#This Row],[Marketing €/m²]]*Tableau1[[#This Row],[Surface GLA]],)</f>
        <v>0</v>
      </c>
      <c r="AD288" s="12"/>
      <c r="AE288" s="12">
        <f>IFERROR(Tableau1[[#This Row],[Loyer annuel]]+Tableau1[[#This Row],[Charges annuelles]]+Tableau1[[#This Row],[Taxe foncière]]+Tableau1[[#This Row],[Marketing]],"")</f>
        <v>13719</v>
      </c>
      <c r="AF288" s="12" t="str">
        <f t="shared" si="16"/>
        <v>3 mois = 2 550 €</v>
      </c>
      <c r="AG288" s="12" t="s">
        <v>87</v>
      </c>
      <c r="AH288" s="12" t="s">
        <v>87</v>
      </c>
      <c r="AI288" s="12" t="s">
        <v>346</v>
      </c>
      <c r="AJ288" s="10" t="s">
        <v>358</v>
      </c>
      <c r="AK288" s="10" t="s">
        <v>352</v>
      </c>
      <c r="AL288" s="10" t="s">
        <v>2329</v>
      </c>
      <c r="AM288" s="11" t="s">
        <v>2328</v>
      </c>
      <c r="AN288" s="11" t="s">
        <v>1308</v>
      </c>
      <c r="AO288" s="5" t="s">
        <v>350</v>
      </c>
      <c r="AP288" s="11" t="s">
        <v>1873</v>
      </c>
      <c r="AQ288" s="11" t="s">
        <v>1874</v>
      </c>
      <c r="AR288" s="11" t="s">
        <v>1859</v>
      </c>
      <c r="AS288" s="36" t="s">
        <v>1883</v>
      </c>
      <c r="AT288" s="11" t="s">
        <v>59</v>
      </c>
      <c r="AU288" s="11"/>
      <c r="AV288" s="13" t="s">
        <v>1746</v>
      </c>
      <c r="AW288" s="14"/>
      <c r="AX288" s="44">
        <v>46175</v>
      </c>
    </row>
    <row r="289" spans="1:50" ht="25.5">
      <c r="A289" s="38" t="str">
        <f>VLOOKUP(Tableau1[[#This Row],[N° Département]],Feuil1!$C$6:$E$106,3)</f>
        <v>Grand Est</v>
      </c>
      <c r="B289" s="38" t="str">
        <f>VLOOKUP(Tableau1[[#This Row],[N° Département]],Feuil1!$C$6:$E$106,2)</f>
        <v>Meuse</v>
      </c>
      <c r="C289" s="38">
        <f>LEFT(Tableau1[[#This Row],[Code Postal]],2)*1</f>
        <v>55</v>
      </c>
      <c r="D289" s="10" t="s">
        <v>2327</v>
      </c>
      <c r="E289" s="26">
        <v>55000</v>
      </c>
      <c r="F289" s="10" t="s">
        <v>1857</v>
      </c>
      <c r="G289" s="39" t="str">
        <f>Tableau1[[#This Row],[Rue]]&amp;CHAR(10)&amp;Tableau1[[#This Row],[Code Postal]]&amp;" - "&amp;Tableau1[[#This Row],[Ville]]</f>
        <v>Auchan Bar-le-Duc, 1 Rue de Longeville
55000 - Savonnières-devant-Bar</v>
      </c>
      <c r="H289" s="15" t="s">
        <v>1856</v>
      </c>
      <c r="I289" s="12" t="s">
        <v>37</v>
      </c>
      <c r="J289" s="12" t="s">
        <v>41</v>
      </c>
      <c r="K289" s="10" t="s">
        <v>87</v>
      </c>
      <c r="L289" s="10" t="s">
        <v>87</v>
      </c>
      <c r="M289" s="12" t="s">
        <v>87</v>
      </c>
      <c r="N289" s="36" t="s">
        <v>319</v>
      </c>
      <c r="O289" s="34">
        <v>111</v>
      </c>
      <c r="P289" s="6" t="s">
        <v>87</v>
      </c>
      <c r="Q289" s="34">
        <v>162</v>
      </c>
      <c r="R289" s="34" t="s">
        <v>87</v>
      </c>
      <c r="S289" s="6" t="s">
        <v>87</v>
      </c>
      <c r="T289" s="12">
        <f>Tableau1[[#This Row],[Loyer €/m²]]*Tableau1[[#This Row],[Surface GLA]]</f>
        <v>22200</v>
      </c>
      <c r="U289" s="12">
        <f>IFERROR(Tableau1[[#This Row],[Loyer annuel]]/12,"")</f>
        <v>1850</v>
      </c>
      <c r="V289" s="12">
        <v>200</v>
      </c>
      <c r="W289" s="34" t="s">
        <v>87</v>
      </c>
      <c r="X289" s="6">
        <f>Tableau1[[#This Row],[Charges €/m²]]*Tableau1[[#This Row],[Surface GLA]]</f>
        <v>6105</v>
      </c>
      <c r="Y289" s="12">
        <f>Tableau1[[#This Row],[Charges annuelles]]/12</f>
        <v>508.75</v>
      </c>
      <c r="Z289" s="12">
        <v>55</v>
      </c>
      <c r="AA289" s="12">
        <f>IFERROR(Tableau1[[#This Row],[Taxe foncière €/m²]]*Tableau1[[#This Row],[Surface GLA]],)</f>
        <v>1554</v>
      </c>
      <c r="AB289" s="12">
        <v>14</v>
      </c>
      <c r="AC289" s="12">
        <f>IFERROR(Tableau1[[#This Row],[Marketing €/m²]]*Tableau1[[#This Row],[Surface GLA]],)</f>
        <v>0</v>
      </c>
      <c r="AD289" s="12"/>
      <c r="AE289" s="12">
        <f>IFERROR(Tableau1[[#This Row],[Loyer annuel]]+Tableau1[[#This Row],[Charges annuelles]]+Tableau1[[#This Row],[Taxe foncière]]+Tableau1[[#This Row],[Marketing]],"")</f>
        <v>29859</v>
      </c>
      <c r="AF289" s="12" t="str">
        <f t="shared" si="16"/>
        <v>3 mois = 5 550 €</v>
      </c>
      <c r="AG289" s="12" t="s">
        <v>87</v>
      </c>
      <c r="AH289" s="12" t="s">
        <v>87</v>
      </c>
      <c r="AI289" s="12" t="s">
        <v>346</v>
      </c>
      <c r="AJ289" s="10" t="s">
        <v>358</v>
      </c>
      <c r="AK289" s="10" t="s">
        <v>352</v>
      </c>
      <c r="AL289" s="10" t="s">
        <v>2329</v>
      </c>
      <c r="AM289" s="11" t="s">
        <v>2328</v>
      </c>
      <c r="AN289" s="11" t="s">
        <v>1308</v>
      </c>
      <c r="AO289" s="5" t="s">
        <v>350</v>
      </c>
      <c r="AP289" s="11" t="s">
        <v>1871</v>
      </c>
      <c r="AQ289" s="11" t="s">
        <v>1872</v>
      </c>
      <c r="AR289" s="11" t="s">
        <v>1860</v>
      </c>
      <c r="AS289" s="36" t="s">
        <v>1883</v>
      </c>
      <c r="AT289" s="11" t="s">
        <v>59</v>
      </c>
      <c r="AU289" s="11"/>
      <c r="AV289" s="13" t="s">
        <v>1746</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2327</v>
      </c>
      <c r="E290" s="26">
        <v>55000</v>
      </c>
      <c r="F290" s="10" t="s">
        <v>1857</v>
      </c>
      <c r="G290" s="39" t="str">
        <f>Tableau1[[#This Row],[Rue]]&amp;CHAR(10)&amp;Tableau1[[#This Row],[Code Postal]]&amp;" - "&amp;Tableau1[[#This Row],[Ville]]</f>
        <v>Auchan Bar-le-Duc, 1 Rue de Longeville
55000 - Savonnières-devant-Bar</v>
      </c>
      <c r="H290" s="15" t="s">
        <v>1856</v>
      </c>
      <c r="I290" s="12" t="s">
        <v>37</v>
      </c>
      <c r="J290" s="12" t="s">
        <v>41</v>
      </c>
      <c r="K290" s="10" t="s">
        <v>87</v>
      </c>
      <c r="L290" s="10" t="s">
        <v>87</v>
      </c>
      <c r="M290" s="12" t="s">
        <v>87</v>
      </c>
      <c r="N290" s="36" t="s">
        <v>341</v>
      </c>
      <c r="O290" s="34">
        <v>68</v>
      </c>
      <c r="P290" s="6" t="s">
        <v>87</v>
      </c>
      <c r="Q290" s="34" t="s">
        <v>87</v>
      </c>
      <c r="R290" s="34" t="s">
        <v>87</v>
      </c>
      <c r="S290" s="6" t="s">
        <v>87</v>
      </c>
      <c r="T290" s="12">
        <f>Tableau1[[#This Row],[Loyer €/m²]]*Tableau1[[#This Row],[Surface GLA]]</f>
        <v>13600</v>
      </c>
      <c r="U290" s="12">
        <f>IFERROR(Tableau1[[#This Row],[Loyer annuel]]/12,"")</f>
        <v>1133.3333333333333</v>
      </c>
      <c r="V290" s="12">
        <v>200</v>
      </c>
      <c r="W290" s="34" t="s">
        <v>87</v>
      </c>
      <c r="X290" s="6">
        <f>Tableau1[[#This Row],[Charges €/m²]]*Tableau1[[#This Row],[Surface GLA]]</f>
        <v>3740</v>
      </c>
      <c r="Y290" s="12">
        <f>Tableau1[[#This Row],[Charges annuelles]]/12</f>
        <v>311.66666666666669</v>
      </c>
      <c r="Z290" s="12">
        <v>55</v>
      </c>
      <c r="AA290" s="12">
        <f>IFERROR(Tableau1[[#This Row],[Taxe foncière €/m²]]*Tableau1[[#This Row],[Surface GLA]],)</f>
        <v>952</v>
      </c>
      <c r="AB290" s="12">
        <v>14</v>
      </c>
      <c r="AC290" s="12">
        <f>IFERROR(Tableau1[[#This Row],[Marketing €/m²]]*Tableau1[[#This Row],[Surface GLA]],)</f>
        <v>0</v>
      </c>
      <c r="AD290" s="12"/>
      <c r="AE290" s="12">
        <f>IFERROR(Tableau1[[#This Row],[Loyer annuel]]+Tableau1[[#This Row],[Charges annuelles]]+Tableau1[[#This Row],[Taxe foncière]]+Tableau1[[#This Row],[Marketing]],"")</f>
        <v>18292</v>
      </c>
      <c r="AF290" s="12" t="str">
        <f t="shared" si="16"/>
        <v>3 mois = 3 400 €</v>
      </c>
      <c r="AG290" s="12" t="s">
        <v>87</v>
      </c>
      <c r="AH290" s="12" t="s">
        <v>87</v>
      </c>
      <c r="AI290" s="12" t="s">
        <v>346</v>
      </c>
      <c r="AJ290" s="10" t="s">
        <v>358</v>
      </c>
      <c r="AK290" s="10" t="s">
        <v>352</v>
      </c>
      <c r="AL290" s="10" t="s">
        <v>2329</v>
      </c>
      <c r="AM290" s="11" t="s">
        <v>2328</v>
      </c>
      <c r="AN290" s="11" t="s">
        <v>1308</v>
      </c>
      <c r="AO290" s="5" t="s">
        <v>350</v>
      </c>
      <c r="AP290" s="11" t="s">
        <v>1869</v>
      </c>
      <c r="AQ290" s="11" t="s">
        <v>1870</v>
      </c>
      <c r="AR290" s="11" t="s">
        <v>1861</v>
      </c>
      <c r="AS290" s="36" t="s">
        <v>1883</v>
      </c>
      <c r="AT290" s="11" t="s">
        <v>59</v>
      </c>
      <c r="AU290" s="11"/>
      <c r="AV290" s="13" t="s">
        <v>1746</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2327</v>
      </c>
      <c r="E291" s="26">
        <v>55000</v>
      </c>
      <c r="F291" s="10" t="s">
        <v>1857</v>
      </c>
      <c r="G291" s="39" t="str">
        <f>Tableau1[[#This Row],[Rue]]&amp;CHAR(10)&amp;Tableau1[[#This Row],[Code Postal]]&amp;" - "&amp;Tableau1[[#This Row],[Ville]]</f>
        <v>Auchan Bar-le-Duc, 1 Rue de Longeville
55000 - Savonnières-devant-Bar</v>
      </c>
      <c r="H291" s="15" t="s">
        <v>1856</v>
      </c>
      <c r="I291" s="12" t="s">
        <v>37</v>
      </c>
      <c r="J291" s="12" t="s">
        <v>41</v>
      </c>
      <c r="K291" s="10" t="s">
        <v>87</v>
      </c>
      <c r="L291" s="10" t="s">
        <v>87</v>
      </c>
      <c r="M291" s="12" t="s">
        <v>87</v>
      </c>
      <c r="N291" s="36" t="s">
        <v>342</v>
      </c>
      <c r="O291" s="34">
        <v>794</v>
      </c>
      <c r="P291" s="6" t="s">
        <v>87</v>
      </c>
      <c r="Q291" s="34" t="s">
        <v>87</v>
      </c>
      <c r="R291" s="34" t="s">
        <v>87</v>
      </c>
      <c r="S291" s="6" t="s">
        <v>87</v>
      </c>
      <c r="T291" s="12">
        <f>Tableau1[[#This Row],[Loyer €/m²]]*Tableau1[[#This Row],[Surface GLA]]</f>
        <v>158800</v>
      </c>
      <c r="U291" s="12">
        <f>IFERROR(Tableau1[[#This Row],[Loyer annuel]]/12,"")</f>
        <v>13233.333333333334</v>
      </c>
      <c r="V291" s="12">
        <v>200</v>
      </c>
      <c r="W291" s="34" t="s">
        <v>87</v>
      </c>
      <c r="X291" s="6">
        <f>Tableau1[[#This Row],[Charges €/m²]]*Tableau1[[#This Row],[Surface GLA]]</f>
        <v>43670</v>
      </c>
      <c r="Y291" s="12">
        <f>Tableau1[[#This Row],[Charges annuelles]]/12</f>
        <v>3639.1666666666665</v>
      </c>
      <c r="Z291" s="12">
        <v>55</v>
      </c>
      <c r="AA291" s="12">
        <f>IFERROR(Tableau1[[#This Row],[Taxe foncière €/m²]]*Tableau1[[#This Row],[Surface GLA]],)</f>
        <v>11116</v>
      </c>
      <c r="AB291" s="12">
        <v>14</v>
      </c>
      <c r="AC291" s="12">
        <f>IFERROR(Tableau1[[#This Row],[Marketing €/m²]]*Tableau1[[#This Row],[Surface GLA]],)</f>
        <v>0</v>
      </c>
      <c r="AD291" s="12"/>
      <c r="AE291" s="12">
        <f>IFERROR(Tableau1[[#This Row],[Loyer annuel]]+Tableau1[[#This Row],[Charges annuelles]]+Tableau1[[#This Row],[Taxe foncière]]+Tableau1[[#This Row],[Marketing]],"")</f>
        <v>213586</v>
      </c>
      <c r="AF291" s="12" t="str">
        <f t="shared" si="16"/>
        <v>3 mois = 39 700 €</v>
      </c>
      <c r="AG291" s="12" t="s">
        <v>87</v>
      </c>
      <c r="AH291" s="12" t="s">
        <v>87</v>
      </c>
      <c r="AI291" s="12" t="s">
        <v>346</v>
      </c>
      <c r="AJ291" s="10" t="s">
        <v>358</v>
      </c>
      <c r="AK291" s="10" t="s">
        <v>352</v>
      </c>
      <c r="AL291" s="10" t="s">
        <v>2329</v>
      </c>
      <c r="AM291" s="11" t="s">
        <v>2328</v>
      </c>
      <c r="AN291" s="11" t="s">
        <v>1308</v>
      </c>
      <c r="AO291" s="5" t="s">
        <v>350</v>
      </c>
      <c r="AP291" s="11" t="s">
        <v>1867</v>
      </c>
      <c r="AQ291" s="11" t="s">
        <v>1868</v>
      </c>
      <c r="AR291" s="11" t="s">
        <v>1862</v>
      </c>
      <c r="AS291" s="36" t="s">
        <v>1883</v>
      </c>
      <c r="AT291" s="11" t="s">
        <v>59</v>
      </c>
      <c r="AU291" s="11"/>
      <c r="AV291" s="13" t="s">
        <v>1746</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2327</v>
      </c>
      <c r="E292" s="26">
        <v>55000</v>
      </c>
      <c r="F292" s="10" t="s">
        <v>1857</v>
      </c>
      <c r="G292" s="39" t="str">
        <f>Tableau1[[#This Row],[Rue]]&amp;CHAR(10)&amp;Tableau1[[#This Row],[Code Postal]]&amp;" - "&amp;Tableau1[[#This Row],[Ville]]</f>
        <v>Auchan Bar-le-Duc, 1 Rue de Longeville
55000 - Savonnières-devant-Bar</v>
      </c>
      <c r="H292" s="15" t="s">
        <v>1856</v>
      </c>
      <c r="I292" s="12" t="s">
        <v>37</v>
      </c>
      <c r="J292" s="12" t="s">
        <v>41</v>
      </c>
      <c r="K292" s="10" t="s">
        <v>87</v>
      </c>
      <c r="L292" s="10" t="s">
        <v>87</v>
      </c>
      <c r="M292" s="12" t="s">
        <v>87</v>
      </c>
      <c r="N292" s="36" t="s">
        <v>1858</v>
      </c>
      <c r="O292" s="34">
        <v>100</v>
      </c>
      <c r="P292" s="6" t="s">
        <v>87</v>
      </c>
      <c r="Q292" s="34">
        <v>221</v>
      </c>
      <c r="R292" s="34" t="s">
        <v>87</v>
      </c>
      <c r="S292" s="6" t="s">
        <v>87</v>
      </c>
      <c r="T292" s="12">
        <f>Tableau1[[#This Row],[Loyer €/m²]]*Tableau1[[#This Row],[Surface GLA]]</f>
        <v>20000</v>
      </c>
      <c r="U292" s="12">
        <f>IFERROR(Tableau1[[#This Row],[Loyer annuel]]/12,"")</f>
        <v>1666.6666666666667</v>
      </c>
      <c r="V292" s="12">
        <v>200</v>
      </c>
      <c r="W292" s="34" t="s">
        <v>87</v>
      </c>
      <c r="X292" s="6">
        <f>Tableau1[[#This Row],[Charges €/m²]]*Tableau1[[#This Row],[Surface GLA]]</f>
        <v>5500</v>
      </c>
      <c r="Y292" s="12">
        <f>Tableau1[[#This Row],[Charges annuelles]]/12</f>
        <v>458.33333333333331</v>
      </c>
      <c r="Z292" s="12">
        <v>55</v>
      </c>
      <c r="AA292" s="12">
        <f>IFERROR(Tableau1[[#This Row],[Taxe foncière €/m²]]*Tableau1[[#This Row],[Surface GLA]],)</f>
        <v>1400</v>
      </c>
      <c r="AB292" s="12">
        <v>14</v>
      </c>
      <c r="AC292" s="12">
        <f>IFERROR(Tableau1[[#This Row],[Marketing €/m²]]*Tableau1[[#This Row],[Surface GLA]],)</f>
        <v>0</v>
      </c>
      <c r="AD292" s="12"/>
      <c r="AE292" s="12">
        <f>IFERROR(Tableau1[[#This Row],[Loyer annuel]]+Tableau1[[#This Row],[Charges annuelles]]+Tableau1[[#This Row],[Taxe foncière]]+Tableau1[[#This Row],[Marketing]],"")</f>
        <v>26900</v>
      </c>
      <c r="AF292" s="12" t="str">
        <f t="shared" si="16"/>
        <v>3 mois = 5 000 €</v>
      </c>
      <c r="AG292" s="12" t="s">
        <v>87</v>
      </c>
      <c r="AH292" s="12" t="s">
        <v>87</v>
      </c>
      <c r="AI292" s="12" t="s">
        <v>346</v>
      </c>
      <c r="AJ292" s="10" t="s">
        <v>358</v>
      </c>
      <c r="AK292" s="10" t="s">
        <v>352</v>
      </c>
      <c r="AL292" s="10" t="s">
        <v>2329</v>
      </c>
      <c r="AM292" s="11" t="s">
        <v>2328</v>
      </c>
      <c r="AN292" s="11" t="s">
        <v>1308</v>
      </c>
      <c r="AO292" s="5" t="s">
        <v>350</v>
      </c>
      <c r="AP292" s="11" t="s">
        <v>1879</v>
      </c>
      <c r="AQ292" s="11" t="s">
        <v>1880</v>
      </c>
      <c r="AR292" s="11" t="s">
        <v>1863</v>
      </c>
      <c r="AS292" s="36" t="s">
        <v>1883</v>
      </c>
      <c r="AT292" s="11" t="s">
        <v>59</v>
      </c>
      <c r="AU292" s="11"/>
      <c r="AV292" s="13" t="s">
        <v>1746</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2327</v>
      </c>
      <c r="E293" s="26">
        <v>55000</v>
      </c>
      <c r="F293" s="10" t="s">
        <v>1857</v>
      </c>
      <c r="G293" s="39" t="str">
        <f>Tableau1[[#This Row],[Rue]]&amp;CHAR(10)&amp;Tableau1[[#This Row],[Code Postal]]&amp;" - "&amp;Tableau1[[#This Row],[Ville]]</f>
        <v>Auchan Bar-le-Duc, 1 Rue de Longeville
55000 - Savonnières-devant-Bar</v>
      </c>
      <c r="H293" s="15" t="s">
        <v>1856</v>
      </c>
      <c r="I293" s="12" t="s">
        <v>37</v>
      </c>
      <c r="J293" s="12" t="s">
        <v>41</v>
      </c>
      <c r="K293" s="10" t="s">
        <v>87</v>
      </c>
      <c r="L293" s="10" t="s">
        <v>87</v>
      </c>
      <c r="M293" s="12" t="s">
        <v>87</v>
      </c>
      <c r="N293" s="36" t="s">
        <v>344</v>
      </c>
      <c r="O293" s="34">
        <v>100</v>
      </c>
      <c r="P293" s="6" t="s">
        <v>87</v>
      </c>
      <c r="Q293" s="34">
        <v>221</v>
      </c>
      <c r="R293" s="34" t="s">
        <v>87</v>
      </c>
      <c r="S293" s="6" t="s">
        <v>87</v>
      </c>
      <c r="T293" s="12">
        <f>Tableau1[[#This Row],[Loyer €/m²]]*Tableau1[[#This Row],[Surface GLA]]</f>
        <v>20000</v>
      </c>
      <c r="U293" s="12">
        <f>IFERROR(Tableau1[[#This Row],[Loyer annuel]]/12,"")</f>
        <v>1666.6666666666667</v>
      </c>
      <c r="V293" s="12">
        <v>200</v>
      </c>
      <c r="W293" s="34" t="s">
        <v>87</v>
      </c>
      <c r="X293" s="6">
        <f>Tableau1[[#This Row],[Charges €/m²]]*Tableau1[[#This Row],[Surface GLA]]</f>
        <v>5500</v>
      </c>
      <c r="Y293" s="12">
        <f>Tableau1[[#This Row],[Charges annuelles]]/12</f>
        <v>458.33333333333331</v>
      </c>
      <c r="Z293" s="12">
        <v>55</v>
      </c>
      <c r="AA293" s="12">
        <f>IFERROR(Tableau1[[#This Row],[Taxe foncière €/m²]]*Tableau1[[#This Row],[Surface GLA]],)</f>
        <v>1400</v>
      </c>
      <c r="AB293" s="12">
        <v>14</v>
      </c>
      <c r="AC293" s="12">
        <f>IFERROR(Tableau1[[#This Row],[Marketing €/m²]]*Tableau1[[#This Row],[Surface GLA]],)</f>
        <v>0</v>
      </c>
      <c r="AD293" s="12"/>
      <c r="AE293" s="12">
        <f>IFERROR(Tableau1[[#This Row],[Loyer annuel]]+Tableau1[[#This Row],[Charges annuelles]]+Tableau1[[#This Row],[Taxe foncière]]+Tableau1[[#This Row],[Marketing]],"")</f>
        <v>26900</v>
      </c>
      <c r="AF293" s="12" t="str">
        <f t="shared" si="16"/>
        <v>3 mois = 5 000 €</v>
      </c>
      <c r="AG293" s="12" t="s">
        <v>87</v>
      </c>
      <c r="AH293" s="12" t="s">
        <v>87</v>
      </c>
      <c r="AI293" s="12" t="s">
        <v>346</v>
      </c>
      <c r="AJ293" s="10" t="s">
        <v>358</v>
      </c>
      <c r="AK293" s="10" t="s">
        <v>352</v>
      </c>
      <c r="AL293" s="10" t="s">
        <v>2329</v>
      </c>
      <c r="AM293" s="11" t="s">
        <v>2328</v>
      </c>
      <c r="AN293" s="11" t="s">
        <v>1308</v>
      </c>
      <c r="AO293" s="5" t="s">
        <v>350</v>
      </c>
      <c r="AP293" s="11" t="s">
        <v>1878</v>
      </c>
      <c r="AQ293" s="11" t="s">
        <v>1877</v>
      </c>
      <c r="AR293" s="11" t="s">
        <v>1864</v>
      </c>
      <c r="AS293" s="36" t="s">
        <v>1883</v>
      </c>
      <c r="AT293" s="11" t="s">
        <v>59</v>
      </c>
      <c r="AU293" s="11"/>
      <c r="AV293" s="13" t="s">
        <v>1746</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2327</v>
      </c>
      <c r="E294" s="26">
        <v>55000</v>
      </c>
      <c r="F294" s="10" t="s">
        <v>1857</v>
      </c>
      <c r="G294" s="39" t="str">
        <f>Tableau1[[#This Row],[Rue]]&amp;CHAR(10)&amp;Tableau1[[#This Row],[Code Postal]]&amp;" - "&amp;Tableau1[[#This Row],[Ville]]</f>
        <v>Auchan Bar-le-Duc, 1 Rue de Longeville
55000 - Savonnières-devant-Bar</v>
      </c>
      <c r="H294" s="15" t="s">
        <v>1856</v>
      </c>
      <c r="I294" s="12" t="s">
        <v>37</v>
      </c>
      <c r="J294" s="12" t="s">
        <v>41</v>
      </c>
      <c r="K294" s="10" t="s">
        <v>87</v>
      </c>
      <c r="L294" s="10" t="s">
        <v>87</v>
      </c>
      <c r="M294" s="12" t="s">
        <v>87</v>
      </c>
      <c r="N294" s="36" t="s">
        <v>291</v>
      </c>
      <c r="O294" s="34">
        <v>37</v>
      </c>
      <c r="P294" s="6" t="s">
        <v>87</v>
      </c>
      <c r="Q294" s="34" t="s">
        <v>87</v>
      </c>
      <c r="R294" s="34" t="s">
        <v>87</v>
      </c>
      <c r="S294" s="6" t="s">
        <v>87</v>
      </c>
      <c r="T294" s="12">
        <f>Tableau1[[#This Row],[Loyer €/m²]]*Tableau1[[#This Row],[Surface GLA]]</f>
        <v>7400</v>
      </c>
      <c r="U294" s="12">
        <f>IFERROR(Tableau1[[#This Row],[Loyer annuel]]/12,"")</f>
        <v>616.66666666666663</v>
      </c>
      <c r="V294" s="12">
        <v>200</v>
      </c>
      <c r="W294" s="34" t="s">
        <v>87</v>
      </c>
      <c r="X294" s="6">
        <f>Tableau1[[#This Row],[Charges €/m²]]*Tableau1[[#This Row],[Surface GLA]]</f>
        <v>2035</v>
      </c>
      <c r="Y294" s="12">
        <f>Tableau1[[#This Row],[Charges annuelles]]/12</f>
        <v>169.58333333333334</v>
      </c>
      <c r="Z294" s="12">
        <v>55</v>
      </c>
      <c r="AA294" s="12">
        <f>IFERROR(Tableau1[[#This Row],[Taxe foncière €/m²]]*Tableau1[[#This Row],[Surface GLA]],)</f>
        <v>518</v>
      </c>
      <c r="AB294" s="12">
        <v>14</v>
      </c>
      <c r="AC294" s="12">
        <f>IFERROR(Tableau1[[#This Row],[Marketing €/m²]]*Tableau1[[#This Row],[Surface GLA]],)</f>
        <v>0</v>
      </c>
      <c r="AD294" s="12"/>
      <c r="AE294" s="12">
        <f>IFERROR(Tableau1[[#This Row],[Loyer annuel]]+Tableau1[[#This Row],[Charges annuelles]]+Tableau1[[#This Row],[Taxe foncière]]+Tableau1[[#This Row],[Marketing]],"")</f>
        <v>9953</v>
      </c>
      <c r="AF294" s="12" t="str">
        <f t="shared" si="16"/>
        <v>3 mois = 1 850 €</v>
      </c>
      <c r="AG294" s="12" t="s">
        <v>87</v>
      </c>
      <c r="AH294" s="12" t="s">
        <v>87</v>
      </c>
      <c r="AI294" s="12" t="s">
        <v>346</v>
      </c>
      <c r="AJ294" s="10" t="s">
        <v>358</v>
      </c>
      <c r="AK294" s="10" t="s">
        <v>352</v>
      </c>
      <c r="AL294" s="10" t="s">
        <v>2329</v>
      </c>
      <c r="AM294" s="11" t="s">
        <v>2328</v>
      </c>
      <c r="AN294" s="11" t="s">
        <v>1308</v>
      </c>
      <c r="AO294" s="5" t="s">
        <v>350</v>
      </c>
      <c r="AP294" s="11" t="s">
        <v>1875</v>
      </c>
      <c r="AQ294" s="11" t="s">
        <v>1876</v>
      </c>
      <c r="AR294" s="11" t="s">
        <v>1865</v>
      </c>
      <c r="AS294" s="36" t="s">
        <v>1883</v>
      </c>
      <c r="AT294" s="11" t="s">
        <v>59</v>
      </c>
      <c r="AU294" s="11"/>
      <c r="AV294" s="13" t="s">
        <v>1746</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2327</v>
      </c>
      <c r="E295" s="26">
        <v>55000</v>
      </c>
      <c r="F295" s="10" t="s">
        <v>1857</v>
      </c>
      <c r="G295" s="39" t="str">
        <f>Tableau1[[#This Row],[Rue]]&amp;CHAR(10)&amp;Tableau1[[#This Row],[Code Postal]]&amp;" - "&amp;Tableau1[[#This Row],[Ville]]</f>
        <v>Auchan Bar-le-Duc, 1 Rue de Longeville
55000 - Savonnières-devant-Bar</v>
      </c>
      <c r="H295" s="15" t="s">
        <v>1856</v>
      </c>
      <c r="I295" s="12" t="s">
        <v>37</v>
      </c>
      <c r="J295" s="12" t="s">
        <v>41</v>
      </c>
      <c r="K295" s="10" t="s">
        <v>87</v>
      </c>
      <c r="L295" s="10" t="s">
        <v>87</v>
      </c>
      <c r="M295" s="12" t="s">
        <v>87</v>
      </c>
      <c r="N295" s="36" t="s">
        <v>447</v>
      </c>
      <c r="O295" s="34">
        <v>21</v>
      </c>
      <c r="P295" s="6" t="s">
        <v>87</v>
      </c>
      <c r="Q295" s="34">
        <v>221</v>
      </c>
      <c r="R295" s="34" t="s">
        <v>87</v>
      </c>
      <c r="S295" s="6" t="s">
        <v>87</v>
      </c>
      <c r="T295" s="12">
        <f>Tableau1[[#This Row],[Loyer €/m²]]*Tableau1[[#This Row],[Surface GLA]]</f>
        <v>4200</v>
      </c>
      <c r="U295" s="12">
        <f>IFERROR(Tableau1[[#This Row],[Loyer annuel]]/12,"")</f>
        <v>350</v>
      </c>
      <c r="V295" s="12">
        <v>200</v>
      </c>
      <c r="W295" s="34" t="s">
        <v>87</v>
      </c>
      <c r="X295" s="6">
        <f>Tableau1[[#This Row],[Charges €/m²]]*Tableau1[[#This Row],[Surface GLA]]</f>
        <v>1155</v>
      </c>
      <c r="Y295" s="12">
        <f>Tableau1[[#This Row],[Charges annuelles]]/12</f>
        <v>96.25</v>
      </c>
      <c r="Z295" s="12">
        <v>55</v>
      </c>
      <c r="AA295" s="12">
        <f>IFERROR(Tableau1[[#This Row],[Taxe foncière €/m²]]*Tableau1[[#This Row],[Surface GLA]],)</f>
        <v>294</v>
      </c>
      <c r="AB295" s="12">
        <v>14</v>
      </c>
      <c r="AC295" s="12">
        <f>IFERROR(Tableau1[[#This Row],[Marketing €/m²]]*Tableau1[[#This Row],[Surface GLA]],)</f>
        <v>0</v>
      </c>
      <c r="AD295" s="12"/>
      <c r="AE295" s="12">
        <f>IFERROR(Tableau1[[#This Row],[Loyer annuel]]+Tableau1[[#This Row],[Charges annuelles]]+Tableau1[[#This Row],[Taxe foncière]]+Tableau1[[#This Row],[Marketing]],"")</f>
        <v>5649</v>
      </c>
      <c r="AF295" s="12" t="str">
        <f t="shared" si="16"/>
        <v>3 mois = 1 050 €</v>
      </c>
      <c r="AG295" s="12" t="s">
        <v>87</v>
      </c>
      <c r="AH295" s="12" t="s">
        <v>87</v>
      </c>
      <c r="AI295" s="12" t="s">
        <v>346</v>
      </c>
      <c r="AJ295" s="10" t="s">
        <v>358</v>
      </c>
      <c r="AK295" s="10" t="s">
        <v>352</v>
      </c>
      <c r="AL295" s="10" t="s">
        <v>2329</v>
      </c>
      <c r="AM295" s="11" t="s">
        <v>2328</v>
      </c>
      <c r="AN295" s="11" t="s">
        <v>1308</v>
      </c>
      <c r="AO295" s="5" t="s">
        <v>350</v>
      </c>
      <c r="AP295" s="11" t="s">
        <v>1881</v>
      </c>
      <c r="AQ295" s="11" t="s">
        <v>1882</v>
      </c>
      <c r="AR295" s="11" t="s">
        <v>1866</v>
      </c>
      <c r="AS295" s="36" t="s">
        <v>1883</v>
      </c>
      <c r="AT295" s="11" t="s">
        <v>59</v>
      </c>
      <c r="AU295" s="11"/>
      <c r="AV295" s="13" t="s">
        <v>1746</v>
      </c>
      <c r="AW295" s="14"/>
      <c r="AX295" s="44">
        <v>46175</v>
      </c>
    </row>
    <row r="296" spans="1:50" ht="38.25">
      <c r="A296" s="38" t="str">
        <f>VLOOKUP(Tableau1[[#This Row],[N° Département]],Feuil1!$C$6:$E$106,3)</f>
        <v>Bourgogne-Franche-Comté</v>
      </c>
      <c r="B296" s="38" t="str">
        <f>VLOOKUP(Tableau1[[#This Row],[N° Département]],Feuil1!$C$6:$E$106,2)</f>
        <v>Côte-d'Or</v>
      </c>
      <c r="C296" s="38">
        <f>LEFT(Tableau1[[#This Row],[Code Postal]],2)*1</f>
        <v>21</v>
      </c>
      <c r="D296" s="10" t="s">
        <v>2334</v>
      </c>
      <c r="E296" s="26">
        <v>21200</v>
      </c>
      <c r="F296" s="10" t="s">
        <v>1885</v>
      </c>
      <c r="G296" s="39" t="str">
        <f>Tableau1[[#This Row],[Rue]]&amp;CHAR(10)&amp;Tableau1[[#This Row],[Code Postal]]&amp;" - "&amp;Tableau1[[#This Row],[Ville]]</f>
        <v>Carrefour St-Jacques, 9 Av. du Général de Gaulle
21200 - Beaune</v>
      </c>
      <c r="H296" s="15" t="s">
        <v>1884</v>
      </c>
      <c r="I296" s="12" t="s">
        <v>37</v>
      </c>
      <c r="J296" s="12" t="s">
        <v>41</v>
      </c>
      <c r="K296" s="10" t="s">
        <v>87</v>
      </c>
      <c r="L296" s="10" t="s">
        <v>87</v>
      </c>
      <c r="M296" s="12" t="s">
        <v>87</v>
      </c>
      <c r="N296" s="36" t="s">
        <v>340</v>
      </c>
      <c r="O296" s="34">
        <v>176</v>
      </c>
      <c r="P296" s="6" t="s">
        <v>87</v>
      </c>
      <c r="Q296" s="34">
        <v>593</v>
      </c>
      <c r="R296" s="34" t="s">
        <v>87</v>
      </c>
      <c r="S296" s="6" t="s">
        <v>87</v>
      </c>
      <c r="T296" s="12">
        <f>Tableau1[[#This Row],[Loyer €/m²]]*Tableau1[[#This Row],[Surface GLA]]</f>
        <v>35200</v>
      </c>
      <c r="U296" s="12">
        <f>IFERROR(Tableau1[[#This Row],[Loyer annuel]]/12,"")</f>
        <v>2933.3333333333335</v>
      </c>
      <c r="V296" s="12">
        <v>200</v>
      </c>
      <c r="W296" s="34" t="s">
        <v>87</v>
      </c>
      <c r="X296" s="6">
        <f>Tableau1[[#This Row],[Charges €/m²]]*Tableau1[[#This Row],[Surface GLA]]</f>
        <v>7920</v>
      </c>
      <c r="Y296" s="12">
        <f>Tableau1[[#This Row],[Charges annuelles]]/12</f>
        <v>660</v>
      </c>
      <c r="Z296" s="12">
        <v>45</v>
      </c>
      <c r="AA296" s="12">
        <f>IFERROR(Tableau1[[#This Row],[Taxe foncière €/m²]]*Tableau1[[#This Row],[Surface GLA]],)</f>
        <v>3520</v>
      </c>
      <c r="AB296" s="12">
        <v>20</v>
      </c>
      <c r="AC296" s="12">
        <f>IFERROR(Tableau1[[#This Row],[Marketing €/m²]]*Tableau1[[#This Row],[Surface GLA]],)</f>
        <v>0</v>
      </c>
      <c r="AD296" s="12"/>
      <c r="AE296" s="12">
        <f>IFERROR(Tableau1[[#This Row],[Loyer annuel]]+Tableau1[[#This Row],[Charges annuelles]]+Tableau1[[#This Row],[Taxe foncière]]+Tableau1[[#This Row],[Marketing]],"")</f>
        <v>46640</v>
      </c>
      <c r="AF296" s="12" t="str">
        <f t="shared" si="16"/>
        <v>3 mois = 8 800 €</v>
      </c>
      <c r="AG296" s="12" t="s">
        <v>87</v>
      </c>
      <c r="AH296" s="12" t="s">
        <v>87</v>
      </c>
      <c r="AI296" s="12" t="s">
        <v>346</v>
      </c>
      <c r="AJ296" s="10" t="s">
        <v>43</v>
      </c>
      <c r="AK296" s="10" t="s">
        <v>351</v>
      </c>
      <c r="AL296" s="10" t="s">
        <v>2331</v>
      </c>
      <c r="AM296" s="11" t="s">
        <v>2330</v>
      </c>
      <c r="AN296" s="11" t="s">
        <v>1308</v>
      </c>
      <c r="AO296" s="5" t="s">
        <v>350</v>
      </c>
      <c r="AP296" s="11" t="s">
        <v>1890</v>
      </c>
      <c r="AQ296" s="11" t="s">
        <v>1891</v>
      </c>
      <c r="AR296" s="11" t="s">
        <v>1886</v>
      </c>
      <c r="AS296" s="36" t="s">
        <v>1898</v>
      </c>
      <c r="AT296" s="11" t="s">
        <v>59</v>
      </c>
      <c r="AU296" s="11"/>
      <c r="AV296" s="13" t="s">
        <v>1746</v>
      </c>
      <c r="AW296" s="14"/>
      <c r="AX296" s="44">
        <v>46175</v>
      </c>
    </row>
    <row r="297" spans="1:50" ht="38.25">
      <c r="A297" s="38" t="str">
        <f>VLOOKUP(Tableau1[[#This Row],[N° Département]],Feuil1!$C$6:$E$106,3)</f>
        <v>Bourgogne-Franche-Comté</v>
      </c>
      <c r="B297" s="38" t="str">
        <f>VLOOKUP(Tableau1[[#This Row],[N° Département]],Feuil1!$C$6:$E$106,2)</f>
        <v>Côte-d'Or</v>
      </c>
      <c r="C297" s="38">
        <f>LEFT(Tableau1[[#This Row],[Code Postal]],2)*1</f>
        <v>21</v>
      </c>
      <c r="D297" s="10" t="s">
        <v>2334</v>
      </c>
      <c r="E297" s="26">
        <v>21200</v>
      </c>
      <c r="F297" s="10" t="s">
        <v>1885</v>
      </c>
      <c r="G297" s="39" t="str">
        <f>Tableau1[[#This Row],[Rue]]&amp;CHAR(10)&amp;Tableau1[[#This Row],[Code Postal]]&amp;" - "&amp;Tableau1[[#This Row],[Ville]]</f>
        <v>Carrefour St-Jacques, 9 Av. du Général de Gaulle
21200 - Beaune</v>
      </c>
      <c r="H297" s="15" t="s">
        <v>1884</v>
      </c>
      <c r="I297" s="12" t="s">
        <v>37</v>
      </c>
      <c r="J297" s="12" t="s">
        <v>41</v>
      </c>
      <c r="K297" s="10" t="s">
        <v>87</v>
      </c>
      <c r="L297" s="10" t="s">
        <v>87</v>
      </c>
      <c r="M297" s="12" t="s">
        <v>87</v>
      </c>
      <c r="N297" s="36" t="s">
        <v>341</v>
      </c>
      <c r="O297" s="34">
        <v>417</v>
      </c>
      <c r="P297" s="6" t="s">
        <v>87</v>
      </c>
      <c r="Q297" s="34">
        <v>593</v>
      </c>
      <c r="R297" s="34" t="s">
        <v>87</v>
      </c>
      <c r="S297" s="6" t="s">
        <v>87</v>
      </c>
      <c r="T297" s="12">
        <f>Tableau1[[#This Row],[Loyer €/m²]]*Tableau1[[#This Row],[Surface GLA]]</f>
        <v>83400</v>
      </c>
      <c r="U297" s="12">
        <f>IFERROR(Tableau1[[#This Row],[Loyer annuel]]/12,"")</f>
        <v>6950</v>
      </c>
      <c r="V297" s="12">
        <v>200</v>
      </c>
      <c r="W297" s="34" t="s">
        <v>87</v>
      </c>
      <c r="X297" s="6">
        <f>Tableau1[[#This Row],[Charges €/m²]]*Tableau1[[#This Row],[Surface GLA]]</f>
        <v>18765</v>
      </c>
      <c r="Y297" s="12">
        <f>Tableau1[[#This Row],[Charges annuelles]]/12</f>
        <v>1563.75</v>
      </c>
      <c r="Z297" s="12">
        <v>45</v>
      </c>
      <c r="AA297" s="12">
        <f>IFERROR(Tableau1[[#This Row],[Taxe foncière €/m²]]*Tableau1[[#This Row],[Surface GLA]],)</f>
        <v>8340</v>
      </c>
      <c r="AB297" s="12">
        <v>20</v>
      </c>
      <c r="AC297" s="12">
        <f>IFERROR(Tableau1[[#This Row],[Marketing €/m²]]*Tableau1[[#This Row],[Surface GLA]],)</f>
        <v>0</v>
      </c>
      <c r="AD297" s="12"/>
      <c r="AE297" s="12">
        <f>IFERROR(Tableau1[[#This Row],[Loyer annuel]]+Tableau1[[#This Row],[Charges annuelles]]+Tableau1[[#This Row],[Taxe foncière]]+Tableau1[[#This Row],[Marketing]],"")</f>
        <v>110505</v>
      </c>
      <c r="AF297" s="12" t="str">
        <f t="shared" si="16"/>
        <v>3 mois = 20 850 €</v>
      </c>
      <c r="AG297" s="12" t="s">
        <v>87</v>
      </c>
      <c r="AH297" s="12" t="s">
        <v>87</v>
      </c>
      <c r="AI297" s="12" t="s">
        <v>346</v>
      </c>
      <c r="AJ297" s="10" t="s">
        <v>43</v>
      </c>
      <c r="AK297" s="10" t="s">
        <v>351</v>
      </c>
      <c r="AL297" s="10" t="s">
        <v>2331</v>
      </c>
      <c r="AM297" s="11" t="s">
        <v>2330</v>
      </c>
      <c r="AN297" s="11" t="s">
        <v>1308</v>
      </c>
      <c r="AO297" s="5" t="s">
        <v>350</v>
      </c>
      <c r="AP297" s="11" t="s">
        <v>1892</v>
      </c>
      <c r="AQ297" s="11" t="s">
        <v>1893</v>
      </c>
      <c r="AR297" s="11" t="s">
        <v>1887</v>
      </c>
      <c r="AS297" s="36" t="s">
        <v>1898</v>
      </c>
      <c r="AT297" s="11" t="s">
        <v>59</v>
      </c>
      <c r="AU297" s="11"/>
      <c r="AV297" s="13" t="s">
        <v>1746</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2334</v>
      </c>
      <c r="E298" s="26">
        <v>21200</v>
      </c>
      <c r="F298" s="10" t="s">
        <v>1885</v>
      </c>
      <c r="G298" s="39" t="str">
        <f>Tableau1[[#This Row],[Rue]]&amp;CHAR(10)&amp;Tableau1[[#This Row],[Code Postal]]&amp;" - "&amp;Tableau1[[#This Row],[Ville]]</f>
        <v>Carrefour St-Jacques, 9 Av. du Général de Gaulle
21200 - Beaune</v>
      </c>
      <c r="H298" s="15" t="s">
        <v>1884</v>
      </c>
      <c r="I298" s="12" t="s">
        <v>37</v>
      </c>
      <c r="J298" s="12" t="s">
        <v>41</v>
      </c>
      <c r="K298" s="10" t="s">
        <v>87</v>
      </c>
      <c r="L298" s="10" t="s">
        <v>87</v>
      </c>
      <c r="M298" s="12" t="s">
        <v>87</v>
      </c>
      <c r="N298" s="36" t="s">
        <v>449</v>
      </c>
      <c r="O298" s="34">
        <v>17</v>
      </c>
      <c r="P298" s="6" t="s">
        <v>87</v>
      </c>
      <c r="Q298" s="34" t="s">
        <v>87</v>
      </c>
      <c r="R298" s="34" t="s">
        <v>87</v>
      </c>
      <c r="S298" s="6" t="s">
        <v>87</v>
      </c>
      <c r="T298" s="12">
        <f>Tableau1[[#This Row],[Loyer €/m²]]*Tableau1[[#This Row],[Surface GLA]]</f>
        <v>3400</v>
      </c>
      <c r="U298" s="12">
        <f>IFERROR(Tableau1[[#This Row],[Loyer annuel]]/12,"")</f>
        <v>283.33333333333331</v>
      </c>
      <c r="V298" s="12">
        <v>200</v>
      </c>
      <c r="W298" s="34" t="s">
        <v>87</v>
      </c>
      <c r="X298" s="6">
        <f>Tableau1[[#This Row],[Charges €/m²]]*Tableau1[[#This Row],[Surface GLA]]</f>
        <v>782</v>
      </c>
      <c r="Y298" s="12">
        <f>Tableau1[[#This Row],[Charges annuelles]]/12</f>
        <v>65.166666666666671</v>
      </c>
      <c r="Z298" s="12">
        <v>46</v>
      </c>
      <c r="AA298" s="12">
        <f>IFERROR(Tableau1[[#This Row],[Taxe foncière €/m²]]*Tableau1[[#This Row],[Surface GLA]],)</f>
        <v>340</v>
      </c>
      <c r="AB298" s="12">
        <v>20</v>
      </c>
      <c r="AC298" s="12">
        <f>IFERROR(Tableau1[[#This Row],[Marketing €/m²]]*Tableau1[[#This Row],[Surface GLA]],)</f>
        <v>0</v>
      </c>
      <c r="AD298" s="12"/>
      <c r="AE298" s="12">
        <f>IFERROR(Tableau1[[#This Row],[Loyer annuel]]+Tableau1[[#This Row],[Charges annuelles]]+Tableau1[[#This Row],[Taxe foncière]]+Tableau1[[#This Row],[Marketing]],"")</f>
        <v>4522</v>
      </c>
      <c r="AF298" s="12" t="str">
        <f t="shared" si="16"/>
        <v>3 mois = 850 €</v>
      </c>
      <c r="AG298" s="12" t="s">
        <v>87</v>
      </c>
      <c r="AH298" s="12" t="s">
        <v>87</v>
      </c>
      <c r="AI298" s="12" t="s">
        <v>346</v>
      </c>
      <c r="AJ298" s="10" t="s">
        <v>43</v>
      </c>
      <c r="AK298" s="10" t="s">
        <v>351</v>
      </c>
      <c r="AL298" s="10" t="s">
        <v>2331</v>
      </c>
      <c r="AM298" s="11" t="s">
        <v>2365</v>
      </c>
      <c r="AN298" s="11" t="s">
        <v>1539</v>
      </c>
      <c r="AO298" s="5" t="s">
        <v>350</v>
      </c>
      <c r="AP298" s="11" t="s">
        <v>2367</v>
      </c>
      <c r="AQ298" s="11" t="s">
        <v>2368</v>
      </c>
      <c r="AR298" s="11" t="s">
        <v>1888</v>
      </c>
      <c r="AS298" s="36" t="s">
        <v>1898</v>
      </c>
      <c r="AT298" s="11" t="s">
        <v>59</v>
      </c>
      <c r="AU298" s="11"/>
      <c r="AV298" s="13" t="s">
        <v>1746</v>
      </c>
      <c r="AW298" s="14"/>
      <c r="AX298" s="44"/>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2334</v>
      </c>
      <c r="E299" s="26">
        <v>21200</v>
      </c>
      <c r="F299" s="10" t="s">
        <v>1885</v>
      </c>
      <c r="G299" s="39" t="str">
        <f>Tableau1[[#This Row],[Rue]]&amp;CHAR(10)&amp;Tableau1[[#This Row],[Code Postal]]&amp;" - "&amp;Tableau1[[#This Row],[Ville]]</f>
        <v>Carrefour St-Jacques, 9 Av. du Général de Gaulle
21200 - Beaune</v>
      </c>
      <c r="H299" s="15" t="s">
        <v>1884</v>
      </c>
      <c r="I299" s="12" t="s">
        <v>37</v>
      </c>
      <c r="J299" s="12" t="s">
        <v>41</v>
      </c>
      <c r="K299" s="10" t="s">
        <v>87</v>
      </c>
      <c r="L299" s="10" t="s">
        <v>87</v>
      </c>
      <c r="M299" s="12" t="s">
        <v>87</v>
      </c>
      <c r="N299" s="36" t="s">
        <v>450</v>
      </c>
      <c r="O299" s="34">
        <v>145</v>
      </c>
      <c r="P299" s="6" t="s">
        <v>87</v>
      </c>
      <c r="Q299" s="34" t="s">
        <v>87</v>
      </c>
      <c r="R299" s="34" t="s">
        <v>87</v>
      </c>
      <c r="S299" s="6" t="s">
        <v>87</v>
      </c>
      <c r="T299" s="12">
        <f>Tableau1[[#This Row],[Loyer €/m²]]*Tableau1[[#This Row],[Surface GLA]]</f>
        <v>29000</v>
      </c>
      <c r="U299" s="12">
        <f>IFERROR(Tableau1[[#This Row],[Loyer annuel]]/12,"")</f>
        <v>2416.6666666666665</v>
      </c>
      <c r="V299" s="12">
        <v>200</v>
      </c>
      <c r="W299" s="34" t="s">
        <v>87</v>
      </c>
      <c r="X299" s="6">
        <f>Tableau1[[#This Row],[Charges €/m²]]*Tableau1[[#This Row],[Surface GLA]]</f>
        <v>6525</v>
      </c>
      <c r="Y299" s="12">
        <f>Tableau1[[#This Row],[Charges annuelles]]/12</f>
        <v>543.75</v>
      </c>
      <c r="Z299" s="12">
        <v>45</v>
      </c>
      <c r="AA299" s="12">
        <f>IFERROR(Tableau1[[#This Row],[Taxe foncière €/m²]]*Tableau1[[#This Row],[Surface GLA]],)</f>
        <v>2900</v>
      </c>
      <c r="AB299" s="12">
        <v>20</v>
      </c>
      <c r="AC299" s="12">
        <f>IFERROR(Tableau1[[#This Row],[Marketing €/m²]]*Tableau1[[#This Row],[Surface GLA]],)</f>
        <v>0</v>
      </c>
      <c r="AD299" s="12"/>
      <c r="AE299" s="12">
        <f>IFERROR(Tableau1[[#This Row],[Loyer annuel]]+Tableau1[[#This Row],[Charges annuelles]]+Tableau1[[#This Row],[Taxe foncière]]+Tableau1[[#This Row],[Marketing]],"")</f>
        <v>38425</v>
      </c>
      <c r="AF299" s="12" t="str">
        <f t="shared" si="16"/>
        <v>3 mois = 7 250 €</v>
      </c>
      <c r="AG299" s="12" t="s">
        <v>87</v>
      </c>
      <c r="AH299" s="12" t="s">
        <v>87</v>
      </c>
      <c r="AI299" s="12" t="s">
        <v>346</v>
      </c>
      <c r="AJ299" s="10" t="s">
        <v>59</v>
      </c>
      <c r="AK299" s="10" t="s">
        <v>352</v>
      </c>
      <c r="AL299" s="10" t="s">
        <v>2331</v>
      </c>
      <c r="AM299" s="11" t="s">
        <v>2330</v>
      </c>
      <c r="AN299" s="11" t="s">
        <v>1308</v>
      </c>
      <c r="AO299" s="5" t="s">
        <v>350</v>
      </c>
      <c r="AP299" s="11" t="s">
        <v>1894</v>
      </c>
      <c r="AQ299" s="11" t="s">
        <v>1895</v>
      </c>
      <c r="AR299" s="11" t="s">
        <v>1889</v>
      </c>
      <c r="AS299" s="36" t="s">
        <v>1898</v>
      </c>
      <c r="AT299" s="11" t="s">
        <v>59</v>
      </c>
      <c r="AU299" s="11"/>
      <c r="AV299" s="13" t="s">
        <v>1746</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2334</v>
      </c>
      <c r="E300" s="26">
        <v>21200</v>
      </c>
      <c r="F300" s="10" t="s">
        <v>1885</v>
      </c>
      <c r="G300" s="39" t="str">
        <f>Tableau1[[#This Row],[Rue]]&amp;CHAR(10)&amp;Tableau1[[#This Row],[Code Postal]]&amp;" - "&amp;Tableau1[[#This Row],[Ville]]</f>
        <v>Carrefour St-Jacques, 9 Av. du Général de Gaulle
21200 - Beaune</v>
      </c>
      <c r="H300" s="15" t="s">
        <v>1884</v>
      </c>
      <c r="I300" s="12" t="s">
        <v>37</v>
      </c>
      <c r="J300" s="12" t="s">
        <v>41</v>
      </c>
      <c r="K300" s="10" t="s">
        <v>87</v>
      </c>
      <c r="L300" s="10" t="s">
        <v>87</v>
      </c>
      <c r="M300" s="12" t="s">
        <v>87</v>
      </c>
      <c r="N300" s="36" t="s">
        <v>451</v>
      </c>
      <c r="O300" s="34">
        <v>91</v>
      </c>
      <c r="P300" s="6" t="s">
        <v>87</v>
      </c>
      <c r="Q300" s="34" t="s">
        <v>87</v>
      </c>
      <c r="R300" s="34" t="s">
        <v>87</v>
      </c>
      <c r="S300" s="6" t="s">
        <v>87</v>
      </c>
      <c r="T300" s="12">
        <f>Tableau1[[#This Row],[Loyer €/m²]]*Tableau1[[#This Row],[Surface GLA]]</f>
        <v>18200</v>
      </c>
      <c r="U300" s="12">
        <f>IFERROR(Tableau1[[#This Row],[Loyer annuel]]/12,"")</f>
        <v>1516.6666666666667</v>
      </c>
      <c r="V300" s="12">
        <v>200</v>
      </c>
      <c r="W300" s="34" t="s">
        <v>87</v>
      </c>
      <c r="X300" s="6">
        <f>Tableau1[[#This Row],[Charges €/m²]]*Tableau1[[#This Row],[Surface GLA]]</f>
        <v>4095</v>
      </c>
      <c r="Y300" s="12">
        <f>Tableau1[[#This Row],[Charges annuelles]]/12</f>
        <v>341.25</v>
      </c>
      <c r="Z300" s="12">
        <v>45</v>
      </c>
      <c r="AA300" s="12">
        <f>IFERROR(Tableau1[[#This Row],[Taxe foncière €/m²]]*Tableau1[[#This Row],[Surface GLA]],)</f>
        <v>1820</v>
      </c>
      <c r="AB300" s="12">
        <v>20</v>
      </c>
      <c r="AC300" s="12">
        <f>IFERROR(Tableau1[[#This Row],[Marketing €/m²]]*Tableau1[[#This Row],[Surface GLA]],)</f>
        <v>0</v>
      </c>
      <c r="AD300" s="12"/>
      <c r="AE300" s="12">
        <f>IFERROR(Tableau1[[#This Row],[Loyer annuel]]+Tableau1[[#This Row],[Charges annuelles]]+Tableau1[[#This Row],[Taxe foncière]]+Tableau1[[#This Row],[Marketing]],"")</f>
        <v>24115</v>
      </c>
      <c r="AF300" s="12" t="str">
        <f t="shared" si="16"/>
        <v>3 mois = 4 550 €</v>
      </c>
      <c r="AG300" s="12" t="s">
        <v>87</v>
      </c>
      <c r="AH300" s="12" t="s">
        <v>87</v>
      </c>
      <c r="AI300" s="12" t="s">
        <v>346</v>
      </c>
      <c r="AJ300" s="10" t="s">
        <v>43</v>
      </c>
      <c r="AK300" s="10"/>
      <c r="AL300" s="10" t="s">
        <v>2331</v>
      </c>
      <c r="AM300" s="11" t="s">
        <v>2330</v>
      </c>
      <c r="AN300" s="11" t="s">
        <v>1308</v>
      </c>
      <c r="AO300" s="5" t="s">
        <v>350</v>
      </c>
      <c r="AP300" s="11" t="s">
        <v>1896</v>
      </c>
      <c r="AQ300" s="11" t="s">
        <v>1897</v>
      </c>
      <c r="AR300" s="11" t="s">
        <v>2366</v>
      </c>
      <c r="AS300" s="36" t="s">
        <v>1898</v>
      </c>
      <c r="AT300" s="11" t="s">
        <v>59</v>
      </c>
      <c r="AU300" s="11"/>
      <c r="AV300" s="13" t="s">
        <v>1746</v>
      </c>
      <c r="AW300" s="14"/>
      <c r="AX300" s="44">
        <v>46175</v>
      </c>
    </row>
    <row r="301" spans="1:50" ht="25.5">
      <c r="A301" s="38" t="str">
        <f>VLOOKUP(Tableau1[[#This Row],[N° Département]],Feuil1!$C$6:$E$106,3)</f>
        <v>Hauts-de-France</v>
      </c>
      <c r="B301" s="38" t="str">
        <f>VLOOKUP(Tableau1[[#This Row],[N° Département]],Feuil1!$C$6:$E$106,2)</f>
        <v>Pas-de-Calais</v>
      </c>
      <c r="C301" s="38">
        <f>LEFT(Tableau1[[#This Row],[Code Postal]],2)*1</f>
        <v>62</v>
      </c>
      <c r="D301" s="10" t="s">
        <v>1901</v>
      </c>
      <c r="E301" s="26">
        <v>62100</v>
      </c>
      <c r="F301" s="10" t="s">
        <v>1900</v>
      </c>
      <c r="G301" s="39" t="str">
        <f>Tableau1[[#This Row],[Rue]]&amp;CHAR(10)&amp;Tableau1[[#This Row],[Code Postal]]&amp;" - "&amp;Tableau1[[#This Row],[Ville]]</f>
        <v>Auchan 1 Av. Roger Salengro
62100 - Calais</v>
      </c>
      <c r="H301" s="15" t="s">
        <v>1899</v>
      </c>
      <c r="I301" s="12" t="s">
        <v>37</v>
      </c>
      <c r="J301" s="12" t="s">
        <v>41</v>
      </c>
      <c r="K301" s="10" t="s">
        <v>87</v>
      </c>
      <c r="L301" s="10" t="s">
        <v>87</v>
      </c>
      <c r="M301" s="12" t="s">
        <v>87</v>
      </c>
      <c r="N301" s="36" t="s">
        <v>318</v>
      </c>
      <c r="O301" s="34">
        <v>202</v>
      </c>
      <c r="P301" s="6" t="s">
        <v>87</v>
      </c>
      <c r="Q301" s="34" t="s">
        <v>87</v>
      </c>
      <c r="R301" s="34" t="s">
        <v>87</v>
      </c>
      <c r="S301" s="6" t="s">
        <v>87</v>
      </c>
      <c r="T301" s="12">
        <f>Tableau1[[#This Row],[Loyer €/m²]]*Tableau1[[#This Row],[Surface GLA]]</f>
        <v>60600</v>
      </c>
      <c r="U301" s="12">
        <f>IFERROR(Tableau1[[#This Row],[Loyer annuel]]/12,"")</f>
        <v>5050</v>
      </c>
      <c r="V301" s="12">
        <v>300</v>
      </c>
      <c r="W301" s="34" t="s">
        <v>87</v>
      </c>
      <c r="X301" s="6">
        <f>Tableau1[[#This Row],[Charges €/m²]]*Tableau1[[#This Row],[Surface GLA]]</f>
        <v>9090</v>
      </c>
      <c r="Y301" s="12">
        <f>Tableau1[[#This Row],[Charges annuelles]]/12</f>
        <v>757.5</v>
      </c>
      <c r="Z301" s="12">
        <v>45</v>
      </c>
      <c r="AA301" s="12">
        <f>IFERROR(Tableau1[[#This Row],[Taxe foncière €/m²]]*Tableau1[[#This Row],[Surface GLA]],)</f>
        <v>5454</v>
      </c>
      <c r="AB301" s="12">
        <v>27</v>
      </c>
      <c r="AC301" s="12">
        <f>IFERROR(Tableau1[[#This Row],[Marketing €/m²]]*Tableau1[[#This Row],[Surface GLA]],)</f>
        <v>0</v>
      </c>
      <c r="AD301" s="12"/>
      <c r="AE301" s="12">
        <f>IFERROR(Tableau1[[#This Row],[Loyer annuel]]+Tableau1[[#This Row],[Charges annuelles]]+Tableau1[[#This Row],[Taxe foncière]]+Tableau1[[#This Row],[Marketing]],"")</f>
        <v>75144</v>
      </c>
      <c r="AF301" s="12" t="str">
        <f t="shared" si="16"/>
        <v>3 mois = 15 150 €</v>
      </c>
      <c r="AG301" s="12" t="s">
        <v>87</v>
      </c>
      <c r="AH301" s="12" t="s">
        <v>87</v>
      </c>
      <c r="AI301" s="12" t="s">
        <v>346</v>
      </c>
      <c r="AJ301" s="10" t="s">
        <v>358</v>
      </c>
      <c r="AK301" s="10" t="s">
        <v>352</v>
      </c>
      <c r="AL301" s="10" t="s">
        <v>2333</v>
      </c>
      <c r="AM301" s="11" t="s">
        <v>2332</v>
      </c>
      <c r="AN301" s="11" t="s">
        <v>1308</v>
      </c>
      <c r="AO301" s="5" t="s">
        <v>350</v>
      </c>
      <c r="AP301" s="11" t="s">
        <v>1907</v>
      </c>
      <c r="AQ301" s="11" t="s">
        <v>1908</v>
      </c>
      <c r="AR301" s="11" t="s">
        <v>1902</v>
      </c>
      <c r="AS301" s="36" t="s">
        <v>1917</v>
      </c>
      <c r="AT301" s="11" t="s">
        <v>59</v>
      </c>
      <c r="AU301" s="11"/>
      <c r="AV301" s="13" t="s">
        <v>1746</v>
      </c>
      <c r="AW301" s="14"/>
      <c r="AX301" s="44">
        <v>46175</v>
      </c>
    </row>
    <row r="302" spans="1:50" ht="25.5">
      <c r="A302" s="38" t="str">
        <f>VLOOKUP(Tableau1[[#This Row],[N° Département]],Feuil1!$C$6:$E$106,3)</f>
        <v>Hauts-de-France</v>
      </c>
      <c r="B302" s="38" t="str">
        <f>VLOOKUP(Tableau1[[#This Row],[N° Département]],Feuil1!$C$6:$E$106,2)</f>
        <v>Pas-de-Calais</v>
      </c>
      <c r="C302" s="38">
        <f>LEFT(Tableau1[[#This Row],[Code Postal]],2)*1</f>
        <v>62</v>
      </c>
      <c r="D302" s="10" t="s">
        <v>1901</v>
      </c>
      <c r="E302" s="26">
        <v>62101</v>
      </c>
      <c r="F302" s="10" t="s">
        <v>1900</v>
      </c>
      <c r="G302" s="39" t="str">
        <f>Tableau1[[#This Row],[Rue]]&amp;CHAR(10)&amp;Tableau1[[#This Row],[Code Postal]]&amp;" - "&amp;Tableau1[[#This Row],[Ville]]</f>
        <v>Auchan 1 Av. Roger Salengro
62101 - Calais</v>
      </c>
      <c r="H302" s="15" t="s">
        <v>1899</v>
      </c>
      <c r="I302" s="12" t="s">
        <v>37</v>
      </c>
      <c r="J302" s="12" t="s">
        <v>41</v>
      </c>
      <c r="K302" s="10" t="s">
        <v>87</v>
      </c>
      <c r="L302" s="10" t="s">
        <v>87</v>
      </c>
      <c r="M302" s="12" t="s">
        <v>87</v>
      </c>
      <c r="N302" s="36" t="s">
        <v>296</v>
      </c>
      <c r="O302" s="34">
        <v>152</v>
      </c>
      <c r="P302" s="6" t="s">
        <v>87</v>
      </c>
      <c r="Q302" s="34" t="s">
        <v>87</v>
      </c>
      <c r="R302" s="34" t="s">
        <v>87</v>
      </c>
      <c r="S302" s="6" t="s">
        <v>87</v>
      </c>
      <c r="T302" s="12">
        <f>Tableau1[[#This Row],[Loyer €/m²]]*Tableau1[[#This Row],[Surface GLA]]</f>
        <v>45600</v>
      </c>
      <c r="U302" s="12">
        <f>IFERROR(Tableau1[[#This Row],[Loyer annuel]]/12,"")</f>
        <v>3800</v>
      </c>
      <c r="V302" s="12">
        <v>300</v>
      </c>
      <c r="W302" s="34" t="s">
        <v>87</v>
      </c>
      <c r="X302" s="6">
        <f>Tableau1[[#This Row],[Charges €/m²]]*Tableau1[[#This Row],[Surface GLA]]</f>
        <v>6840</v>
      </c>
      <c r="Y302" s="12">
        <f>Tableau1[[#This Row],[Charges annuelles]]/12</f>
        <v>570</v>
      </c>
      <c r="Z302" s="12">
        <v>45</v>
      </c>
      <c r="AA302" s="12">
        <f>IFERROR(Tableau1[[#This Row],[Taxe foncière €/m²]]*Tableau1[[#This Row],[Surface GLA]],)</f>
        <v>4104</v>
      </c>
      <c r="AB302" s="12">
        <v>27</v>
      </c>
      <c r="AC302" s="12">
        <f>IFERROR(Tableau1[[#This Row],[Marketing €/m²]]*Tableau1[[#This Row],[Surface GLA]],)</f>
        <v>0</v>
      </c>
      <c r="AD302" s="12"/>
      <c r="AE302" s="12">
        <f>IFERROR(Tableau1[[#This Row],[Loyer annuel]]+Tableau1[[#This Row],[Charges annuelles]]+Tableau1[[#This Row],[Taxe foncière]]+Tableau1[[#This Row],[Marketing]],"")</f>
        <v>56544</v>
      </c>
      <c r="AF302" s="12" t="str">
        <f t="shared" si="16"/>
        <v>3 mois = 11 400 €</v>
      </c>
      <c r="AG302" s="12" t="s">
        <v>87</v>
      </c>
      <c r="AH302" s="12" t="s">
        <v>87</v>
      </c>
      <c r="AI302" s="12" t="s">
        <v>346</v>
      </c>
      <c r="AJ302" s="10" t="s">
        <v>358</v>
      </c>
      <c r="AK302" s="10" t="s">
        <v>352</v>
      </c>
      <c r="AL302" s="10" t="s">
        <v>2333</v>
      </c>
      <c r="AM302" s="11" t="s">
        <v>2332</v>
      </c>
      <c r="AN302" s="11" t="s">
        <v>1308</v>
      </c>
      <c r="AO302" s="5" t="s">
        <v>350</v>
      </c>
      <c r="AP302" s="11" t="s">
        <v>1909</v>
      </c>
      <c r="AQ302" s="11" t="s">
        <v>1910</v>
      </c>
      <c r="AR302" s="11" t="s">
        <v>1903</v>
      </c>
      <c r="AS302" s="36" t="s">
        <v>1917</v>
      </c>
      <c r="AT302" s="11" t="s">
        <v>59</v>
      </c>
      <c r="AU302" s="11"/>
      <c r="AV302" s="13" t="s">
        <v>1746</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1901</v>
      </c>
      <c r="E303" s="26">
        <v>62102</v>
      </c>
      <c r="F303" s="10" t="s">
        <v>1900</v>
      </c>
      <c r="G303" s="39" t="str">
        <f>Tableau1[[#This Row],[Rue]]&amp;CHAR(10)&amp;Tableau1[[#This Row],[Code Postal]]&amp;" - "&amp;Tableau1[[#This Row],[Ville]]</f>
        <v>Auchan 1 Av. Roger Salengro
62102 - Calais</v>
      </c>
      <c r="H303" s="15" t="s">
        <v>1899</v>
      </c>
      <c r="I303" s="12" t="s">
        <v>37</v>
      </c>
      <c r="J303" s="12" t="s">
        <v>41</v>
      </c>
      <c r="K303" s="10" t="s">
        <v>87</v>
      </c>
      <c r="L303" s="10" t="s">
        <v>87</v>
      </c>
      <c r="M303" s="12" t="s">
        <v>87</v>
      </c>
      <c r="N303" s="36" t="s">
        <v>449</v>
      </c>
      <c r="O303" s="34">
        <v>80</v>
      </c>
      <c r="P303" s="6" t="s">
        <v>87</v>
      </c>
      <c r="Q303" s="34">
        <v>186</v>
      </c>
      <c r="R303" s="6" t="s">
        <v>87</v>
      </c>
      <c r="S303" s="6" t="s">
        <v>87</v>
      </c>
      <c r="T303" s="12">
        <f>Tableau1[[#This Row],[Loyer €/m²]]*Tableau1[[#This Row],[Surface GLA]]</f>
        <v>32000</v>
      </c>
      <c r="U303" s="12">
        <f>IFERROR(Tableau1[[#This Row],[Loyer annuel]]/12,"")</f>
        <v>2666.6666666666665</v>
      </c>
      <c r="V303" s="12">
        <v>400</v>
      </c>
      <c r="W303" s="34" t="s">
        <v>87</v>
      </c>
      <c r="X303" s="6">
        <f>Tableau1[[#This Row],[Charges €/m²]]*Tableau1[[#This Row],[Surface GLA]]</f>
        <v>3600</v>
      </c>
      <c r="Y303" s="12">
        <f>Tableau1[[#This Row],[Charges annuelles]]/12</f>
        <v>300</v>
      </c>
      <c r="Z303" s="12">
        <v>45</v>
      </c>
      <c r="AA303" s="12">
        <f>IFERROR(Tableau1[[#This Row],[Taxe foncière €/m²]]*Tableau1[[#This Row],[Surface GLA]],)</f>
        <v>2160</v>
      </c>
      <c r="AB303" s="12">
        <v>27</v>
      </c>
      <c r="AC303" s="12">
        <f>IFERROR(Tableau1[[#This Row],[Marketing €/m²]]*Tableau1[[#This Row],[Surface GLA]],)</f>
        <v>0</v>
      </c>
      <c r="AD303" s="12"/>
      <c r="AE303" s="12">
        <f>IFERROR(Tableau1[[#This Row],[Loyer annuel]]+Tableau1[[#This Row],[Charges annuelles]]+Tableau1[[#This Row],[Taxe foncière]]+Tableau1[[#This Row],[Marketing]],"")</f>
        <v>37760</v>
      </c>
      <c r="AF303" s="12" t="str">
        <f t="shared" si="16"/>
        <v>3 mois = 8 000 €</v>
      </c>
      <c r="AG303" s="12" t="s">
        <v>87</v>
      </c>
      <c r="AH303" s="12" t="s">
        <v>87</v>
      </c>
      <c r="AI303" s="12" t="s">
        <v>346</v>
      </c>
      <c r="AJ303" s="10" t="s">
        <v>358</v>
      </c>
      <c r="AK303" s="10" t="s">
        <v>352</v>
      </c>
      <c r="AL303" s="10" t="s">
        <v>2333</v>
      </c>
      <c r="AM303" s="11" t="s">
        <v>2332</v>
      </c>
      <c r="AN303" s="11" t="s">
        <v>1308</v>
      </c>
      <c r="AO303" s="5" t="s">
        <v>350</v>
      </c>
      <c r="AP303" s="11" t="s">
        <v>1911</v>
      </c>
      <c r="AQ303" s="11" t="s">
        <v>1912</v>
      </c>
      <c r="AR303" s="11" t="s">
        <v>1904</v>
      </c>
      <c r="AS303" s="36" t="s">
        <v>1917</v>
      </c>
      <c r="AT303" s="11" t="s">
        <v>59</v>
      </c>
      <c r="AU303" s="11"/>
      <c r="AV303" s="13" t="s">
        <v>1746</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1901</v>
      </c>
      <c r="E304" s="26">
        <v>62103</v>
      </c>
      <c r="F304" s="10" t="s">
        <v>1900</v>
      </c>
      <c r="G304" s="39" t="str">
        <f>Tableau1[[#This Row],[Rue]]&amp;CHAR(10)&amp;Tableau1[[#This Row],[Code Postal]]&amp;" - "&amp;Tableau1[[#This Row],[Ville]]</f>
        <v>Auchan 1 Av. Roger Salengro
62103 - Calais</v>
      </c>
      <c r="H304" s="15" t="s">
        <v>1899</v>
      </c>
      <c r="I304" s="12" t="s">
        <v>37</v>
      </c>
      <c r="J304" s="12" t="s">
        <v>41</v>
      </c>
      <c r="K304" s="10" t="s">
        <v>87</v>
      </c>
      <c r="L304" s="10" t="s">
        <v>87</v>
      </c>
      <c r="M304" s="12" t="s">
        <v>87</v>
      </c>
      <c r="N304" s="36" t="s">
        <v>394</v>
      </c>
      <c r="O304" s="34">
        <v>106</v>
      </c>
      <c r="P304" s="6" t="s">
        <v>87</v>
      </c>
      <c r="Q304" s="34">
        <v>186</v>
      </c>
      <c r="R304" s="6" t="s">
        <v>87</v>
      </c>
      <c r="S304" s="6" t="s">
        <v>87</v>
      </c>
      <c r="T304" s="12">
        <f>Tableau1[[#This Row],[Loyer €/m²]]*Tableau1[[#This Row],[Surface GLA]]</f>
        <v>37100</v>
      </c>
      <c r="U304" s="12">
        <f>IFERROR(Tableau1[[#This Row],[Loyer annuel]]/12,"")</f>
        <v>3091.6666666666665</v>
      </c>
      <c r="V304" s="12">
        <v>350</v>
      </c>
      <c r="W304" s="34" t="s">
        <v>87</v>
      </c>
      <c r="X304" s="6">
        <f>Tableau1[[#This Row],[Charges €/m²]]*Tableau1[[#This Row],[Surface GLA]]</f>
        <v>4770</v>
      </c>
      <c r="Y304" s="12">
        <f>Tableau1[[#This Row],[Charges annuelles]]/12</f>
        <v>397.5</v>
      </c>
      <c r="Z304" s="12">
        <v>45</v>
      </c>
      <c r="AA304" s="12">
        <f>IFERROR(Tableau1[[#This Row],[Taxe foncière €/m²]]*Tableau1[[#This Row],[Surface GLA]],)</f>
        <v>2862</v>
      </c>
      <c r="AB304" s="12">
        <v>27</v>
      </c>
      <c r="AC304" s="12">
        <f>IFERROR(Tableau1[[#This Row],[Marketing €/m²]]*Tableau1[[#This Row],[Surface GLA]],)</f>
        <v>0</v>
      </c>
      <c r="AD304" s="12"/>
      <c r="AE304" s="12">
        <f>IFERROR(Tableau1[[#This Row],[Loyer annuel]]+Tableau1[[#This Row],[Charges annuelles]]+Tableau1[[#This Row],[Taxe foncière]]+Tableau1[[#This Row],[Marketing]],"")</f>
        <v>44732</v>
      </c>
      <c r="AF304" s="12" t="str">
        <f t="shared" si="16"/>
        <v>3 mois = 9 275 €</v>
      </c>
      <c r="AG304" s="12" t="s">
        <v>87</v>
      </c>
      <c r="AH304" s="12" t="s">
        <v>87</v>
      </c>
      <c r="AI304" s="12" t="s">
        <v>346</v>
      </c>
      <c r="AJ304" s="10" t="s">
        <v>358</v>
      </c>
      <c r="AK304" s="10" t="s">
        <v>352</v>
      </c>
      <c r="AL304" s="10" t="s">
        <v>2333</v>
      </c>
      <c r="AM304" s="11" t="s">
        <v>2332</v>
      </c>
      <c r="AN304" s="11" t="s">
        <v>1308</v>
      </c>
      <c r="AO304" s="5" t="s">
        <v>350</v>
      </c>
      <c r="AP304" s="11" t="s">
        <v>1913</v>
      </c>
      <c r="AQ304" s="11" t="s">
        <v>1914</v>
      </c>
      <c r="AR304" s="11" t="s">
        <v>1905</v>
      </c>
      <c r="AS304" s="36" t="s">
        <v>1917</v>
      </c>
      <c r="AT304" s="11" t="s">
        <v>59</v>
      </c>
      <c r="AU304" s="11"/>
      <c r="AV304" s="13" t="s">
        <v>1746</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1901</v>
      </c>
      <c r="E305" s="26">
        <v>62104</v>
      </c>
      <c r="F305" s="10" t="s">
        <v>1900</v>
      </c>
      <c r="G305" s="39" t="str">
        <f>Tableau1[[#This Row],[Rue]]&amp;CHAR(10)&amp;Tableau1[[#This Row],[Code Postal]]&amp;" - "&amp;Tableau1[[#This Row],[Ville]]</f>
        <v>Auchan 1 Av. Roger Salengro
62104 - Calais</v>
      </c>
      <c r="H305" s="15" t="s">
        <v>1899</v>
      </c>
      <c r="I305" s="12" t="s">
        <v>37</v>
      </c>
      <c r="J305" s="12" t="s">
        <v>41</v>
      </c>
      <c r="K305" s="10" t="s">
        <v>87</v>
      </c>
      <c r="L305" s="10" t="s">
        <v>87</v>
      </c>
      <c r="M305" s="12" t="s">
        <v>87</v>
      </c>
      <c r="N305" s="36" t="s">
        <v>1805</v>
      </c>
      <c r="O305" s="34">
        <v>20</v>
      </c>
      <c r="P305" s="6" t="s">
        <v>87</v>
      </c>
      <c r="Q305" s="34" t="s">
        <v>87</v>
      </c>
      <c r="R305" s="34" t="s">
        <v>87</v>
      </c>
      <c r="S305" s="6" t="s">
        <v>87</v>
      </c>
      <c r="T305" s="12">
        <f>Tableau1[[#This Row],[Loyer €/m²]]*Tableau1[[#This Row],[Surface GLA]]</f>
        <v>10000</v>
      </c>
      <c r="U305" s="12">
        <f>IFERROR(Tableau1[[#This Row],[Loyer annuel]]/12,"")</f>
        <v>833.33333333333337</v>
      </c>
      <c r="V305" s="12">
        <v>500</v>
      </c>
      <c r="W305" s="34" t="s">
        <v>87</v>
      </c>
      <c r="X305" s="6">
        <f>Tableau1[[#This Row],[Charges €/m²]]*Tableau1[[#This Row],[Surface GLA]]</f>
        <v>900</v>
      </c>
      <c r="Y305" s="12">
        <f>Tableau1[[#This Row],[Charges annuelles]]/12</f>
        <v>75</v>
      </c>
      <c r="Z305" s="12">
        <v>45</v>
      </c>
      <c r="AA305" s="12">
        <f>IFERROR(Tableau1[[#This Row],[Taxe foncière €/m²]]*Tableau1[[#This Row],[Surface GLA]],)</f>
        <v>540</v>
      </c>
      <c r="AB305" s="12">
        <v>27</v>
      </c>
      <c r="AC305" s="12">
        <f>IFERROR(Tableau1[[#This Row],[Marketing €/m²]]*Tableau1[[#This Row],[Surface GLA]],)</f>
        <v>0</v>
      </c>
      <c r="AD305" s="12"/>
      <c r="AE305" s="12">
        <f>IFERROR(Tableau1[[#This Row],[Loyer annuel]]+Tableau1[[#This Row],[Charges annuelles]]+Tableau1[[#This Row],[Taxe foncière]]+Tableau1[[#This Row],[Marketing]],"")</f>
        <v>11440</v>
      </c>
      <c r="AF305" s="12" t="str">
        <f t="shared" si="16"/>
        <v>3 mois = 2 500 €</v>
      </c>
      <c r="AG305" s="12" t="s">
        <v>87</v>
      </c>
      <c r="AH305" s="12" t="s">
        <v>87</v>
      </c>
      <c r="AI305" s="12" t="s">
        <v>346</v>
      </c>
      <c r="AJ305" s="10" t="s">
        <v>358</v>
      </c>
      <c r="AK305" s="10" t="s">
        <v>352</v>
      </c>
      <c r="AL305" s="10" t="s">
        <v>2333</v>
      </c>
      <c r="AM305" s="11" t="s">
        <v>2332</v>
      </c>
      <c r="AN305" s="11" t="s">
        <v>1308</v>
      </c>
      <c r="AO305" s="5" t="s">
        <v>350</v>
      </c>
      <c r="AP305" s="11" t="s">
        <v>1915</v>
      </c>
      <c r="AQ305" s="11" t="s">
        <v>1916</v>
      </c>
      <c r="AR305" s="11" t="s">
        <v>1906</v>
      </c>
      <c r="AS305" s="36" t="s">
        <v>1917</v>
      </c>
      <c r="AT305" s="11" t="s">
        <v>59</v>
      </c>
      <c r="AU305" s="11"/>
      <c r="AV305" s="13" t="s">
        <v>1746</v>
      </c>
      <c r="AW305" s="14"/>
      <c r="AX305" s="44">
        <v>46175</v>
      </c>
    </row>
    <row r="306" spans="1:50" ht="25.5">
      <c r="A306" s="38" t="str">
        <f>VLOOKUP(Tableau1[[#This Row],[N° Département]],Feuil1!$C$6:$E$106,3)</f>
        <v>Nouvelle-Aquitaine</v>
      </c>
      <c r="B306" s="38" t="str">
        <f>VLOOKUP(Tableau1[[#This Row],[N° Département]],Feuil1!$C$6:$E$106,2)</f>
        <v>Vienne</v>
      </c>
      <c r="C306" s="38">
        <f>LEFT(Tableau1[[#This Row],[Code Postal]],2)*1</f>
        <v>86</v>
      </c>
      <c r="D306" s="10" t="s">
        <v>1966</v>
      </c>
      <c r="E306" s="26">
        <v>86100</v>
      </c>
      <c r="F306" s="10" t="s">
        <v>1918</v>
      </c>
      <c r="G306" s="39" t="str">
        <f>Tableau1[[#This Row],[Rue]]&amp;CHAR(10)&amp;Tableau1[[#This Row],[Code Postal]]&amp;" - "&amp;Tableau1[[#This Row],[Ville]]</f>
        <v>Auchan 26 Av. Jean Moulin
86100 - Châtellerault</v>
      </c>
      <c r="H306" s="15" t="s">
        <v>1919</v>
      </c>
      <c r="I306" s="12" t="s">
        <v>37</v>
      </c>
      <c r="J306" s="12" t="s">
        <v>41</v>
      </c>
      <c r="K306" s="10" t="s">
        <v>87</v>
      </c>
      <c r="L306" s="10" t="s">
        <v>87</v>
      </c>
      <c r="M306" s="12" t="s">
        <v>87</v>
      </c>
      <c r="N306" s="36" t="s">
        <v>318</v>
      </c>
      <c r="O306" s="34">
        <v>204</v>
      </c>
      <c r="P306" s="6" t="s">
        <v>87</v>
      </c>
      <c r="Q306" s="34">
        <v>324</v>
      </c>
      <c r="R306" s="34" t="s">
        <v>87</v>
      </c>
      <c r="S306" s="6" t="s">
        <v>87</v>
      </c>
      <c r="T306" s="12">
        <f>Tableau1[[#This Row],[Loyer €/m²]]*Tableau1[[#This Row],[Surface GLA]]</f>
        <v>40800</v>
      </c>
      <c r="U306" s="12">
        <f>IFERROR(Tableau1[[#This Row],[Loyer annuel]]/12,"")</f>
        <v>3400</v>
      </c>
      <c r="V306" s="12">
        <v>200</v>
      </c>
      <c r="W306" s="34" t="s">
        <v>87</v>
      </c>
      <c r="X306" s="6">
        <f>Tableau1[[#This Row],[Charges €/m²]]*Tableau1[[#This Row],[Surface GLA]]</f>
        <v>10200</v>
      </c>
      <c r="Y306" s="12">
        <f>Tableau1[[#This Row],[Charges annuelles]]/12</f>
        <v>850</v>
      </c>
      <c r="Z306" s="12">
        <v>50</v>
      </c>
      <c r="AA306" s="12">
        <f>IFERROR(Tableau1[[#This Row],[Taxe foncière €/m²]]*Tableau1[[#This Row],[Surface GLA]],)</f>
        <v>2856</v>
      </c>
      <c r="AB306" s="12">
        <v>14</v>
      </c>
      <c r="AC306" s="12">
        <f>IFERROR(Tableau1[[#This Row],[Marketing €/m²]]*Tableau1[[#This Row],[Surface GLA]],)</f>
        <v>0</v>
      </c>
      <c r="AD306" s="12"/>
      <c r="AE306" s="12">
        <f>IFERROR(Tableau1[[#This Row],[Loyer annuel]]+Tableau1[[#This Row],[Charges annuelles]]+Tableau1[[#This Row],[Taxe foncière]]+Tableau1[[#This Row],[Marketing]],"")</f>
        <v>53856</v>
      </c>
      <c r="AF306" s="12" t="str">
        <f t="shared" si="16"/>
        <v>3 mois = 10 200 €</v>
      </c>
      <c r="AG306" s="12" t="s">
        <v>87</v>
      </c>
      <c r="AH306" s="12" t="s">
        <v>87</v>
      </c>
      <c r="AI306" s="12" t="s">
        <v>346</v>
      </c>
      <c r="AJ306" s="10" t="s">
        <v>358</v>
      </c>
      <c r="AK306" s="10" t="s">
        <v>352</v>
      </c>
      <c r="AL306" s="10" t="s">
        <v>2336</v>
      </c>
      <c r="AM306" s="11" t="s">
        <v>2335</v>
      </c>
      <c r="AN306" s="11" t="s">
        <v>1308</v>
      </c>
      <c r="AO306" s="5" t="s">
        <v>350</v>
      </c>
      <c r="AP306" s="11" t="s">
        <v>1941</v>
      </c>
      <c r="AQ306" s="11" t="s">
        <v>1942</v>
      </c>
      <c r="AR306" s="11" t="s">
        <v>1926</v>
      </c>
      <c r="AS306" s="36" t="s">
        <v>2061</v>
      </c>
      <c r="AT306" s="11" t="s">
        <v>59</v>
      </c>
      <c r="AU306" s="11"/>
      <c r="AV306" s="13" t="s">
        <v>1746</v>
      </c>
      <c r="AW306" s="14"/>
      <c r="AX306" s="44">
        <v>46175</v>
      </c>
    </row>
    <row r="307" spans="1:50" ht="25.5">
      <c r="A307" s="38" t="str">
        <f>VLOOKUP(Tableau1[[#This Row],[N° Département]],Feuil1!$C$6:$E$106,3)</f>
        <v>Nouvelle-Aquitaine</v>
      </c>
      <c r="B307" s="38" t="str">
        <f>VLOOKUP(Tableau1[[#This Row],[N° Département]],Feuil1!$C$6:$E$106,2)</f>
        <v>Vienne</v>
      </c>
      <c r="C307" s="38">
        <f>LEFT(Tableau1[[#This Row],[Code Postal]],2)*1</f>
        <v>86</v>
      </c>
      <c r="D307" s="10" t="s">
        <v>1966</v>
      </c>
      <c r="E307" s="26">
        <v>86100</v>
      </c>
      <c r="F307" s="10" t="s">
        <v>1918</v>
      </c>
      <c r="G307" s="39" t="str">
        <f>Tableau1[[#This Row],[Rue]]&amp;CHAR(10)&amp;Tableau1[[#This Row],[Code Postal]]&amp;" - "&amp;Tableau1[[#This Row],[Ville]]</f>
        <v>Auchan 26 Av. Jean Moulin
86100 - Châtellerault</v>
      </c>
      <c r="H307" s="15" t="s">
        <v>1919</v>
      </c>
      <c r="I307" s="12" t="s">
        <v>37</v>
      </c>
      <c r="J307" s="12" t="s">
        <v>41</v>
      </c>
      <c r="K307" s="10" t="s">
        <v>87</v>
      </c>
      <c r="L307" s="10" t="s">
        <v>87</v>
      </c>
      <c r="M307" s="12" t="s">
        <v>87</v>
      </c>
      <c r="N307" s="36" t="s">
        <v>319</v>
      </c>
      <c r="O307" s="34">
        <v>120</v>
      </c>
      <c r="P307" s="6" t="s">
        <v>87</v>
      </c>
      <c r="Q307" s="34">
        <v>324</v>
      </c>
      <c r="R307" s="34" t="s">
        <v>87</v>
      </c>
      <c r="S307" s="6" t="s">
        <v>87</v>
      </c>
      <c r="T307" s="12">
        <f>Tableau1[[#This Row],[Loyer €/m²]]*Tableau1[[#This Row],[Surface GLA]]</f>
        <v>24000</v>
      </c>
      <c r="U307" s="12">
        <f>IFERROR(Tableau1[[#This Row],[Loyer annuel]]/12,"")</f>
        <v>2000</v>
      </c>
      <c r="V307" s="12">
        <v>200</v>
      </c>
      <c r="W307" s="34" t="s">
        <v>87</v>
      </c>
      <c r="X307" s="6">
        <f>Tableau1[[#This Row],[Charges €/m²]]*Tableau1[[#This Row],[Surface GLA]]</f>
        <v>6000</v>
      </c>
      <c r="Y307" s="12">
        <f>Tableau1[[#This Row],[Charges annuelles]]/12</f>
        <v>500</v>
      </c>
      <c r="Z307" s="12">
        <v>50</v>
      </c>
      <c r="AA307" s="12">
        <f>IFERROR(Tableau1[[#This Row],[Taxe foncière €/m²]]*Tableau1[[#This Row],[Surface GLA]],)</f>
        <v>1680</v>
      </c>
      <c r="AB307" s="12">
        <v>14</v>
      </c>
      <c r="AC307" s="12">
        <f>IFERROR(Tableau1[[#This Row],[Marketing €/m²]]*Tableau1[[#This Row],[Surface GLA]],)</f>
        <v>0</v>
      </c>
      <c r="AD307" s="12"/>
      <c r="AE307" s="12">
        <f>IFERROR(Tableau1[[#This Row],[Loyer annuel]]+Tableau1[[#This Row],[Charges annuelles]]+Tableau1[[#This Row],[Taxe foncière]]+Tableau1[[#This Row],[Marketing]],"")</f>
        <v>31680</v>
      </c>
      <c r="AF307" s="12" t="str">
        <f t="shared" si="16"/>
        <v>3 mois = 6 000 €</v>
      </c>
      <c r="AG307" s="12" t="s">
        <v>87</v>
      </c>
      <c r="AH307" s="12" t="s">
        <v>87</v>
      </c>
      <c r="AI307" s="12" t="s">
        <v>346</v>
      </c>
      <c r="AJ307" s="10" t="s">
        <v>358</v>
      </c>
      <c r="AK307" s="10" t="s">
        <v>352</v>
      </c>
      <c r="AL307" s="10" t="s">
        <v>2336</v>
      </c>
      <c r="AM307" s="11" t="s">
        <v>2335</v>
      </c>
      <c r="AN307" s="11" t="s">
        <v>1308</v>
      </c>
      <c r="AO307" s="5" t="s">
        <v>350</v>
      </c>
      <c r="AP307" s="11">
        <v>46.797989000000001</v>
      </c>
      <c r="AQ307" s="11">
        <v>0.52867900000000001</v>
      </c>
      <c r="AR307" s="11" t="s">
        <v>1928</v>
      </c>
      <c r="AS307" s="36" t="s">
        <v>2061</v>
      </c>
      <c r="AT307" s="11" t="s">
        <v>59</v>
      </c>
      <c r="AU307" s="11"/>
      <c r="AV307" s="13" t="s">
        <v>1746</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1966</v>
      </c>
      <c r="E308" s="26">
        <v>86100</v>
      </c>
      <c r="F308" s="10" t="s">
        <v>1918</v>
      </c>
      <c r="G308" s="39" t="str">
        <f>Tableau1[[#This Row],[Rue]]&amp;CHAR(10)&amp;Tableau1[[#This Row],[Code Postal]]&amp;" - "&amp;Tableau1[[#This Row],[Ville]]</f>
        <v>Auchan 26 Av. Jean Moulin
86100 - Châtellerault</v>
      </c>
      <c r="H308" s="15" t="s">
        <v>1919</v>
      </c>
      <c r="I308" s="12" t="s">
        <v>37</v>
      </c>
      <c r="J308" s="12" t="s">
        <v>41</v>
      </c>
      <c r="K308" s="10" t="s">
        <v>87</v>
      </c>
      <c r="L308" s="10" t="s">
        <v>87</v>
      </c>
      <c r="M308" s="12" t="s">
        <v>87</v>
      </c>
      <c r="N308" s="36" t="s">
        <v>343</v>
      </c>
      <c r="O308" s="34">
        <v>65</v>
      </c>
      <c r="P308" s="6" t="s">
        <v>87</v>
      </c>
      <c r="Q308" s="34">
        <v>186</v>
      </c>
      <c r="R308" s="34" t="s">
        <v>87</v>
      </c>
      <c r="S308" s="6" t="s">
        <v>87</v>
      </c>
      <c r="T308" s="12">
        <f>Tableau1[[#This Row],[Loyer €/m²]]*Tableau1[[#This Row],[Surface GLA]]</f>
        <v>13000</v>
      </c>
      <c r="U308" s="12">
        <f>IFERROR(Tableau1[[#This Row],[Loyer annuel]]/12,"")</f>
        <v>1083.3333333333333</v>
      </c>
      <c r="V308" s="12">
        <v>200</v>
      </c>
      <c r="W308" s="34" t="s">
        <v>87</v>
      </c>
      <c r="X308" s="6">
        <f>Tableau1[[#This Row],[Charges €/m²]]*Tableau1[[#This Row],[Surface GLA]]</f>
        <v>3250</v>
      </c>
      <c r="Y308" s="12">
        <f>Tableau1[[#This Row],[Charges annuelles]]/12</f>
        <v>270.83333333333331</v>
      </c>
      <c r="Z308" s="12">
        <v>50</v>
      </c>
      <c r="AA308" s="12">
        <f>IFERROR(Tableau1[[#This Row],[Taxe foncière €/m²]]*Tableau1[[#This Row],[Surface GLA]],)</f>
        <v>910</v>
      </c>
      <c r="AB308" s="12">
        <v>14</v>
      </c>
      <c r="AC308" s="12">
        <f>IFERROR(Tableau1[[#This Row],[Marketing €/m²]]*Tableau1[[#This Row],[Surface GLA]],)</f>
        <v>0</v>
      </c>
      <c r="AD308" s="12"/>
      <c r="AE308" s="12">
        <f>IFERROR(Tableau1[[#This Row],[Loyer annuel]]+Tableau1[[#This Row],[Charges annuelles]]+Tableau1[[#This Row],[Taxe foncière]]+Tableau1[[#This Row],[Marketing]],"")</f>
        <v>17160</v>
      </c>
      <c r="AF308" s="12" t="str">
        <f t="shared" si="16"/>
        <v>3 mois = 3 250 €</v>
      </c>
      <c r="AG308" s="12" t="s">
        <v>87</v>
      </c>
      <c r="AH308" s="12" t="s">
        <v>87</v>
      </c>
      <c r="AI308" s="12" t="s">
        <v>346</v>
      </c>
      <c r="AJ308" s="10" t="s">
        <v>358</v>
      </c>
      <c r="AK308" s="10" t="s">
        <v>352</v>
      </c>
      <c r="AL308" s="10" t="s">
        <v>2336</v>
      </c>
      <c r="AM308" s="11" t="s">
        <v>2335</v>
      </c>
      <c r="AN308" s="11" t="s">
        <v>1308</v>
      </c>
      <c r="AO308" s="5" t="s">
        <v>350</v>
      </c>
      <c r="AP308" s="11" t="s">
        <v>1943</v>
      </c>
      <c r="AQ308" s="11" t="s">
        <v>1944</v>
      </c>
      <c r="AR308" s="11" t="s">
        <v>1933</v>
      </c>
      <c r="AS308" s="36" t="s">
        <v>2061</v>
      </c>
      <c r="AT308" s="11" t="s">
        <v>59</v>
      </c>
      <c r="AU308" s="11"/>
      <c r="AV308" s="13" t="s">
        <v>1746</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1966</v>
      </c>
      <c r="E309" s="26">
        <v>86100</v>
      </c>
      <c r="F309" s="10" t="s">
        <v>1918</v>
      </c>
      <c r="G309" s="39" t="str">
        <f>Tableau1[[#This Row],[Rue]]&amp;CHAR(10)&amp;Tableau1[[#This Row],[Code Postal]]&amp;" - "&amp;Tableau1[[#This Row],[Ville]]</f>
        <v>Auchan 26 Av. Jean Moulin
86100 - Châtellerault</v>
      </c>
      <c r="H309" s="15" t="s">
        <v>1919</v>
      </c>
      <c r="I309" s="12" t="s">
        <v>37</v>
      </c>
      <c r="J309" s="12" t="s">
        <v>41</v>
      </c>
      <c r="K309" s="10" t="s">
        <v>87</v>
      </c>
      <c r="L309" s="10" t="s">
        <v>87</v>
      </c>
      <c r="M309" s="12" t="s">
        <v>87</v>
      </c>
      <c r="N309" s="36" t="s">
        <v>1858</v>
      </c>
      <c r="O309" s="34">
        <v>121</v>
      </c>
      <c r="P309" s="6" t="s">
        <v>87</v>
      </c>
      <c r="Q309" s="34">
        <v>186</v>
      </c>
      <c r="R309" s="34" t="s">
        <v>87</v>
      </c>
      <c r="S309" s="6" t="s">
        <v>87</v>
      </c>
      <c r="T309" s="12">
        <f>Tableau1[[#This Row],[Loyer €/m²]]*Tableau1[[#This Row],[Surface GLA]]</f>
        <v>24200</v>
      </c>
      <c r="U309" s="12">
        <f>IFERROR(Tableau1[[#This Row],[Loyer annuel]]/12,"")</f>
        <v>2016.6666666666667</v>
      </c>
      <c r="V309" s="12">
        <v>200</v>
      </c>
      <c r="W309" s="34" t="s">
        <v>87</v>
      </c>
      <c r="X309" s="6">
        <f>Tableau1[[#This Row],[Charges €/m²]]*Tableau1[[#This Row],[Surface GLA]]</f>
        <v>6050</v>
      </c>
      <c r="Y309" s="12">
        <f>Tableau1[[#This Row],[Charges annuelles]]/12</f>
        <v>504.16666666666669</v>
      </c>
      <c r="Z309" s="12">
        <v>50</v>
      </c>
      <c r="AA309" s="12">
        <f>IFERROR(Tableau1[[#This Row],[Taxe foncière €/m²]]*Tableau1[[#This Row],[Surface GLA]],)</f>
        <v>1694</v>
      </c>
      <c r="AB309" s="12">
        <v>14</v>
      </c>
      <c r="AC309" s="12">
        <f>IFERROR(Tableau1[[#This Row],[Marketing €/m²]]*Tableau1[[#This Row],[Surface GLA]],)</f>
        <v>0</v>
      </c>
      <c r="AD309" s="12"/>
      <c r="AE309" s="12">
        <f>IFERROR(Tableau1[[#This Row],[Loyer annuel]]+Tableau1[[#This Row],[Charges annuelles]]+Tableau1[[#This Row],[Taxe foncière]]+Tableau1[[#This Row],[Marketing]],"")</f>
        <v>31944</v>
      </c>
      <c r="AF309" s="12" t="str">
        <f t="shared" si="16"/>
        <v>3 mois = 6 050 €</v>
      </c>
      <c r="AG309" s="12" t="s">
        <v>87</v>
      </c>
      <c r="AH309" s="12" t="s">
        <v>87</v>
      </c>
      <c r="AI309" s="12" t="s">
        <v>346</v>
      </c>
      <c r="AJ309" s="10" t="s">
        <v>358</v>
      </c>
      <c r="AK309" s="10" t="s">
        <v>352</v>
      </c>
      <c r="AL309" s="10" t="s">
        <v>2336</v>
      </c>
      <c r="AM309" s="11" t="s">
        <v>2335</v>
      </c>
      <c r="AN309" s="11" t="s">
        <v>1308</v>
      </c>
      <c r="AO309" s="5" t="s">
        <v>350</v>
      </c>
      <c r="AP309" s="11" t="s">
        <v>1945</v>
      </c>
      <c r="AQ309" s="11" t="s">
        <v>1946</v>
      </c>
      <c r="AR309" s="11" t="s">
        <v>1934</v>
      </c>
      <c r="AS309" s="36" t="s">
        <v>2061</v>
      </c>
      <c r="AT309" s="11" t="s">
        <v>59</v>
      </c>
      <c r="AU309" s="11"/>
      <c r="AV309" s="13" t="s">
        <v>1746</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1966</v>
      </c>
      <c r="E310" s="26">
        <v>86100</v>
      </c>
      <c r="F310" s="10" t="s">
        <v>1918</v>
      </c>
      <c r="G310" s="39" t="str">
        <f>Tableau1[[#This Row],[Rue]]&amp;CHAR(10)&amp;Tableau1[[#This Row],[Code Postal]]&amp;" - "&amp;Tableau1[[#This Row],[Ville]]</f>
        <v>Auchan 26 Av. Jean Moulin
86100 - Châtellerault</v>
      </c>
      <c r="H310" s="15" t="s">
        <v>1919</v>
      </c>
      <c r="I310" s="12" t="s">
        <v>37</v>
      </c>
      <c r="J310" s="12" t="s">
        <v>41</v>
      </c>
      <c r="K310" s="10" t="s">
        <v>87</v>
      </c>
      <c r="L310" s="10" t="s">
        <v>87</v>
      </c>
      <c r="M310" s="12" t="s">
        <v>87</v>
      </c>
      <c r="N310" s="36" t="s">
        <v>437</v>
      </c>
      <c r="O310" s="34">
        <v>206</v>
      </c>
      <c r="P310" s="6" t="s">
        <v>87</v>
      </c>
      <c r="Q310" s="34" t="s">
        <v>87</v>
      </c>
      <c r="R310" s="34" t="s">
        <v>87</v>
      </c>
      <c r="S310" s="6" t="s">
        <v>87</v>
      </c>
      <c r="T310" s="12">
        <f>Tableau1[[#This Row],[Loyer €/m²]]*Tableau1[[#This Row],[Surface GLA]]</f>
        <v>41200</v>
      </c>
      <c r="U310" s="12">
        <f>IFERROR(Tableau1[[#This Row],[Loyer annuel]]/12,"")</f>
        <v>3433.3333333333335</v>
      </c>
      <c r="V310" s="12">
        <v>200</v>
      </c>
      <c r="W310" s="34" t="s">
        <v>87</v>
      </c>
      <c r="X310" s="6">
        <f>Tableau1[[#This Row],[Charges €/m²]]*Tableau1[[#This Row],[Surface GLA]]</f>
        <v>10300</v>
      </c>
      <c r="Y310" s="12">
        <f>Tableau1[[#This Row],[Charges annuelles]]/12</f>
        <v>858.33333333333337</v>
      </c>
      <c r="Z310" s="12">
        <v>50</v>
      </c>
      <c r="AA310" s="12">
        <f>IFERROR(Tableau1[[#This Row],[Taxe foncière €/m²]]*Tableau1[[#This Row],[Surface GLA]],)</f>
        <v>2884</v>
      </c>
      <c r="AB310" s="12">
        <v>14</v>
      </c>
      <c r="AC310" s="12">
        <f>IFERROR(Tableau1[[#This Row],[Marketing €/m²]]*Tableau1[[#This Row],[Surface GLA]],)</f>
        <v>0</v>
      </c>
      <c r="AD310" s="12"/>
      <c r="AE310" s="12">
        <f>IFERROR(Tableau1[[#This Row],[Loyer annuel]]+Tableau1[[#This Row],[Charges annuelles]]+Tableau1[[#This Row],[Taxe foncière]]+Tableau1[[#This Row],[Marketing]],"")</f>
        <v>54384</v>
      </c>
      <c r="AF310" s="12" t="str">
        <f t="shared" si="16"/>
        <v>3 mois = 10 300 €</v>
      </c>
      <c r="AG310" s="12" t="s">
        <v>87</v>
      </c>
      <c r="AH310" s="12" t="s">
        <v>87</v>
      </c>
      <c r="AI310" s="12" t="s">
        <v>346</v>
      </c>
      <c r="AJ310" s="10" t="s">
        <v>358</v>
      </c>
      <c r="AK310" s="10" t="s">
        <v>352</v>
      </c>
      <c r="AL310" s="10" t="s">
        <v>2336</v>
      </c>
      <c r="AM310" s="11" t="s">
        <v>2335</v>
      </c>
      <c r="AN310" s="11" t="s">
        <v>1308</v>
      </c>
      <c r="AO310" s="5" t="s">
        <v>350</v>
      </c>
      <c r="AP310" s="11" t="s">
        <v>1947</v>
      </c>
      <c r="AQ310" s="11" t="s">
        <v>1948</v>
      </c>
      <c r="AR310" s="11" t="s">
        <v>1935</v>
      </c>
      <c r="AS310" s="36" t="s">
        <v>2061</v>
      </c>
      <c r="AT310" s="11" t="s">
        <v>59</v>
      </c>
      <c r="AU310" s="11"/>
      <c r="AV310" s="13" t="s">
        <v>1746</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1966</v>
      </c>
      <c r="E311" s="26">
        <v>86100</v>
      </c>
      <c r="F311" s="10" t="s">
        <v>1918</v>
      </c>
      <c r="G311" s="39" t="str">
        <f>Tableau1[[#This Row],[Rue]]&amp;CHAR(10)&amp;Tableau1[[#This Row],[Code Postal]]&amp;" - "&amp;Tableau1[[#This Row],[Ville]]</f>
        <v>Auchan 26 Av. Jean Moulin
86100 - Châtellerault</v>
      </c>
      <c r="H311" s="15" t="s">
        <v>1919</v>
      </c>
      <c r="I311" s="12" t="s">
        <v>37</v>
      </c>
      <c r="J311" s="12" t="s">
        <v>41</v>
      </c>
      <c r="K311" s="10" t="s">
        <v>87</v>
      </c>
      <c r="L311" s="10" t="s">
        <v>87</v>
      </c>
      <c r="M311" s="12" t="s">
        <v>87</v>
      </c>
      <c r="N311" s="36" t="s">
        <v>291</v>
      </c>
      <c r="O311" s="34">
        <v>129</v>
      </c>
      <c r="P311" s="6" t="s">
        <v>87</v>
      </c>
      <c r="Q311" s="34">
        <v>524</v>
      </c>
      <c r="R311" s="34" t="s">
        <v>87</v>
      </c>
      <c r="S311" s="6" t="s">
        <v>87</v>
      </c>
      <c r="T311" s="12">
        <f>Tableau1[[#This Row],[Loyer €/m²]]*Tableau1[[#This Row],[Surface GLA]]</f>
        <v>25800</v>
      </c>
      <c r="U311" s="12">
        <f>IFERROR(Tableau1[[#This Row],[Loyer annuel]]/12,"")</f>
        <v>2150</v>
      </c>
      <c r="V311" s="12">
        <v>200</v>
      </c>
      <c r="W311" s="34" t="s">
        <v>87</v>
      </c>
      <c r="X311" s="6">
        <f>Tableau1[[#This Row],[Charges €/m²]]*Tableau1[[#This Row],[Surface GLA]]</f>
        <v>6450</v>
      </c>
      <c r="Y311" s="12">
        <f>Tableau1[[#This Row],[Charges annuelles]]/12</f>
        <v>537.5</v>
      </c>
      <c r="Z311" s="12">
        <v>50</v>
      </c>
      <c r="AA311" s="12">
        <f>IFERROR(Tableau1[[#This Row],[Taxe foncière €/m²]]*Tableau1[[#This Row],[Surface GLA]],)</f>
        <v>1806</v>
      </c>
      <c r="AB311" s="12">
        <v>14</v>
      </c>
      <c r="AC311" s="12">
        <f>IFERROR(Tableau1[[#This Row],[Marketing €/m²]]*Tableau1[[#This Row],[Surface GLA]],)</f>
        <v>0</v>
      </c>
      <c r="AD311" s="12"/>
      <c r="AE311" s="12">
        <f>IFERROR(Tableau1[[#This Row],[Loyer annuel]]+Tableau1[[#This Row],[Charges annuelles]]+Tableau1[[#This Row],[Taxe foncière]]+Tableau1[[#This Row],[Marketing]],"")</f>
        <v>34056</v>
      </c>
      <c r="AF311" s="12" t="str">
        <f t="shared" si="16"/>
        <v>3 mois = 6 450 €</v>
      </c>
      <c r="AG311" s="12" t="s">
        <v>87</v>
      </c>
      <c r="AH311" s="12" t="s">
        <v>87</v>
      </c>
      <c r="AI311" s="12" t="s">
        <v>346</v>
      </c>
      <c r="AJ311" s="10" t="s">
        <v>358</v>
      </c>
      <c r="AK311" s="10" t="s">
        <v>352</v>
      </c>
      <c r="AL311" s="10" t="s">
        <v>2336</v>
      </c>
      <c r="AM311" s="11" t="s">
        <v>2335</v>
      </c>
      <c r="AN311" s="11" t="s">
        <v>1308</v>
      </c>
      <c r="AO311" s="5" t="s">
        <v>350</v>
      </c>
      <c r="AP311" s="11" t="s">
        <v>1949</v>
      </c>
      <c r="AQ311" s="11" t="s">
        <v>1950</v>
      </c>
      <c r="AR311" s="11" t="s">
        <v>1929</v>
      </c>
      <c r="AS311" s="36" t="s">
        <v>2061</v>
      </c>
      <c r="AT311" s="11" t="s">
        <v>59</v>
      </c>
      <c r="AU311" s="11"/>
      <c r="AV311" s="13" t="s">
        <v>1746</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1966</v>
      </c>
      <c r="E312" s="26">
        <v>86100</v>
      </c>
      <c r="F312" s="10" t="s">
        <v>1918</v>
      </c>
      <c r="G312" s="39" t="str">
        <f>Tableau1[[#This Row],[Rue]]&amp;CHAR(10)&amp;Tableau1[[#This Row],[Code Postal]]&amp;" - "&amp;Tableau1[[#This Row],[Ville]]</f>
        <v>Auchan 26 Av. Jean Moulin
86100 - Châtellerault</v>
      </c>
      <c r="H312" s="15" t="s">
        <v>1919</v>
      </c>
      <c r="I312" s="12" t="s">
        <v>37</v>
      </c>
      <c r="J312" s="12" t="s">
        <v>41</v>
      </c>
      <c r="K312" s="10" t="s">
        <v>87</v>
      </c>
      <c r="L312" s="10" t="s">
        <v>87</v>
      </c>
      <c r="M312" s="12" t="s">
        <v>87</v>
      </c>
      <c r="N312" s="36" t="s">
        <v>1920</v>
      </c>
      <c r="O312" s="34">
        <v>196</v>
      </c>
      <c r="P312" s="6" t="s">
        <v>87</v>
      </c>
      <c r="Q312" s="34">
        <v>524</v>
      </c>
      <c r="R312" s="34" t="s">
        <v>87</v>
      </c>
      <c r="S312" s="6" t="s">
        <v>87</v>
      </c>
      <c r="T312" s="12">
        <f>Tableau1[[#This Row],[Loyer €/m²]]*Tableau1[[#This Row],[Surface GLA]]</f>
        <v>39200</v>
      </c>
      <c r="U312" s="12">
        <f>IFERROR(Tableau1[[#This Row],[Loyer annuel]]/12,"")</f>
        <v>3266.6666666666665</v>
      </c>
      <c r="V312" s="12">
        <v>200</v>
      </c>
      <c r="W312" s="34" t="s">
        <v>87</v>
      </c>
      <c r="X312" s="6">
        <f>Tableau1[[#This Row],[Charges €/m²]]*Tableau1[[#This Row],[Surface GLA]]</f>
        <v>9800</v>
      </c>
      <c r="Y312" s="12">
        <f>Tableau1[[#This Row],[Charges annuelles]]/12</f>
        <v>816.66666666666663</v>
      </c>
      <c r="Z312" s="12">
        <v>50</v>
      </c>
      <c r="AA312" s="12">
        <f>IFERROR(Tableau1[[#This Row],[Taxe foncière €/m²]]*Tableau1[[#This Row],[Surface GLA]],)</f>
        <v>2744</v>
      </c>
      <c r="AB312" s="12">
        <v>14</v>
      </c>
      <c r="AC312" s="12">
        <f>IFERROR(Tableau1[[#This Row],[Marketing €/m²]]*Tableau1[[#This Row],[Surface GLA]],)</f>
        <v>0</v>
      </c>
      <c r="AD312" s="12"/>
      <c r="AE312" s="12">
        <f>IFERROR(Tableau1[[#This Row],[Loyer annuel]]+Tableau1[[#This Row],[Charges annuelles]]+Tableau1[[#This Row],[Taxe foncière]]+Tableau1[[#This Row],[Marketing]],"")</f>
        <v>51744</v>
      </c>
      <c r="AF312" s="12" t="str">
        <f t="shared" si="16"/>
        <v>3 mois = 9 800 €</v>
      </c>
      <c r="AG312" s="12" t="s">
        <v>87</v>
      </c>
      <c r="AH312" s="12" t="s">
        <v>87</v>
      </c>
      <c r="AI312" s="12" t="s">
        <v>346</v>
      </c>
      <c r="AJ312" s="10" t="s">
        <v>358</v>
      </c>
      <c r="AK312" s="10" t="s">
        <v>352</v>
      </c>
      <c r="AL312" s="10" t="s">
        <v>2336</v>
      </c>
      <c r="AM312" s="11" t="s">
        <v>2335</v>
      </c>
      <c r="AN312" s="11" t="s">
        <v>1308</v>
      </c>
      <c r="AO312" s="5" t="s">
        <v>350</v>
      </c>
      <c r="AP312" s="11" t="s">
        <v>1949</v>
      </c>
      <c r="AQ312" s="11" t="s">
        <v>1951</v>
      </c>
      <c r="AR312" s="11" t="s">
        <v>1930</v>
      </c>
      <c r="AS312" s="36" t="s">
        <v>2061</v>
      </c>
      <c r="AT312" s="11" t="s">
        <v>59</v>
      </c>
      <c r="AU312" s="11"/>
      <c r="AV312" s="13" t="s">
        <v>1746</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1966</v>
      </c>
      <c r="E313" s="26">
        <v>86100</v>
      </c>
      <c r="F313" s="10" t="s">
        <v>1918</v>
      </c>
      <c r="G313" s="39" t="str">
        <f>Tableau1[[#This Row],[Rue]]&amp;CHAR(10)&amp;Tableau1[[#This Row],[Code Postal]]&amp;" - "&amp;Tableau1[[#This Row],[Ville]]</f>
        <v>Auchan 26 Av. Jean Moulin
86100 - Châtellerault</v>
      </c>
      <c r="H313" s="15" t="s">
        <v>1919</v>
      </c>
      <c r="I313" s="12" t="s">
        <v>37</v>
      </c>
      <c r="J313" s="12" t="s">
        <v>41</v>
      </c>
      <c r="K313" s="10" t="s">
        <v>87</v>
      </c>
      <c r="L313" s="10" t="s">
        <v>87</v>
      </c>
      <c r="M313" s="12" t="s">
        <v>87</v>
      </c>
      <c r="N313" s="36" t="s">
        <v>1921</v>
      </c>
      <c r="O313" s="34">
        <v>199</v>
      </c>
      <c r="P313" s="12" t="s">
        <v>1924</v>
      </c>
      <c r="Q313" s="34">
        <v>524</v>
      </c>
      <c r="R313" s="34" t="s">
        <v>87</v>
      </c>
      <c r="S313" s="6" t="s">
        <v>87</v>
      </c>
      <c r="T313" s="12">
        <f>Tableau1[[#This Row],[Loyer €/m²]]*Tableau1[[#This Row],[Surface GLA]]</f>
        <v>39800</v>
      </c>
      <c r="U313" s="12">
        <f>IFERROR(Tableau1[[#This Row],[Loyer annuel]]/12,"")</f>
        <v>3316.6666666666665</v>
      </c>
      <c r="V313" s="12">
        <v>200</v>
      </c>
      <c r="W313" s="34" t="s">
        <v>87</v>
      </c>
      <c r="X313" s="6">
        <f>Tableau1[[#This Row],[Charges €/m²]]*Tableau1[[#This Row],[Surface GLA]]</f>
        <v>9950</v>
      </c>
      <c r="Y313" s="12">
        <f>Tableau1[[#This Row],[Charges annuelles]]/12</f>
        <v>829.16666666666663</v>
      </c>
      <c r="Z313" s="12">
        <v>50</v>
      </c>
      <c r="AA313" s="12">
        <f>IFERROR(Tableau1[[#This Row],[Taxe foncière €/m²]]*Tableau1[[#This Row],[Surface GLA]],)</f>
        <v>2786</v>
      </c>
      <c r="AB313" s="12">
        <v>14</v>
      </c>
      <c r="AC313" s="12">
        <f>IFERROR(Tableau1[[#This Row],[Marketing €/m²]]*Tableau1[[#This Row],[Surface GLA]],)</f>
        <v>0</v>
      </c>
      <c r="AD313" s="12"/>
      <c r="AE313" s="12">
        <f>IFERROR(Tableau1[[#This Row],[Loyer annuel]]+Tableau1[[#This Row],[Charges annuelles]]+Tableau1[[#This Row],[Taxe foncière]]+Tableau1[[#This Row],[Marketing]],"")</f>
        <v>52536</v>
      </c>
      <c r="AF313" s="12" t="str">
        <f t="shared" si="16"/>
        <v>3 mois = 9 950 €</v>
      </c>
      <c r="AG313" s="12" t="s">
        <v>87</v>
      </c>
      <c r="AH313" s="12" t="s">
        <v>87</v>
      </c>
      <c r="AI313" s="12" t="s">
        <v>346</v>
      </c>
      <c r="AJ313" s="10" t="s">
        <v>358</v>
      </c>
      <c r="AK313" s="10" t="s">
        <v>352</v>
      </c>
      <c r="AL313" s="10" t="s">
        <v>2336</v>
      </c>
      <c r="AM313" s="11" t="s">
        <v>2335</v>
      </c>
      <c r="AN313" s="11" t="s">
        <v>1308</v>
      </c>
      <c r="AO313" s="5" t="s">
        <v>350</v>
      </c>
      <c r="AP313" s="11" t="s">
        <v>1952</v>
      </c>
      <c r="AQ313" s="11" t="s">
        <v>1953</v>
      </c>
      <c r="AR313" s="11" t="s">
        <v>1931</v>
      </c>
      <c r="AS313" s="36" t="s">
        <v>2061</v>
      </c>
      <c r="AT313" s="11" t="s">
        <v>59</v>
      </c>
      <c r="AU313" s="11"/>
      <c r="AV313" s="13" t="s">
        <v>1746</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1966</v>
      </c>
      <c r="E314" s="26">
        <v>86100</v>
      </c>
      <c r="F314" s="10" t="s">
        <v>1918</v>
      </c>
      <c r="G314" s="39" t="str">
        <f>Tableau1[[#This Row],[Rue]]&amp;CHAR(10)&amp;Tableau1[[#This Row],[Code Postal]]&amp;" - "&amp;Tableau1[[#This Row],[Ville]]</f>
        <v>Auchan 26 Av. Jean Moulin
86100 - Châtellerault</v>
      </c>
      <c r="H314" s="15" t="s">
        <v>1919</v>
      </c>
      <c r="I314" s="12" t="s">
        <v>37</v>
      </c>
      <c r="J314" s="12" t="s">
        <v>41</v>
      </c>
      <c r="K314" s="10" t="s">
        <v>87</v>
      </c>
      <c r="L314" s="10" t="s">
        <v>87</v>
      </c>
      <c r="M314" s="12" t="s">
        <v>87</v>
      </c>
      <c r="N314" s="36" t="s">
        <v>451</v>
      </c>
      <c r="O314" s="34">
        <v>204</v>
      </c>
      <c r="P314" s="6" t="s">
        <v>87</v>
      </c>
      <c r="Q314" s="34" t="s">
        <v>87</v>
      </c>
      <c r="R314" s="34" t="s">
        <v>87</v>
      </c>
      <c r="S314" s="6" t="s">
        <v>87</v>
      </c>
      <c r="T314" s="12">
        <f>Tableau1[[#This Row],[Loyer €/m²]]*Tableau1[[#This Row],[Surface GLA]]</f>
        <v>40800</v>
      </c>
      <c r="U314" s="12">
        <f>IFERROR(Tableau1[[#This Row],[Loyer annuel]]/12,"")</f>
        <v>3400</v>
      </c>
      <c r="V314" s="12">
        <v>200</v>
      </c>
      <c r="W314" s="34" t="s">
        <v>87</v>
      </c>
      <c r="X314" s="6">
        <f>Tableau1[[#This Row],[Charges €/m²]]*Tableau1[[#This Row],[Surface GLA]]</f>
        <v>10200</v>
      </c>
      <c r="Y314" s="12">
        <f>Tableau1[[#This Row],[Charges annuelles]]/12</f>
        <v>850</v>
      </c>
      <c r="Z314" s="12">
        <v>50</v>
      </c>
      <c r="AA314" s="12">
        <f>IFERROR(Tableau1[[#This Row],[Taxe foncière €/m²]]*Tableau1[[#This Row],[Surface GLA]],)</f>
        <v>2856</v>
      </c>
      <c r="AB314" s="12">
        <v>14</v>
      </c>
      <c r="AC314" s="12">
        <f>IFERROR(Tableau1[[#This Row],[Marketing €/m²]]*Tableau1[[#This Row],[Surface GLA]],)</f>
        <v>0</v>
      </c>
      <c r="AD314" s="12"/>
      <c r="AE314" s="12">
        <f>IFERROR(Tableau1[[#This Row],[Loyer annuel]]+Tableau1[[#This Row],[Charges annuelles]]+Tableau1[[#This Row],[Taxe foncière]]+Tableau1[[#This Row],[Marketing]],"")</f>
        <v>53856</v>
      </c>
      <c r="AF314" s="12" t="str">
        <f t="shared" si="16"/>
        <v>3 mois = 10 200 €</v>
      </c>
      <c r="AG314" s="12" t="s">
        <v>87</v>
      </c>
      <c r="AH314" s="12" t="s">
        <v>87</v>
      </c>
      <c r="AI314" s="12" t="s">
        <v>346</v>
      </c>
      <c r="AJ314" s="10" t="s">
        <v>358</v>
      </c>
      <c r="AK314" s="10" t="s">
        <v>352</v>
      </c>
      <c r="AL314" s="10" t="s">
        <v>2336</v>
      </c>
      <c r="AM314" s="11" t="s">
        <v>2335</v>
      </c>
      <c r="AN314" s="11" t="s">
        <v>1308</v>
      </c>
      <c r="AO314" s="5" t="s">
        <v>350</v>
      </c>
      <c r="AP314" s="11" t="s">
        <v>1954</v>
      </c>
      <c r="AQ314" s="11" t="s">
        <v>1955</v>
      </c>
      <c r="AR314" s="11" t="s">
        <v>1936</v>
      </c>
      <c r="AS314" s="36" t="s">
        <v>2061</v>
      </c>
      <c r="AT314" s="11" t="s">
        <v>59</v>
      </c>
      <c r="AU314" s="11"/>
      <c r="AV314" s="13" t="s">
        <v>1746</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1966</v>
      </c>
      <c r="E315" s="26">
        <v>86100</v>
      </c>
      <c r="F315" s="10" t="s">
        <v>1918</v>
      </c>
      <c r="G315" s="39" t="str">
        <f>Tableau1[[#This Row],[Rue]]&amp;CHAR(10)&amp;Tableau1[[#This Row],[Code Postal]]&amp;" - "&amp;Tableau1[[#This Row],[Ville]]</f>
        <v>Auchan 26 Av. Jean Moulin
86100 - Châtellerault</v>
      </c>
      <c r="H315" s="15" t="s">
        <v>1919</v>
      </c>
      <c r="I315" s="12" t="s">
        <v>37</v>
      </c>
      <c r="J315" s="12" t="s">
        <v>41</v>
      </c>
      <c r="K315" s="10" t="s">
        <v>87</v>
      </c>
      <c r="L315" s="10" t="s">
        <v>87</v>
      </c>
      <c r="M315" s="12" t="s">
        <v>87</v>
      </c>
      <c r="N315" s="36" t="s">
        <v>452</v>
      </c>
      <c r="O315" s="34">
        <v>134</v>
      </c>
      <c r="P315" s="6" t="s">
        <v>87</v>
      </c>
      <c r="Q315" s="34" t="s">
        <v>87</v>
      </c>
      <c r="R315" s="34" t="s">
        <v>87</v>
      </c>
      <c r="S315" s="6" t="s">
        <v>87</v>
      </c>
      <c r="T315" s="12">
        <f>Tableau1[[#This Row],[Loyer €/m²]]*Tableau1[[#This Row],[Surface GLA]]</f>
        <v>26800</v>
      </c>
      <c r="U315" s="12">
        <f>IFERROR(Tableau1[[#This Row],[Loyer annuel]]/12,"")</f>
        <v>2233.3333333333335</v>
      </c>
      <c r="V315" s="12">
        <v>200</v>
      </c>
      <c r="W315" s="34" t="s">
        <v>87</v>
      </c>
      <c r="X315" s="6">
        <f>Tableau1[[#This Row],[Charges €/m²]]*Tableau1[[#This Row],[Surface GLA]]</f>
        <v>6700</v>
      </c>
      <c r="Y315" s="12">
        <f>Tableau1[[#This Row],[Charges annuelles]]/12</f>
        <v>558.33333333333337</v>
      </c>
      <c r="Z315" s="12">
        <v>50</v>
      </c>
      <c r="AA315" s="12">
        <f>IFERROR(Tableau1[[#This Row],[Taxe foncière €/m²]]*Tableau1[[#This Row],[Surface GLA]],)</f>
        <v>1876</v>
      </c>
      <c r="AB315" s="12">
        <v>14</v>
      </c>
      <c r="AC315" s="12">
        <f>IFERROR(Tableau1[[#This Row],[Marketing €/m²]]*Tableau1[[#This Row],[Surface GLA]],)</f>
        <v>0</v>
      </c>
      <c r="AD315" s="12"/>
      <c r="AE315" s="12">
        <f>IFERROR(Tableau1[[#This Row],[Loyer annuel]]+Tableau1[[#This Row],[Charges annuelles]]+Tableau1[[#This Row],[Taxe foncière]]+Tableau1[[#This Row],[Marketing]],"")</f>
        <v>35376</v>
      </c>
      <c r="AF315" s="12" t="str">
        <f t="shared" si="16"/>
        <v>3 mois = 6 700 €</v>
      </c>
      <c r="AG315" s="12" t="s">
        <v>87</v>
      </c>
      <c r="AH315" s="12" t="s">
        <v>87</v>
      </c>
      <c r="AI315" s="12" t="s">
        <v>346</v>
      </c>
      <c r="AJ315" s="10" t="s">
        <v>358</v>
      </c>
      <c r="AK315" s="10" t="s">
        <v>352</v>
      </c>
      <c r="AL315" s="10" t="s">
        <v>2336</v>
      </c>
      <c r="AM315" s="11" t="s">
        <v>2335</v>
      </c>
      <c r="AN315" s="11" t="s">
        <v>1308</v>
      </c>
      <c r="AO315" s="5" t="s">
        <v>350</v>
      </c>
      <c r="AP315" s="11" t="s">
        <v>1956</v>
      </c>
      <c r="AQ315" s="11" t="s">
        <v>1957</v>
      </c>
      <c r="AR315" s="11" t="s">
        <v>1937</v>
      </c>
      <c r="AS315" s="36" t="s">
        <v>2061</v>
      </c>
      <c r="AT315" s="11" t="s">
        <v>59</v>
      </c>
      <c r="AU315" s="11"/>
      <c r="AV315" s="13" t="s">
        <v>1746</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1966</v>
      </c>
      <c r="E316" s="26">
        <v>86100</v>
      </c>
      <c r="F316" s="10" t="s">
        <v>1918</v>
      </c>
      <c r="G316" s="39" t="str">
        <f>Tableau1[[#This Row],[Rue]]&amp;CHAR(10)&amp;Tableau1[[#This Row],[Code Postal]]&amp;" - "&amp;Tableau1[[#This Row],[Ville]]</f>
        <v>Auchan 26 Av. Jean Moulin
86100 - Châtellerault</v>
      </c>
      <c r="H316" s="15" t="s">
        <v>1919</v>
      </c>
      <c r="I316" s="12" t="s">
        <v>37</v>
      </c>
      <c r="J316" s="12" t="s">
        <v>41</v>
      </c>
      <c r="K316" s="10" t="s">
        <v>87</v>
      </c>
      <c r="L316" s="10" t="s">
        <v>87</v>
      </c>
      <c r="M316" s="12" t="s">
        <v>87</v>
      </c>
      <c r="N316" s="36" t="s">
        <v>572</v>
      </c>
      <c r="O316" s="34">
        <v>81</v>
      </c>
      <c r="P316" s="6" t="s">
        <v>87</v>
      </c>
      <c r="Q316" s="34" t="s">
        <v>87</v>
      </c>
      <c r="R316" s="34" t="s">
        <v>87</v>
      </c>
      <c r="S316" s="6" t="s">
        <v>87</v>
      </c>
      <c r="T316" s="12">
        <f>Tableau1[[#This Row],[Loyer €/m²]]*Tableau1[[#This Row],[Surface GLA]]</f>
        <v>16200</v>
      </c>
      <c r="U316" s="12">
        <f>IFERROR(Tableau1[[#This Row],[Loyer annuel]]/12,"")</f>
        <v>1350</v>
      </c>
      <c r="V316" s="12">
        <v>200</v>
      </c>
      <c r="W316" s="34" t="s">
        <v>87</v>
      </c>
      <c r="X316" s="6">
        <f>Tableau1[[#This Row],[Charges €/m²]]*Tableau1[[#This Row],[Surface GLA]]</f>
        <v>4050</v>
      </c>
      <c r="Y316" s="12">
        <f>Tableau1[[#This Row],[Charges annuelles]]/12</f>
        <v>337.5</v>
      </c>
      <c r="Z316" s="12">
        <v>50</v>
      </c>
      <c r="AA316" s="12">
        <f>IFERROR(Tableau1[[#This Row],[Taxe foncière €/m²]]*Tableau1[[#This Row],[Surface GLA]],)</f>
        <v>1134</v>
      </c>
      <c r="AB316" s="12">
        <v>14</v>
      </c>
      <c r="AC316" s="12">
        <f>IFERROR(Tableau1[[#This Row],[Marketing €/m²]]*Tableau1[[#This Row],[Surface GLA]],)</f>
        <v>0</v>
      </c>
      <c r="AD316" s="12"/>
      <c r="AE316" s="12">
        <f>IFERROR(Tableau1[[#This Row],[Loyer annuel]]+Tableau1[[#This Row],[Charges annuelles]]+Tableau1[[#This Row],[Taxe foncière]]+Tableau1[[#This Row],[Marketing]],"")</f>
        <v>21384</v>
      </c>
      <c r="AF316" s="12" t="str">
        <f t="shared" si="16"/>
        <v>3 mois = 4 050 €</v>
      </c>
      <c r="AG316" s="12" t="s">
        <v>87</v>
      </c>
      <c r="AH316" s="12" t="s">
        <v>87</v>
      </c>
      <c r="AI316" s="12" t="s">
        <v>346</v>
      </c>
      <c r="AJ316" s="10" t="s">
        <v>358</v>
      </c>
      <c r="AK316" s="10" t="s">
        <v>352</v>
      </c>
      <c r="AL316" s="10" t="s">
        <v>2336</v>
      </c>
      <c r="AM316" s="11" t="s">
        <v>2335</v>
      </c>
      <c r="AN316" s="11" t="s">
        <v>1308</v>
      </c>
      <c r="AO316" s="5" t="s">
        <v>350</v>
      </c>
      <c r="AP316" s="11" t="s">
        <v>1958</v>
      </c>
      <c r="AQ316" s="11" t="s">
        <v>1959</v>
      </c>
      <c r="AR316" s="11" t="s">
        <v>1938</v>
      </c>
      <c r="AS316" s="36" t="s">
        <v>2061</v>
      </c>
      <c r="AT316" s="11" t="s">
        <v>59</v>
      </c>
      <c r="AU316" s="11"/>
      <c r="AV316" s="13" t="s">
        <v>1746</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1966</v>
      </c>
      <c r="E317" s="26">
        <v>86100</v>
      </c>
      <c r="F317" s="10" t="s">
        <v>1918</v>
      </c>
      <c r="G317" s="39" t="str">
        <f>Tableau1[[#This Row],[Rue]]&amp;CHAR(10)&amp;Tableau1[[#This Row],[Code Postal]]&amp;" - "&amp;Tableau1[[#This Row],[Ville]]</f>
        <v>Auchan 26 Av. Jean Moulin
86100 - Châtellerault</v>
      </c>
      <c r="H317" s="15" t="s">
        <v>1919</v>
      </c>
      <c r="I317" s="12" t="s">
        <v>37</v>
      </c>
      <c r="J317" s="12" t="s">
        <v>41</v>
      </c>
      <c r="K317" s="10" t="s">
        <v>87</v>
      </c>
      <c r="L317" s="10" t="s">
        <v>87</v>
      </c>
      <c r="M317" s="12" t="s">
        <v>87</v>
      </c>
      <c r="N317" s="36" t="s">
        <v>1734</v>
      </c>
      <c r="O317" s="34">
        <v>199</v>
      </c>
      <c r="P317" s="6" t="s">
        <v>87</v>
      </c>
      <c r="Q317" s="34" t="s">
        <v>87</v>
      </c>
      <c r="R317" s="34" t="s">
        <v>87</v>
      </c>
      <c r="S317" s="6" t="s">
        <v>87</v>
      </c>
      <c r="T317" s="12">
        <f>Tableau1[[#This Row],[Loyer €/m²]]*Tableau1[[#This Row],[Surface GLA]]</f>
        <v>39800</v>
      </c>
      <c r="U317" s="12">
        <f>IFERROR(Tableau1[[#This Row],[Loyer annuel]]/12,"")</f>
        <v>3316.6666666666665</v>
      </c>
      <c r="V317" s="12">
        <v>200</v>
      </c>
      <c r="W317" s="34" t="s">
        <v>87</v>
      </c>
      <c r="X317" s="6">
        <f>Tableau1[[#This Row],[Charges €/m²]]*Tableau1[[#This Row],[Surface GLA]]</f>
        <v>9950</v>
      </c>
      <c r="Y317" s="12">
        <f>Tableau1[[#This Row],[Charges annuelles]]/12</f>
        <v>829.16666666666663</v>
      </c>
      <c r="Z317" s="12">
        <v>50</v>
      </c>
      <c r="AA317" s="12">
        <f>IFERROR(Tableau1[[#This Row],[Taxe foncière €/m²]]*Tableau1[[#This Row],[Surface GLA]],)</f>
        <v>2786</v>
      </c>
      <c r="AB317" s="12">
        <v>14</v>
      </c>
      <c r="AC317" s="12">
        <f>IFERROR(Tableau1[[#This Row],[Marketing €/m²]]*Tableau1[[#This Row],[Surface GLA]],)</f>
        <v>0</v>
      </c>
      <c r="AD317" s="12"/>
      <c r="AE317" s="12">
        <f>IFERROR(Tableau1[[#This Row],[Loyer annuel]]+Tableau1[[#This Row],[Charges annuelles]]+Tableau1[[#This Row],[Taxe foncière]]+Tableau1[[#This Row],[Marketing]],"")</f>
        <v>52536</v>
      </c>
      <c r="AF317" s="12" t="str">
        <f t="shared" si="16"/>
        <v>3 mois = 9 950 €</v>
      </c>
      <c r="AG317" s="12" t="s">
        <v>87</v>
      </c>
      <c r="AH317" s="12" t="s">
        <v>87</v>
      </c>
      <c r="AI317" s="12" t="s">
        <v>346</v>
      </c>
      <c r="AJ317" s="10" t="s">
        <v>358</v>
      </c>
      <c r="AK317" s="10" t="s">
        <v>352</v>
      </c>
      <c r="AL317" s="10" t="s">
        <v>2336</v>
      </c>
      <c r="AM317" s="11" t="s">
        <v>2335</v>
      </c>
      <c r="AN317" s="11" t="s">
        <v>1308</v>
      </c>
      <c r="AO317" s="5" t="s">
        <v>350</v>
      </c>
      <c r="AP317" s="11" t="s">
        <v>1960</v>
      </c>
      <c r="AQ317" s="11" t="s">
        <v>1961</v>
      </c>
      <c r="AR317" s="11" t="s">
        <v>1932</v>
      </c>
      <c r="AS317" s="36" t="s">
        <v>2061</v>
      </c>
      <c r="AT317" s="11" t="s">
        <v>59</v>
      </c>
      <c r="AU317" s="11"/>
      <c r="AV317" s="13" t="s">
        <v>1746</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1966</v>
      </c>
      <c r="E318" s="26">
        <v>86100</v>
      </c>
      <c r="F318" s="10" t="s">
        <v>1918</v>
      </c>
      <c r="G318" s="39" t="str">
        <f>Tableau1[[#This Row],[Rue]]&amp;CHAR(10)&amp;Tableau1[[#This Row],[Code Postal]]&amp;" - "&amp;Tableau1[[#This Row],[Ville]]</f>
        <v>Auchan 26 Av. Jean Moulin
86100 - Châtellerault</v>
      </c>
      <c r="H318" s="15" t="s">
        <v>1919</v>
      </c>
      <c r="I318" s="12" t="s">
        <v>37</v>
      </c>
      <c r="J318" s="12" t="s">
        <v>41</v>
      </c>
      <c r="K318" s="10" t="s">
        <v>87</v>
      </c>
      <c r="L318" s="10" t="s">
        <v>87</v>
      </c>
      <c r="M318" s="12" t="s">
        <v>87</v>
      </c>
      <c r="N318" s="36" t="s">
        <v>1922</v>
      </c>
      <c r="O318" s="34">
        <v>81</v>
      </c>
      <c r="P318" s="6" t="s">
        <v>87</v>
      </c>
      <c r="Q318" s="34">
        <v>206</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6"/>
        <v>3 mois = 4 050 €</v>
      </c>
      <c r="AG318" s="12" t="s">
        <v>87</v>
      </c>
      <c r="AH318" s="12" t="s">
        <v>87</v>
      </c>
      <c r="AI318" s="12" t="s">
        <v>346</v>
      </c>
      <c r="AJ318" s="10" t="s">
        <v>358</v>
      </c>
      <c r="AK318" s="10" t="s">
        <v>352</v>
      </c>
      <c r="AL318" s="10" t="s">
        <v>2336</v>
      </c>
      <c r="AM318" s="11" t="s">
        <v>2335</v>
      </c>
      <c r="AN318" s="11" t="s">
        <v>1308</v>
      </c>
      <c r="AO318" s="5" t="s">
        <v>350</v>
      </c>
      <c r="AP318" s="11" t="s">
        <v>1962</v>
      </c>
      <c r="AQ318" s="11" t="s">
        <v>1963</v>
      </c>
      <c r="AR318" s="11" t="s">
        <v>1939</v>
      </c>
      <c r="AS318" s="36" t="s">
        <v>2061</v>
      </c>
      <c r="AT318" s="11" t="s">
        <v>59</v>
      </c>
      <c r="AU318" s="11"/>
      <c r="AV318" s="13" t="s">
        <v>1746</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1966</v>
      </c>
      <c r="E319" s="26">
        <v>86100</v>
      </c>
      <c r="F319" s="10" t="s">
        <v>1918</v>
      </c>
      <c r="G319" s="39" t="str">
        <f>Tableau1[[#This Row],[Rue]]&amp;CHAR(10)&amp;Tableau1[[#This Row],[Code Postal]]&amp;" - "&amp;Tableau1[[#This Row],[Ville]]</f>
        <v>Auchan 26 Av. Jean Moulin
86100 - Châtellerault</v>
      </c>
      <c r="H319" s="15" t="s">
        <v>1919</v>
      </c>
      <c r="I319" s="12" t="s">
        <v>37</v>
      </c>
      <c r="J319" s="12" t="s">
        <v>41</v>
      </c>
      <c r="K319" s="10" t="s">
        <v>87</v>
      </c>
      <c r="L319" s="10" t="s">
        <v>87</v>
      </c>
      <c r="M319" s="12" t="s">
        <v>87</v>
      </c>
      <c r="N319" s="36" t="s">
        <v>1923</v>
      </c>
      <c r="O319" s="34">
        <v>125</v>
      </c>
      <c r="P319" s="12" t="s">
        <v>1925</v>
      </c>
      <c r="Q319" s="34">
        <v>206</v>
      </c>
      <c r="R319" s="34" t="s">
        <v>87</v>
      </c>
      <c r="S319" s="6" t="s">
        <v>87</v>
      </c>
      <c r="T319" s="12">
        <f>Tableau1[[#This Row],[Loyer €/m²]]*Tableau1[[#This Row],[Surface GLA]]</f>
        <v>25000</v>
      </c>
      <c r="U319" s="12">
        <f>IFERROR(Tableau1[[#This Row],[Loyer annuel]]/12,"")</f>
        <v>2083.3333333333335</v>
      </c>
      <c r="V319" s="12">
        <v>200</v>
      </c>
      <c r="W319" s="34" t="s">
        <v>87</v>
      </c>
      <c r="X319" s="6">
        <f>Tableau1[[#This Row],[Charges €/m²]]*Tableau1[[#This Row],[Surface GLA]]</f>
        <v>6250</v>
      </c>
      <c r="Y319" s="12">
        <f>Tableau1[[#This Row],[Charges annuelles]]/12</f>
        <v>520.83333333333337</v>
      </c>
      <c r="Z319" s="12">
        <v>50</v>
      </c>
      <c r="AA319" s="12">
        <f>IFERROR(Tableau1[[#This Row],[Taxe foncière €/m²]]*Tableau1[[#This Row],[Surface GLA]],)</f>
        <v>1750</v>
      </c>
      <c r="AB319" s="12">
        <v>14</v>
      </c>
      <c r="AC319" s="12">
        <f>IFERROR(Tableau1[[#This Row],[Marketing €/m²]]*Tableau1[[#This Row],[Surface GLA]],)</f>
        <v>0</v>
      </c>
      <c r="AD319" s="12"/>
      <c r="AE319" s="12">
        <f>IFERROR(Tableau1[[#This Row],[Loyer annuel]]+Tableau1[[#This Row],[Charges annuelles]]+Tableau1[[#This Row],[Taxe foncière]]+Tableau1[[#This Row],[Marketing]],"")</f>
        <v>33000</v>
      </c>
      <c r="AF319" s="12" t="str">
        <f t="shared" si="16"/>
        <v>3 mois = 6 250 €</v>
      </c>
      <c r="AG319" s="12" t="s">
        <v>87</v>
      </c>
      <c r="AH319" s="12" t="s">
        <v>87</v>
      </c>
      <c r="AI319" s="12" t="s">
        <v>346</v>
      </c>
      <c r="AJ319" s="10" t="s">
        <v>358</v>
      </c>
      <c r="AK319" s="10" t="s">
        <v>352</v>
      </c>
      <c r="AL319" s="10" t="s">
        <v>2336</v>
      </c>
      <c r="AM319" s="11" t="s">
        <v>2335</v>
      </c>
      <c r="AN319" s="11" t="s">
        <v>1308</v>
      </c>
      <c r="AO319" s="5" t="s">
        <v>350</v>
      </c>
      <c r="AP319" s="11" t="s">
        <v>1964</v>
      </c>
      <c r="AQ319" s="11" t="s">
        <v>1965</v>
      </c>
      <c r="AR319" s="11" t="s">
        <v>1940</v>
      </c>
      <c r="AS319" s="36" t="s">
        <v>2061</v>
      </c>
      <c r="AT319" s="11" t="s">
        <v>59</v>
      </c>
      <c r="AU319" s="11"/>
      <c r="AV319" s="13" t="s">
        <v>1746</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1966</v>
      </c>
      <c r="E320" s="26">
        <v>86100</v>
      </c>
      <c r="F320" s="10" t="s">
        <v>1918</v>
      </c>
      <c r="G320" s="39" t="str">
        <f>Tableau1[[#This Row],[Rue]]&amp;CHAR(10)&amp;Tableau1[[#This Row],[Code Postal]]&amp;" - "&amp;Tableau1[[#This Row],[Ville]]</f>
        <v>Auchan 26 Av. Jean Moulin
86100 - Châtellerault</v>
      </c>
      <c r="H320" s="15" t="s">
        <v>1919</v>
      </c>
      <c r="I320" s="12" t="s">
        <v>37</v>
      </c>
      <c r="J320" s="12" t="s">
        <v>41</v>
      </c>
      <c r="K320" s="10" t="s">
        <v>87</v>
      </c>
      <c r="L320" s="10" t="s">
        <v>87</v>
      </c>
      <c r="M320" s="12" t="s">
        <v>87</v>
      </c>
      <c r="N320" s="12" t="s">
        <v>87</v>
      </c>
      <c r="O320" s="34">
        <v>207</v>
      </c>
      <c r="P320" s="6" t="s">
        <v>87</v>
      </c>
      <c r="Q320" s="6" t="s">
        <v>87</v>
      </c>
      <c r="R320" s="6" t="s">
        <v>87</v>
      </c>
      <c r="S320" s="6" t="s">
        <v>87</v>
      </c>
      <c r="T320" s="12">
        <f>Tableau1[[#This Row],[Loyer €/m²]]*Tableau1[[#This Row],[Surface GLA]]</f>
        <v>41400</v>
      </c>
      <c r="U320" s="12">
        <f>IFERROR(Tableau1[[#This Row],[Loyer annuel]]/12,"")</f>
        <v>3450</v>
      </c>
      <c r="V320" s="12">
        <v>200</v>
      </c>
      <c r="W320" s="6" t="s">
        <v>87</v>
      </c>
      <c r="X320" s="6">
        <f>Tableau1[[#This Row],[Charges €/m²]]*Tableau1[[#This Row],[Surface GLA]]</f>
        <v>10350</v>
      </c>
      <c r="Y320" s="12">
        <f>Tableau1[[#This Row],[Charges annuelles]]/12</f>
        <v>862.5</v>
      </c>
      <c r="Z320" s="12">
        <v>50</v>
      </c>
      <c r="AA320" s="12">
        <f>IFERROR(Tableau1[[#This Row],[Taxe foncière €/m²]]*Tableau1[[#This Row],[Surface GLA]],)</f>
        <v>2898</v>
      </c>
      <c r="AB320" s="12">
        <v>14</v>
      </c>
      <c r="AC320" s="12">
        <f>IFERROR(Tableau1[[#This Row],[Marketing €/m²]]*Tableau1[[#This Row],[Surface GLA]],)</f>
        <v>0</v>
      </c>
      <c r="AD320" s="12"/>
      <c r="AE320" s="12">
        <f>IFERROR(Tableau1[[#This Row],[Loyer annuel]]+Tableau1[[#This Row],[Charges annuelles]]+Tableau1[[#This Row],[Taxe foncière]]+Tableau1[[#This Row],[Marketing]],"")</f>
        <v>54648</v>
      </c>
      <c r="AF320" s="12" t="str">
        <f t="shared" si="16"/>
        <v>3 mois = 10 350 €</v>
      </c>
      <c r="AG320" s="6" t="s">
        <v>87</v>
      </c>
      <c r="AH320" s="6" t="s">
        <v>87</v>
      </c>
      <c r="AI320" s="12" t="s">
        <v>346</v>
      </c>
      <c r="AJ320" s="10" t="s">
        <v>358</v>
      </c>
      <c r="AK320" s="10" t="s">
        <v>352</v>
      </c>
      <c r="AL320" s="10" t="s">
        <v>2336</v>
      </c>
      <c r="AM320" s="11" t="s">
        <v>2335</v>
      </c>
      <c r="AN320" s="11" t="s">
        <v>1308</v>
      </c>
      <c r="AO320" s="5" t="s">
        <v>350</v>
      </c>
      <c r="AP320" s="11" t="s">
        <v>1967</v>
      </c>
      <c r="AQ320" s="11" t="s">
        <v>1968</v>
      </c>
      <c r="AR320" s="11" t="s">
        <v>1969</v>
      </c>
      <c r="AS320" s="36" t="s">
        <v>2061</v>
      </c>
      <c r="AT320" s="11" t="s">
        <v>59</v>
      </c>
      <c r="AU320" s="11"/>
      <c r="AV320" s="13" t="s">
        <v>1746</v>
      </c>
      <c r="AW320" s="14"/>
      <c r="AX320" s="44">
        <v>46175</v>
      </c>
    </row>
    <row r="321" spans="1:50" ht="38.25">
      <c r="A321" s="38" t="str">
        <f>VLOOKUP(Tableau1[[#This Row],[N° Département]],Feuil1!$C$6:$E$106,3)</f>
        <v>Ile-de-France</v>
      </c>
      <c r="B321" s="38" t="str">
        <f>VLOOKUP(Tableau1[[#This Row],[N° Département]],Feuil1!$C$6:$E$106,2)</f>
        <v>Seine-et-Marne</v>
      </c>
      <c r="C321" s="38">
        <f>LEFT(Tableau1[[#This Row],[Code Postal]],2)*1</f>
        <v>77</v>
      </c>
      <c r="D321" s="10" t="s">
        <v>2094</v>
      </c>
      <c r="E321" s="26">
        <v>77500</v>
      </c>
      <c r="F321" s="10" t="s">
        <v>1971</v>
      </c>
      <c r="G321" s="39" t="str">
        <f>Tableau1[[#This Row],[Rue]]&amp;CHAR(10)&amp;Tableau1[[#This Row],[Code Postal]]&amp;" - "&amp;Tableau1[[#This Row],[Ville]]</f>
        <v>Terre Ciel (Chelles 2) Avenue du Gendarme Castermant
77500 - Chelles</v>
      </c>
      <c r="H321" s="15" t="s">
        <v>1970</v>
      </c>
      <c r="I321" s="12" t="s">
        <v>37</v>
      </c>
      <c r="J321" s="12" t="s">
        <v>39</v>
      </c>
      <c r="K321" s="10" t="s">
        <v>87</v>
      </c>
      <c r="L321" s="10" t="s">
        <v>87</v>
      </c>
      <c r="M321" s="12" t="s">
        <v>87</v>
      </c>
      <c r="N321" s="36" t="s">
        <v>1972</v>
      </c>
      <c r="O321" s="34">
        <v>50</v>
      </c>
      <c r="P321" s="6" t="s">
        <v>87</v>
      </c>
      <c r="Q321" s="34">
        <v>361</v>
      </c>
      <c r="R321" s="6" t="s">
        <v>87</v>
      </c>
      <c r="S321" s="6" t="s">
        <v>87</v>
      </c>
      <c r="T321" s="12">
        <f>Tableau1[[#This Row],[Loyer €/m²]]*Tableau1[[#This Row],[Surface GLA]]</f>
        <v>10000</v>
      </c>
      <c r="U321" s="12">
        <f>IFERROR(Tableau1[[#This Row],[Loyer annuel]]/12,"")</f>
        <v>833.33333333333337</v>
      </c>
      <c r="V321" s="12">
        <v>200</v>
      </c>
      <c r="W321" s="6" t="s">
        <v>87</v>
      </c>
      <c r="X321" s="6">
        <f>Tableau1[[#This Row],[Charges €/m²]]*Tableau1[[#This Row],[Surface GLA]]</f>
        <v>3000</v>
      </c>
      <c r="Y321" s="12">
        <f>Tableau1[[#This Row],[Charges annuelles]]/12</f>
        <v>250</v>
      </c>
      <c r="Z321" s="12">
        <v>60</v>
      </c>
      <c r="AA321" s="12">
        <f>IFERROR(Tableau1[[#This Row],[Taxe foncière €/m²]]*Tableau1[[#This Row],[Surface GLA]],)</f>
        <v>1800</v>
      </c>
      <c r="AB321" s="12">
        <v>36</v>
      </c>
      <c r="AC321" s="12">
        <f>IFERROR(Tableau1[[#This Row],[Marketing €/m²]]*Tableau1[[#This Row],[Surface GLA]],)</f>
        <v>0</v>
      </c>
      <c r="AD321" s="12"/>
      <c r="AE321" s="12">
        <f>IFERROR(Tableau1[[#This Row],[Loyer annuel]]+Tableau1[[#This Row],[Charges annuelles]]+Tableau1[[#This Row],[Taxe foncière]]+Tableau1[[#This Row],[Marketing]],"")</f>
        <v>14800</v>
      </c>
      <c r="AF321" s="12" t="str">
        <f t="shared" si="16"/>
        <v>3 mois = 2 500 €</v>
      </c>
      <c r="AG321" s="6" t="s">
        <v>87</v>
      </c>
      <c r="AH321" s="6" t="s">
        <v>87</v>
      </c>
      <c r="AI321" s="12" t="s">
        <v>346</v>
      </c>
      <c r="AJ321" s="10" t="s">
        <v>358</v>
      </c>
      <c r="AK321" s="10" t="s">
        <v>352</v>
      </c>
      <c r="AL321" s="10" t="s">
        <v>2338</v>
      </c>
      <c r="AM321" s="11" t="s">
        <v>2337</v>
      </c>
      <c r="AN321" s="11" t="s">
        <v>1308</v>
      </c>
      <c r="AO321" s="5" t="s">
        <v>350</v>
      </c>
      <c r="AP321" s="11" t="s">
        <v>2220</v>
      </c>
      <c r="AQ321" s="11" t="s">
        <v>2221</v>
      </c>
      <c r="AR321" s="11" t="s">
        <v>1995</v>
      </c>
      <c r="AS321" s="36" t="s">
        <v>2406</v>
      </c>
      <c r="AT321" s="11" t="s">
        <v>59</v>
      </c>
      <c r="AU321" s="11"/>
      <c r="AV321" s="13" t="s">
        <v>1746</v>
      </c>
      <c r="AW321" s="14"/>
      <c r="AX321" s="44">
        <v>46175</v>
      </c>
    </row>
    <row r="322" spans="1:50" ht="38.25">
      <c r="A322" s="38" t="str">
        <f>VLOOKUP(Tableau1[[#This Row],[N° Département]],Feuil1!$C$6:$E$106,3)</f>
        <v>Ile-de-France</v>
      </c>
      <c r="B322" s="38" t="str">
        <f>VLOOKUP(Tableau1[[#This Row],[N° Département]],Feuil1!$C$6:$E$106,2)</f>
        <v>Seine-et-Marne</v>
      </c>
      <c r="C322" s="38">
        <f>LEFT(Tableau1[[#This Row],[Code Postal]],2)*1</f>
        <v>77</v>
      </c>
      <c r="D322" s="10" t="s">
        <v>2094</v>
      </c>
      <c r="E322" s="26">
        <v>77500</v>
      </c>
      <c r="F322" s="10" t="s">
        <v>1971</v>
      </c>
      <c r="G322" s="39" t="str">
        <f>Tableau1[[#This Row],[Rue]]&amp;CHAR(10)&amp;Tableau1[[#This Row],[Code Postal]]&amp;" - "&amp;Tableau1[[#This Row],[Ville]]</f>
        <v>Terre Ciel (Chelles 2) Avenue du Gendarme Castermant
77500 - Chelles</v>
      </c>
      <c r="H322" s="15" t="s">
        <v>1970</v>
      </c>
      <c r="I322" s="12" t="s">
        <v>37</v>
      </c>
      <c r="J322" s="12" t="s">
        <v>39</v>
      </c>
      <c r="K322" s="10" t="s">
        <v>87</v>
      </c>
      <c r="L322" s="10" t="s">
        <v>87</v>
      </c>
      <c r="M322" s="12" t="s">
        <v>87</v>
      </c>
      <c r="N322" s="36" t="s">
        <v>1973</v>
      </c>
      <c r="O322" s="34">
        <v>72</v>
      </c>
      <c r="P322" s="6" t="s">
        <v>87</v>
      </c>
      <c r="Q322" s="34">
        <v>361</v>
      </c>
      <c r="R322" s="6" t="s">
        <v>87</v>
      </c>
      <c r="S322" s="6" t="s">
        <v>87</v>
      </c>
      <c r="T322" s="12">
        <f>Tableau1[[#This Row],[Loyer €/m²]]*Tableau1[[#This Row],[Surface GLA]]</f>
        <v>14400</v>
      </c>
      <c r="U322" s="12">
        <f>IFERROR(Tableau1[[#This Row],[Loyer annuel]]/12,"")</f>
        <v>1200</v>
      </c>
      <c r="V322" s="12">
        <v>200</v>
      </c>
      <c r="W322" s="6" t="s">
        <v>87</v>
      </c>
      <c r="X322" s="6">
        <f>Tableau1[[#This Row],[Charges €/m²]]*Tableau1[[#This Row],[Surface GLA]]</f>
        <v>4320</v>
      </c>
      <c r="Y322" s="12">
        <f>Tableau1[[#This Row],[Charges annuelles]]/12</f>
        <v>360</v>
      </c>
      <c r="Z322" s="12">
        <v>60</v>
      </c>
      <c r="AA322" s="12">
        <f>IFERROR(Tableau1[[#This Row],[Taxe foncière €/m²]]*Tableau1[[#This Row],[Surface GLA]],)</f>
        <v>2592</v>
      </c>
      <c r="AB322" s="12">
        <v>36</v>
      </c>
      <c r="AC322" s="12">
        <f>IFERROR(Tableau1[[#This Row],[Marketing €/m²]]*Tableau1[[#This Row],[Surface GLA]],)</f>
        <v>0</v>
      </c>
      <c r="AD322" s="12"/>
      <c r="AE322" s="12">
        <f>IFERROR(Tableau1[[#This Row],[Loyer annuel]]+Tableau1[[#This Row],[Charges annuelles]]+Tableau1[[#This Row],[Taxe foncière]]+Tableau1[[#This Row],[Marketing]],"")</f>
        <v>21312</v>
      </c>
      <c r="AF322" s="12" t="str">
        <f t="shared" si="16"/>
        <v>3 mois = 3 600 €</v>
      </c>
      <c r="AG322" s="6" t="s">
        <v>87</v>
      </c>
      <c r="AH322" s="6" t="s">
        <v>87</v>
      </c>
      <c r="AI322" s="12" t="s">
        <v>346</v>
      </c>
      <c r="AJ322" s="10" t="s">
        <v>358</v>
      </c>
      <c r="AK322" s="10" t="s">
        <v>352</v>
      </c>
      <c r="AL322" s="10" t="s">
        <v>2338</v>
      </c>
      <c r="AM322" s="11" t="s">
        <v>2337</v>
      </c>
      <c r="AN322" s="11" t="s">
        <v>1308</v>
      </c>
      <c r="AO322" s="5" t="s">
        <v>350</v>
      </c>
      <c r="AP322" s="11" t="s">
        <v>2222</v>
      </c>
      <c r="AQ322" s="11" t="s">
        <v>2223</v>
      </c>
      <c r="AR322" s="11" t="s">
        <v>1927</v>
      </c>
      <c r="AS322" s="36" t="s">
        <v>2406</v>
      </c>
      <c r="AT322" s="11" t="s">
        <v>59</v>
      </c>
      <c r="AU322" s="11"/>
      <c r="AV322" s="13" t="s">
        <v>1746</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2094</v>
      </c>
      <c r="E323" s="26">
        <v>77500</v>
      </c>
      <c r="F323" s="10" t="s">
        <v>1971</v>
      </c>
      <c r="G323" s="39" t="str">
        <f>Tableau1[[#This Row],[Rue]]&amp;CHAR(10)&amp;Tableau1[[#This Row],[Code Postal]]&amp;" - "&amp;Tableau1[[#This Row],[Ville]]</f>
        <v>Terre Ciel (Chelles 2) Avenue du Gendarme Castermant
77500 - Chelles</v>
      </c>
      <c r="H323" s="15" t="s">
        <v>1970</v>
      </c>
      <c r="I323" s="12" t="s">
        <v>37</v>
      </c>
      <c r="J323" s="12" t="s">
        <v>39</v>
      </c>
      <c r="K323" s="10" t="s">
        <v>87</v>
      </c>
      <c r="L323" s="10" t="s">
        <v>87</v>
      </c>
      <c r="M323" s="12" t="s">
        <v>87</v>
      </c>
      <c r="N323" s="36" t="s">
        <v>1481</v>
      </c>
      <c r="O323" s="34">
        <v>116</v>
      </c>
      <c r="P323" s="6" t="s">
        <v>87</v>
      </c>
      <c r="Q323" s="34">
        <v>361</v>
      </c>
      <c r="R323" s="6" t="s">
        <v>87</v>
      </c>
      <c r="S323" s="6" t="s">
        <v>87</v>
      </c>
      <c r="T323" s="12">
        <f>Tableau1[[#This Row],[Loyer €/m²]]*Tableau1[[#This Row],[Surface GLA]]</f>
        <v>23200</v>
      </c>
      <c r="U323" s="12">
        <f>IFERROR(Tableau1[[#This Row],[Loyer annuel]]/12,"")</f>
        <v>1933.3333333333333</v>
      </c>
      <c r="V323" s="12">
        <v>200</v>
      </c>
      <c r="W323" s="6" t="s">
        <v>87</v>
      </c>
      <c r="X323" s="6">
        <f>Tableau1[[#This Row],[Charges €/m²]]*Tableau1[[#This Row],[Surface GLA]]</f>
        <v>6960</v>
      </c>
      <c r="Y323" s="12">
        <f>Tableau1[[#This Row],[Charges annuelles]]/12</f>
        <v>580</v>
      </c>
      <c r="Z323" s="12">
        <v>60</v>
      </c>
      <c r="AA323" s="12">
        <f>IFERROR(Tableau1[[#This Row],[Taxe foncière €/m²]]*Tableau1[[#This Row],[Surface GLA]],)</f>
        <v>4176</v>
      </c>
      <c r="AB323" s="12">
        <v>36</v>
      </c>
      <c r="AC323" s="12">
        <f>IFERROR(Tableau1[[#This Row],[Marketing €/m²]]*Tableau1[[#This Row],[Surface GLA]],)</f>
        <v>0</v>
      </c>
      <c r="AD323" s="12"/>
      <c r="AE323" s="12">
        <f>IFERROR(Tableau1[[#This Row],[Loyer annuel]]+Tableau1[[#This Row],[Charges annuelles]]+Tableau1[[#This Row],[Taxe foncière]]+Tableau1[[#This Row],[Marketing]],"")</f>
        <v>34336</v>
      </c>
      <c r="AF323" s="12" t="str">
        <f t="shared" ref="AF323:AF361" si="17">"3 mois = "&amp;TEXT(ROUND(3/12*T323,0),"### ### ##0 €")</f>
        <v>3 mois = 5 800 €</v>
      </c>
      <c r="AG323" s="6" t="s">
        <v>87</v>
      </c>
      <c r="AH323" s="6" t="s">
        <v>87</v>
      </c>
      <c r="AI323" s="12" t="s">
        <v>346</v>
      </c>
      <c r="AJ323" s="10" t="s">
        <v>43</v>
      </c>
      <c r="AK323" s="10"/>
      <c r="AL323" s="10" t="s">
        <v>2338</v>
      </c>
      <c r="AM323" s="11" t="s">
        <v>2337</v>
      </c>
      <c r="AN323" s="11" t="s">
        <v>1308</v>
      </c>
      <c r="AO323" s="5" t="s">
        <v>350</v>
      </c>
      <c r="AP323" s="11" t="s">
        <v>2224</v>
      </c>
      <c r="AQ323" s="11" t="s">
        <v>2225</v>
      </c>
      <c r="AR323" s="11" t="s">
        <v>1996</v>
      </c>
      <c r="AS323" s="36" t="s">
        <v>2406</v>
      </c>
      <c r="AT323" s="11" t="s">
        <v>59</v>
      </c>
      <c r="AU323" s="11"/>
      <c r="AV323" s="13" t="s">
        <v>1746</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2094</v>
      </c>
      <c r="E324" s="26">
        <v>77500</v>
      </c>
      <c r="F324" s="10" t="s">
        <v>1971</v>
      </c>
      <c r="G324" s="39" t="str">
        <f>Tableau1[[#This Row],[Rue]]&amp;CHAR(10)&amp;Tableau1[[#This Row],[Code Postal]]&amp;" - "&amp;Tableau1[[#This Row],[Ville]]</f>
        <v>Terre Ciel (Chelles 2) Avenue du Gendarme Castermant
77500 - Chelles</v>
      </c>
      <c r="H324" s="15" t="s">
        <v>1970</v>
      </c>
      <c r="I324" s="12" t="s">
        <v>37</v>
      </c>
      <c r="J324" s="12" t="s">
        <v>39</v>
      </c>
      <c r="K324" s="10" t="s">
        <v>87</v>
      </c>
      <c r="L324" s="10" t="s">
        <v>87</v>
      </c>
      <c r="M324" s="12" t="s">
        <v>87</v>
      </c>
      <c r="N324" s="36" t="s">
        <v>1482</v>
      </c>
      <c r="O324" s="34">
        <v>123</v>
      </c>
      <c r="P324" s="6" t="s">
        <v>87</v>
      </c>
      <c r="Q324" s="34">
        <v>361</v>
      </c>
      <c r="R324" s="6" t="s">
        <v>87</v>
      </c>
      <c r="S324" s="6" t="s">
        <v>87</v>
      </c>
      <c r="T324" s="12">
        <f>Tableau1[[#This Row],[Loyer €/m²]]*Tableau1[[#This Row],[Surface GLA]]</f>
        <v>24600</v>
      </c>
      <c r="U324" s="12">
        <f>IFERROR(Tableau1[[#This Row],[Loyer annuel]]/12,"")</f>
        <v>2050</v>
      </c>
      <c r="V324" s="12">
        <v>200</v>
      </c>
      <c r="W324" s="6" t="s">
        <v>87</v>
      </c>
      <c r="X324" s="6">
        <f>Tableau1[[#This Row],[Charges €/m²]]*Tableau1[[#This Row],[Surface GLA]]</f>
        <v>7380</v>
      </c>
      <c r="Y324" s="12">
        <f>Tableau1[[#This Row],[Charges annuelles]]/12</f>
        <v>615</v>
      </c>
      <c r="Z324" s="12">
        <v>60</v>
      </c>
      <c r="AA324" s="12">
        <f>IFERROR(Tableau1[[#This Row],[Taxe foncière €/m²]]*Tableau1[[#This Row],[Surface GLA]],)</f>
        <v>4428</v>
      </c>
      <c r="AB324" s="12">
        <v>36</v>
      </c>
      <c r="AC324" s="12">
        <f>IFERROR(Tableau1[[#This Row],[Marketing €/m²]]*Tableau1[[#This Row],[Surface GLA]],)</f>
        <v>0</v>
      </c>
      <c r="AD324" s="12"/>
      <c r="AE324" s="12">
        <f>IFERROR(Tableau1[[#This Row],[Loyer annuel]]+Tableau1[[#This Row],[Charges annuelles]]+Tableau1[[#This Row],[Taxe foncière]]+Tableau1[[#This Row],[Marketing]],"")</f>
        <v>36408</v>
      </c>
      <c r="AF324" s="12" t="str">
        <f t="shared" si="17"/>
        <v>3 mois = 6 150 €</v>
      </c>
      <c r="AG324" s="6" t="s">
        <v>87</v>
      </c>
      <c r="AH324" s="6" t="s">
        <v>87</v>
      </c>
      <c r="AI324" s="12" t="s">
        <v>346</v>
      </c>
      <c r="AJ324" s="10" t="s">
        <v>43</v>
      </c>
      <c r="AK324" s="10"/>
      <c r="AL324" s="10" t="s">
        <v>2338</v>
      </c>
      <c r="AM324" s="11" t="s">
        <v>2337</v>
      </c>
      <c r="AN324" s="11" t="s">
        <v>1308</v>
      </c>
      <c r="AO324" s="5" t="s">
        <v>350</v>
      </c>
      <c r="AP324" s="11" t="s">
        <v>2226</v>
      </c>
      <c r="AQ324" s="11" t="s">
        <v>2227</v>
      </c>
      <c r="AR324" s="11" t="s">
        <v>1998</v>
      </c>
      <c r="AS324" s="36" t="s">
        <v>2406</v>
      </c>
      <c r="AT324" s="11" t="s">
        <v>59</v>
      </c>
      <c r="AU324" s="11"/>
      <c r="AV324" s="13" t="s">
        <v>1746</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2094</v>
      </c>
      <c r="E325" s="26">
        <v>77500</v>
      </c>
      <c r="F325" s="10" t="s">
        <v>1971</v>
      </c>
      <c r="G325" s="39" t="str">
        <f>Tableau1[[#This Row],[Rue]]&amp;CHAR(10)&amp;Tableau1[[#This Row],[Code Postal]]&amp;" - "&amp;Tableau1[[#This Row],[Ville]]</f>
        <v>Terre Ciel (Chelles 2) Avenue du Gendarme Castermant
77500 - Chelles</v>
      </c>
      <c r="H325" s="15" t="s">
        <v>1970</v>
      </c>
      <c r="I325" s="12" t="s">
        <v>37</v>
      </c>
      <c r="J325" s="12" t="s">
        <v>39</v>
      </c>
      <c r="K325" s="10" t="s">
        <v>87</v>
      </c>
      <c r="L325" s="10" t="s">
        <v>87</v>
      </c>
      <c r="M325" s="12" t="s">
        <v>87</v>
      </c>
      <c r="N325" s="36" t="s">
        <v>1979</v>
      </c>
      <c r="O325" s="34">
        <v>120</v>
      </c>
      <c r="P325" s="6" t="s">
        <v>87</v>
      </c>
      <c r="Q325" s="6" t="s">
        <v>87</v>
      </c>
      <c r="R325" s="6" t="s">
        <v>87</v>
      </c>
      <c r="S325" s="6" t="s">
        <v>87</v>
      </c>
      <c r="T325" s="12">
        <f>Tableau1[[#This Row],[Loyer €/m²]]*Tableau1[[#This Row],[Surface GLA]]</f>
        <v>24000</v>
      </c>
      <c r="U325" s="12">
        <f>IFERROR(Tableau1[[#This Row],[Loyer annuel]]/12,"")</f>
        <v>2000</v>
      </c>
      <c r="V325" s="12">
        <v>200</v>
      </c>
      <c r="W325" s="6" t="s">
        <v>87</v>
      </c>
      <c r="X325" s="6">
        <f>Tableau1[[#This Row],[Charges €/m²]]*Tableau1[[#This Row],[Surface GLA]]</f>
        <v>7200</v>
      </c>
      <c r="Y325" s="12">
        <f>Tableau1[[#This Row],[Charges annuelles]]/12</f>
        <v>600</v>
      </c>
      <c r="Z325" s="12">
        <v>60</v>
      </c>
      <c r="AA325" s="12">
        <f>IFERROR(Tableau1[[#This Row],[Taxe foncière €/m²]]*Tableau1[[#This Row],[Surface GLA]],)</f>
        <v>4320</v>
      </c>
      <c r="AB325" s="12">
        <v>36</v>
      </c>
      <c r="AC325" s="12">
        <f>IFERROR(Tableau1[[#This Row],[Marketing €/m²]]*Tableau1[[#This Row],[Surface GLA]],)</f>
        <v>0</v>
      </c>
      <c r="AD325" s="12"/>
      <c r="AE325" s="12">
        <f>IFERROR(Tableau1[[#This Row],[Loyer annuel]]+Tableau1[[#This Row],[Charges annuelles]]+Tableau1[[#This Row],[Taxe foncière]]+Tableau1[[#This Row],[Marketing]],"")</f>
        <v>35520</v>
      </c>
      <c r="AF325" s="12" t="str">
        <f t="shared" si="17"/>
        <v>3 mois = 6 000 €</v>
      </c>
      <c r="AG325" s="6" t="s">
        <v>87</v>
      </c>
      <c r="AH325" s="6" t="s">
        <v>87</v>
      </c>
      <c r="AI325" s="12" t="s">
        <v>346</v>
      </c>
      <c r="AJ325" s="10" t="s">
        <v>43</v>
      </c>
      <c r="AK325" s="10"/>
      <c r="AL325" s="10" t="s">
        <v>2338</v>
      </c>
      <c r="AM325" s="11" t="s">
        <v>2337</v>
      </c>
      <c r="AN325" s="11" t="s">
        <v>1308</v>
      </c>
      <c r="AO325" s="5" t="s">
        <v>350</v>
      </c>
      <c r="AP325" s="11" t="s">
        <v>2228</v>
      </c>
      <c r="AQ325" s="11" t="s">
        <v>2229</v>
      </c>
      <c r="AR325" s="11" t="s">
        <v>2000</v>
      </c>
      <c r="AS325" s="36" t="s">
        <v>2406</v>
      </c>
      <c r="AT325" s="11" t="s">
        <v>59</v>
      </c>
      <c r="AU325" s="11"/>
      <c r="AV325" s="13" t="s">
        <v>1746</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2094</v>
      </c>
      <c r="E326" s="26">
        <v>77500</v>
      </c>
      <c r="F326" s="10" t="s">
        <v>1971</v>
      </c>
      <c r="G326" s="39" t="str">
        <f>Tableau1[[#This Row],[Rue]]&amp;CHAR(10)&amp;Tableau1[[#This Row],[Code Postal]]&amp;" - "&amp;Tableau1[[#This Row],[Ville]]</f>
        <v>Terre Ciel (Chelles 2) Avenue du Gendarme Castermant
77500 - Chelles</v>
      </c>
      <c r="H326" s="15" t="s">
        <v>1970</v>
      </c>
      <c r="I326" s="12" t="s">
        <v>37</v>
      </c>
      <c r="J326" s="12" t="s">
        <v>39</v>
      </c>
      <c r="K326" s="10" t="s">
        <v>87</v>
      </c>
      <c r="L326" s="10" t="s">
        <v>87</v>
      </c>
      <c r="M326" s="12" t="s">
        <v>87</v>
      </c>
      <c r="N326" s="36" t="s">
        <v>1978</v>
      </c>
      <c r="O326" s="34">
        <v>120</v>
      </c>
      <c r="P326" s="6" t="s">
        <v>87</v>
      </c>
      <c r="Q326" s="34">
        <v>231</v>
      </c>
      <c r="R326" s="6" t="s">
        <v>87</v>
      </c>
      <c r="S326" s="6" t="s">
        <v>87</v>
      </c>
      <c r="T326" s="12">
        <f>Tableau1[[#This Row],[Loyer €/m²]]*Tableau1[[#This Row],[Surface GLA]]</f>
        <v>24000</v>
      </c>
      <c r="U326" s="12">
        <f>IFERROR(Tableau1[[#This Row],[Loyer annuel]]/12,"")</f>
        <v>2000</v>
      </c>
      <c r="V326" s="12">
        <v>200</v>
      </c>
      <c r="W326" s="6" t="s">
        <v>87</v>
      </c>
      <c r="X326" s="6">
        <f>Tableau1[[#This Row],[Charges €/m²]]*Tableau1[[#This Row],[Surface GLA]]</f>
        <v>7200</v>
      </c>
      <c r="Y326" s="12">
        <f>Tableau1[[#This Row],[Charges annuelles]]/12</f>
        <v>600</v>
      </c>
      <c r="Z326" s="12">
        <v>60</v>
      </c>
      <c r="AA326" s="12">
        <f>IFERROR(Tableau1[[#This Row],[Taxe foncière €/m²]]*Tableau1[[#This Row],[Surface GLA]],)</f>
        <v>4320</v>
      </c>
      <c r="AB326" s="12">
        <v>36</v>
      </c>
      <c r="AC326" s="12">
        <f>IFERROR(Tableau1[[#This Row],[Marketing €/m²]]*Tableau1[[#This Row],[Surface GLA]],)</f>
        <v>0</v>
      </c>
      <c r="AD326" s="12"/>
      <c r="AE326" s="12">
        <f>IFERROR(Tableau1[[#This Row],[Loyer annuel]]+Tableau1[[#This Row],[Charges annuelles]]+Tableau1[[#This Row],[Taxe foncière]]+Tableau1[[#This Row],[Marketing]],"")</f>
        <v>35520</v>
      </c>
      <c r="AF326" s="12" t="str">
        <f t="shared" si="17"/>
        <v>3 mois = 6 000 €</v>
      </c>
      <c r="AG326" s="6" t="s">
        <v>87</v>
      </c>
      <c r="AH326" s="6" t="s">
        <v>87</v>
      </c>
      <c r="AI326" s="12" t="s">
        <v>346</v>
      </c>
      <c r="AJ326" s="10" t="s">
        <v>43</v>
      </c>
      <c r="AK326" s="10"/>
      <c r="AL326" s="10" t="s">
        <v>2338</v>
      </c>
      <c r="AM326" s="11" t="s">
        <v>2337</v>
      </c>
      <c r="AN326" s="11" t="s">
        <v>1308</v>
      </c>
      <c r="AO326" s="5" t="s">
        <v>350</v>
      </c>
      <c r="AP326" s="11" t="s">
        <v>2230</v>
      </c>
      <c r="AQ326" s="11" t="s">
        <v>2231</v>
      </c>
      <c r="AR326" s="11" t="s">
        <v>1997</v>
      </c>
      <c r="AS326" s="36" t="s">
        <v>2406</v>
      </c>
      <c r="AT326" s="11" t="s">
        <v>59</v>
      </c>
      <c r="AU326" s="11"/>
      <c r="AV326" s="13" t="s">
        <v>1746</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2094</v>
      </c>
      <c r="E327" s="26">
        <v>77500</v>
      </c>
      <c r="F327" s="10" t="s">
        <v>1971</v>
      </c>
      <c r="G327" s="39" t="str">
        <f>Tableau1[[#This Row],[Rue]]&amp;CHAR(10)&amp;Tableau1[[#This Row],[Code Postal]]&amp;" - "&amp;Tableau1[[#This Row],[Ville]]</f>
        <v>Terre Ciel (Chelles 2) Avenue du Gendarme Castermant
77500 - Chelles</v>
      </c>
      <c r="H327" s="15" t="s">
        <v>1970</v>
      </c>
      <c r="I327" s="12" t="s">
        <v>37</v>
      </c>
      <c r="J327" s="12" t="s">
        <v>39</v>
      </c>
      <c r="K327" s="10" t="s">
        <v>87</v>
      </c>
      <c r="L327" s="10" t="s">
        <v>87</v>
      </c>
      <c r="M327" s="12" t="s">
        <v>87</v>
      </c>
      <c r="N327" s="36" t="s">
        <v>1977</v>
      </c>
      <c r="O327" s="34">
        <v>101</v>
      </c>
      <c r="P327" s="6" t="s">
        <v>87</v>
      </c>
      <c r="Q327" s="34">
        <v>231</v>
      </c>
      <c r="R327" s="6" t="s">
        <v>87</v>
      </c>
      <c r="S327" s="6" t="s">
        <v>87</v>
      </c>
      <c r="T327" s="12">
        <f>Tableau1[[#This Row],[Loyer €/m²]]*Tableau1[[#This Row],[Surface GLA]]</f>
        <v>20200</v>
      </c>
      <c r="U327" s="12">
        <f>IFERROR(Tableau1[[#This Row],[Loyer annuel]]/12,"")</f>
        <v>1683.3333333333333</v>
      </c>
      <c r="V327" s="12">
        <v>200</v>
      </c>
      <c r="W327" s="6" t="s">
        <v>87</v>
      </c>
      <c r="X327" s="6">
        <f>Tableau1[[#This Row],[Charges €/m²]]*Tableau1[[#This Row],[Surface GLA]]</f>
        <v>6060</v>
      </c>
      <c r="Y327" s="12">
        <f>Tableau1[[#This Row],[Charges annuelles]]/12</f>
        <v>505</v>
      </c>
      <c r="Z327" s="12">
        <v>60</v>
      </c>
      <c r="AA327" s="12">
        <f>IFERROR(Tableau1[[#This Row],[Taxe foncière €/m²]]*Tableau1[[#This Row],[Surface GLA]],)</f>
        <v>3636</v>
      </c>
      <c r="AB327" s="12">
        <v>36</v>
      </c>
      <c r="AC327" s="12">
        <f>IFERROR(Tableau1[[#This Row],[Marketing €/m²]]*Tableau1[[#This Row],[Surface GLA]],)</f>
        <v>0</v>
      </c>
      <c r="AD327" s="12"/>
      <c r="AE327" s="12">
        <f>IFERROR(Tableau1[[#This Row],[Loyer annuel]]+Tableau1[[#This Row],[Charges annuelles]]+Tableau1[[#This Row],[Taxe foncière]]+Tableau1[[#This Row],[Marketing]],"")</f>
        <v>29896</v>
      </c>
      <c r="AF327" s="12" t="str">
        <f t="shared" si="17"/>
        <v>3 mois = 5 050 €</v>
      </c>
      <c r="AG327" s="6" t="s">
        <v>87</v>
      </c>
      <c r="AH327" s="6" t="s">
        <v>87</v>
      </c>
      <c r="AI327" s="12" t="s">
        <v>346</v>
      </c>
      <c r="AJ327" s="10" t="s">
        <v>43</v>
      </c>
      <c r="AK327" s="10"/>
      <c r="AL327" s="10" t="s">
        <v>2338</v>
      </c>
      <c r="AM327" s="11" t="s">
        <v>2337</v>
      </c>
      <c r="AN327" s="11" t="s">
        <v>1308</v>
      </c>
      <c r="AO327" s="5" t="s">
        <v>350</v>
      </c>
      <c r="AP327" s="11" t="s">
        <v>2232</v>
      </c>
      <c r="AQ327" s="11" t="s">
        <v>2233</v>
      </c>
      <c r="AR327" s="11" t="s">
        <v>1999</v>
      </c>
      <c r="AS327" s="36" t="s">
        <v>2406</v>
      </c>
      <c r="AT327" s="11" t="s">
        <v>59</v>
      </c>
      <c r="AU327" s="11"/>
      <c r="AV327" s="13" t="s">
        <v>1746</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2094</v>
      </c>
      <c r="E328" s="26">
        <v>77500</v>
      </c>
      <c r="F328" s="10" t="s">
        <v>1971</v>
      </c>
      <c r="G328" s="39" t="str">
        <f>Tableau1[[#This Row],[Rue]]&amp;CHAR(10)&amp;Tableau1[[#This Row],[Code Postal]]&amp;" - "&amp;Tableau1[[#This Row],[Ville]]</f>
        <v>Terre Ciel (Chelles 2) Avenue du Gendarme Castermant
77500 - Chelles</v>
      </c>
      <c r="H328" s="15" t="s">
        <v>1970</v>
      </c>
      <c r="I328" s="12" t="s">
        <v>37</v>
      </c>
      <c r="J328" s="12" t="s">
        <v>39</v>
      </c>
      <c r="K328" s="10" t="s">
        <v>87</v>
      </c>
      <c r="L328" s="10" t="s">
        <v>87</v>
      </c>
      <c r="M328" s="12" t="s">
        <v>87</v>
      </c>
      <c r="N328" s="36" t="s">
        <v>1976</v>
      </c>
      <c r="O328" s="34">
        <v>218</v>
      </c>
      <c r="P328" s="6" t="s">
        <v>87</v>
      </c>
      <c r="Q328" s="34">
        <v>363</v>
      </c>
      <c r="R328" s="6" t="s">
        <v>87</v>
      </c>
      <c r="S328" s="6" t="s">
        <v>87</v>
      </c>
      <c r="T328" s="12">
        <f>Tableau1[[#This Row],[Loyer €/m²]]*Tableau1[[#This Row],[Surface GLA]]</f>
        <v>43600</v>
      </c>
      <c r="U328" s="12">
        <f>IFERROR(Tableau1[[#This Row],[Loyer annuel]]/12,"")</f>
        <v>3633.3333333333335</v>
      </c>
      <c r="V328" s="12">
        <v>200</v>
      </c>
      <c r="W328" s="6" t="s">
        <v>87</v>
      </c>
      <c r="X328" s="6">
        <f>Tableau1[[#This Row],[Charges €/m²]]*Tableau1[[#This Row],[Surface GLA]]</f>
        <v>13080</v>
      </c>
      <c r="Y328" s="12">
        <f>Tableau1[[#This Row],[Charges annuelles]]/12</f>
        <v>1090</v>
      </c>
      <c r="Z328" s="12">
        <v>60</v>
      </c>
      <c r="AA328" s="12">
        <f>IFERROR(Tableau1[[#This Row],[Taxe foncière €/m²]]*Tableau1[[#This Row],[Surface GLA]],)</f>
        <v>7848</v>
      </c>
      <c r="AB328" s="12">
        <v>36</v>
      </c>
      <c r="AC328" s="12">
        <f>IFERROR(Tableau1[[#This Row],[Marketing €/m²]]*Tableau1[[#This Row],[Surface GLA]],)</f>
        <v>0</v>
      </c>
      <c r="AD328" s="12"/>
      <c r="AE328" s="12">
        <f>IFERROR(Tableau1[[#This Row],[Loyer annuel]]+Tableau1[[#This Row],[Charges annuelles]]+Tableau1[[#This Row],[Taxe foncière]]+Tableau1[[#This Row],[Marketing]],"")</f>
        <v>64528</v>
      </c>
      <c r="AF328" s="12" t="str">
        <f t="shared" si="17"/>
        <v>3 mois = 10 900 €</v>
      </c>
      <c r="AG328" s="6" t="s">
        <v>87</v>
      </c>
      <c r="AH328" s="6" t="s">
        <v>87</v>
      </c>
      <c r="AI328" s="12" t="s">
        <v>346</v>
      </c>
      <c r="AJ328" s="10" t="s">
        <v>43</v>
      </c>
      <c r="AK328" s="10"/>
      <c r="AL328" s="10" t="s">
        <v>2338</v>
      </c>
      <c r="AM328" s="11" t="s">
        <v>2337</v>
      </c>
      <c r="AN328" s="11" t="s">
        <v>1308</v>
      </c>
      <c r="AO328" s="5" t="s">
        <v>350</v>
      </c>
      <c r="AP328" s="11" t="s">
        <v>2234</v>
      </c>
      <c r="AQ328" s="11" t="s">
        <v>2235</v>
      </c>
      <c r="AR328" s="11" t="s">
        <v>2001</v>
      </c>
      <c r="AS328" s="36" t="s">
        <v>2406</v>
      </c>
      <c r="AT328" s="11" t="s">
        <v>59</v>
      </c>
      <c r="AU328" s="11"/>
      <c r="AV328" s="13" t="s">
        <v>1746</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2094</v>
      </c>
      <c r="E329" s="26">
        <v>77500</v>
      </c>
      <c r="F329" s="10" t="s">
        <v>1971</v>
      </c>
      <c r="G329" s="39" t="str">
        <f>Tableau1[[#This Row],[Rue]]&amp;CHAR(10)&amp;Tableau1[[#This Row],[Code Postal]]&amp;" - "&amp;Tableau1[[#This Row],[Ville]]</f>
        <v>Terre Ciel (Chelles 2) Avenue du Gendarme Castermant
77500 - Chelles</v>
      </c>
      <c r="H329" s="15" t="s">
        <v>1970</v>
      </c>
      <c r="I329" s="12" t="s">
        <v>37</v>
      </c>
      <c r="J329" s="12" t="s">
        <v>39</v>
      </c>
      <c r="K329" s="10" t="s">
        <v>87</v>
      </c>
      <c r="L329" s="10" t="s">
        <v>87</v>
      </c>
      <c r="M329" s="12" t="s">
        <v>87</v>
      </c>
      <c r="N329" s="36" t="s">
        <v>1975</v>
      </c>
      <c r="O329" s="34">
        <v>145</v>
      </c>
      <c r="P329" s="6" t="s">
        <v>87</v>
      </c>
      <c r="Q329" s="34">
        <v>363</v>
      </c>
      <c r="R329" s="6" t="s">
        <v>87</v>
      </c>
      <c r="S329" s="6" t="s">
        <v>87</v>
      </c>
      <c r="T329" s="12">
        <f>Tableau1[[#This Row],[Loyer €/m²]]*Tableau1[[#This Row],[Surface GLA]]</f>
        <v>29000</v>
      </c>
      <c r="U329" s="12">
        <f>IFERROR(Tableau1[[#This Row],[Loyer annuel]]/12,"")</f>
        <v>2416.6666666666665</v>
      </c>
      <c r="V329" s="12">
        <v>200</v>
      </c>
      <c r="W329" s="6" t="s">
        <v>87</v>
      </c>
      <c r="X329" s="6">
        <f>Tableau1[[#This Row],[Charges €/m²]]*Tableau1[[#This Row],[Surface GLA]]</f>
        <v>8700</v>
      </c>
      <c r="Y329" s="12">
        <f>Tableau1[[#This Row],[Charges annuelles]]/12</f>
        <v>725</v>
      </c>
      <c r="Z329" s="12">
        <v>60</v>
      </c>
      <c r="AA329" s="12">
        <f>IFERROR(Tableau1[[#This Row],[Taxe foncière €/m²]]*Tableau1[[#This Row],[Surface GLA]],)</f>
        <v>5220</v>
      </c>
      <c r="AB329" s="12">
        <v>36</v>
      </c>
      <c r="AC329" s="12">
        <f>IFERROR(Tableau1[[#This Row],[Marketing €/m²]]*Tableau1[[#This Row],[Surface GLA]],)</f>
        <v>0</v>
      </c>
      <c r="AD329" s="12"/>
      <c r="AE329" s="12">
        <f>IFERROR(Tableau1[[#This Row],[Loyer annuel]]+Tableau1[[#This Row],[Charges annuelles]]+Tableau1[[#This Row],[Taxe foncière]]+Tableau1[[#This Row],[Marketing]],"")</f>
        <v>42920</v>
      </c>
      <c r="AF329" s="12" t="str">
        <f t="shared" si="17"/>
        <v>3 mois = 7 250 €</v>
      </c>
      <c r="AG329" s="6" t="s">
        <v>87</v>
      </c>
      <c r="AH329" s="6" t="s">
        <v>87</v>
      </c>
      <c r="AI329" s="12" t="s">
        <v>346</v>
      </c>
      <c r="AJ329" s="10" t="s">
        <v>43</v>
      </c>
      <c r="AK329" s="10"/>
      <c r="AL329" s="10" t="s">
        <v>2338</v>
      </c>
      <c r="AM329" s="11" t="s">
        <v>2337</v>
      </c>
      <c r="AN329" s="11" t="s">
        <v>1308</v>
      </c>
      <c r="AO329" s="5" t="s">
        <v>350</v>
      </c>
      <c r="AP329" s="11" t="s">
        <v>2234</v>
      </c>
      <c r="AQ329" s="11" t="s">
        <v>2236</v>
      </c>
      <c r="AR329" s="11" t="s">
        <v>2002</v>
      </c>
      <c r="AS329" s="36" t="s">
        <v>2406</v>
      </c>
      <c r="AT329" s="11" t="s">
        <v>59</v>
      </c>
      <c r="AU329" s="11"/>
      <c r="AV329" s="13" t="s">
        <v>1746</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2094</v>
      </c>
      <c r="E330" s="26">
        <v>77500</v>
      </c>
      <c r="F330" s="10" t="s">
        <v>1971</v>
      </c>
      <c r="G330" s="39" t="str">
        <f>Tableau1[[#This Row],[Rue]]&amp;CHAR(10)&amp;Tableau1[[#This Row],[Code Postal]]&amp;" - "&amp;Tableau1[[#This Row],[Ville]]</f>
        <v>Terre Ciel (Chelles 2) Avenue du Gendarme Castermant
77500 - Chelles</v>
      </c>
      <c r="H330" s="15" t="s">
        <v>1970</v>
      </c>
      <c r="I330" s="12" t="s">
        <v>37</v>
      </c>
      <c r="J330" s="12" t="s">
        <v>39</v>
      </c>
      <c r="K330" s="10" t="s">
        <v>87</v>
      </c>
      <c r="L330" s="10" t="s">
        <v>87</v>
      </c>
      <c r="M330" s="12" t="s">
        <v>87</v>
      </c>
      <c r="N330" s="36" t="s">
        <v>1974</v>
      </c>
      <c r="O330" s="34">
        <v>46</v>
      </c>
      <c r="P330" s="6" t="s">
        <v>87</v>
      </c>
      <c r="Q330" s="6" t="s">
        <v>87</v>
      </c>
      <c r="R330" s="6" t="s">
        <v>87</v>
      </c>
      <c r="S330" s="6" t="s">
        <v>87</v>
      </c>
      <c r="T330" s="12">
        <f>Tableau1[[#This Row],[Loyer €/m²]]*Tableau1[[#This Row],[Surface GLA]]</f>
        <v>9200</v>
      </c>
      <c r="U330" s="12">
        <f>IFERROR(Tableau1[[#This Row],[Loyer annuel]]/12,"")</f>
        <v>766.66666666666663</v>
      </c>
      <c r="V330" s="12">
        <v>200</v>
      </c>
      <c r="W330" s="6" t="s">
        <v>87</v>
      </c>
      <c r="X330" s="6">
        <f>Tableau1[[#This Row],[Charges €/m²]]*Tableau1[[#This Row],[Surface GLA]]</f>
        <v>2760</v>
      </c>
      <c r="Y330" s="12">
        <f>Tableau1[[#This Row],[Charges annuelles]]/12</f>
        <v>230</v>
      </c>
      <c r="Z330" s="12">
        <v>60</v>
      </c>
      <c r="AA330" s="12">
        <f>IFERROR(Tableau1[[#This Row],[Taxe foncière €/m²]]*Tableau1[[#This Row],[Surface GLA]],)</f>
        <v>1656</v>
      </c>
      <c r="AB330" s="12">
        <v>36</v>
      </c>
      <c r="AC330" s="12">
        <f>IFERROR(Tableau1[[#This Row],[Marketing €/m²]]*Tableau1[[#This Row],[Surface GLA]],)</f>
        <v>0</v>
      </c>
      <c r="AD330" s="12"/>
      <c r="AE330" s="12">
        <f>IFERROR(Tableau1[[#This Row],[Loyer annuel]]+Tableau1[[#This Row],[Charges annuelles]]+Tableau1[[#This Row],[Taxe foncière]]+Tableau1[[#This Row],[Marketing]],"")</f>
        <v>13616</v>
      </c>
      <c r="AF330" s="12" t="str">
        <f t="shared" si="17"/>
        <v>3 mois = 2 300 €</v>
      </c>
      <c r="AG330" s="6" t="s">
        <v>87</v>
      </c>
      <c r="AH330" s="6" t="s">
        <v>87</v>
      </c>
      <c r="AI330" s="12" t="s">
        <v>346</v>
      </c>
      <c r="AJ330" s="10" t="s">
        <v>358</v>
      </c>
      <c r="AK330" s="10" t="s">
        <v>352</v>
      </c>
      <c r="AL330" s="10" t="s">
        <v>2338</v>
      </c>
      <c r="AM330" s="11" t="s">
        <v>2337</v>
      </c>
      <c r="AN330" s="11" t="s">
        <v>1308</v>
      </c>
      <c r="AO330" s="5" t="s">
        <v>350</v>
      </c>
      <c r="AP330" s="11" t="s">
        <v>2237</v>
      </c>
      <c r="AQ330" s="11" t="s">
        <v>2238</v>
      </c>
      <c r="AR330" s="11" t="s">
        <v>2003</v>
      </c>
      <c r="AS330" s="36" t="s">
        <v>2406</v>
      </c>
      <c r="AT330" s="11" t="s">
        <v>59</v>
      </c>
      <c r="AU330" s="11"/>
      <c r="AV330" s="13" t="s">
        <v>1746</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2094</v>
      </c>
      <c r="E331" s="26">
        <v>77500</v>
      </c>
      <c r="F331" s="10" t="s">
        <v>1971</v>
      </c>
      <c r="G331" s="39" t="str">
        <f>Tableau1[[#This Row],[Rue]]&amp;CHAR(10)&amp;Tableau1[[#This Row],[Code Postal]]&amp;" - "&amp;Tableau1[[#This Row],[Ville]]</f>
        <v>Terre Ciel (Chelles 2) Avenue du Gendarme Castermant
77500 - Chelles</v>
      </c>
      <c r="H331" s="15" t="s">
        <v>1970</v>
      </c>
      <c r="I331" s="12" t="s">
        <v>37</v>
      </c>
      <c r="J331" s="12" t="s">
        <v>39</v>
      </c>
      <c r="K331" s="10" t="s">
        <v>87</v>
      </c>
      <c r="L331" s="10" t="s">
        <v>87</v>
      </c>
      <c r="M331" s="12" t="s">
        <v>87</v>
      </c>
      <c r="N331" s="36" t="s">
        <v>1980</v>
      </c>
      <c r="O331" s="34">
        <v>113</v>
      </c>
      <c r="P331" s="6" t="s">
        <v>87</v>
      </c>
      <c r="Q331" s="6" t="s">
        <v>87</v>
      </c>
      <c r="R331" s="6" t="s">
        <v>87</v>
      </c>
      <c r="S331" s="6" t="s">
        <v>87</v>
      </c>
      <c r="T331" s="12">
        <f>Tableau1[[#This Row],[Loyer €/m²]]*Tableau1[[#This Row],[Surface GLA]]</f>
        <v>22600</v>
      </c>
      <c r="U331" s="12">
        <f>IFERROR(Tableau1[[#This Row],[Loyer annuel]]/12,"")</f>
        <v>1883.3333333333333</v>
      </c>
      <c r="V331" s="12">
        <v>200</v>
      </c>
      <c r="W331" s="6" t="s">
        <v>87</v>
      </c>
      <c r="X331" s="6">
        <f>Tableau1[[#This Row],[Charges €/m²]]*Tableau1[[#This Row],[Surface GLA]]</f>
        <v>6780</v>
      </c>
      <c r="Y331" s="12">
        <f>Tableau1[[#This Row],[Charges annuelles]]/12</f>
        <v>565</v>
      </c>
      <c r="Z331" s="12">
        <v>60</v>
      </c>
      <c r="AA331" s="12">
        <f>IFERROR(Tableau1[[#This Row],[Taxe foncière €/m²]]*Tableau1[[#This Row],[Surface GLA]],)</f>
        <v>4068</v>
      </c>
      <c r="AB331" s="12">
        <v>36</v>
      </c>
      <c r="AC331" s="12">
        <f>IFERROR(Tableau1[[#This Row],[Marketing €/m²]]*Tableau1[[#This Row],[Surface GLA]],)</f>
        <v>0</v>
      </c>
      <c r="AD331" s="12"/>
      <c r="AE331" s="12">
        <f>IFERROR(Tableau1[[#This Row],[Loyer annuel]]+Tableau1[[#This Row],[Charges annuelles]]+Tableau1[[#This Row],[Taxe foncière]]+Tableau1[[#This Row],[Marketing]],"")</f>
        <v>33448</v>
      </c>
      <c r="AF331" s="12" t="str">
        <f t="shared" si="17"/>
        <v>3 mois = 5 650 €</v>
      </c>
      <c r="AG331" s="6" t="s">
        <v>87</v>
      </c>
      <c r="AH331" s="6" t="s">
        <v>87</v>
      </c>
      <c r="AI331" s="12" t="s">
        <v>346</v>
      </c>
      <c r="AJ331" s="10" t="s">
        <v>43</v>
      </c>
      <c r="AK331" s="10"/>
      <c r="AL331" s="10" t="s">
        <v>2338</v>
      </c>
      <c r="AM331" s="11" t="s">
        <v>2337</v>
      </c>
      <c r="AN331" s="11" t="s">
        <v>1308</v>
      </c>
      <c r="AO331" s="5" t="s">
        <v>350</v>
      </c>
      <c r="AP331" s="11" t="s">
        <v>2239</v>
      </c>
      <c r="AQ331" s="11" t="s">
        <v>2240</v>
      </c>
      <c r="AR331" s="11" t="s">
        <v>2004</v>
      </c>
      <c r="AS331" s="36" t="s">
        <v>2406</v>
      </c>
      <c r="AT331" s="11" t="s">
        <v>59</v>
      </c>
      <c r="AU331" s="11"/>
      <c r="AV331" s="13" t="s">
        <v>1746</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2094</v>
      </c>
      <c r="E332" s="26">
        <v>77500</v>
      </c>
      <c r="F332" s="10" t="s">
        <v>1971</v>
      </c>
      <c r="G332" s="39" t="str">
        <f>Tableau1[[#This Row],[Rue]]&amp;CHAR(10)&amp;Tableau1[[#This Row],[Code Postal]]&amp;" - "&amp;Tableau1[[#This Row],[Ville]]</f>
        <v>Terre Ciel (Chelles 2) Avenue du Gendarme Castermant
77500 - Chelles</v>
      </c>
      <c r="H332" s="15" t="s">
        <v>1970</v>
      </c>
      <c r="I332" s="12" t="s">
        <v>37</v>
      </c>
      <c r="J332" s="12" t="s">
        <v>39</v>
      </c>
      <c r="K332" s="10" t="s">
        <v>87</v>
      </c>
      <c r="L332" s="10" t="s">
        <v>87</v>
      </c>
      <c r="M332" s="12" t="s">
        <v>87</v>
      </c>
      <c r="N332" s="36" t="s">
        <v>1981</v>
      </c>
      <c r="O332" s="34">
        <v>248</v>
      </c>
      <c r="P332" s="6" t="s">
        <v>87</v>
      </c>
      <c r="Q332" s="34">
        <v>871</v>
      </c>
      <c r="R332" s="6" t="s">
        <v>87</v>
      </c>
      <c r="S332" s="6" t="s">
        <v>87</v>
      </c>
      <c r="T332" s="12">
        <f>Tableau1[[#This Row],[Loyer €/m²]]*Tableau1[[#This Row],[Surface GLA]]</f>
        <v>49600</v>
      </c>
      <c r="U332" s="12">
        <f>IFERROR(Tableau1[[#This Row],[Loyer annuel]]/12,"")</f>
        <v>4133.333333333333</v>
      </c>
      <c r="V332" s="12">
        <v>200</v>
      </c>
      <c r="W332" s="6" t="s">
        <v>87</v>
      </c>
      <c r="X332" s="6">
        <f>Tableau1[[#This Row],[Charges €/m²]]*Tableau1[[#This Row],[Surface GLA]]</f>
        <v>14880</v>
      </c>
      <c r="Y332" s="12">
        <f>Tableau1[[#This Row],[Charges annuelles]]/12</f>
        <v>1240</v>
      </c>
      <c r="Z332" s="12">
        <v>60</v>
      </c>
      <c r="AA332" s="12">
        <f>IFERROR(Tableau1[[#This Row],[Taxe foncière €/m²]]*Tableau1[[#This Row],[Surface GLA]],)</f>
        <v>8928</v>
      </c>
      <c r="AB332" s="12">
        <v>36</v>
      </c>
      <c r="AC332" s="12">
        <f>IFERROR(Tableau1[[#This Row],[Marketing €/m²]]*Tableau1[[#This Row],[Surface GLA]],)</f>
        <v>0</v>
      </c>
      <c r="AD332" s="12"/>
      <c r="AE332" s="12">
        <f>IFERROR(Tableau1[[#This Row],[Loyer annuel]]+Tableau1[[#This Row],[Charges annuelles]]+Tableau1[[#This Row],[Taxe foncière]]+Tableau1[[#This Row],[Marketing]],"")</f>
        <v>73408</v>
      </c>
      <c r="AF332" s="12" t="str">
        <f t="shared" si="17"/>
        <v>3 mois = 12 400 €</v>
      </c>
      <c r="AG332" s="6" t="s">
        <v>87</v>
      </c>
      <c r="AH332" s="6" t="s">
        <v>87</v>
      </c>
      <c r="AI332" s="12" t="s">
        <v>346</v>
      </c>
      <c r="AJ332" s="10" t="s">
        <v>43</v>
      </c>
      <c r="AK332" s="10"/>
      <c r="AL332" s="10" t="s">
        <v>2338</v>
      </c>
      <c r="AM332" s="11" t="s">
        <v>2337</v>
      </c>
      <c r="AN332" s="11" t="s">
        <v>1308</v>
      </c>
      <c r="AO332" s="5" t="s">
        <v>350</v>
      </c>
      <c r="AP332" s="11" t="s">
        <v>2241</v>
      </c>
      <c r="AQ332" s="11" t="s">
        <v>2242</v>
      </c>
      <c r="AR332" s="11" t="s">
        <v>2005</v>
      </c>
      <c r="AS332" s="36" t="s">
        <v>2406</v>
      </c>
      <c r="AT332" s="11" t="s">
        <v>59</v>
      </c>
      <c r="AU332" s="11"/>
      <c r="AV332" s="13" t="s">
        <v>1746</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2094</v>
      </c>
      <c r="E333" s="26">
        <v>77500</v>
      </c>
      <c r="F333" s="10" t="s">
        <v>1971</v>
      </c>
      <c r="G333" s="39" t="str">
        <f>Tableau1[[#This Row],[Rue]]&amp;CHAR(10)&amp;Tableau1[[#This Row],[Code Postal]]&amp;" - "&amp;Tableau1[[#This Row],[Ville]]</f>
        <v>Terre Ciel (Chelles 2) Avenue du Gendarme Castermant
77500 - Chelles</v>
      </c>
      <c r="H333" s="15" t="s">
        <v>1970</v>
      </c>
      <c r="I333" s="12" t="s">
        <v>37</v>
      </c>
      <c r="J333" s="12" t="s">
        <v>39</v>
      </c>
      <c r="K333" s="10" t="s">
        <v>87</v>
      </c>
      <c r="L333" s="10" t="s">
        <v>87</v>
      </c>
      <c r="M333" s="12" t="s">
        <v>87</v>
      </c>
      <c r="N333" s="36" t="s">
        <v>1982</v>
      </c>
      <c r="O333" s="34">
        <v>215</v>
      </c>
      <c r="P333" s="6" t="s">
        <v>87</v>
      </c>
      <c r="Q333" s="34">
        <v>871</v>
      </c>
      <c r="R333" s="6" t="s">
        <v>87</v>
      </c>
      <c r="S333" s="6" t="s">
        <v>87</v>
      </c>
      <c r="T333" s="12">
        <f>Tableau1[[#This Row],[Loyer €/m²]]*Tableau1[[#This Row],[Surface GLA]]</f>
        <v>43000</v>
      </c>
      <c r="U333" s="12">
        <f>IFERROR(Tableau1[[#This Row],[Loyer annuel]]/12,"")</f>
        <v>3583.3333333333335</v>
      </c>
      <c r="V333" s="12">
        <v>200</v>
      </c>
      <c r="W333" s="6" t="s">
        <v>87</v>
      </c>
      <c r="X333" s="6">
        <f>Tableau1[[#This Row],[Charges €/m²]]*Tableau1[[#This Row],[Surface GLA]]</f>
        <v>12900</v>
      </c>
      <c r="Y333" s="12">
        <f>Tableau1[[#This Row],[Charges annuelles]]/12</f>
        <v>1075</v>
      </c>
      <c r="Z333" s="12">
        <v>60</v>
      </c>
      <c r="AA333" s="12">
        <f>IFERROR(Tableau1[[#This Row],[Taxe foncière €/m²]]*Tableau1[[#This Row],[Surface GLA]],)</f>
        <v>7740</v>
      </c>
      <c r="AB333" s="12">
        <v>36</v>
      </c>
      <c r="AC333" s="12">
        <f>IFERROR(Tableau1[[#This Row],[Marketing €/m²]]*Tableau1[[#This Row],[Surface GLA]],)</f>
        <v>0</v>
      </c>
      <c r="AD333" s="12"/>
      <c r="AE333" s="12">
        <f>IFERROR(Tableau1[[#This Row],[Loyer annuel]]+Tableau1[[#This Row],[Charges annuelles]]+Tableau1[[#This Row],[Taxe foncière]]+Tableau1[[#This Row],[Marketing]],"")</f>
        <v>63640</v>
      </c>
      <c r="AF333" s="12" t="str">
        <f t="shared" si="17"/>
        <v>3 mois = 10 750 €</v>
      </c>
      <c r="AG333" s="6" t="s">
        <v>87</v>
      </c>
      <c r="AH333" s="6" t="s">
        <v>87</v>
      </c>
      <c r="AI333" s="12" t="s">
        <v>346</v>
      </c>
      <c r="AJ333" s="10" t="s">
        <v>43</v>
      </c>
      <c r="AK333" s="10"/>
      <c r="AL333" s="10" t="s">
        <v>2338</v>
      </c>
      <c r="AM333" s="11" t="s">
        <v>2337</v>
      </c>
      <c r="AN333" s="11" t="s">
        <v>1308</v>
      </c>
      <c r="AO333" s="5" t="s">
        <v>350</v>
      </c>
      <c r="AP333" s="11" t="s">
        <v>2243</v>
      </c>
      <c r="AQ333" s="11" t="s">
        <v>2244</v>
      </c>
      <c r="AR333" s="11" t="s">
        <v>2006</v>
      </c>
      <c r="AS333" s="36" t="s">
        <v>2406</v>
      </c>
      <c r="AT333" s="11" t="s">
        <v>59</v>
      </c>
      <c r="AU333" s="11"/>
      <c r="AV333" s="13" t="s">
        <v>1746</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2094</v>
      </c>
      <c r="E334" s="26">
        <v>77500</v>
      </c>
      <c r="F334" s="10" t="s">
        <v>1971</v>
      </c>
      <c r="G334" s="39" t="str">
        <f>Tableau1[[#This Row],[Rue]]&amp;CHAR(10)&amp;Tableau1[[#This Row],[Code Postal]]&amp;" - "&amp;Tableau1[[#This Row],[Ville]]</f>
        <v>Terre Ciel (Chelles 2) Avenue du Gendarme Castermant
77500 - Chelles</v>
      </c>
      <c r="H334" s="15" t="s">
        <v>1970</v>
      </c>
      <c r="I334" s="12" t="s">
        <v>37</v>
      </c>
      <c r="J334" s="12" t="s">
        <v>39</v>
      </c>
      <c r="K334" s="10" t="s">
        <v>87</v>
      </c>
      <c r="L334" s="10" t="s">
        <v>87</v>
      </c>
      <c r="M334" s="12" t="s">
        <v>87</v>
      </c>
      <c r="N334" s="36" t="s">
        <v>1983</v>
      </c>
      <c r="O334" s="34">
        <v>205</v>
      </c>
      <c r="P334" s="6" t="s">
        <v>87</v>
      </c>
      <c r="Q334" s="34">
        <v>871</v>
      </c>
      <c r="R334" s="6" t="s">
        <v>87</v>
      </c>
      <c r="S334" s="6" t="s">
        <v>87</v>
      </c>
      <c r="T334" s="12">
        <f>Tableau1[[#This Row],[Loyer €/m²]]*Tableau1[[#This Row],[Surface GLA]]</f>
        <v>41000</v>
      </c>
      <c r="U334" s="12">
        <f>IFERROR(Tableau1[[#This Row],[Loyer annuel]]/12,"")</f>
        <v>3416.6666666666665</v>
      </c>
      <c r="V334" s="12">
        <v>200</v>
      </c>
      <c r="W334" s="6" t="s">
        <v>87</v>
      </c>
      <c r="X334" s="6">
        <f>Tableau1[[#This Row],[Charges €/m²]]*Tableau1[[#This Row],[Surface GLA]]</f>
        <v>12300</v>
      </c>
      <c r="Y334" s="12">
        <f>Tableau1[[#This Row],[Charges annuelles]]/12</f>
        <v>1025</v>
      </c>
      <c r="Z334" s="12">
        <v>60</v>
      </c>
      <c r="AA334" s="12">
        <f>IFERROR(Tableau1[[#This Row],[Taxe foncière €/m²]]*Tableau1[[#This Row],[Surface GLA]],)</f>
        <v>7380</v>
      </c>
      <c r="AB334" s="12">
        <v>36</v>
      </c>
      <c r="AC334" s="12">
        <f>IFERROR(Tableau1[[#This Row],[Marketing €/m²]]*Tableau1[[#This Row],[Surface GLA]],)</f>
        <v>0</v>
      </c>
      <c r="AD334" s="12"/>
      <c r="AE334" s="12">
        <f>IFERROR(Tableau1[[#This Row],[Loyer annuel]]+Tableau1[[#This Row],[Charges annuelles]]+Tableau1[[#This Row],[Taxe foncière]]+Tableau1[[#This Row],[Marketing]],"")</f>
        <v>60680</v>
      </c>
      <c r="AF334" s="12" t="str">
        <f t="shared" si="17"/>
        <v>3 mois = 10 250 €</v>
      </c>
      <c r="AG334" s="6" t="s">
        <v>87</v>
      </c>
      <c r="AH334" s="6" t="s">
        <v>87</v>
      </c>
      <c r="AI334" s="12" t="s">
        <v>346</v>
      </c>
      <c r="AJ334" s="10" t="s">
        <v>43</v>
      </c>
      <c r="AK334" s="10"/>
      <c r="AL334" s="10" t="s">
        <v>2338</v>
      </c>
      <c r="AM334" s="11" t="s">
        <v>2337</v>
      </c>
      <c r="AN334" s="11" t="s">
        <v>1308</v>
      </c>
      <c r="AO334" s="5" t="s">
        <v>350</v>
      </c>
      <c r="AP334" s="11" t="s">
        <v>2245</v>
      </c>
      <c r="AQ334" s="11" t="s">
        <v>2246</v>
      </c>
      <c r="AR334" s="11" t="s">
        <v>2007</v>
      </c>
      <c r="AS334" s="36" t="s">
        <v>2406</v>
      </c>
      <c r="AT334" s="11" t="s">
        <v>59</v>
      </c>
      <c r="AU334" s="11"/>
      <c r="AV334" s="13" t="s">
        <v>1746</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2094</v>
      </c>
      <c r="E335" s="26">
        <v>77500</v>
      </c>
      <c r="F335" s="10" t="s">
        <v>1971</v>
      </c>
      <c r="G335" s="39" t="str">
        <f>Tableau1[[#This Row],[Rue]]&amp;CHAR(10)&amp;Tableau1[[#This Row],[Code Postal]]&amp;" - "&amp;Tableau1[[#This Row],[Ville]]</f>
        <v>Terre Ciel (Chelles 2) Avenue du Gendarme Castermant
77500 - Chelles</v>
      </c>
      <c r="H335" s="15" t="s">
        <v>1970</v>
      </c>
      <c r="I335" s="12" t="s">
        <v>37</v>
      </c>
      <c r="J335" s="12" t="s">
        <v>39</v>
      </c>
      <c r="K335" s="10" t="s">
        <v>87</v>
      </c>
      <c r="L335" s="10" t="s">
        <v>87</v>
      </c>
      <c r="M335" s="12" t="s">
        <v>87</v>
      </c>
      <c r="N335" s="36" t="s">
        <v>1984</v>
      </c>
      <c r="O335" s="34">
        <v>203</v>
      </c>
      <c r="P335" s="6" t="s">
        <v>87</v>
      </c>
      <c r="Q335" s="34">
        <v>871</v>
      </c>
      <c r="R335" s="6" t="s">
        <v>87</v>
      </c>
      <c r="S335" s="6" t="s">
        <v>87</v>
      </c>
      <c r="T335" s="12">
        <f>Tableau1[[#This Row],[Loyer €/m²]]*Tableau1[[#This Row],[Surface GLA]]</f>
        <v>40600</v>
      </c>
      <c r="U335" s="12">
        <f>IFERROR(Tableau1[[#This Row],[Loyer annuel]]/12,"")</f>
        <v>3383.3333333333335</v>
      </c>
      <c r="V335" s="12">
        <v>200</v>
      </c>
      <c r="W335" s="6" t="s">
        <v>87</v>
      </c>
      <c r="X335" s="6">
        <f>Tableau1[[#This Row],[Charges €/m²]]*Tableau1[[#This Row],[Surface GLA]]</f>
        <v>12180</v>
      </c>
      <c r="Y335" s="12">
        <f>Tableau1[[#This Row],[Charges annuelles]]/12</f>
        <v>1015</v>
      </c>
      <c r="Z335" s="12">
        <v>60</v>
      </c>
      <c r="AA335" s="12">
        <f>IFERROR(Tableau1[[#This Row],[Taxe foncière €/m²]]*Tableau1[[#This Row],[Surface GLA]],)</f>
        <v>7308</v>
      </c>
      <c r="AB335" s="12">
        <v>36</v>
      </c>
      <c r="AC335" s="12">
        <f>IFERROR(Tableau1[[#This Row],[Marketing €/m²]]*Tableau1[[#This Row],[Surface GLA]],)</f>
        <v>0</v>
      </c>
      <c r="AD335" s="12"/>
      <c r="AE335" s="12">
        <f>IFERROR(Tableau1[[#This Row],[Loyer annuel]]+Tableau1[[#This Row],[Charges annuelles]]+Tableau1[[#This Row],[Taxe foncière]]+Tableau1[[#This Row],[Marketing]],"")</f>
        <v>60088</v>
      </c>
      <c r="AF335" s="12" t="str">
        <f t="shared" si="17"/>
        <v>3 mois = 10 150 €</v>
      </c>
      <c r="AG335" s="6" t="s">
        <v>87</v>
      </c>
      <c r="AH335" s="6" t="s">
        <v>87</v>
      </c>
      <c r="AI335" s="12" t="s">
        <v>346</v>
      </c>
      <c r="AJ335" s="10" t="s">
        <v>43</v>
      </c>
      <c r="AK335" s="10"/>
      <c r="AL335" s="10" t="s">
        <v>2338</v>
      </c>
      <c r="AM335" s="11" t="s">
        <v>2337</v>
      </c>
      <c r="AN335" s="11" t="s">
        <v>1308</v>
      </c>
      <c r="AO335" s="5" t="s">
        <v>350</v>
      </c>
      <c r="AP335" s="11" t="s">
        <v>2247</v>
      </c>
      <c r="AQ335" s="11" t="s">
        <v>2248</v>
      </c>
      <c r="AR335" s="11" t="s">
        <v>2008</v>
      </c>
      <c r="AS335" s="36" t="s">
        <v>2406</v>
      </c>
      <c r="AT335" s="11" t="s">
        <v>59</v>
      </c>
      <c r="AU335" s="11"/>
      <c r="AV335" s="13" t="s">
        <v>1746</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2094</v>
      </c>
      <c r="E336" s="26">
        <v>77500</v>
      </c>
      <c r="F336" s="10" t="s">
        <v>1971</v>
      </c>
      <c r="G336" s="39" t="str">
        <f>Tableau1[[#This Row],[Rue]]&amp;CHAR(10)&amp;Tableau1[[#This Row],[Code Postal]]&amp;" - "&amp;Tableau1[[#This Row],[Ville]]</f>
        <v>Terre Ciel (Chelles 2) Avenue du Gendarme Castermant
77500 - Chelles</v>
      </c>
      <c r="H336" s="15" t="s">
        <v>1970</v>
      </c>
      <c r="I336" s="12" t="s">
        <v>37</v>
      </c>
      <c r="J336" s="12" t="s">
        <v>39</v>
      </c>
      <c r="K336" s="10" t="s">
        <v>87</v>
      </c>
      <c r="L336" s="10" t="s">
        <v>87</v>
      </c>
      <c r="M336" s="12" t="s">
        <v>87</v>
      </c>
      <c r="N336" s="36" t="s">
        <v>1985</v>
      </c>
      <c r="O336" s="34">
        <v>2095</v>
      </c>
      <c r="P336" s="12" t="s">
        <v>1986</v>
      </c>
      <c r="Q336" s="34">
        <v>2744</v>
      </c>
      <c r="R336" s="6" t="s">
        <v>87</v>
      </c>
      <c r="S336" s="6" t="s">
        <v>87</v>
      </c>
      <c r="T336" s="12">
        <f>Tableau1[[#This Row],[Loyer €/m²]]*Tableau1[[#This Row],[Surface GLA]]</f>
        <v>419000</v>
      </c>
      <c r="U336" s="12">
        <f>IFERROR(Tableau1[[#This Row],[Loyer annuel]]/12,"")</f>
        <v>34916.666666666664</v>
      </c>
      <c r="V336" s="12">
        <v>200</v>
      </c>
      <c r="W336" s="6" t="s">
        <v>87</v>
      </c>
      <c r="X336" s="6">
        <f>Tableau1[[#This Row],[Charges €/m²]]*Tableau1[[#This Row],[Surface GLA]]</f>
        <v>125700</v>
      </c>
      <c r="Y336" s="12">
        <f>Tableau1[[#This Row],[Charges annuelles]]/12</f>
        <v>10475</v>
      </c>
      <c r="Z336" s="12">
        <v>60</v>
      </c>
      <c r="AA336" s="12">
        <f>IFERROR(Tableau1[[#This Row],[Taxe foncière €/m²]]*Tableau1[[#This Row],[Surface GLA]],)</f>
        <v>75420</v>
      </c>
      <c r="AB336" s="12">
        <v>36</v>
      </c>
      <c r="AC336" s="12">
        <f>IFERROR(Tableau1[[#This Row],[Marketing €/m²]]*Tableau1[[#This Row],[Surface GLA]],)</f>
        <v>0</v>
      </c>
      <c r="AD336" s="12"/>
      <c r="AE336" s="12">
        <f>IFERROR(Tableau1[[#This Row],[Loyer annuel]]+Tableau1[[#This Row],[Charges annuelles]]+Tableau1[[#This Row],[Taxe foncière]]+Tableau1[[#This Row],[Marketing]],"")</f>
        <v>620120</v>
      </c>
      <c r="AF336" s="12" t="str">
        <f t="shared" si="17"/>
        <v>3 mois = 104 750 €</v>
      </c>
      <c r="AG336" s="6" t="s">
        <v>87</v>
      </c>
      <c r="AH336" s="6" t="s">
        <v>87</v>
      </c>
      <c r="AI336" s="12" t="s">
        <v>346</v>
      </c>
      <c r="AJ336" s="10" t="s">
        <v>43</v>
      </c>
      <c r="AK336" s="10"/>
      <c r="AL336" s="10" t="s">
        <v>2338</v>
      </c>
      <c r="AM336" s="11" t="s">
        <v>2337</v>
      </c>
      <c r="AN336" s="11" t="s">
        <v>1308</v>
      </c>
      <c r="AO336" s="5" t="s">
        <v>350</v>
      </c>
      <c r="AP336" s="11" t="s">
        <v>2245</v>
      </c>
      <c r="AQ336" s="11" t="s">
        <v>2249</v>
      </c>
      <c r="AR336" s="11" t="s">
        <v>2009</v>
      </c>
      <c r="AS336" s="36" t="s">
        <v>2406</v>
      </c>
      <c r="AT336" s="11" t="s">
        <v>59</v>
      </c>
      <c r="AU336" s="11"/>
      <c r="AV336" s="13" t="s">
        <v>1746</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2094</v>
      </c>
      <c r="E337" s="26">
        <v>77500</v>
      </c>
      <c r="F337" s="10" t="s">
        <v>1971</v>
      </c>
      <c r="G337" s="39" t="str">
        <f>Tableau1[[#This Row],[Rue]]&amp;CHAR(10)&amp;Tableau1[[#This Row],[Code Postal]]&amp;" - "&amp;Tableau1[[#This Row],[Ville]]</f>
        <v>Terre Ciel (Chelles 2) Avenue du Gendarme Castermant
77500 - Chelles</v>
      </c>
      <c r="H337" s="15" t="s">
        <v>1970</v>
      </c>
      <c r="I337" s="12" t="s">
        <v>37</v>
      </c>
      <c r="J337" s="12" t="s">
        <v>39</v>
      </c>
      <c r="K337" s="10" t="s">
        <v>87</v>
      </c>
      <c r="L337" s="10" t="s">
        <v>87</v>
      </c>
      <c r="M337" s="12" t="s">
        <v>87</v>
      </c>
      <c r="N337" s="36" t="s">
        <v>1987</v>
      </c>
      <c r="O337" s="34">
        <v>649</v>
      </c>
      <c r="P337" s="6" t="s">
        <v>87</v>
      </c>
      <c r="Q337" s="34">
        <v>2744</v>
      </c>
      <c r="R337" s="6" t="s">
        <v>87</v>
      </c>
      <c r="S337" s="6" t="s">
        <v>87</v>
      </c>
      <c r="T337" s="12">
        <f>Tableau1[[#This Row],[Loyer €/m²]]*Tableau1[[#This Row],[Surface GLA]]</f>
        <v>129800</v>
      </c>
      <c r="U337" s="12">
        <f>IFERROR(Tableau1[[#This Row],[Loyer annuel]]/12,"")</f>
        <v>10816.666666666666</v>
      </c>
      <c r="V337" s="12">
        <v>200</v>
      </c>
      <c r="W337" s="6" t="s">
        <v>87</v>
      </c>
      <c r="X337" s="6">
        <f>Tableau1[[#This Row],[Charges €/m²]]*Tableau1[[#This Row],[Surface GLA]]</f>
        <v>38940</v>
      </c>
      <c r="Y337" s="12">
        <f>Tableau1[[#This Row],[Charges annuelles]]/12</f>
        <v>3245</v>
      </c>
      <c r="Z337" s="12">
        <v>60</v>
      </c>
      <c r="AA337" s="12">
        <f>IFERROR(Tableau1[[#This Row],[Taxe foncière €/m²]]*Tableau1[[#This Row],[Surface GLA]],)</f>
        <v>23364</v>
      </c>
      <c r="AB337" s="12">
        <v>36</v>
      </c>
      <c r="AC337" s="12">
        <f>IFERROR(Tableau1[[#This Row],[Marketing €/m²]]*Tableau1[[#This Row],[Surface GLA]],)</f>
        <v>0</v>
      </c>
      <c r="AD337" s="12"/>
      <c r="AE337" s="12">
        <f>IFERROR(Tableau1[[#This Row],[Loyer annuel]]+Tableau1[[#This Row],[Charges annuelles]]+Tableau1[[#This Row],[Taxe foncière]]+Tableau1[[#This Row],[Marketing]],"")</f>
        <v>192104</v>
      </c>
      <c r="AF337" s="12" t="str">
        <f t="shared" si="17"/>
        <v>3 mois = 32 450 €</v>
      </c>
      <c r="AG337" s="6" t="s">
        <v>87</v>
      </c>
      <c r="AH337" s="6" t="s">
        <v>87</v>
      </c>
      <c r="AI337" s="12" t="s">
        <v>346</v>
      </c>
      <c r="AJ337" s="10" t="s">
        <v>43</v>
      </c>
      <c r="AK337" s="10"/>
      <c r="AL337" s="10" t="s">
        <v>2338</v>
      </c>
      <c r="AM337" s="11" t="s">
        <v>2337</v>
      </c>
      <c r="AN337" s="11" t="s">
        <v>1308</v>
      </c>
      <c r="AO337" s="5" t="s">
        <v>350</v>
      </c>
      <c r="AP337" s="11" t="s">
        <v>2250</v>
      </c>
      <c r="AQ337" s="11" t="s">
        <v>2251</v>
      </c>
      <c r="AR337" s="11" t="s">
        <v>2010</v>
      </c>
      <c r="AS337" s="36" t="s">
        <v>2406</v>
      </c>
      <c r="AT337" s="11" t="s">
        <v>59</v>
      </c>
      <c r="AU337" s="11"/>
      <c r="AV337" s="13" t="s">
        <v>1746</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2094</v>
      </c>
      <c r="E338" s="26">
        <v>77500</v>
      </c>
      <c r="F338" s="10" t="s">
        <v>1971</v>
      </c>
      <c r="G338" s="39" t="str">
        <f>Tableau1[[#This Row],[Rue]]&amp;CHAR(10)&amp;Tableau1[[#This Row],[Code Postal]]&amp;" - "&amp;Tableau1[[#This Row],[Ville]]</f>
        <v>Terre Ciel (Chelles 2) Avenue du Gendarme Castermant
77500 - Chelles</v>
      </c>
      <c r="H338" s="15" t="s">
        <v>1970</v>
      </c>
      <c r="I338" s="12" t="s">
        <v>37</v>
      </c>
      <c r="J338" s="12" t="s">
        <v>39</v>
      </c>
      <c r="K338" s="10" t="s">
        <v>87</v>
      </c>
      <c r="L338" s="10" t="s">
        <v>87</v>
      </c>
      <c r="M338" s="12" t="s">
        <v>87</v>
      </c>
      <c r="N338" s="36" t="s">
        <v>1988</v>
      </c>
      <c r="O338" s="34">
        <v>179</v>
      </c>
      <c r="P338" s="6" t="s">
        <v>87</v>
      </c>
      <c r="Q338" s="34"/>
      <c r="R338" s="6" t="s">
        <v>87</v>
      </c>
      <c r="S338" s="6" t="s">
        <v>87</v>
      </c>
      <c r="T338" s="12">
        <f>Tableau1[[#This Row],[Loyer €/m²]]*Tableau1[[#This Row],[Surface GLA]]</f>
        <v>35800</v>
      </c>
      <c r="U338" s="12">
        <f>IFERROR(Tableau1[[#This Row],[Loyer annuel]]/12,"")</f>
        <v>2983.3333333333335</v>
      </c>
      <c r="V338" s="12">
        <v>200</v>
      </c>
      <c r="W338" s="6" t="s">
        <v>87</v>
      </c>
      <c r="X338" s="6">
        <f>Tableau1[[#This Row],[Charges €/m²]]*Tableau1[[#This Row],[Surface GLA]]</f>
        <v>10740</v>
      </c>
      <c r="Y338" s="12">
        <f>Tableau1[[#This Row],[Charges annuelles]]/12</f>
        <v>895</v>
      </c>
      <c r="Z338" s="12">
        <v>60</v>
      </c>
      <c r="AA338" s="12">
        <f>IFERROR(Tableau1[[#This Row],[Taxe foncière €/m²]]*Tableau1[[#This Row],[Surface GLA]],)</f>
        <v>6444</v>
      </c>
      <c r="AB338" s="12">
        <v>36</v>
      </c>
      <c r="AC338" s="12">
        <f>IFERROR(Tableau1[[#This Row],[Marketing €/m²]]*Tableau1[[#This Row],[Surface GLA]],)</f>
        <v>0</v>
      </c>
      <c r="AD338" s="12"/>
      <c r="AE338" s="12">
        <f>IFERROR(Tableau1[[#This Row],[Loyer annuel]]+Tableau1[[#This Row],[Charges annuelles]]+Tableau1[[#This Row],[Taxe foncière]]+Tableau1[[#This Row],[Marketing]],"")</f>
        <v>52984</v>
      </c>
      <c r="AF338" s="12" t="str">
        <f t="shared" si="17"/>
        <v>3 mois = 8 950 €</v>
      </c>
      <c r="AG338" s="6" t="s">
        <v>87</v>
      </c>
      <c r="AH338" s="6" t="s">
        <v>87</v>
      </c>
      <c r="AI338" s="12" t="s">
        <v>346</v>
      </c>
      <c r="AJ338" s="10" t="s">
        <v>43</v>
      </c>
      <c r="AK338" s="10"/>
      <c r="AL338" s="10" t="s">
        <v>2338</v>
      </c>
      <c r="AM338" s="11" t="s">
        <v>2337</v>
      </c>
      <c r="AN338" s="11" t="s">
        <v>1308</v>
      </c>
      <c r="AO338" s="5" t="s">
        <v>350</v>
      </c>
      <c r="AP338" s="11" t="s">
        <v>2252</v>
      </c>
      <c r="AQ338" s="11" t="s">
        <v>2253</v>
      </c>
      <c r="AR338" s="11" t="s">
        <v>2011</v>
      </c>
      <c r="AS338" s="36" t="s">
        <v>2406</v>
      </c>
      <c r="AT338" s="11" t="s">
        <v>59</v>
      </c>
      <c r="AU338" s="11"/>
      <c r="AV338" s="13" t="s">
        <v>1746</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2094</v>
      </c>
      <c r="E339" s="26">
        <v>77500</v>
      </c>
      <c r="F339" s="10" t="s">
        <v>1971</v>
      </c>
      <c r="G339" s="39" t="str">
        <f>Tableau1[[#This Row],[Rue]]&amp;CHAR(10)&amp;Tableau1[[#This Row],[Code Postal]]&amp;" - "&amp;Tableau1[[#This Row],[Ville]]</f>
        <v>Terre Ciel (Chelles 2) Avenue du Gendarme Castermant
77500 - Chelles</v>
      </c>
      <c r="H339" s="15" t="s">
        <v>1970</v>
      </c>
      <c r="I339" s="12" t="s">
        <v>37</v>
      </c>
      <c r="J339" s="12" t="s">
        <v>39</v>
      </c>
      <c r="K339" s="10" t="s">
        <v>87</v>
      </c>
      <c r="L339" s="10" t="s">
        <v>87</v>
      </c>
      <c r="M339" s="12" t="s">
        <v>87</v>
      </c>
      <c r="N339" s="36" t="s">
        <v>305</v>
      </c>
      <c r="O339" s="34">
        <v>73</v>
      </c>
      <c r="P339" s="6" t="s">
        <v>87</v>
      </c>
      <c r="Q339" s="34">
        <v>304</v>
      </c>
      <c r="R339" s="6" t="s">
        <v>87</v>
      </c>
      <c r="S339" s="6" t="s">
        <v>87</v>
      </c>
      <c r="T339" s="12">
        <f>Tableau1[[#This Row],[Loyer €/m²]]*Tableau1[[#This Row],[Surface GLA]]</f>
        <v>14600</v>
      </c>
      <c r="U339" s="12">
        <f>IFERROR(Tableau1[[#This Row],[Loyer annuel]]/12,"")</f>
        <v>1216.6666666666667</v>
      </c>
      <c r="V339" s="12">
        <v>200</v>
      </c>
      <c r="W339" s="6" t="s">
        <v>87</v>
      </c>
      <c r="X339" s="6">
        <f>Tableau1[[#This Row],[Charges €/m²]]*Tableau1[[#This Row],[Surface GLA]]</f>
        <v>4380</v>
      </c>
      <c r="Y339" s="12">
        <f>Tableau1[[#This Row],[Charges annuelles]]/12</f>
        <v>365</v>
      </c>
      <c r="Z339" s="12">
        <v>60</v>
      </c>
      <c r="AA339" s="12">
        <f>IFERROR(Tableau1[[#This Row],[Taxe foncière €/m²]]*Tableau1[[#This Row],[Surface GLA]],)</f>
        <v>2628</v>
      </c>
      <c r="AB339" s="12">
        <v>36</v>
      </c>
      <c r="AC339" s="12">
        <f>IFERROR(Tableau1[[#This Row],[Marketing €/m²]]*Tableau1[[#This Row],[Surface GLA]],)</f>
        <v>0</v>
      </c>
      <c r="AD339" s="12"/>
      <c r="AE339" s="12">
        <f>IFERROR(Tableau1[[#This Row],[Loyer annuel]]+Tableau1[[#This Row],[Charges annuelles]]+Tableau1[[#This Row],[Taxe foncière]]+Tableau1[[#This Row],[Marketing]],"")</f>
        <v>21608</v>
      </c>
      <c r="AF339" s="12" t="str">
        <f t="shared" si="17"/>
        <v>3 mois = 3 650 €</v>
      </c>
      <c r="AG339" s="6" t="s">
        <v>87</v>
      </c>
      <c r="AH339" s="6" t="s">
        <v>87</v>
      </c>
      <c r="AI339" s="12" t="s">
        <v>346</v>
      </c>
      <c r="AJ339" s="10" t="s">
        <v>43</v>
      </c>
      <c r="AK339" s="10"/>
      <c r="AL339" s="10" t="s">
        <v>2338</v>
      </c>
      <c r="AM339" s="11" t="s">
        <v>2337</v>
      </c>
      <c r="AN339" s="11" t="s">
        <v>1308</v>
      </c>
      <c r="AO339" s="5" t="s">
        <v>350</v>
      </c>
      <c r="AP339" s="11" t="s">
        <v>2254</v>
      </c>
      <c r="AQ339" s="11" t="s">
        <v>2255</v>
      </c>
      <c r="AR339" s="11" t="s">
        <v>2012</v>
      </c>
      <c r="AS339" s="36" t="s">
        <v>2406</v>
      </c>
      <c r="AT339" s="11" t="s">
        <v>59</v>
      </c>
      <c r="AU339" s="11"/>
      <c r="AV339" s="13" t="s">
        <v>1746</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2094</v>
      </c>
      <c r="E340" s="26">
        <v>77500</v>
      </c>
      <c r="F340" s="10" t="s">
        <v>1971</v>
      </c>
      <c r="G340" s="39" t="str">
        <f>Tableau1[[#This Row],[Rue]]&amp;CHAR(10)&amp;Tableau1[[#This Row],[Code Postal]]&amp;" - "&amp;Tableau1[[#This Row],[Ville]]</f>
        <v>Terre Ciel (Chelles 2) Avenue du Gendarme Castermant
77500 - Chelles</v>
      </c>
      <c r="H340" s="15" t="s">
        <v>1970</v>
      </c>
      <c r="I340" s="12" t="s">
        <v>37</v>
      </c>
      <c r="J340" s="12" t="s">
        <v>39</v>
      </c>
      <c r="K340" s="10" t="s">
        <v>87</v>
      </c>
      <c r="L340" s="10" t="s">
        <v>87</v>
      </c>
      <c r="M340" s="12" t="s">
        <v>87</v>
      </c>
      <c r="N340" s="36" t="s">
        <v>1989</v>
      </c>
      <c r="O340" s="34">
        <v>117</v>
      </c>
      <c r="P340" s="6" t="s">
        <v>87</v>
      </c>
      <c r="Q340" s="34">
        <v>304</v>
      </c>
      <c r="R340" s="6" t="s">
        <v>87</v>
      </c>
      <c r="S340" s="6" t="s">
        <v>87</v>
      </c>
      <c r="T340" s="12">
        <f>Tableau1[[#This Row],[Loyer €/m²]]*Tableau1[[#This Row],[Surface GLA]]</f>
        <v>23400</v>
      </c>
      <c r="U340" s="12">
        <f>IFERROR(Tableau1[[#This Row],[Loyer annuel]]/12,"")</f>
        <v>1950</v>
      </c>
      <c r="V340" s="12">
        <v>200</v>
      </c>
      <c r="W340" s="6" t="s">
        <v>87</v>
      </c>
      <c r="X340" s="6">
        <f>Tableau1[[#This Row],[Charges €/m²]]*Tableau1[[#This Row],[Surface GLA]]</f>
        <v>7020</v>
      </c>
      <c r="Y340" s="12">
        <f>Tableau1[[#This Row],[Charges annuelles]]/12</f>
        <v>585</v>
      </c>
      <c r="Z340" s="12">
        <v>60</v>
      </c>
      <c r="AA340" s="12">
        <f>IFERROR(Tableau1[[#This Row],[Taxe foncière €/m²]]*Tableau1[[#This Row],[Surface GLA]],)</f>
        <v>4212</v>
      </c>
      <c r="AB340" s="12">
        <v>36</v>
      </c>
      <c r="AC340" s="12">
        <f>IFERROR(Tableau1[[#This Row],[Marketing €/m²]]*Tableau1[[#This Row],[Surface GLA]],)</f>
        <v>0</v>
      </c>
      <c r="AD340" s="12"/>
      <c r="AE340" s="12">
        <f>IFERROR(Tableau1[[#This Row],[Loyer annuel]]+Tableau1[[#This Row],[Charges annuelles]]+Tableau1[[#This Row],[Taxe foncière]]+Tableau1[[#This Row],[Marketing]],"")</f>
        <v>34632</v>
      </c>
      <c r="AF340" s="12" t="str">
        <f t="shared" si="17"/>
        <v>3 mois = 5 850 €</v>
      </c>
      <c r="AG340" s="6" t="s">
        <v>87</v>
      </c>
      <c r="AH340" s="6" t="s">
        <v>87</v>
      </c>
      <c r="AI340" s="12" t="s">
        <v>346</v>
      </c>
      <c r="AJ340" s="10" t="s">
        <v>43</v>
      </c>
      <c r="AK340" s="10"/>
      <c r="AL340" s="10" t="s">
        <v>2338</v>
      </c>
      <c r="AM340" s="11" t="s">
        <v>2337</v>
      </c>
      <c r="AN340" s="11" t="s">
        <v>1308</v>
      </c>
      <c r="AO340" s="5" t="s">
        <v>350</v>
      </c>
      <c r="AP340" s="11" t="s">
        <v>2254</v>
      </c>
      <c r="AQ340" s="11" t="s">
        <v>2256</v>
      </c>
      <c r="AR340" s="11" t="s">
        <v>2013</v>
      </c>
      <c r="AS340" s="36" t="s">
        <v>2406</v>
      </c>
      <c r="AT340" s="11" t="s">
        <v>59</v>
      </c>
      <c r="AU340" s="11"/>
      <c r="AV340" s="13" t="s">
        <v>1746</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2094</v>
      </c>
      <c r="E341" s="26">
        <v>77500</v>
      </c>
      <c r="F341" s="10" t="s">
        <v>1971</v>
      </c>
      <c r="G341" s="39" t="str">
        <f>Tableau1[[#This Row],[Rue]]&amp;CHAR(10)&amp;Tableau1[[#This Row],[Code Postal]]&amp;" - "&amp;Tableau1[[#This Row],[Ville]]</f>
        <v>Terre Ciel (Chelles 2) Avenue du Gendarme Castermant
77500 - Chelles</v>
      </c>
      <c r="H341" s="15" t="s">
        <v>1970</v>
      </c>
      <c r="I341" s="12" t="s">
        <v>37</v>
      </c>
      <c r="J341" s="12" t="s">
        <v>39</v>
      </c>
      <c r="K341" s="10" t="s">
        <v>87</v>
      </c>
      <c r="L341" s="10" t="s">
        <v>87</v>
      </c>
      <c r="M341" s="12" t="s">
        <v>87</v>
      </c>
      <c r="N341" s="36" t="s">
        <v>1990</v>
      </c>
      <c r="O341" s="34">
        <v>114</v>
      </c>
      <c r="P341" s="6" t="s">
        <v>87</v>
      </c>
      <c r="Q341" s="34">
        <v>304</v>
      </c>
      <c r="R341" s="6" t="s">
        <v>87</v>
      </c>
      <c r="S341" s="6" t="s">
        <v>87</v>
      </c>
      <c r="T341" s="12">
        <f>Tableau1[[#This Row],[Loyer €/m²]]*Tableau1[[#This Row],[Surface GLA]]</f>
        <v>22800</v>
      </c>
      <c r="U341" s="12">
        <f>IFERROR(Tableau1[[#This Row],[Loyer annuel]]/12,"")</f>
        <v>1900</v>
      </c>
      <c r="V341" s="12">
        <v>200</v>
      </c>
      <c r="W341" s="6" t="s">
        <v>87</v>
      </c>
      <c r="X341" s="6">
        <f>Tableau1[[#This Row],[Charges €/m²]]*Tableau1[[#This Row],[Surface GLA]]</f>
        <v>6840</v>
      </c>
      <c r="Y341" s="12">
        <f>Tableau1[[#This Row],[Charges annuelles]]/12</f>
        <v>570</v>
      </c>
      <c r="Z341" s="12">
        <v>60</v>
      </c>
      <c r="AA341" s="12">
        <f>IFERROR(Tableau1[[#This Row],[Taxe foncière €/m²]]*Tableau1[[#This Row],[Surface GLA]],)</f>
        <v>4104</v>
      </c>
      <c r="AB341" s="12">
        <v>36</v>
      </c>
      <c r="AC341" s="12">
        <f>IFERROR(Tableau1[[#This Row],[Marketing €/m²]]*Tableau1[[#This Row],[Surface GLA]],)</f>
        <v>0</v>
      </c>
      <c r="AD341" s="12"/>
      <c r="AE341" s="12">
        <f>IFERROR(Tableau1[[#This Row],[Loyer annuel]]+Tableau1[[#This Row],[Charges annuelles]]+Tableau1[[#This Row],[Taxe foncière]]+Tableau1[[#This Row],[Marketing]],"")</f>
        <v>33744</v>
      </c>
      <c r="AF341" s="12" t="str">
        <f t="shared" si="17"/>
        <v>3 mois = 5 700 €</v>
      </c>
      <c r="AG341" s="6" t="s">
        <v>87</v>
      </c>
      <c r="AH341" s="6" t="s">
        <v>87</v>
      </c>
      <c r="AI341" s="12" t="s">
        <v>346</v>
      </c>
      <c r="AJ341" s="10" t="s">
        <v>43</v>
      </c>
      <c r="AK341" s="10"/>
      <c r="AL341" s="10" t="s">
        <v>2338</v>
      </c>
      <c r="AM341" s="11" t="s">
        <v>2337</v>
      </c>
      <c r="AN341" s="11" t="s">
        <v>1308</v>
      </c>
      <c r="AO341" s="5" t="s">
        <v>350</v>
      </c>
      <c r="AP341" s="11" t="s">
        <v>2257</v>
      </c>
      <c r="AQ341" s="11" t="s">
        <v>2258</v>
      </c>
      <c r="AR341" s="11" t="s">
        <v>2014</v>
      </c>
      <c r="AS341" s="36" t="s">
        <v>2406</v>
      </c>
      <c r="AT341" s="11" t="s">
        <v>59</v>
      </c>
      <c r="AU341" s="11"/>
      <c r="AV341" s="13" t="s">
        <v>1746</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2094</v>
      </c>
      <c r="E342" s="26">
        <v>77500</v>
      </c>
      <c r="F342" s="10" t="s">
        <v>1971</v>
      </c>
      <c r="G342" s="39" t="str">
        <f>Tableau1[[#This Row],[Rue]]&amp;CHAR(10)&amp;Tableau1[[#This Row],[Code Postal]]&amp;" - "&amp;Tableau1[[#This Row],[Ville]]</f>
        <v>Terre Ciel (Chelles 2) Avenue du Gendarme Castermant
77500 - Chelles</v>
      </c>
      <c r="H342" s="15" t="s">
        <v>1970</v>
      </c>
      <c r="I342" s="12" t="s">
        <v>37</v>
      </c>
      <c r="J342" s="12" t="s">
        <v>39</v>
      </c>
      <c r="K342" s="10" t="s">
        <v>87</v>
      </c>
      <c r="L342" s="10" t="s">
        <v>87</v>
      </c>
      <c r="M342" s="12" t="s">
        <v>87</v>
      </c>
      <c r="N342" s="36" t="s">
        <v>1991</v>
      </c>
      <c r="O342" s="34">
        <v>364</v>
      </c>
      <c r="P342" s="6" t="s">
        <v>87</v>
      </c>
      <c r="Q342" s="34">
        <v>1425</v>
      </c>
      <c r="R342" s="6" t="s">
        <v>87</v>
      </c>
      <c r="S342" s="6" t="s">
        <v>87</v>
      </c>
      <c r="T342" s="12">
        <f>Tableau1[[#This Row],[Loyer €/m²]]*Tableau1[[#This Row],[Surface GLA]]</f>
        <v>72800</v>
      </c>
      <c r="U342" s="12">
        <f>IFERROR(Tableau1[[#This Row],[Loyer annuel]]/12,"")</f>
        <v>6066.666666666667</v>
      </c>
      <c r="V342" s="12">
        <v>200</v>
      </c>
      <c r="W342" s="6" t="s">
        <v>87</v>
      </c>
      <c r="X342" s="6">
        <f>Tableau1[[#This Row],[Charges €/m²]]*Tableau1[[#This Row],[Surface GLA]]</f>
        <v>21840</v>
      </c>
      <c r="Y342" s="12">
        <f>Tableau1[[#This Row],[Charges annuelles]]/12</f>
        <v>1820</v>
      </c>
      <c r="Z342" s="12">
        <v>60</v>
      </c>
      <c r="AA342" s="12">
        <f>IFERROR(Tableau1[[#This Row],[Taxe foncière €/m²]]*Tableau1[[#This Row],[Surface GLA]],)</f>
        <v>13104</v>
      </c>
      <c r="AB342" s="12">
        <v>36</v>
      </c>
      <c r="AC342" s="12">
        <f>IFERROR(Tableau1[[#This Row],[Marketing €/m²]]*Tableau1[[#This Row],[Surface GLA]],)</f>
        <v>0</v>
      </c>
      <c r="AD342" s="12"/>
      <c r="AE342" s="12">
        <f>IFERROR(Tableau1[[#This Row],[Loyer annuel]]+Tableau1[[#This Row],[Charges annuelles]]+Tableau1[[#This Row],[Taxe foncière]]+Tableau1[[#This Row],[Marketing]],"")</f>
        <v>107744</v>
      </c>
      <c r="AF342" s="12" t="str">
        <f t="shared" si="17"/>
        <v>3 mois = 18 200 €</v>
      </c>
      <c r="AG342" s="6" t="s">
        <v>87</v>
      </c>
      <c r="AH342" s="6" t="s">
        <v>87</v>
      </c>
      <c r="AI342" s="12" t="s">
        <v>346</v>
      </c>
      <c r="AJ342" s="10" t="s">
        <v>358</v>
      </c>
      <c r="AK342" s="10" t="s">
        <v>352</v>
      </c>
      <c r="AL342" s="10" t="s">
        <v>2338</v>
      </c>
      <c r="AM342" s="11" t="s">
        <v>2337</v>
      </c>
      <c r="AN342" s="11" t="s">
        <v>1308</v>
      </c>
      <c r="AO342" s="5" t="s">
        <v>350</v>
      </c>
      <c r="AP342" s="11" t="s">
        <v>2259</v>
      </c>
      <c r="AQ342" s="11" t="s">
        <v>2260</v>
      </c>
      <c r="AR342" s="11" t="s">
        <v>2015</v>
      </c>
      <c r="AS342" s="36" t="s">
        <v>2406</v>
      </c>
      <c r="AT342" s="11" t="s">
        <v>59</v>
      </c>
      <c r="AU342" s="11"/>
      <c r="AV342" s="13" t="s">
        <v>1746</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2094</v>
      </c>
      <c r="E343" s="26">
        <v>77500</v>
      </c>
      <c r="F343" s="10" t="s">
        <v>1971</v>
      </c>
      <c r="G343" s="39" t="str">
        <f>Tableau1[[#This Row],[Rue]]&amp;CHAR(10)&amp;Tableau1[[#This Row],[Code Postal]]&amp;" - "&amp;Tableau1[[#This Row],[Ville]]</f>
        <v>Terre Ciel (Chelles 2) Avenue du Gendarme Castermant
77500 - Chelles</v>
      </c>
      <c r="H343" s="15" t="s">
        <v>1970</v>
      </c>
      <c r="I343" s="12" t="s">
        <v>37</v>
      </c>
      <c r="J343" s="12" t="s">
        <v>39</v>
      </c>
      <c r="K343" s="10" t="s">
        <v>87</v>
      </c>
      <c r="L343" s="10" t="s">
        <v>87</v>
      </c>
      <c r="M343" s="12" t="s">
        <v>87</v>
      </c>
      <c r="N343" s="36" t="s">
        <v>1992</v>
      </c>
      <c r="O343" s="34">
        <v>1061</v>
      </c>
      <c r="P343" s="6" t="s">
        <v>87</v>
      </c>
      <c r="Q343" s="34">
        <v>1425</v>
      </c>
      <c r="R343" s="6" t="s">
        <v>87</v>
      </c>
      <c r="S343" s="6" t="s">
        <v>87</v>
      </c>
      <c r="T343" s="12">
        <f>Tableau1[[#This Row],[Loyer €/m²]]*Tableau1[[#This Row],[Surface GLA]]</f>
        <v>212200</v>
      </c>
      <c r="U343" s="12">
        <f>IFERROR(Tableau1[[#This Row],[Loyer annuel]]/12,"")</f>
        <v>17683.333333333332</v>
      </c>
      <c r="V343" s="12">
        <v>200</v>
      </c>
      <c r="W343" s="6" t="s">
        <v>87</v>
      </c>
      <c r="X343" s="6">
        <f>Tableau1[[#This Row],[Charges €/m²]]*Tableau1[[#This Row],[Surface GLA]]</f>
        <v>63660</v>
      </c>
      <c r="Y343" s="12">
        <f>Tableau1[[#This Row],[Charges annuelles]]/12</f>
        <v>5305</v>
      </c>
      <c r="Z343" s="12">
        <v>60</v>
      </c>
      <c r="AA343" s="12">
        <f>IFERROR(Tableau1[[#This Row],[Taxe foncière €/m²]]*Tableau1[[#This Row],[Surface GLA]],)</f>
        <v>38196</v>
      </c>
      <c r="AB343" s="12">
        <v>36</v>
      </c>
      <c r="AC343" s="12">
        <f>IFERROR(Tableau1[[#This Row],[Marketing €/m²]]*Tableau1[[#This Row],[Surface GLA]],)</f>
        <v>0</v>
      </c>
      <c r="AD343" s="12"/>
      <c r="AE343" s="12">
        <f>IFERROR(Tableau1[[#This Row],[Loyer annuel]]+Tableau1[[#This Row],[Charges annuelles]]+Tableau1[[#This Row],[Taxe foncière]]+Tableau1[[#This Row],[Marketing]],"")</f>
        <v>314056</v>
      </c>
      <c r="AF343" s="12" t="str">
        <f t="shared" si="17"/>
        <v>3 mois = 53 050 €</v>
      </c>
      <c r="AG343" s="6" t="s">
        <v>87</v>
      </c>
      <c r="AH343" s="6" t="s">
        <v>87</v>
      </c>
      <c r="AI343" s="12" t="s">
        <v>346</v>
      </c>
      <c r="AJ343" s="10" t="s">
        <v>358</v>
      </c>
      <c r="AK343" s="10" t="s">
        <v>352</v>
      </c>
      <c r="AL343" s="10" t="s">
        <v>2338</v>
      </c>
      <c r="AM343" s="11" t="s">
        <v>2337</v>
      </c>
      <c r="AN343" s="11" t="s">
        <v>1308</v>
      </c>
      <c r="AO343" s="5" t="s">
        <v>350</v>
      </c>
      <c r="AP343" s="11" t="s">
        <v>2261</v>
      </c>
      <c r="AQ343" s="11" t="s">
        <v>2262</v>
      </c>
      <c r="AR343" s="11" t="s">
        <v>2016</v>
      </c>
      <c r="AS343" s="36" t="s">
        <v>2406</v>
      </c>
      <c r="AT343" s="11" t="s">
        <v>59</v>
      </c>
      <c r="AU343" s="11"/>
      <c r="AV343" s="13" t="s">
        <v>1746</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2094</v>
      </c>
      <c r="E344" s="26">
        <v>77500</v>
      </c>
      <c r="F344" s="10" t="s">
        <v>1971</v>
      </c>
      <c r="G344" s="39" t="str">
        <f>Tableau1[[#This Row],[Rue]]&amp;CHAR(10)&amp;Tableau1[[#This Row],[Code Postal]]&amp;" - "&amp;Tableau1[[#This Row],[Ville]]</f>
        <v>Terre Ciel (Chelles 2) Avenue du Gendarme Castermant
77500 - Chelles</v>
      </c>
      <c r="H344" s="15" t="s">
        <v>1970</v>
      </c>
      <c r="I344" s="12" t="s">
        <v>37</v>
      </c>
      <c r="J344" s="12" t="s">
        <v>39</v>
      </c>
      <c r="K344" s="10" t="s">
        <v>87</v>
      </c>
      <c r="L344" s="10" t="s">
        <v>87</v>
      </c>
      <c r="M344" s="12" t="s">
        <v>87</v>
      </c>
      <c r="N344" s="36" t="s">
        <v>1993</v>
      </c>
      <c r="O344" s="34">
        <v>816</v>
      </c>
      <c r="P344" s="6" t="s">
        <v>87</v>
      </c>
      <c r="Q344" s="6" t="s">
        <v>87</v>
      </c>
      <c r="R344" s="6" t="s">
        <v>87</v>
      </c>
      <c r="S344" s="6" t="s">
        <v>87</v>
      </c>
      <c r="T344" s="12">
        <f>Tableau1[[#This Row],[Loyer €/m²]]*Tableau1[[#This Row],[Surface GLA]]</f>
        <v>163200</v>
      </c>
      <c r="U344" s="12">
        <f>IFERROR(Tableau1[[#This Row],[Loyer annuel]]/12,"")</f>
        <v>13600</v>
      </c>
      <c r="V344" s="12">
        <v>200</v>
      </c>
      <c r="W344" s="6" t="s">
        <v>87</v>
      </c>
      <c r="X344" s="6">
        <f>Tableau1[[#This Row],[Charges €/m²]]*Tableau1[[#This Row],[Surface GLA]]</f>
        <v>48960</v>
      </c>
      <c r="Y344" s="12">
        <f>Tableau1[[#This Row],[Charges annuelles]]/12</f>
        <v>4080</v>
      </c>
      <c r="Z344" s="12">
        <v>60</v>
      </c>
      <c r="AA344" s="12">
        <f>IFERROR(Tableau1[[#This Row],[Taxe foncière €/m²]]*Tableau1[[#This Row],[Surface GLA]],)</f>
        <v>29376</v>
      </c>
      <c r="AB344" s="12">
        <v>36</v>
      </c>
      <c r="AC344" s="12">
        <f>IFERROR(Tableau1[[#This Row],[Marketing €/m²]]*Tableau1[[#This Row],[Surface GLA]],)</f>
        <v>0</v>
      </c>
      <c r="AD344" s="12"/>
      <c r="AE344" s="12">
        <f>IFERROR(Tableau1[[#This Row],[Loyer annuel]]+Tableau1[[#This Row],[Charges annuelles]]+Tableau1[[#This Row],[Taxe foncière]]+Tableau1[[#This Row],[Marketing]],"")</f>
        <v>241536</v>
      </c>
      <c r="AF344" s="12" t="str">
        <f t="shared" si="17"/>
        <v>3 mois = 40 800 €</v>
      </c>
      <c r="AG344" s="6" t="s">
        <v>87</v>
      </c>
      <c r="AH344" s="6" t="s">
        <v>87</v>
      </c>
      <c r="AI344" s="12" t="s">
        <v>346</v>
      </c>
      <c r="AJ344" s="10" t="s">
        <v>358</v>
      </c>
      <c r="AK344" s="10" t="s">
        <v>352</v>
      </c>
      <c r="AL344" s="10" t="s">
        <v>2338</v>
      </c>
      <c r="AM344" s="11" t="s">
        <v>2337</v>
      </c>
      <c r="AN344" s="11" t="s">
        <v>1308</v>
      </c>
      <c r="AO344" s="5" t="s">
        <v>350</v>
      </c>
      <c r="AP344" s="11" t="s">
        <v>2263</v>
      </c>
      <c r="AQ344" s="11" t="s">
        <v>2264</v>
      </c>
      <c r="AR344" s="11" t="s">
        <v>2017</v>
      </c>
      <c r="AS344" s="36" t="s">
        <v>2406</v>
      </c>
      <c r="AT344" s="11" t="s">
        <v>59</v>
      </c>
      <c r="AU344" s="11"/>
      <c r="AV344" s="13" t="s">
        <v>1746</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2094</v>
      </c>
      <c r="E345" s="26">
        <v>77500</v>
      </c>
      <c r="F345" s="10" t="s">
        <v>1971</v>
      </c>
      <c r="G345" s="39" t="str">
        <f>Tableau1[[#This Row],[Rue]]&amp;CHAR(10)&amp;Tableau1[[#This Row],[Code Postal]]&amp;" - "&amp;Tableau1[[#This Row],[Ville]]</f>
        <v>Terre Ciel (Chelles 2) Avenue du Gendarme Castermant
77500 - Chelles</v>
      </c>
      <c r="H345" s="15" t="s">
        <v>1970</v>
      </c>
      <c r="I345" s="12" t="s">
        <v>37</v>
      </c>
      <c r="J345" s="12" t="s">
        <v>39</v>
      </c>
      <c r="K345" s="10" t="s">
        <v>87</v>
      </c>
      <c r="L345" s="10" t="s">
        <v>87</v>
      </c>
      <c r="M345" s="12" t="s">
        <v>87</v>
      </c>
      <c r="N345" s="36" t="s">
        <v>1994</v>
      </c>
      <c r="O345" s="34">
        <v>161</v>
      </c>
      <c r="P345" s="6" t="s">
        <v>87</v>
      </c>
      <c r="Q345" s="6" t="s">
        <v>87</v>
      </c>
      <c r="R345" s="6" t="s">
        <v>87</v>
      </c>
      <c r="S345" s="6" t="s">
        <v>87</v>
      </c>
      <c r="T345" s="12">
        <f>Tableau1[[#This Row],[Loyer €/m²]]*Tableau1[[#This Row],[Surface GLA]]</f>
        <v>32200</v>
      </c>
      <c r="U345" s="12">
        <f>IFERROR(Tableau1[[#This Row],[Loyer annuel]]/12,"")</f>
        <v>2683.3333333333335</v>
      </c>
      <c r="V345" s="12">
        <v>200</v>
      </c>
      <c r="W345" s="6" t="s">
        <v>87</v>
      </c>
      <c r="X345" s="6">
        <f>Tableau1[[#This Row],[Charges €/m²]]*Tableau1[[#This Row],[Surface GLA]]</f>
        <v>9660</v>
      </c>
      <c r="Y345" s="12">
        <f>Tableau1[[#This Row],[Charges annuelles]]/12</f>
        <v>805</v>
      </c>
      <c r="Z345" s="12">
        <v>60</v>
      </c>
      <c r="AA345" s="12">
        <f>IFERROR(Tableau1[[#This Row],[Taxe foncière €/m²]]*Tableau1[[#This Row],[Surface GLA]],)</f>
        <v>5796</v>
      </c>
      <c r="AB345" s="12">
        <v>36</v>
      </c>
      <c r="AC345" s="12">
        <f>IFERROR(Tableau1[[#This Row],[Marketing €/m²]]*Tableau1[[#This Row],[Surface GLA]],)</f>
        <v>0</v>
      </c>
      <c r="AD345" s="12"/>
      <c r="AE345" s="12">
        <f>IFERROR(Tableau1[[#This Row],[Loyer annuel]]+Tableau1[[#This Row],[Charges annuelles]]+Tableau1[[#This Row],[Taxe foncière]]+Tableau1[[#This Row],[Marketing]],"")</f>
        <v>47656</v>
      </c>
      <c r="AF345" s="12" t="str">
        <f t="shared" si="17"/>
        <v>3 mois = 8 050 €</v>
      </c>
      <c r="AG345" s="6" t="s">
        <v>87</v>
      </c>
      <c r="AH345" s="6" t="s">
        <v>87</v>
      </c>
      <c r="AI345" s="12" t="s">
        <v>346</v>
      </c>
      <c r="AJ345" s="10" t="s">
        <v>358</v>
      </c>
      <c r="AK345" s="10" t="s">
        <v>352</v>
      </c>
      <c r="AL345" s="10" t="s">
        <v>2338</v>
      </c>
      <c r="AM345" s="11" t="s">
        <v>2337</v>
      </c>
      <c r="AN345" s="11" t="s">
        <v>1308</v>
      </c>
      <c r="AO345" s="5" t="s">
        <v>350</v>
      </c>
      <c r="AP345" s="11" t="s">
        <v>2265</v>
      </c>
      <c r="AQ345" s="11" t="s">
        <v>2266</v>
      </c>
      <c r="AR345" s="11" t="s">
        <v>2018</v>
      </c>
      <c r="AS345" s="36" t="s">
        <v>2406</v>
      </c>
      <c r="AT345" s="11" t="s">
        <v>59</v>
      </c>
      <c r="AU345" s="11"/>
      <c r="AV345" s="13" t="s">
        <v>1746</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2094</v>
      </c>
      <c r="E346" s="26">
        <v>77500</v>
      </c>
      <c r="F346" s="10" t="s">
        <v>1971</v>
      </c>
      <c r="G346" s="39" t="str">
        <f>Tableau1[[#This Row],[Rue]]&amp;CHAR(10)&amp;Tableau1[[#This Row],[Code Postal]]&amp;" - "&amp;Tableau1[[#This Row],[Ville]]</f>
        <v>Terre Ciel (Chelles 2) Avenue du Gendarme Castermant
77500 - Chelles</v>
      </c>
      <c r="H346" s="15" t="s">
        <v>1970</v>
      </c>
      <c r="I346" s="12" t="s">
        <v>37</v>
      </c>
      <c r="J346" s="12" t="s">
        <v>39</v>
      </c>
      <c r="K346" s="10" t="s">
        <v>87</v>
      </c>
      <c r="L346" s="10" t="s">
        <v>87</v>
      </c>
      <c r="M346" s="12" t="s">
        <v>87</v>
      </c>
      <c r="N346" s="36">
        <v>240</v>
      </c>
      <c r="O346" s="34">
        <v>137</v>
      </c>
      <c r="P346" s="6" t="s">
        <v>87</v>
      </c>
      <c r="Q346" s="6" t="s">
        <v>87</v>
      </c>
      <c r="R346" s="6" t="s">
        <v>87</v>
      </c>
      <c r="S346" s="6" t="s">
        <v>87</v>
      </c>
      <c r="T346" s="12">
        <f>Tableau1[[#This Row],[Loyer €/m²]]*Tableau1[[#This Row],[Surface GLA]]</f>
        <v>27400</v>
      </c>
      <c r="U346" s="12">
        <f>IFERROR(Tableau1[[#This Row],[Loyer annuel]]/12,"")</f>
        <v>2283.3333333333335</v>
      </c>
      <c r="V346" s="12">
        <v>200</v>
      </c>
      <c r="W346" s="6" t="s">
        <v>87</v>
      </c>
      <c r="X346" s="6">
        <f>Tableau1[[#This Row],[Charges €/m²]]*Tableau1[[#This Row],[Surface GLA]]</f>
        <v>8220</v>
      </c>
      <c r="Y346" s="12">
        <f>Tableau1[[#This Row],[Charges annuelles]]/12</f>
        <v>685</v>
      </c>
      <c r="Z346" s="12">
        <v>60</v>
      </c>
      <c r="AA346" s="12">
        <f>IFERROR(Tableau1[[#This Row],[Taxe foncière €/m²]]*Tableau1[[#This Row],[Surface GLA]],)</f>
        <v>4932</v>
      </c>
      <c r="AB346" s="12">
        <v>36</v>
      </c>
      <c r="AC346" s="12">
        <f>IFERROR(Tableau1[[#This Row],[Marketing €/m²]]*Tableau1[[#This Row],[Surface GLA]],)</f>
        <v>0</v>
      </c>
      <c r="AD346" s="12"/>
      <c r="AE346" s="12">
        <f>IFERROR(Tableau1[[#This Row],[Loyer annuel]]+Tableau1[[#This Row],[Charges annuelles]]+Tableau1[[#This Row],[Taxe foncière]]+Tableau1[[#This Row],[Marketing]],"")</f>
        <v>40552</v>
      </c>
      <c r="AF346" s="12" t="str">
        <f t="shared" si="17"/>
        <v>3 mois = 6 850 €</v>
      </c>
      <c r="AG346" s="6" t="s">
        <v>87</v>
      </c>
      <c r="AH346" s="6" t="s">
        <v>87</v>
      </c>
      <c r="AI346" s="12" t="s">
        <v>346</v>
      </c>
      <c r="AJ346" s="10" t="s">
        <v>358</v>
      </c>
      <c r="AK346" s="10" t="s">
        <v>352</v>
      </c>
      <c r="AL346" s="10" t="s">
        <v>2338</v>
      </c>
      <c r="AM346" s="11" t="s">
        <v>2337</v>
      </c>
      <c r="AN346" s="11" t="s">
        <v>1308</v>
      </c>
      <c r="AO346" s="5" t="s">
        <v>350</v>
      </c>
      <c r="AP346" s="11" t="s">
        <v>2267</v>
      </c>
      <c r="AQ346" s="11" t="s">
        <v>2268</v>
      </c>
      <c r="AR346" s="11" t="s">
        <v>2019</v>
      </c>
      <c r="AS346" s="36" t="s">
        <v>2406</v>
      </c>
      <c r="AT346" s="11" t="s">
        <v>59</v>
      </c>
      <c r="AU346" s="11"/>
      <c r="AV346" s="13" t="s">
        <v>1746</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2094</v>
      </c>
      <c r="E347" s="26">
        <v>77500</v>
      </c>
      <c r="F347" s="10" t="s">
        <v>1971</v>
      </c>
      <c r="G347" s="39" t="str">
        <f>Tableau1[[#This Row],[Rue]]&amp;CHAR(10)&amp;Tableau1[[#This Row],[Code Postal]]&amp;" - "&amp;Tableau1[[#This Row],[Ville]]</f>
        <v>Terre Ciel (Chelles 2) Avenue du Gendarme Castermant
77500 - Chelles</v>
      </c>
      <c r="H347" s="15" t="s">
        <v>1970</v>
      </c>
      <c r="I347" s="12" t="s">
        <v>37</v>
      </c>
      <c r="J347" s="12" t="s">
        <v>39</v>
      </c>
      <c r="K347" s="10" t="s">
        <v>87</v>
      </c>
      <c r="L347" s="10" t="s">
        <v>87</v>
      </c>
      <c r="M347" s="12" t="s">
        <v>87</v>
      </c>
      <c r="N347" s="36">
        <v>238</v>
      </c>
      <c r="O347" s="34">
        <v>147</v>
      </c>
      <c r="P347" s="6" t="s">
        <v>87</v>
      </c>
      <c r="Q347" s="6" t="s">
        <v>87</v>
      </c>
      <c r="R347" s="6" t="s">
        <v>87</v>
      </c>
      <c r="S347" s="6" t="s">
        <v>87</v>
      </c>
      <c r="T347" s="12">
        <f>Tableau1[[#This Row],[Loyer €/m²]]*Tableau1[[#This Row],[Surface GLA]]</f>
        <v>29400</v>
      </c>
      <c r="U347" s="12">
        <f>IFERROR(Tableau1[[#This Row],[Loyer annuel]]/12,"")</f>
        <v>2450</v>
      </c>
      <c r="V347" s="12">
        <v>200</v>
      </c>
      <c r="W347" s="6" t="s">
        <v>87</v>
      </c>
      <c r="X347" s="6">
        <f>Tableau1[[#This Row],[Charges €/m²]]*Tableau1[[#This Row],[Surface GLA]]</f>
        <v>8820</v>
      </c>
      <c r="Y347" s="12">
        <f>Tableau1[[#This Row],[Charges annuelles]]/12</f>
        <v>735</v>
      </c>
      <c r="Z347" s="12">
        <v>60</v>
      </c>
      <c r="AA347" s="12">
        <f>IFERROR(Tableau1[[#This Row],[Taxe foncière €/m²]]*Tableau1[[#This Row],[Surface GLA]],)</f>
        <v>5292</v>
      </c>
      <c r="AB347" s="12">
        <v>36</v>
      </c>
      <c r="AC347" s="12">
        <f>IFERROR(Tableau1[[#This Row],[Marketing €/m²]]*Tableau1[[#This Row],[Surface GLA]],)</f>
        <v>0</v>
      </c>
      <c r="AD347" s="12"/>
      <c r="AE347" s="12">
        <f>IFERROR(Tableau1[[#This Row],[Loyer annuel]]+Tableau1[[#This Row],[Charges annuelles]]+Tableau1[[#This Row],[Taxe foncière]]+Tableau1[[#This Row],[Marketing]],"")</f>
        <v>43512</v>
      </c>
      <c r="AF347" s="12" t="str">
        <f t="shared" si="17"/>
        <v>3 mois = 7 350 €</v>
      </c>
      <c r="AG347" s="6" t="s">
        <v>87</v>
      </c>
      <c r="AH347" s="6" t="s">
        <v>87</v>
      </c>
      <c r="AI347" s="12" t="s">
        <v>346</v>
      </c>
      <c r="AJ347" s="10" t="s">
        <v>358</v>
      </c>
      <c r="AK347" s="10" t="s">
        <v>352</v>
      </c>
      <c r="AL347" s="10" t="s">
        <v>2338</v>
      </c>
      <c r="AM347" s="11" t="s">
        <v>2337</v>
      </c>
      <c r="AN347" s="11" t="s">
        <v>1308</v>
      </c>
      <c r="AO347" s="5" t="s">
        <v>350</v>
      </c>
      <c r="AP347" s="11" t="s">
        <v>2269</v>
      </c>
      <c r="AQ347" s="11" t="s">
        <v>2270</v>
      </c>
      <c r="AR347" s="11" t="s">
        <v>2020</v>
      </c>
      <c r="AS347" s="36" t="s">
        <v>2406</v>
      </c>
      <c r="AT347" s="11" t="s">
        <v>59</v>
      </c>
      <c r="AU347" s="11"/>
      <c r="AV347" s="13" t="s">
        <v>1746</v>
      </c>
      <c r="AW347" s="14"/>
      <c r="AX347" s="44">
        <v>46175</v>
      </c>
    </row>
    <row r="348" spans="1:50" ht="25.5">
      <c r="A348" s="38" t="str">
        <f>VLOOKUP(Tableau1[[#This Row],[N° Département]],Feuil1!$C$6:$E$106,3)</f>
        <v>Auvergne-Rhône-Alpes</v>
      </c>
      <c r="B348" s="38" t="str">
        <f>VLOOKUP(Tableau1[[#This Row],[N° Département]],Feuil1!$C$6:$E$106,2)</f>
        <v>Allier</v>
      </c>
      <c r="C348" s="38">
        <f>LEFT(Tableau1[[#This Row],[Code Postal]],2)*1</f>
        <v>3</v>
      </c>
      <c r="D348" s="10" t="s">
        <v>2339</v>
      </c>
      <c r="E348" s="48" t="s">
        <v>2022</v>
      </c>
      <c r="F348" s="10" t="s">
        <v>2023</v>
      </c>
      <c r="G348" s="39" t="str">
        <f>Tableau1[[#This Row],[Rue]]&amp;CHAR(10)&amp;Tableau1[[#This Row],[Code Postal]]&amp;" - "&amp;Tableau1[[#This Row],[Ville]]</f>
        <v>Auchan Terre Neuve, Route De Guéret
03 410 - Domérat</v>
      </c>
      <c r="H348" s="15" t="s">
        <v>2021</v>
      </c>
      <c r="I348" s="12" t="s">
        <v>37</v>
      </c>
      <c r="J348" s="12" t="s">
        <v>39</v>
      </c>
      <c r="K348" s="10" t="s">
        <v>87</v>
      </c>
      <c r="L348" s="10" t="s">
        <v>87</v>
      </c>
      <c r="M348" s="12" t="s">
        <v>87</v>
      </c>
      <c r="N348" s="36" t="s">
        <v>2024</v>
      </c>
      <c r="O348" s="34">
        <v>173</v>
      </c>
      <c r="P348" s="6" t="s">
        <v>87</v>
      </c>
      <c r="Q348" s="34">
        <v>357</v>
      </c>
      <c r="R348" s="6" t="s">
        <v>87</v>
      </c>
      <c r="S348" s="6" t="s">
        <v>87</v>
      </c>
      <c r="T348" s="12">
        <f>Tableau1[[#This Row],[Loyer €/m²]]*Tableau1[[#This Row],[Surface GLA]]</f>
        <v>34600</v>
      </c>
      <c r="U348" s="12">
        <f>IFERROR(Tableau1[[#This Row],[Loyer annuel]]/12,"")</f>
        <v>2883.3333333333335</v>
      </c>
      <c r="V348" s="12">
        <v>200</v>
      </c>
      <c r="W348" s="6" t="s">
        <v>87</v>
      </c>
      <c r="X348" s="6">
        <f>Tableau1[[#This Row],[Charges €/m²]]*Tableau1[[#This Row],[Surface GLA]]</f>
        <v>6920</v>
      </c>
      <c r="Y348" s="12">
        <f>Tableau1[[#This Row],[Charges annuelles]]/12</f>
        <v>576.66666666666663</v>
      </c>
      <c r="Z348" s="12">
        <v>40</v>
      </c>
      <c r="AA348" s="12">
        <f>IFERROR(Tableau1[[#This Row],[Taxe foncière €/m²]]*Tableau1[[#This Row],[Surface GLA]],)</f>
        <v>2249</v>
      </c>
      <c r="AB348" s="12">
        <v>13</v>
      </c>
      <c r="AC348" s="12">
        <f>IFERROR(Tableau1[[#This Row],[Marketing €/m²]]*Tableau1[[#This Row],[Surface GLA]],)</f>
        <v>3460</v>
      </c>
      <c r="AD348" s="12">
        <v>20</v>
      </c>
      <c r="AE348" s="12">
        <f>IFERROR(Tableau1[[#This Row],[Loyer annuel]]+Tableau1[[#This Row],[Charges annuelles]]+Tableau1[[#This Row],[Taxe foncière]]+Tableau1[[#This Row],[Marketing]],"")</f>
        <v>47229</v>
      </c>
      <c r="AF348" s="12" t="str">
        <f t="shared" si="17"/>
        <v>3 mois = 8 650 €</v>
      </c>
      <c r="AG348" s="6" t="s">
        <v>87</v>
      </c>
      <c r="AH348" s="6" t="s">
        <v>87</v>
      </c>
      <c r="AI348" s="12" t="s">
        <v>346</v>
      </c>
      <c r="AJ348" s="10" t="s">
        <v>358</v>
      </c>
      <c r="AK348" s="10" t="s">
        <v>352</v>
      </c>
      <c r="AL348" s="10" t="s">
        <v>2341</v>
      </c>
      <c r="AM348" s="11" t="s">
        <v>2340</v>
      </c>
      <c r="AN348" s="11" t="s">
        <v>1308</v>
      </c>
      <c r="AO348" s="5" t="s">
        <v>350</v>
      </c>
      <c r="AP348" s="11" t="s">
        <v>2054</v>
      </c>
      <c r="AQ348" s="11" t="s">
        <v>2055</v>
      </c>
      <c r="AR348" s="11" t="s">
        <v>2033</v>
      </c>
      <c r="AS348" s="36" t="s">
        <v>2052</v>
      </c>
      <c r="AT348" s="11" t="s">
        <v>59</v>
      </c>
      <c r="AU348" s="11"/>
      <c r="AV348" s="13" t="s">
        <v>1746</v>
      </c>
      <c r="AW348" s="14"/>
      <c r="AX348" s="44">
        <v>46175</v>
      </c>
    </row>
    <row r="349" spans="1:50" ht="25.5">
      <c r="A349" s="38" t="str">
        <f>VLOOKUP(Tableau1[[#This Row],[N° Département]],Feuil1!$C$6:$E$106,3)</f>
        <v>Auvergne-Rhône-Alpes</v>
      </c>
      <c r="B349" s="38" t="str">
        <f>VLOOKUP(Tableau1[[#This Row],[N° Département]],Feuil1!$C$6:$E$106,2)</f>
        <v>Allier</v>
      </c>
      <c r="C349" s="38">
        <f>LEFT(Tableau1[[#This Row],[Code Postal]],2)*1</f>
        <v>3</v>
      </c>
      <c r="D349" s="10" t="s">
        <v>2339</v>
      </c>
      <c r="E349" s="49" t="s">
        <v>2022</v>
      </c>
      <c r="F349" s="10" t="s">
        <v>2023</v>
      </c>
      <c r="G349" s="39" t="str">
        <f>Tableau1[[#This Row],[Rue]]&amp;CHAR(10)&amp;Tableau1[[#This Row],[Code Postal]]&amp;" - "&amp;Tableau1[[#This Row],[Ville]]</f>
        <v>Auchan Terre Neuve, Route De Guéret
03 410 - Domérat</v>
      </c>
      <c r="H349" s="15" t="s">
        <v>2021</v>
      </c>
      <c r="I349" s="12" t="s">
        <v>37</v>
      </c>
      <c r="J349" s="12" t="s">
        <v>39</v>
      </c>
      <c r="K349" s="10" t="s">
        <v>87</v>
      </c>
      <c r="L349" s="10" t="s">
        <v>87</v>
      </c>
      <c r="M349" s="12" t="s">
        <v>87</v>
      </c>
      <c r="N349" s="36" t="s">
        <v>2025</v>
      </c>
      <c r="O349" s="34">
        <v>184</v>
      </c>
      <c r="P349" s="6" t="s">
        <v>87</v>
      </c>
      <c r="Q349" s="34">
        <v>357</v>
      </c>
      <c r="R349" s="6" t="s">
        <v>87</v>
      </c>
      <c r="S349" s="6" t="s">
        <v>87</v>
      </c>
      <c r="T349" s="12">
        <f>Tableau1[[#This Row],[Loyer €/m²]]*Tableau1[[#This Row],[Surface GLA]]</f>
        <v>36800</v>
      </c>
      <c r="U349" s="12">
        <f>IFERROR(Tableau1[[#This Row],[Loyer annuel]]/12,"")</f>
        <v>3066.6666666666665</v>
      </c>
      <c r="V349" s="12">
        <v>200</v>
      </c>
      <c r="W349" s="6" t="s">
        <v>87</v>
      </c>
      <c r="X349" s="6">
        <f>Tableau1[[#This Row],[Charges €/m²]]*Tableau1[[#This Row],[Surface GLA]]</f>
        <v>7360</v>
      </c>
      <c r="Y349" s="12">
        <f>Tableau1[[#This Row],[Charges annuelles]]/12</f>
        <v>613.33333333333337</v>
      </c>
      <c r="Z349" s="12">
        <v>40</v>
      </c>
      <c r="AA349" s="12">
        <f>IFERROR(Tableau1[[#This Row],[Taxe foncière €/m²]]*Tableau1[[#This Row],[Surface GLA]],)</f>
        <v>2392</v>
      </c>
      <c r="AB349" s="12">
        <v>13</v>
      </c>
      <c r="AC349" s="12">
        <f>IFERROR(Tableau1[[#This Row],[Marketing €/m²]]*Tableau1[[#This Row],[Surface GLA]],)</f>
        <v>3680</v>
      </c>
      <c r="AD349" s="12">
        <v>20</v>
      </c>
      <c r="AE349" s="12">
        <f>IFERROR(Tableau1[[#This Row],[Loyer annuel]]+Tableau1[[#This Row],[Charges annuelles]]+Tableau1[[#This Row],[Taxe foncière]]+Tableau1[[#This Row],[Marketing]],"")</f>
        <v>50232</v>
      </c>
      <c r="AF349" s="12" t="str">
        <f t="shared" si="17"/>
        <v>3 mois = 9 200 €</v>
      </c>
      <c r="AG349" s="6" t="s">
        <v>87</v>
      </c>
      <c r="AH349" s="6" t="s">
        <v>87</v>
      </c>
      <c r="AI349" s="12" t="s">
        <v>346</v>
      </c>
      <c r="AJ349" s="10" t="s">
        <v>358</v>
      </c>
      <c r="AK349" s="10" t="s">
        <v>352</v>
      </c>
      <c r="AL349" s="10" t="s">
        <v>2341</v>
      </c>
      <c r="AM349" s="11" t="s">
        <v>2340</v>
      </c>
      <c r="AN349" s="11" t="s">
        <v>1308</v>
      </c>
      <c r="AO349" s="5" t="s">
        <v>350</v>
      </c>
      <c r="AP349" s="11" t="s">
        <v>2056</v>
      </c>
      <c r="AQ349" s="11" t="s">
        <v>2057</v>
      </c>
      <c r="AR349" s="11" t="s">
        <v>2034</v>
      </c>
      <c r="AS349" s="36" t="s">
        <v>2052</v>
      </c>
      <c r="AT349" s="11" t="s">
        <v>59</v>
      </c>
      <c r="AU349" s="11"/>
      <c r="AV349" s="13" t="s">
        <v>1746</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2339</v>
      </c>
      <c r="E350" s="49" t="s">
        <v>2022</v>
      </c>
      <c r="F350" s="10" t="s">
        <v>2023</v>
      </c>
      <c r="G350" s="39" t="str">
        <f>Tableau1[[#This Row],[Rue]]&amp;CHAR(10)&amp;Tableau1[[#This Row],[Code Postal]]&amp;" - "&amp;Tableau1[[#This Row],[Ville]]</f>
        <v>Auchan Terre Neuve, Route De Guéret
03 410 - Domérat</v>
      </c>
      <c r="H350" s="15" t="s">
        <v>2021</v>
      </c>
      <c r="I350" s="12" t="s">
        <v>37</v>
      </c>
      <c r="J350" s="12" t="s">
        <v>39</v>
      </c>
      <c r="K350" s="10" t="s">
        <v>87</v>
      </c>
      <c r="L350" s="10" t="s">
        <v>87</v>
      </c>
      <c r="M350" s="12" t="s">
        <v>87</v>
      </c>
      <c r="N350" s="36" t="s">
        <v>2026</v>
      </c>
      <c r="O350" s="34">
        <v>158</v>
      </c>
      <c r="P350" s="6" t="s">
        <v>87</v>
      </c>
      <c r="Q350" s="34">
        <v>248</v>
      </c>
      <c r="R350" s="6" t="s">
        <v>87</v>
      </c>
      <c r="S350" s="6" t="s">
        <v>87</v>
      </c>
      <c r="T350" s="12">
        <f>Tableau1[[#This Row],[Loyer €/m²]]*Tableau1[[#This Row],[Surface GLA]]</f>
        <v>31600</v>
      </c>
      <c r="U350" s="12">
        <f>IFERROR(Tableau1[[#This Row],[Loyer annuel]]/12,"")</f>
        <v>2633.3333333333335</v>
      </c>
      <c r="V350" s="12">
        <v>200</v>
      </c>
      <c r="W350" s="6" t="s">
        <v>87</v>
      </c>
      <c r="X350" s="6">
        <f>Tableau1[[#This Row],[Charges €/m²]]*Tableau1[[#This Row],[Surface GLA]]</f>
        <v>6320</v>
      </c>
      <c r="Y350" s="12">
        <f>Tableau1[[#This Row],[Charges annuelles]]/12</f>
        <v>526.66666666666663</v>
      </c>
      <c r="Z350" s="12">
        <v>40</v>
      </c>
      <c r="AA350" s="12">
        <f>IFERROR(Tableau1[[#This Row],[Taxe foncière €/m²]]*Tableau1[[#This Row],[Surface GLA]],)</f>
        <v>2054</v>
      </c>
      <c r="AB350" s="12">
        <v>13</v>
      </c>
      <c r="AC350" s="12">
        <f>IFERROR(Tableau1[[#This Row],[Marketing €/m²]]*Tableau1[[#This Row],[Surface GLA]],)</f>
        <v>3160</v>
      </c>
      <c r="AD350" s="12">
        <v>20</v>
      </c>
      <c r="AE350" s="12">
        <f>IFERROR(Tableau1[[#This Row],[Loyer annuel]]+Tableau1[[#This Row],[Charges annuelles]]+Tableau1[[#This Row],[Taxe foncière]]+Tableau1[[#This Row],[Marketing]],"")</f>
        <v>43134</v>
      </c>
      <c r="AF350" s="12" t="str">
        <f t="shared" si="17"/>
        <v>3 mois = 7 900 €</v>
      </c>
      <c r="AG350" s="6" t="s">
        <v>87</v>
      </c>
      <c r="AH350" s="6" t="s">
        <v>87</v>
      </c>
      <c r="AI350" s="12" t="s">
        <v>346</v>
      </c>
      <c r="AJ350" s="10" t="s">
        <v>358</v>
      </c>
      <c r="AK350" s="10" t="s">
        <v>352</v>
      </c>
      <c r="AL350" s="10" t="s">
        <v>2341</v>
      </c>
      <c r="AM350" s="11" t="s">
        <v>2340</v>
      </c>
      <c r="AN350" s="11" t="s">
        <v>1308</v>
      </c>
      <c r="AO350" s="5" t="s">
        <v>350</v>
      </c>
      <c r="AP350" s="11" t="s">
        <v>2053</v>
      </c>
      <c r="AQ350" s="11" t="s">
        <v>2058</v>
      </c>
      <c r="AR350" s="11" t="s">
        <v>2035</v>
      </c>
      <c r="AS350" s="36" t="s">
        <v>2052</v>
      </c>
      <c r="AT350" s="11" t="s">
        <v>59</v>
      </c>
      <c r="AU350" s="11"/>
      <c r="AV350" s="13" t="s">
        <v>1746</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2339</v>
      </c>
      <c r="E351" s="49" t="s">
        <v>2022</v>
      </c>
      <c r="F351" s="10" t="s">
        <v>2023</v>
      </c>
      <c r="G351" s="39" t="str">
        <f>Tableau1[[#This Row],[Rue]]&amp;CHAR(10)&amp;Tableau1[[#This Row],[Code Postal]]&amp;" - "&amp;Tableau1[[#This Row],[Ville]]</f>
        <v>Auchan Terre Neuve, Route De Guéret
03 410 - Domérat</v>
      </c>
      <c r="H351" s="15" t="s">
        <v>2021</v>
      </c>
      <c r="I351" s="12" t="s">
        <v>37</v>
      </c>
      <c r="J351" s="12" t="s">
        <v>39</v>
      </c>
      <c r="K351" s="10" t="s">
        <v>87</v>
      </c>
      <c r="L351" s="10" t="s">
        <v>87</v>
      </c>
      <c r="M351" s="12" t="s">
        <v>87</v>
      </c>
      <c r="N351" s="36" t="s">
        <v>2027</v>
      </c>
      <c r="O351" s="34">
        <v>90</v>
      </c>
      <c r="P351" s="6" t="s">
        <v>87</v>
      </c>
      <c r="Q351" s="34">
        <v>248</v>
      </c>
      <c r="R351" s="6" t="s">
        <v>87</v>
      </c>
      <c r="S351" s="6" t="s">
        <v>87</v>
      </c>
      <c r="T351" s="12">
        <f>Tableau1[[#This Row],[Loyer €/m²]]*Tableau1[[#This Row],[Surface GLA]]</f>
        <v>27000</v>
      </c>
      <c r="U351" s="12">
        <f>IFERROR(Tableau1[[#This Row],[Loyer annuel]]/12,"")</f>
        <v>2250</v>
      </c>
      <c r="V351" s="12">
        <v>300</v>
      </c>
      <c r="W351" s="6" t="s">
        <v>87</v>
      </c>
      <c r="X351" s="6">
        <f>Tableau1[[#This Row],[Charges €/m²]]*Tableau1[[#This Row],[Surface GLA]]</f>
        <v>3600</v>
      </c>
      <c r="Y351" s="12">
        <f>Tableau1[[#This Row],[Charges annuelles]]/12</f>
        <v>300</v>
      </c>
      <c r="Z351" s="12">
        <v>40</v>
      </c>
      <c r="AA351" s="12">
        <f>IFERROR(Tableau1[[#This Row],[Taxe foncière €/m²]]*Tableau1[[#This Row],[Surface GLA]],)</f>
        <v>1170</v>
      </c>
      <c r="AB351" s="12">
        <v>13</v>
      </c>
      <c r="AC351" s="12">
        <f>IFERROR(Tableau1[[#This Row],[Marketing €/m²]]*Tableau1[[#This Row],[Surface GLA]],)</f>
        <v>1800</v>
      </c>
      <c r="AD351" s="12">
        <v>20</v>
      </c>
      <c r="AE351" s="12">
        <f>IFERROR(Tableau1[[#This Row],[Loyer annuel]]+Tableau1[[#This Row],[Charges annuelles]]+Tableau1[[#This Row],[Taxe foncière]]+Tableau1[[#This Row],[Marketing]],"")</f>
        <v>33570</v>
      </c>
      <c r="AF351" s="12" t="str">
        <f t="shared" si="17"/>
        <v>3 mois = 6 750 €</v>
      </c>
      <c r="AG351" s="6" t="s">
        <v>87</v>
      </c>
      <c r="AH351" s="6" t="s">
        <v>87</v>
      </c>
      <c r="AI351" s="12" t="s">
        <v>346</v>
      </c>
      <c r="AJ351" s="10" t="s">
        <v>358</v>
      </c>
      <c r="AK351" s="10" t="s">
        <v>352</v>
      </c>
      <c r="AL351" s="10" t="s">
        <v>2341</v>
      </c>
      <c r="AM351" s="11" t="s">
        <v>2340</v>
      </c>
      <c r="AN351" s="11" t="s">
        <v>1308</v>
      </c>
      <c r="AO351" s="5" t="s">
        <v>350</v>
      </c>
      <c r="AP351" s="11" t="s">
        <v>2059</v>
      </c>
      <c r="AQ351" s="11" t="s">
        <v>2060</v>
      </c>
      <c r="AR351" s="11" t="s">
        <v>2036</v>
      </c>
      <c r="AS351" s="36" t="s">
        <v>2052</v>
      </c>
      <c r="AT351" s="11" t="s">
        <v>59</v>
      </c>
      <c r="AU351" s="11"/>
      <c r="AV351" s="13" t="s">
        <v>1746</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2339</v>
      </c>
      <c r="E352" s="49" t="s">
        <v>2022</v>
      </c>
      <c r="F352" s="10" t="s">
        <v>2023</v>
      </c>
      <c r="G352" s="39" t="str">
        <f>Tableau1[[#This Row],[Rue]]&amp;CHAR(10)&amp;Tableau1[[#This Row],[Code Postal]]&amp;" - "&amp;Tableau1[[#This Row],[Ville]]</f>
        <v>Auchan Terre Neuve, Route De Guéret
03 410 - Domérat</v>
      </c>
      <c r="H352" s="15" t="s">
        <v>2021</v>
      </c>
      <c r="I352" s="12" t="s">
        <v>37</v>
      </c>
      <c r="J352" s="12" t="s">
        <v>39</v>
      </c>
      <c r="K352" s="10" t="s">
        <v>87</v>
      </c>
      <c r="L352" s="10" t="s">
        <v>87</v>
      </c>
      <c r="M352" s="12" t="s">
        <v>87</v>
      </c>
      <c r="N352" s="36" t="s">
        <v>2030</v>
      </c>
      <c r="O352" s="34">
        <v>107</v>
      </c>
      <c r="P352" s="6" t="s">
        <v>87</v>
      </c>
      <c r="Q352" s="34">
        <v>335</v>
      </c>
      <c r="R352" s="6" t="s">
        <v>87</v>
      </c>
      <c r="S352" s="6" t="s">
        <v>87</v>
      </c>
      <c r="T352" s="12">
        <f>Tableau1[[#This Row],[Loyer €/m²]]*Tableau1[[#This Row],[Surface GLA]]</f>
        <v>26750</v>
      </c>
      <c r="U352" s="12">
        <f>IFERROR(Tableau1[[#This Row],[Loyer annuel]]/12,"")</f>
        <v>2229.1666666666665</v>
      </c>
      <c r="V352" s="12">
        <v>250</v>
      </c>
      <c r="W352" s="6" t="s">
        <v>87</v>
      </c>
      <c r="X352" s="6">
        <f>Tableau1[[#This Row],[Charges €/m²]]*Tableau1[[#This Row],[Surface GLA]]</f>
        <v>4280</v>
      </c>
      <c r="Y352" s="12">
        <f>Tableau1[[#This Row],[Charges annuelles]]/12</f>
        <v>356.66666666666669</v>
      </c>
      <c r="Z352" s="12">
        <v>40</v>
      </c>
      <c r="AA352" s="12">
        <f>IFERROR(Tableau1[[#This Row],[Taxe foncière €/m²]]*Tableau1[[#This Row],[Surface GLA]],)</f>
        <v>1391</v>
      </c>
      <c r="AB352" s="12">
        <v>13</v>
      </c>
      <c r="AC352" s="12">
        <f>IFERROR(Tableau1[[#This Row],[Marketing €/m²]]*Tableau1[[#This Row],[Surface GLA]],)</f>
        <v>2140</v>
      </c>
      <c r="AD352" s="12">
        <v>20</v>
      </c>
      <c r="AE352" s="12">
        <f>IFERROR(Tableau1[[#This Row],[Loyer annuel]]+Tableau1[[#This Row],[Charges annuelles]]+Tableau1[[#This Row],[Taxe foncière]]+Tableau1[[#This Row],[Marketing]],"")</f>
        <v>34561</v>
      </c>
      <c r="AF352" s="12" t="str">
        <f t="shared" si="17"/>
        <v>3 mois = 6 688 €</v>
      </c>
      <c r="AG352" s="6" t="s">
        <v>87</v>
      </c>
      <c r="AH352" s="6" t="s">
        <v>87</v>
      </c>
      <c r="AI352" s="12" t="s">
        <v>346</v>
      </c>
      <c r="AJ352" s="10" t="s">
        <v>358</v>
      </c>
      <c r="AK352" s="10" t="s">
        <v>352</v>
      </c>
      <c r="AL352" s="10" t="s">
        <v>2341</v>
      </c>
      <c r="AM352" s="11" t="s">
        <v>2340</v>
      </c>
      <c r="AN352" s="11" t="s">
        <v>1308</v>
      </c>
      <c r="AO352" s="5" t="s">
        <v>350</v>
      </c>
      <c r="AP352" s="11" t="s">
        <v>2042</v>
      </c>
      <c r="AQ352" s="11" t="s">
        <v>2043</v>
      </c>
      <c r="AR352" s="11" t="s">
        <v>2037</v>
      </c>
      <c r="AS352" s="36" t="s">
        <v>2052</v>
      </c>
      <c r="AT352" s="11" t="s">
        <v>59</v>
      </c>
      <c r="AU352" s="11"/>
      <c r="AV352" s="13" t="s">
        <v>1746</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2339</v>
      </c>
      <c r="E353" s="49" t="s">
        <v>2022</v>
      </c>
      <c r="F353" s="10" t="s">
        <v>2023</v>
      </c>
      <c r="G353" s="39" t="str">
        <f>Tableau1[[#This Row],[Rue]]&amp;CHAR(10)&amp;Tableau1[[#This Row],[Code Postal]]&amp;" - "&amp;Tableau1[[#This Row],[Ville]]</f>
        <v>Auchan Terre Neuve, Route De Guéret
03 410 - Domérat</v>
      </c>
      <c r="H353" s="15" t="s">
        <v>2021</v>
      </c>
      <c r="I353" s="12" t="s">
        <v>37</v>
      </c>
      <c r="J353" s="12" t="s">
        <v>39</v>
      </c>
      <c r="K353" s="10" t="s">
        <v>87</v>
      </c>
      <c r="L353" s="10" t="s">
        <v>87</v>
      </c>
      <c r="M353" s="12" t="s">
        <v>87</v>
      </c>
      <c r="N353" s="36" t="s">
        <v>2028</v>
      </c>
      <c r="O353" s="34">
        <v>87</v>
      </c>
      <c r="P353" s="6" t="s">
        <v>87</v>
      </c>
      <c r="Q353" s="34">
        <v>335</v>
      </c>
      <c r="R353" s="6" t="s">
        <v>87</v>
      </c>
      <c r="S353" s="6" t="s">
        <v>87</v>
      </c>
      <c r="T353" s="12">
        <f>Tableau1[[#This Row],[Loyer €/m²]]*Tableau1[[#This Row],[Surface GLA]]</f>
        <v>26100</v>
      </c>
      <c r="U353" s="12">
        <f>IFERROR(Tableau1[[#This Row],[Loyer annuel]]/12,"")</f>
        <v>2175</v>
      </c>
      <c r="V353" s="12">
        <v>300</v>
      </c>
      <c r="W353" s="6" t="s">
        <v>87</v>
      </c>
      <c r="X353" s="6">
        <f>Tableau1[[#This Row],[Charges €/m²]]*Tableau1[[#This Row],[Surface GLA]]</f>
        <v>3480</v>
      </c>
      <c r="Y353" s="12">
        <f>Tableau1[[#This Row],[Charges annuelles]]/12</f>
        <v>290</v>
      </c>
      <c r="Z353" s="12">
        <v>40</v>
      </c>
      <c r="AA353" s="12">
        <f>IFERROR(Tableau1[[#This Row],[Taxe foncière €/m²]]*Tableau1[[#This Row],[Surface GLA]],)</f>
        <v>1131</v>
      </c>
      <c r="AB353" s="12">
        <v>13</v>
      </c>
      <c r="AC353" s="12">
        <f>IFERROR(Tableau1[[#This Row],[Marketing €/m²]]*Tableau1[[#This Row],[Surface GLA]],)</f>
        <v>1740</v>
      </c>
      <c r="AD353" s="12">
        <v>20</v>
      </c>
      <c r="AE353" s="12">
        <f>IFERROR(Tableau1[[#This Row],[Loyer annuel]]+Tableau1[[#This Row],[Charges annuelles]]+Tableau1[[#This Row],[Taxe foncière]]+Tableau1[[#This Row],[Marketing]],"")</f>
        <v>32451</v>
      </c>
      <c r="AF353" s="12" t="str">
        <f t="shared" si="17"/>
        <v>3 mois = 6 525 €</v>
      </c>
      <c r="AG353" s="6" t="s">
        <v>87</v>
      </c>
      <c r="AH353" s="6" t="s">
        <v>87</v>
      </c>
      <c r="AI353" s="12" t="s">
        <v>346</v>
      </c>
      <c r="AJ353" s="10" t="s">
        <v>358</v>
      </c>
      <c r="AK353" s="10" t="s">
        <v>352</v>
      </c>
      <c r="AL353" s="10" t="s">
        <v>2341</v>
      </c>
      <c r="AM353" s="11" t="s">
        <v>2340</v>
      </c>
      <c r="AN353" s="11" t="s">
        <v>1308</v>
      </c>
      <c r="AO353" s="5" t="s">
        <v>350</v>
      </c>
      <c r="AP353" s="11" t="s">
        <v>2044</v>
      </c>
      <c r="AQ353" s="11" t="s">
        <v>2045</v>
      </c>
      <c r="AR353" s="11" t="s">
        <v>2038</v>
      </c>
      <c r="AS353" s="36" t="s">
        <v>2052</v>
      </c>
      <c r="AT353" s="11" t="s">
        <v>59</v>
      </c>
      <c r="AU353" s="11"/>
      <c r="AV353" s="13" t="s">
        <v>1746</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2339</v>
      </c>
      <c r="E354" s="49" t="s">
        <v>2022</v>
      </c>
      <c r="F354" s="10" t="s">
        <v>2023</v>
      </c>
      <c r="G354" s="39" t="str">
        <f>Tableau1[[#This Row],[Rue]]&amp;CHAR(10)&amp;Tableau1[[#This Row],[Code Postal]]&amp;" - "&amp;Tableau1[[#This Row],[Ville]]</f>
        <v>Auchan Terre Neuve, Route De Guéret
03 410 - Domérat</v>
      </c>
      <c r="H354" s="15" t="s">
        <v>2021</v>
      </c>
      <c r="I354" s="12" t="s">
        <v>37</v>
      </c>
      <c r="J354" s="12" t="s">
        <v>39</v>
      </c>
      <c r="K354" s="10" t="s">
        <v>87</v>
      </c>
      <c r="L354" s="10" t="s">
        <v>87</v>
      </c>
      <c r="M354" s="12" t="s">
        <v>87</v>
      </c>
      <c r="N354" s="36" t="s">
        <v>2029</v>
      </c>
      <c r="O354" s="34">
        <v>141</v>
      </c>
      <c r="P354" s="6" t="s">
        <v>87</v>
      </c>
      <c r="Q354" s="34">
        <v>335</v>
      </c>
      <c r="R354" s="6" t="s">
        <v>87</v>
      </c>
      <c r="S354" s="6" t="s">
        <v>87</v>
      </c>
      <c r="T354" s="12">
        <f>Tableau1[[#This Row],[Loyer €/m²]]*Tableau1[[#This Row],[Surface GLA]]</f>
        <v>35250</v>
      </c>
      <c r="U354" s="12">
        <f>IFERROR(Tableau1[[#This Row],[Loyer annuel]]/12,"")</f>
        <v>2937.5</v>
      </c>
      <c r="V354" s="12">
        <v>250</v>
      </c>
      <c r="W354" s="6" t="s">
        <v>87</v>
      </c>
      <c r="X354" s="6">
        <f>Tableau1[[#This Row],[Charges €/m²]]*Tableau1[[#This Row],[Surface GLA]]</f>
        <v>5640</v>
      </c>
      <c r="Y354" s="12">
        <f>Tableau1[[#This Row],[Charges annuelles]]/12</f>
        <v>470</v>
      </c>
      <c r="Z354" s="12">
        <v>40</v>
      </c>
      <c r="AA354" s="12">
        <f>IFERROR(Tableau1[[#This Row],[Taxe foncière €/m²]]*Tableau1[[#This Row],[Surface GLA]],)</f>
        <v>1833</v>
      </c>
      <c r="AB354" s="12">
        <v>13</v>
      </c>
      <c r="AC354" s="12">
        <f>IFERROR(Tableau1[[#This Row],[Marketing €/m²]]*Tableau1[[#This Row],[Surface GLA]],)</f>
        <v>2820</v>
      </c>
      <c r="AD354" s="12">
        <v>20</v>
      </c>
      <c r="AE354" s="12">
        <f>IFERROR(Tableau1[[#This Row],[Loyer annuel]]+Tableau1[[#This Row],[Charges annuelles]]+Tableau1[[#This Row],[Taxe foncière]]+Tableau1[[#This Row],[Marketing]],"")</f>
        <v>45543</v>
      </c>
      <c r="AF354" s="12" t="str">
        <f t="shared" si="17"/>
        <v>3 mois = 8 813 €</v>
      </c>
      <c r="AG354" s="6" t="s">
        <v>87</v>
      </c>
      <c r="AH354" s="6" t="s">
        <v>87</v>
      </c>
      <c r="AI354" s="12" t="s">
        <v>346</v>
      </c>
      <c r="AJ354" s="10" t="s">
        <v>358</v>
      </c>
      <c r="AK354" s="10" t="s">
        <v>352</v>
      </c>
      <c r="AL354" s="10" t="s">
        <v>2341</v>
      </c>
      <c r="AM354" s="11" t="s">
        <v>2340</v>
      </c>
      <c r="AN354" s="11" t="s">
        <v>1308</v>
      </c>
      <c r="AO354" s="5" t="s">
        <v>350</v>
      </c>
      <c r="AP354" s="11" t="s">
        <v>2046</v>
      </c>
      <c r="AQ354" s="11" t="s">
        <v>2047</v>
      </c>
      <c r="AR354" s="11" t="s">
        <v>2039</v>
      </c>
      <c r="AS354" s="36" t="s">
        <v>2052</v>
      </c>
      <c r="AT354" s="11" t="s">
        <v>59</v>
      </c>
      <c r="AU354" s="11"/>
      <c r="AV354" s="13" t="s">
        <v>1746</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2339</v>
      </c>
      <c r="E355" s="49" t="s">
        <v>2022</v>
      </c>
      <c r="F355" s="10" t="s">
        <v>2023</v>
      </c>
      <c r="G355" s="39" t="str">
        <f>Tableau1[[#This Row],[Rue]]&amp;CHAR(10)&amp;Tableau1[[#This Row],[Code Postal]]&amp;" - "&amp;Tableau1[[#This Row],[Ville]]</f>
        <v>Auchan Terre Neuve, Route De Guéret
03 410 - Domérat</v>
      </c>
      <c r="H355" s="15" t="s">
        <v>2021</v>
      </c>
      <c r="I355" s="12" t="s">
        <v>37</v>
      </c>
      <c r="J355" s="12" t="s">
        <v>39</v>
      </c>
      <c r="K355" s="10" t="s">
        <v>87</v>
      </c>
      <c r="L355" s="10" t="s">
        <v>87</v>
      </c>
      <c r="M355" s="12" t="s">
        <v>87</v>
      </c>
      <c r="N355" s="36" t="s">
        <v>2031</v>
      </c>
      <c r="O355" s="34">
        <v>63</v>
      </c>
      <c r="P355" s="6" t="s">
        <v>87</v>
      </c>
      <c r="Q355" s="34" t="s">
        <v>87</v>
      </c>
      <c r="R355" s="6" t="s">
        <v>87</v>
      </c>
      <c r="S355" s="6" t="s">
        <v>87</v>
      </c>
      <c r="T355" s="12">
        <f>Tableau1[[#This Row],[Loyer €/m²]]*Tableau1[[#This Row],[Surface GLA]]</f>
        <v>18900</v>
      </c>
      <c r="U355" s="12">
        <f>IFERROR(Tableau1[[#This Row],[Loyer annuel]]/12,"")</f>
        <v>1575</v>
      </c>
      <c r="V355" s="12">
        <v>300</v>
      </c>
      <c r="W355" s="6" t="s">
        <v>87</v>
      </c>
      <c r="X355" s="6">
        <f>Tableau1[[#This Row],[Charges €/m²]]*Tableau1[[#This Row],[Surface GLA]]</f>
        <v>2520</v>
      </c>
      <c r="Y355" s="12">
        <f>Tableau1[[#This Row],[Charges annuelles]]/12</f>
        <v>210</v>
      </c>
      <c r="Z355" s="12">
        <v>40</v>
      </c>
      <c r="AA355" s="12">
        <f>IFERROR(Tableau1[[#This Row],[Taxe foncière €/m²]]*Tableau1[[#This Row],[Surface GLA]],)</f>
        <v>819</v>
      </c>
      <c r="AB355" s="12">
        <v>13</v>
      </c>
      <c r="AC355" s="12">
        <f>IFERROR(Tableau1[[#This Row],[Marketing €/m²]]*Tableau1[[#This Row],[Surface GLA]],)</f>
        <v>1260</v>
      </c>
      <c r="AD355" s="12">
        <v>20</v>
      </c>
      <c r="AE355" s="12">
        <f>IFERROR(Tableau1[[#This Row],[Loyer annuel]]+Tableau1[[#This Row],[Charges annuelles]]+Tableau1[[#This Row],[Taxe foncière]]+Tableau1[[#This Row],[Marketing]],"")</f>
        <v>23499</v>
      </c>
      <c r="AF355" s="12" t="str">
        <f t="shared" si="17"/>
        <v>3 mois = 4 725 €</v>
      </c>
      <c r="AG355" s="6" t="s">
        <v>87</v>
      </c>
      <c r="AH355" s="6" t="s">
        <v>87</v>
      </c>
      <c r="AI355" s="12" t="s">
        <v>346</v>
      </c>
      <c r="AJ355" s="10" t="s">
        <v>358</v>
      </c>
      <c r="AK355" s="10" t="s">
        <v>352</v>
      </c>
      <c r="AL355" s="10" t="s">
        <v>2341</v>
      </c>
      <c r="AM355" s="11" t="s">
        <v>2340</v>
      </c>
      <c r="AN355" s="11" t="s">
        <v>1308</v>
      </c>
      <c r="AO355" s="5" t="s">
        <v>350</v>
      </c>
      <c r="AP355" s="11" t="s">
        <v>2048</v>
      </c>
      <c r="AQ355" s="11" t="s">
        <v>2049</v>
      </c>
      <c r="AR355" s="11" t="s">
        <v>2040</v>
      </c>
      <c r="AS355" s="36" t="s">
        <v>2052</v>
      </c>
      <c r="AT355" s="11" t="s">
        <v>59</v>
      </c>
      <c r="AU355" s="11"/>
      <c r="AV355" s="13" t="s">
        <v>1746</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2339</v>
      </c>
      <c r="E356" s="49" t="s">
        <v>2022</v>
      </c>
      <c r="F356" s="10" t="s">
        <v>2023</v>
      </c>
      <c r="G356" s="39" t="str">
        <f>Tableau1[[#This Row],[Rue]]&amp;CHAR(10)&amp;Tableau1[[#This Row],[Code Postal]]&amp;" - "&amp;Tableau1[[#This Row],[Ville]]</f>
        <v>Auchan Terre Neuve, Route De Guéret
03 410 - Domérat</v>
      </c>
      <c r="H356" s="15" t="s">
        <v>2021</v>
      </c>
      <c r="I356" s="12" t="s">
        <v>37</v>
      </c>
      <c r="J356" s="12" t="s">
        <v>39</v>
      </c>
      <c r="K356" s="10" t="s">
        <v>87</v>
      </c>
      <c r="L356" s="10" t="s">
        <v>87</v>
      </c>
      <c r="M356" s="12" t="s">
        <v>87</v>
      </c>
      <c r="N356" s="36" t="s">
        <v>2032</v>
      </c>
      <c r="O356" s="34">
        <v>109</v>
      </c>
      <c r="P356" s="6" t="s">
        <v>87</v>
      </c>
      <c r="Q356" s="34" t="s">
        <v>87</v>
      </c>
      <c r="R356" s="6" t="s">
        <v>87</v>
      </c>
      <c r="S356" s="6" t="s">
        <v>87</v>
      </c>
      <c r="T356" s="12">
        <f>Tableau1[[#This Row],[Loyer €/m²]]*Tableau1[[#This Row],[Surface GLA]]</f>
        <v>27250</v>
      </c>
      <c r="U356" s="12">
        <f>IFERROR(Tableau1[[#This Row],[Loyer annuel]]/12,"")</f>
        <v>2270.8333333333335</v>
      </c>
      <c r="V356" s="12">
        <v>250</v>
      </c>
      <c r="W356" s="6" t="s">
        <v>87</v>
      </c>
      <c r="X356" s="6">
        <f>Tableau1[[#This Row],[Charges €/m²]]*Tableau1[[#This Row],[Surface GLA]]</f>
        <v>4360</v>
      </c>
      <c r="Y356" s="12">
        <f>Tableau1[[#This Row],[Charges annuelles]]/12</f>
        <v>363.33333333333331</v>
      </c>
      <c r="Z356" s="12">
        <v>40</v>
      </c>
      <c r="AA356" s="12">
        <f>IFERROR(Tableau1[[#This Row],[Taxe foncière €/m²]]*Tableau1[[#This Row],[Surface GLA]],)</f>
        <v>1417</v>
      </c>
      <c r="AB356" s="12">
        <v>13</v>
      </c>
      <c r="AC356" s="12">
        <f>IFERROR(Tableau1[[#This Row],[Marketing €/m²]]*Tableau1[[#This Row],[Surface GLA]],)</f>
        <v>2180</v>
      </c>
      <c r="AD356" s="12">
        <v>20</v>
      </c>
      <c r="AE356" s="12">
        <f>IFERROR(Tableau1[[#This Row],[Loyer annuel]]+Tableau1[[#This Row],[Charges annuelles]]+Tableau1[[#This Row],[Taxe foncière]]+Tableau1[[#This Row],[Marketing]],"")</f>
        <v>35207</v>
      </c>
      <c r="AF356" s="12" t="str">
        <f t="shared" si="17"/>
        <v>3 mois = 6 813 €</v>
      </c>
      <c r="AG356" s="6" t="s">
        <v>87</v>
      </c>
      <c r="AH356" s="6" t="s">
        <v>87</v>
      </c>
      <c r="AI356" s="12" t="s">
        <v>346</v>
      </c>
      <c r="AJ356" s="10" t="s">
        <v>358</v>
      </c>
      <c r="AK356" s="10" t="s">
        <v>352</v>
      </c>
      <c r="AL356" s="10" t="s">
        <v>2341</v>
      </c>
      <c r="AM356" s="11" t="s">
        <v>2340</v>
      </c>
      <c r="AN356" s="11" t="s">
        <v>1308</v>
      </c>
      <c r="AO356" s="5" t="s">
        <v>350</v>
      </c>
      <c r="AP356" s="11" t="s">
        <v>2050</v>
      </c>
      <c r="AQ356" s="11" t="s">
        <v>2051</v>
      </c>
      <c r="AR356" s="11" t="s">
        <v>2041</v>
      </c>
      <c r="AS356" s="36" t="s">
        <v>2052</v>
      </c>
      <c r="AT356" s="11" t="s">
        <v>59</v>
      </c>
      <c r="AU356" s="11"/>
      <c r="AV356" s="13" t="s">
        <v>1746</v>
      </c>
      <c r="AW356" s="14"/>
      <c r="AX356" s="44">
        <v>46175</v>
      </c>
    </row>
    <row r="357" spans="1:50" ht="25.5">
      <c r="A357" s="38" t="str">
        <f>VLOOKUP(Tableau1[[#This Row],[N° Département]],Feuil1!$C$6:$E$106,3)</f>
        <v>Centre-Val de Loire</v>
      </c>
      <c r="B357" s="38" t="str">
        <f>VLOOKUP(Tableau1[[#This Row],[N° Département]],Feuil1!$C$6:$E$106,2)</f>
        <v>Loiret</v>
      </c>
      <c r="C357" s="38">
        <f>LEFT(Tableau1[[#This Row],[Code Postal]],2)*1</f>
        <v>45</v>
      </c>
      <c r="D357" s="10" t="s">
        <v>2342</v>
      </c>
      <c r="E357" s="26">
        <v>45500</v>
      </c>
      <c r="F357" s="10" t="s">
        <v>2062</v>
      </c>
      <c r="G357" s="39" t="str">
        <f>Tableau1[[#This Row],[Rue]]&amp;CHAR(10)&amp;Tableau1[[#This Row],[Code Postal]]&amp;" - "&amp;Tableau1[[#This Row],[Ville]]</f>
        <v>Auchan, 3 Rue de la Fabrique
45500 - Gien</v>
      </c>
      <c r="H357" s="15" t="s">
        <v>2063</v>
      </c>
      <c r="I357" s="12" t="s">
        <v>37</v>
      </c>
      <c r="J357" s="12" t="s">
        <v>41</v>
      </c>
      <c r="K357" s="10" t="s">
        <v>87</v>
      </c>
      <c r="L357" s="10" t="s">
        <v>87</v>
      </c>
      <c r="M357" s="12" t="s">
        <v>87</v>
      </c>
      <c r="N357" s="36" t="s">
        <v>318</v>
      </c>
      <c r="O357" s="34">
        <v>46</v>
      </c>
      <c r="P357" s="6" t="s">
        <v>87</v>
      </c>
      <c r="Q357" s="34" t="s">
        <v>87</v>
      </c>
      <c r="R357" s="6" t="s">
        <v>87</v>
      </c>
      <c r="S357" s="6" t="s">
        <v>87</v>
      </c>
      <c r="T357" s="12">
        <f>Tableau1[[#This Row],[Loyer €/m²]]*Tableau1[[#This Row],[Surface GLA]]</f>
        <v>18400</v>
      </c>
      <c r="U357" s="12">
        <f>IFERROR(Tableau1[[#This Row],[Loyer annuel]]/12,"")</f>
        <v>1533.3333333333333</v>
      </c>
      <c r="V357" s="12">
        <v>400</v>
      </c>
      <c r="W357" s="6" t="s">
        <v>87</v>
      </c>
      <c r="X357" s="6">
        <f>Tableau1[[#This Row],[Charges €/m²]]*Tableau1[[#This Row],[Surface GLA]]</f>
        <v>3220</v>
      </c>
      <c r="Y357" s="12">
        <f>Tableau1[[#This Row],[Charges annuelles]]/12</f>
        <v>268.33333333333331</v>
      </c>
      <c r="Z357" s="12">
        <v>70</v>
      </c>
      <c r="AA357" s="12">
        <f>IFERROR(Tableau1[[#This Row],[Taxe foncière €/m²]]*Tableau1[[#This Row],[Surface GLA]],)</f>
        <v>690</v>
      </c>
      <c r="AB357" s="12">
        <v>15</v>
      </c>
      <c r="AC357" s="12">
        <f>IFERROR(Tableau1[[#This Row],[Marketing €/m²]]*Tableau1[[#This Row],[Surface GLA]],)</f>
        <v>0</v>
      </c>
      <c r="AD357" s="12"/>
      <c r="AE357" s="12">
        <f>IFERROR(Tableau1[[#This Row],[Loyer annuel]]+Tableau1[[#This Row],[Charges annuelles]]+Tableau1[[#This Row],[Taxe foncière]]+Tableau1[[#This Row],[Marketing]],"")</f>
        <v>22310</v>
      </c>
      <c r="AF357" s="12" t="str">
        <f t="shared" si="17"/>
        <v>3 mois = 4 600 €</v>
      </c>
      <c r="AG357" s="6" t="s">
        <v>87</v>
      </c>
      <c r="AH357" s="6" t="s">
        <v>87</v>
      </c>
      <c r="AI357" s="12" t="s">
        <v>346</v>
      </c>
      <c r="AJ357" s="10" t="s">
        <v>358</v>
      </c>
      <c r="AK357" s="10" t="s">
        <v>352</v>
      </c>
      <c r="AL357" s="10" t="s">
        <v>2343</v>
      </c>
      <c r="AM357" s="11" t="s">
        <v>2344</v>
      </c>
      <c r="AN357" s="11" t="s">
        <v>1308</v>
      </c>
      <c r="AO357" s="5" t="s">
        <v>350</v>
      </c>
      <c r="AP357" s="11" t="s">
        <v>2069</v>
      </c>
      <c r="AQ357" s="11" t="s">
        <v>2070</v>
      </c>
      <c r="AR357" s="11" t="s">
        <v>2064</v>
      </c>
      <c r="AS357" s="36" t="s">
        <v>2079</v>
      </c>
      <c r="AT357" s="11" t="s">
        <v>59</v>
      </c>
      <c r="AU357" s="11"/>
      <c r="AV357" s="13" t="s">
        <v>1746</v>
      </c>
      <c r="AW357" s="14"/>
      <c r="AX357" s="44">
        <v>46175</v>
      </c>
    </row>
    <row r="358" spans="1:50" ht="25.5">
      <c r="A358" s="38" t="str">
        <f>VLOOKUP(Tableau1[[#This Row],[N° Département]],Feuil1!$C$6:$E$106,3)</f>
        <v>Centre-Val de Loire</v>
      </c>
      <c r="B358" s="38" t="str">
        <f>VLOOKUP(Tableau1[[#This Row],[N° Département]],Feuil1!$C$6:$E$106,2)</f>
        <v>Loiret</v>
      </c>
      <c r="C358" s="38">
        <f>LEFT(Tableau1[[#This Row],[Code Postal]],2)*1</f>
        <v>45</v>
      </c>
      <c r="D358" s="10" t="s">
        <v>2342</v>
      </c>
      <c r="E358" s="26">
        <v>45500</v>
      </c>
      <c r="F358" s="10" t="s">
        <v>2062</v>
      </c>
      <c r="G358" s="39" t="str">
        <f>Tableau1[[#This Row],[Rue]]&amp;CHAR(10)&amp;Tableau1[[#This Row],[Code Postal]]&amp;" - "&amp;Tableau1[[#This Row],[Ville]]</f>
        <v>Auchan, 3 Rue de la Fabrique
45500 - Gien</v>
      </c>
      <c r="H358" s="15" t="s">
        <v>2063</v>
      </c>
      <c r="I358" s="12" t="s">
        <v>37</v>
      </c>
      <c r="J358" s="12" t="s">
        <v>41</v>
      </c>
      <c r="K358" s="10" t="s">
        <v>87</v>
      </c>
      <c r="L358" s="10" t="s">
        <v>87</v>
      </c>
      <c r="M358" s="12" t="s">
        <v>87</v>
      </c>
      <c r="N358" s="36" t="s">
        <v>844</v>
      </c>
      <c r="O358" s="34">
        <v>142</v>
      </c>
      <c r="P358" s="6" t="s">
        <v>87</v>
      </c>
      <c r="Q358" s="34" t="s">
        <v>87</v>
      </c>
      <c r="R358" s="6" t="s">
        <v>87</v>
      </c>
      <c r="S358" s="6" t="s">
        <v>87</v>
      </c>
      <c r="T358" s="12">
        <f>Tableau1[[#This Row],[Loyer €/m²]]*Tableau1[[#This Row],[Surface GLA]]</f>
        <v>42600</v>
      </c>
      <c r="U358" s="12">
        <f>IFERROR(Tableau1[[#This Row],[Loyer annuel]]/12,"")</f>
        <v>3550</v>
      </c>
      <c r="V358" s="12">
        <v>300</v>
      </c>
      <c r="W358" s="6" t="s">
        <v>87</v>
      </c>
      <c r="X358" s="6">
        <f>Tableau1[[#This Row],[Charges €/m²]]*Tableau1[[#This Row],[Surface GLA]]</f>
        <v>9940</v>
      </c>
      <c r="Y358" s="12">
        <f>Tableau1[[#This Row],[Charges annuelles]]/12</f>
        <v>828.33333333333337</v>
      </c>
      <c r="Z358" s="12">
        <v>70</v>
      </c>
      <c r="AA358" s="12">
        <f>IFERROR(Tableau1[[#This Row],[Taxe foncière €/m²]]*Tableau1[[#This Row],[Surface GLA]],)</f>
        <v>2130</v>
      </c>
      <c r="AB358" s="12">
        <v>15</v>
      </c>
      <c r="AC358" s="12">
        <f>IFERROR(Tableau1[[#This Row],[Marketing €/m²]]*Tableau1[[#This Row],[Surface GLA]],)</f>
        <v>0</v>
      </c>
      <c r="AD358" s="12"/>
      <c r="AE358" s="12">
        <f>IFERROR(Tableau1[[#This Row],[Loyer annuel]]+Tableau1[[#This Row],[Charges annuelles]]+Tableau1[[#This Row],[Taxe foncière]]+Tableau1[[#This Row],[Marketing]],"")</f>
        <v>54670</v>
      </c>
      <c r="AF358" s="12" t="str">
        <f t="shared" si="17"/>
        <v>3 mois = 10 650 €</v>
      </c>
      <c r="AG358" s="6" t="s">
        <v>87</v>
      </c>
      <c r="AH358" s="6" t="s">
        <v>87</v>
      </c>
      <c r="AI358" s="12" t="s">
        <v>346</v>
      </c>
      <c r="AJ358" s="10" t="s">
        <v>358</v>
      </c>
      <c r="AK358" s="10" t="s">
        <v>352</v>
      </c>
      <c r="AL358" s="10" t="s">
        <v>2343</v>
      </c>
      <c r="AM358" s="11" t="s">
        <v>2344</v>
      </c>
      <c r="AN358" s="11" t="s">
        <v>1308</v>
      </c>
      <c r="AO358" s="5" t="s">
        <v>350</v>
      </c>
      <c r="AP358" s="11" t="s">
        <v>2071</v>
      </c>
      <c r="AQ358" s="11" t="s">
        <v>2072</v>
      </c>
      <c r="AR358" s="11" t="s">
        <v>2065</v>
      </c>
      <c r="AS358" s="36" t="s">
        <v>2079</v>
      </c>
      <c r="AT358" s="11" t="s">
        <v>59</v>
      </c>
      <c r="AU358" s="11"/>
      <c r="AV358" s="13" t="s">
        <v>1746</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2342</v>
      </c>
      <c r="E359" s="26">
        <v>45500</v>
      </c>
      <c r="F359" s="10" t="s">
        <v>2062</v>
      </c>
      <c r="G359" s="39" t="str">
        <f>Tableau1[[#This Row],[Rue]]&amp;CHAR(10)&amp;Tableau1[[#This Row],[Code Postal]]&amp;" - "&amp;Tableau1[[#This Row],[Ville]]</f>
        <v>Auchan, 3 Rue de la Fabrique
45500 - Gien</v>
      </c>
      <c r="H359" s="15" t="s">
        <v>2063</v>
      </c>
      <c r="I359" s="12" t="s">
        <v>37</v>
      </c>
      <c r="J359" s="12" t="s">
        <v>41</v>
      </c>
      <c r="K359" s="10" t="s">
        <v>87</v>
      </c>
      <c r="L359" s="10" t="s">
        <v>87</v>
      </c>
      <c r="M359" s="12" t="s">
        <v>87</v>
      </c>
      <c r="N359" s="36" t="s">
        <v>344</v>
      </c>
      <c r="O359" s="34">
        <v>59</v>
      </c>
      <c r="P359" s="6" t="s">
        <v>87</v>
      </c>
      <c r="Q359" s="34" t="s">
        <v>87</v>
      </c>
      <c r="R359" s="6" t="s">
        <v>87</v>
      </c>
      <c r="S359" s="6" t="s">
        <v>87</v>
      </c>
      <c r="T359" s="12">
        <f>Tableau1[[#This Row],[Loyer €/m²]]*Tableau1[[#This Row],[Surface GLA]]</f>
        <v>20650</v>
      </c>
      <c r="U359" s="12">
        <f>IFERROR(Tableau1[[#This Row],[Loyer annuel]]/12,"")</f>
        <v>1720.8333333333333</v>
      </c>
      <c r="V359" s="12">
        <v>350</v>
      </c>
      <c r="W359" s="6" t="s">
        <v>87</v>
      </c>
      <c r="X359" s="6">
        <f>Tableau1[[#This Row],[Charges €/m²]]*Tableau1[[#This Row],[Surface GLA]]</f>
        <v>4130</v>
      </c>
      <c r="Y359" s="12">
        <f>Tableau1[[#This Row],[Charges annuelles]]/12</f>
        <v>344.16666666666669</v>
      </c>
      <c r="Z359" s="12">
        <v>70</v>
      </c>
      <c r="AA359" s="12">
        <f>IFERROR(Tableau1[[#This Row],[Taxe foncière €/m²]]*Tableau1[[#This Row],[Surface GLA]],)</f>
        <v>885</v>
      </c>
      <c r="AB359" s="12">
        <v>15</v>
      </c>
      <c r="AC359" s="12">
        <f>IFERROR(Tableau1[[#This Row],[Marketing €/m²]]*Tableau1[[#This Row],[Surface GLA]],)</f>
        <v>0</v>
      </c>
      <c r="AD359" s="12"/>
      <c r="AE359" s="12">
        <f>IFERROR(Tableau1[[#This Row],[Loyer annuel]]+Tableau1[[#This Row],[Charges annuelles]]+Tableau1[[#This Row],[Taxe foncière]]+Tableau1[[#This Row],[Marketing]],"")</f>
        <v>25665</v>
      </c>
      <c r="AF359" s="12" t="str">
        <f t="shared" si="17"/>
        <v>3 mois = 5 163 €</v>
      </c>
      <c r="AG359" s="6" t="s">
        <v>87</v>
      </c>
      <c r="AH359" s="6" t="s">
        <v>87</v>
      </c>
      <c r="AI359" s="12" t="s">
        <v>346</v>
      </c>
      <c r="AJ359" s="10" t="s">
        <v>358</v>
      </c>
      <c r="AK359" s="10" t="s">
        <v>352</v>
      </c>
      <c r="AL359" s="10" t="s">
        <v>2343</v>
      </c>
      <c r="AM359" s="11" t="s">
        <v>2344</v>
      </c>
      <c r="AN359" s="11" t="s">
        <v>1308</v>
      </c>
      <c r="AO359" s="5" t="s">
        <v>350</v>
      </c>
      <c r="AP359" s="11" t="s">
        <v>2073</v>
      </c>
      <c r="AQ359" s="11" t="s">
        <v>2074</v>
      </c>
      <c r="AR359" s="11" t="s">
        <v>2066</v>
      </c>
      <c r="AS359" s="36" t="s">
        <v>2079</v>
      </c>
      <c r="AT359" s="11" t="s">
        <v>59</v>
      </c>
      <c r="AU359" s="11"/>
      <c r="AV359" s="13" t="s">
        <v>1746</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2342</v>
      </c>
      <c r="E360" s="26">
        <v>45500</v>
      </c>
      <c r="F360" s="10" t="s">
        <v>2062</v>
      </c>
      <c r="G360" s="39" t="str">
        <f>Tableau1[[#This Row],[Rue]]&amp;CHAR(10)&amp;Tableau1[[#This Row],[Code Postal]]&amp;" - "&amp;Tableau1[[#This Row],[Ville]]</f>
        <v>Auchan, 3 Rue de la Fabrique
45500 - Gien</v>
      </c>
      <c r="H360" s="15" t="s">
        <v>2063</v>
      </c>
      <c r="I360" s="12" t="s">
        <v>37</v>
      </c>
      <c r="J360" s="12" t="s">
        <v>41</v>
      </c>
      <c r="K360" s="10" t="s">
        <v>87</v>
      </c>
      <c r="L360" s="10" t="s">
        <v>87</v>
      </c>
      <c r="M360" s="12" t="s">
        <v>87</v>
      </c>
      <c r="N360" s="36" t="s">
        <v>291</v>
      </c>
      <c r="O360" s="34">
        <v>73</v>
      </c>
      <c r="P360" s="6" t="s">
        <v>87</v>
      </c>
      <c r="Q360" s="34">
        <v>119</v>
      </c>
      <c r="R360" s="6" t="s">
        <v>87</v>
      </c>
      <c r="S360" s="6" t="s">
        <v>87</v>
      </c>
      <c r="T360" s="12">
        <f>Tableau1[[#This Row],[Loyer €/m²]]*Tableau1[[#This Row],[Surface GLA]]</f>
        <v>25550</v>
      </c>
      <c r="U360" s="12">
        <f>IFERROR(Tableau1[[#This Row],[Loyer annuel]]/12,"")</f>
        <v>2129.1666666666665</v>
      </c>
      <c r="V360" s="12">
        <v>350</v>
      </c>
      <c r="W360" s="6" t="s">
        <v>87</v>
      </c>
      <c r="X360" s="6">
        <f>Tableau1[[#This Row],[Charges €/m²]]*Tableau1[[#This Row],[Surface GLA]]</f>
        <v>5110</v>
      </c>
      <c r="Y360" s="12">
        <f>Tableau1[[#This Row],[Charges annuelles]]/12</f>
        <v>425.83333333333331</v>
      </c>
      <c r="Z360" s="12">
        <v>70</v>
      </c>
      <c r="AA360" s="12">
        <f>IFERROR(Tableau1[[#This Row],[Taxe foncière €/m²]]*Tableau1[[#This Row],[Surface GLA]],)</f>
        <v>1095</v>
      </c>
      <c r="AB360" s="12">
        <v>15</v>
      </c>
      <c r="AC360" s="12">
        <f>IFERROR(Tableau1[[#This Row],[Marketing €/m²]]*Tableau1[[#This Row],[Surface GLA]],)</f>
        <v>0</v>
      </c>
      <c r="AD360" s="12"/>
      <c r="AE360" s="12">
        <f>IFERROR(Tableau1[[#This Row],[Loyer annuel]]+Tableau1[[#This Row],[Charges annuelles]]+Tableau1[[#This Row],[Taxe foncière]]+Tableau1[[#This Row],[Marketing]],"")</f>
        <v>31755</v>
      </c>
      <c r="AF360" s="12" t="str">
        <f t="shared" si="17"/>
        <v>3 mois = 6 388 €</v>
      </c>
      <c r="AG360" s="6" t="s">
        <v>87</v>
      </c>
      <c r="AH360" s="6" t="s">
        <v>87</v>
      </c>
      <c r="AI360" s="12" t="s">
        <v>346</v>
      </c>
      <c r="AJ360" s="10" t="s">
        <v>358</v>
      </c>
      <c r="AK360" s="10" t="s">
        <v>352</v>
      </c>
      <c r="AL360" s="10" t="s">
        <v>2343</v>
      </c>
      <c r="AM360" s="11" t="s">
        <v>2344</v>
      </c>
      <c r="AN360" s="11" t="s">
        <v>1308</v>
      </c>
      <c r="AO360" s="5" t="s">
        <v>350</v>
      </c>
      <c r="AP360" s="11" t="s">
        <v>2075</v>
      </c>
      <c r="AQ360" s="11" t="s">
        <v>2076</v>
      </c>
      <c r="AR360" s="11" t="s">
        <v>2067</v>
      </c>
      <c r="AS360" s="36" t="s">
        <v>2079</v>
      </c>
      <c r="AT360" s="11" t="s">
        <v>59</v>
      </c>
      <c r="AU360" s="11"/>
      <c r="AV360" s="13" t="s">
        <v>1746</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2342</v>
      </c>
      <c r="E361" s="26">
        <v>45500</v>
      </c>
      <c r="F361" s="10" t="s">
        <v>2062</v>
      </c>
      <c r="G361" s="39" t="str">
        <f>Tableau1[[#This Row],[Rue]]&amp;CHAR(10)&amp;Tableau1[[#This Row],[Code Postal]]&amp;" - "&amp;Tableau1[[#This Row],[Ville]]</f>
        <v>Auchan, 3 Rue de la Fabrique
45500 - Gien</v>
      </c>
      <c r="H361" s="15" t="s">
        <v>2063</v>
      </c>
      <c r="I361" s="12" t="s">
        <v>37</v>
      </c>
      <c r="J361" s="12" t="s">
        <v>41</v>
      </c>
      <c r="K361" s="10" t="s">
        <v>87</v>
      </c>
      <c r="L361" s="10" t="s">
        <v>87</v>
      </c>
      <c r="M361" s="12" t="s">
        <v>87</v>
      </c>
      <c r="N361" s="36" t="s">
        <v>447</v>
      </c>
      <c r="O361" s="34">
        <v>46</v>
      </c>
      <c r="P361" s="6" t="s">
        <v>87</v>
      </c>
      <c r="Q361" s="34">
        <v>119</v>
      </c>
      <c r="R361" s="6" t="s">
        <v>87</v>
      </c>
      <c r="S361" s="6" t="s">
        <v>87</v>
      </c>
      <c r="T361" s="12">
        <f>Tableau1[[#This Row],[Loyer €/m²]]*Tableau1[[#This Row],[Surface GLA]]</f>
        <v>18400</v>
      </c>
      <c r="U361" s="12">
        <f>IFERROR(Tableau1[[#This Row],[Loyer annuel]]/12,"")</f>
        <v>1533.3333333333333</v>
      </c>
      <c r="V361" s="12">
        <v>400</v>
      </c>
      <c r="W361" s="6" t="s">
        <v>87</v>
      </c>
      <c r="X361" s="6">
        <f>Tableau1[[#This Row],[Charges €/m²]]*Tableau1[[#This Row],[Surface GLA]]</f>
        <v>3220</v>
      </c>
      <c r="Y361" s="12">
        <f>Tableau1[[#This Row],[Charges annuelles]]/12</f>
        <v>268.33333333333331</v>
      </c>
      <c r="Z361" s="12">
        <v>70</v>
      </c>
      <c r="AA361" s="12">
        <f>IFERROR(Tableau1[[#This Row],[Taxe foncière €/m²]]*Tableau1[[#This Row],[Surface GLA]],)</f>
        <v>690</v>
      </c>
      <c r="AB361" s="12">
        <v>15</v>
      </c>
      <c r="AC361" s="12">
        <f>IFERROR(Tableau1[[#This Row],[Marketing €/m²]]*Tableau1[[#This Row],[Surface GLA]],)</f>
        <v>0</v>
      </c>
      <c r="AD361" s="12"/>
      <c r="AE361" s="12">
        <f>IFERROR(Tableau1[[#This Row],[Loyer annuel]]+Tableau1[[#This Row],[Charges annuelles]]+Tableau1[[#This Row],[Taxe foncière]]+Tableau1[[#This Row],[Marketing]],"")</f>
        <v>22310</v>
      </c>
      <c r="AF361" s="12" t="str">
        <f t="shared" si="17"/>
        <v>3 mois = 4 600 €</v>
      </c>
      <c r="AG361" s="6" t="s">
        <v>87</v>
      </c>
      <c r="AH361" s="6" t="s">
        <v>87</v>
      </c>
      <c r="AI361" s="12" t="s">
        <v>346</v>
      </c>
      <c r="AJ361" s="10" t="s">
        <v>358</v>
      </c>
      <c r="AK361" s="10" t="s">
        <v>352</v>
      </c>
      <c r="AL361" s="10" t="s">
        <v>2343</v>
      </c>
      <c r="AM361" s="11" t="s">
        <v>2344</v>
      </c>
      <c r="AN361" s="11" t="s">
        <v>1308</v>
      </c>
      <c r="AO361" s="5" t="s">
        <v>350</v>
      </c>
      <c r="AP361" s="11" t="s">
        <v>2077</v>
      </c>
      <c r="AQ361" s="11" t="s">
        <v>2078</v>
      </c>
      <c r="AR361" s="11" t="s">
        <v>2068</v>
      </c>
      <c r="AS361" s="36" t="s">
        <v>2079</v>
      </c>
      <c r="AT361" s="11" t="s">
        <v>59</v>
      </c>
      <c r="AU361" s="11"/>
      <c r="AV361" s="13" t="s">
        <v>1746</v>
      </c>
      <c r="AW361" s="14"/>
      <c r="AX361" s="44">
        <v>46175</v>
      </c>
    </row>
    <row r="362" spans="1:50" ht="38.25">
      <c r="A362" s="38" t="str">
        <f>VLOOKUP(Tableau1[[#This Row],[N° Département]],Feuil1!$C$6:$E$106,3)</f>
        <v>Bretagne</v>
      </c>
      <c r="B362" s="38" t="str">
        <f>VLOOKUP(Tableau1[[#This Row],[N° Département]],Feuil1!$C$6:$E$106,2)</f>
        <v>Côtes d'Armor</v>
      </c>
      <c r="C362" s="38">
        <f>LEFT(Tableau1[[#This Row],[Code Postal]],2)*1</f>
        <v>22</v>
      </c>
      <c r="D362" s="10" t="s">
        <v>2345</v>
      </c>
      <c r="E362" s="26">
        <v>22200</v>
      </c>
      <c r="F362" s="10" t="s">
        <v>2081</v>
      </c>
      <c r="G362" s="39" t="str">
        <f>Tableau1[[#This Row],[Rue]]&amp;CHAR(10)&amp;Tableau1[[#This Row],[Code Postal]]&amp;" - "&amp;Tableau1[[#This Row],[Ville]]</f>
        <v>Carrefour Guingamp, Rond-Point Kennedy
22200 - Grâces</v>
      </c>
      <c r="H362" s="15" t="s">
        <v>2080</v>
      </c>
      <c r="I362" s="12" t="s">
        <v>37</v>
      </c>
      <c r="J362" s="12" t="s">
        <v>41</v>
      </c>
      <c r="K362" s="10" t="s">
        <v>87</v>
      </c>
      <c r="L362" s="10" t="s">
        <v>87</v>
      </c>
      <c r="M362" s="12" t="s">
        <v>87</v>
      </c>
      <c r="N362" s="36" t="s">
        <v>344</v>
      </c>
      <c r="O362" s="34">
        <v>54</v>
      </c>
      <c r="P362" s="6" t="s">
        <v>87</v>
      </c>
      <c r="Q362" s="34" t="s">
        <v>87</v>
      </c>
      <c r="R362" s="6" t="s">
        <v>87</v>
      </c>
      <c r="S362" s="6" t="s">
        <v>87</v>
      </c>
      <c r="T362" s="12">
        <f>Tableau1[[#This Row],[Loyer €/m²]]*Tableau1[[#This Row],[Surface GLA]]</f>
        <v>18900</v>
      </c>
      <c r="U362" s="12">
        <f>IFERROR(Tableau1[[#This Row],[Loyer annuel]]/12,"")</f>
        <v>1575</v>
      </c>
      <c r="V362" s="12">
        <v>350</v>
      </c>
      <c r="W362" s="6" t="s">
        <v>87</v>
      </c>
      <c r="X362" s="6">
        <f>Tableau1[[#This Row],[Charges €/m²]]*Tableau1[[#This Row],[Surface GLA]]</f>
        <v>2538</v>
      </c>
      <c r="Y362" s="12">
        <f>Tableau1[[#This Row],[Charges annuelles]]/12</f>
        <v>211.5</v>
      </c>
      <c r="Z362" s="12">
        <v>47</v>
      </c>
      <c r="AA362" s="12">
        <f>IFERROR(Tableau1[[#This Row],[Taxe foncière €/m²]]*Tableau1[[#This Row],[Surface GLA]],)</f>
        <v>2538</v>
      </c>
      <c r="AB362" s="12">
        <v>47</v>
      </c>
      <c r="AC362" s="12">
        <f>IFERROR(Tableau1[[#This Row],[Marketing €/m²]]*Tableau1[[#This Row],[Surface GLA]],)</f>
        <v>1080</v>
      </c>
      <c r="AD362" s="12">
        <v>20</v>
      </c>
      <c r="AE362" s="12">
        <f>IFERROR(Tableau1[[#This Row],[Loyer annuel]]+Tableau1[[#This Row],[Charges annuelles]]+Tableau1[[#This Row],[Taxe foncière]]+Tableau1[[#This Row],[Marketing]],"")</f>
        <v>25056</v>
      </c>
      <c r="AF362" s="12" t="str">
        <f t="shared" ref="AF362:AF363" si="18">"3 mois = "&amp;TEXT(ROUND(3/12*T362,0),"### ### ##0 €")</f>
        <v>3 mois = 4 725 €</v>
      </c>
      <c r="AG362" s="6" t="s">
        <v>87</v>
      </c>
      <c r="AH362" s="6" t="s">
        <v>87</v>
      </c>
      <c r="AI362" s="12" t="s">
        <v>346</v>
      </c>
      <c r="AJ362" s="10" t="s">
        <v>358</v>
      </c>
      <c r="AK362" s="10" t="s">
        <v>352</v>
      </c>
      <c r="AL362" s="10" t="s">
        <v>2347</v>
      </c>
      <c r="AM362" s="11" t="s">
        <v>2346</v>
      </c>
      <c r="AN362" s="11" t="s">
        <v>1308</v>
      </c>
      <c r="AO362" s="5" t="s">
        <v>350</v>
      </c>
      <c r="AP362" s="11" t="s">
        <v>2083</v>
      </c>
      <c r="AQ362" s="11" t="s">
        <v>2084</v>
      </c>
      <c r="AR362" s="11">
        <v>95</v>
      </c>
      <c r="AS362" s="36" t="s">
        <v>2082</v>
      </c>
      <c r="AT362" s="11" t="s">
        <v>59</v>
      </c>
      <c r="AU362" s="11"/>
      <c r="AV362" s="13" t="s">
        <v>1746</v>
      </c>
      <c r="AW362" s="14"/>
      <c r="AX362" s="44">
        <v>46175</v>
      </c>
    </row>
    <row r="363" spans="1:50" ht="25.5">
      <c r="A363" s="38" t="str">
        <f>VLOOKUP(Tableau1[[#This Row],[N° Département]],Feuil1!$C$6:$E$106,3)</f>
        <v>Ile-de-France</v>
      </c>
      <c r="B363" s="38" t="str">
        <f>VLOOKUP(Tableau1[[#This Row],[N° Département]],Feuil1!$C$6:$E$106,2)</f>
        <v>Essonne</v>
      </c>
      <c r="C363" s="38">
        <f>LEFT(Tableau1[[#This Row],[Code Postal]],2)*1</f>
        <v>91</v>
      </c>
      <c r="D363" s="10" t="s">
        <v>2092</v>
      </c>
      <c r="E363" s="26">
        <v>91310</v>
      </c>
      <c r="F363" s="10" t="s">
        <v>2086</v>
      </c>
      <c r="G363" s="39" t="str">
        <f>Tableau1[[#This Row],[Rue]]&amp;CHAR(10)&amp;Tableau1[[#This Row],[Code Postal]]&amp;" - "&amp;Tableau1[[#This Row],[Ville]]</f>
        <v>Auchan, 3 Rue du 8 Mai 1945
91310 - Leuville-sur-Orge</v>
      </c>
      <c r="H363" s="15" t="s">
        <v>2085</v>
      </c>
      <c r="I363" s="12" t="s">
        <v>37</v>
      </c>
      <c r="J363" s="12" t="s">
        <v>41</v>
      </c>
      <c r="K363" s="10" t="s">
        <v>87</v>
      </c>
      <c r="L363" s="10" t="s">
        <v>87</v>
      </c>
      <c r="M363" s="12" t="s">
        <v>87</v>
      </c>
      <c r="N363" s="36" t="s">
        <v>342</v>
      </c>
      <c r="O363" s="34">
        <v>100</v>
      </c>
      <c r="P363" s="6" t="s">
        <v>87</v>
      </c>
      <c r="Q363" s="34" t="s">
        <v>87</v>
      </c>
      <c r="R363" s="6" t="s">
        <v>87</v>
      </c>
      <c r="S363" s="6" t="s">
        <v>87</v>
      </c>
      <c r="T363" s="12">
        <f>Tableau1[[#This Row],[Loyer €/m²]]*Tableau1[[#This Row],[Surface GLA]]</f>
        <v>25000</v>
      </c>
      <c r="U363" s="12">
        <f>IFERROR(Tableau1[[#This Row],[Loyer annuel]]/12,"")</f>
        <v>2083.3333333333335</v>
      </c>
      <c r="V363" s="12">
        <v>250</v>
      </c>
      <c r="W363" s="6" t="s">
        <v>87</v>
      </c>
      <c r="X363" s="6">
        <f>Tableau1[[#This Row],[Charges €/m²]]*Tableau1[[#This Row],[Surface GLA]]</f>
        <v>1900</v>
      </c>
      <c r="Y363" s="12">
        <f>Tableau1[[#This Row],[Charges annuelles]]/12</f>
        <v>158.33333333333334</v>
      </c>
      <c r="Z363" s="12">
        <v>19</v>
      </c>
      <c r="AA363" s="12">
        <f>IFERROR(Tableau1[[#This Row],[Taxe foncière €/m²]]*Tableau1[[#This Row],[Surface GLA]],)</f>
        <v>0</v>
      </c>
      <c r="AB363" s="12"/>
      <c r="AC363" s="12">
        <f>IFERROR(Tableau1[[#This Row],[Marketing €/m²]]*Tableau1[[#This Row],[Surface GLA]],)</f>
        <v>0</v>
      </c>
      <c r="AD363" s="12"/>
      <c r="AE363" s="12">
        <f>IFERROR(Tableau1[[#This Row],[Loyer annuel]]+Tableau1[[#This Row],[Charges annuelles]]+Tableau1[[#This Row],[Taxe foncière]]+Tableau1[[#This Row],[Marketing]],"")</f>
        <v>26900</v>
      </c>
      <c r="AF363" s="12" t="str">
        <f t="shared" si="18"/>
        <v>3 mois = 6 250 €</v>
      </c>
      <c r="AG363" s="6" t="s">
        <v>87</v>
      </c>
      <c r="AH363" s="6" t="s">
        <v>87</v>
      </c>
      <c r="AI363" s="12" t="s">
        <v>346</v>
      </c>
      <c r="AJ363" s="10" t="s">
        <v>358</v>
      </c>
      <c r="AK363" s="10" t="s">
        <v>352</v>
      </c>
      <c r="AL363" s="10" t="s">
        <v>2349</v>
      </c>
      <c r="AM363" s="11" t="s">
        <v>2348</v>
      </c>
      <c r="AN363" s="11" t="s">
        <v>1308</v>
      </c>
      <c r="AO363" s="5" t="s">
        <v>350</v>
      </c>
      <c r="AP363" s="11" t="s">
        <v>2087</v>
      </c>
      <c r="AQ363" s="11" t="s">
        <v>2088</v>
      </c>
      <c r="AR363" s="11">
        <v>96</v>
      </c>
      <c r="AS363" s="36" t="s">
        <v>2089</v>
      </c>
      <c r="AT363" s="11" t="s">
        <v>59</v>
      </c>
      <c r="AU363" s="11"/>
      <c r="AV363" s="13" t="s">
        <v>1746</v>
      </c>
      <c r="AW363" s="14"/>
      <c r="AX363" s="44">
        <v>46175</v>
      </c>
    </row>
    <row r="364" spans="1:50" ht="25.5">
      <c r="A364" s="38" t="str">
        <f>VLOOKUP(Tableau1[[#This Row],[N° Département]],Feuil1!$C$6:$E$106,3)</f>
        <v>Hauts-de-France</v>
      </c>
      <c r="B364" s="38" t="str">
        <f>VLOOKUP(Tableau1[[#This Row],[N° Département]],Feuil1!$C$6:$E$106,2)</f>
        <v>Nord</v>
      </c>
      <c r="C364" s="38">
        <f>LEFT(Tableau1[[#This Row],[Code Postal]],2)*1</f>
        <v>59</v>
      </c>
      <c r="D364" s="10" t="s">
        <v>2093</v>
      </c>
      <c r="E364" s="26">
        <v>59600</v>
      </c>
      <c r="F364" s="10" t="s">
        <v>2090</v>
      </c>
      <c r="G364" s="39" t="str">
        <f>Tableau1[[#This Row],[Rue]]&amp;CHAR(10)&amp;Tableau1[[#This Row],[Code Postal]]&amp;" - "&amp;Tableau1[[#This Row],[Ville]]</f>
        <v>Carrefour, Quartier de l'epinette
59600 - Maubeuge</v>
      </c>
      <c r="H364" s="15" t="s">
        <v>2091</v>
      </c>
      <c r="I364" s="12" t="s">
        <v>35</v>
      </c>
      <c r="J364" s="12" t="s">
        <v>41</v>
      </c>
      <c r="K364" s="10" t="s">
        <v>87</v>
      </c>
      <c r="L364" s="10" t="s">
        <v>87</v>
      </c>
      <c r="M364" s="12" t="s">
        <v>87</v>
      </c>
      <c r="N364" s="36" t="s">
        <v>344</v>
      </c>
      <c r="O364" s="34">
        <v>160</v>
      </c>
      <c r="P364" s="6" t="s">
        <v>87</v>
      </c>
      <c r="Q364" s="34" t="s">
        <v>87</v>
      </c>
      <c r="R364" s="6" t="s">
        <v>87</v>
      </c>
      <c r="S364" s="6" t="s">
        <v>87</v>
      </c>
      <c r="T364" s="12">
        <f>Tableau1[[#This Row],[Loyer €/m²]]*Tableau1[[#This Row],[Surface GLA]]</f>
        <v>40000</v>
      </c>
      <c r="U364" s="12">
        <f>IFERROR(Tableau1[[#This Row],[Loyer annuel]]/12,"")</f>
        <v>3333.3333333333335</v>
      </c>
      <c r="V364" s="12">
        <v>250</v>
      </c>
      <c r="W364" s="6" t="s">
        <v>87</v>
      </c>
      <c r="X364" s="6">
        <f>Tableau1[[#This Row],[Charges €/m²]]*Tableau1[[#This Row],[Surface GLA]]</f>
        <v>7200</v>
      </c>
      <c r="Y364" s="12">
        <f>Tableau1[[#This Row],[Charges annuelles]]/12</f>
        <v>600</v>
      </c>
      <c r="Z364" s="12">
        <v>45</v>
      </c>
      <c r="AA364" s="12">
        <f>IFERROR(Tableau1[[#This Row],[Taxe foncière €/m²]]*Tableau1[[#This Row],[Surface GLA]],)</f>
        <v>2560</v>
      </c>
      <c r="AB364" s="12">
        <v>16</v>
      </c>
      <c r="AC364" s="12">
        <f>IFERROR(Tableau1[[#This Row],[Marketing €/m²]]*Tableau1[[#This Row],[Surface GLA]],)</f>
        <v>0</v>
      </c>
      <c r="AD364" s="12"/>
      <c r="AE364" s="12">
        <f>IFERROR(Tableau1[[#This Row],[Loyer annuel]]+Tableau1[[#This Row],[Charges annuelles]]+Tableau1[[#This Row],[Taxe foncière]]+Tableau1[[#This Row],[Marketing]],"")</f>
        <v>49760</v>
      </c>
      <c r="AF364" s="12" t="str">
        <f t="shared" ref="AF364:AF368" si="19">"3 mois = "&amp;TEXT(ROUND(3/12*T364,0),"### ### ##0 €")</f>
        <v>3 mois = 10 000 €</v>
      </c>
      <c r="AG364" s="6" t="s">
        <v>87</v>
      </c>
      <c r="AH364" s="6" t="s">
        <v>87</v>
      </c>
      <c r="AI364" s="12" t="s">
        <v>346</v>
      </c>
      <c r="AJ364" s="10" t="s">
        <v>358</v>
      </c>
      <c r="AK364" s="10" t="s">
        <v>352</v>
      </c>
      <c r="AL364" s="10" t="s">
        <v>2351</v>
      </c>
      <c r="AM364" s="11" t="s">
        <v>2350</v>
      </c>
      <c r="AN364" s="11" t="s">
        <v>1308</v>
      </c>
      <c r="AO364" s="5" t="s">
        <v>350</v>
      </c>
      <c r="AP364" s="11" t="s">
        <v>2101</v>
      </c>
      <c r="AQ364" s="11" t="s">
        <v>2102</v>
      </c>
      <c r="AR364" s="11" t="s">
        <v>2096</v>
      </c>
      <c r="AS364" s="36" t="s">
        <v>2111</v>
      </c>
      <c r="AT364" s="11" t="s">
        <v>59</v>
      </c>
      <c r="AU364" s="11"/>
      <c r="AV364" s="13" t="s">
        <v>1746</v>
      </c>
      <c r="AW364" s="14"/>
      <c r="AX364" s="44">
        <v>46175</v>
      </c>
    </row>
    <row r="365" spans="1:50" ht="25.5">
      <c r="A365" s="38" t="str">
        <f>VLOOKUP(Tableau1[[#This Row],[N° Département]],Feuil1!$C$6:$E$106,3)</f>
        <v>Hauts-de-France</v>
      </c>
      <c r="B365" s="38" t="str">
        <f>VLOOKUP(Tableau1[[#This Row],[N° Département]],Feuil1!$C$6:$E$106,2)</f>
        <v>Nord</v>
      </c>
      <c r="C365" s="38">
        <f>LEFT(Tableau1[[#This Row],[Code Postal]],2)*1</f>
        <v>59</v>
      </c>
      <c r="D365" s="10" t="s">
        <v>2093</v>
      </c>
      <c r="E365" s="26">
        <v>59600</v>
      </c>
      <c r="F365" s="10" t="s">
        <v>2090</v>
      </c>
      <c r="G365" s="39" t="str">
        <f>Tableau1[[#This Row],[Rue]]&amp;CHAR(10)&amp;Tableau1[[#This Row],[Code Postal]]&amp;" - "&amp;Tableau1[[#This Row],[Ville]]</f>
        <v>Carrefour, Quartier de l'epinette
59600 - Maubeuge</v>
      </c>
      <c r="H365" s="15" t="s">
        <v>2091</v>
      </c>
      <c r="I365" s="12" t="s">
        <v>35</v>
      </c>
      <c r="J365" s="12" t="s">
        <v>41</v>
      </c>
      <c r="K365" s="10" t="s">
        <v>87</v>
      </c>
      <c r="L365" s="10" t="s">
        <v>87</v>
      </c>
      <c r="M365" s="12" t="s">
        <v>87</v>
      </c>
      <c r="N365" s="36" t="s">
        <v>446</v>
      </c>
      <c r="O365" s="34">
        <v>180</v>
      </c>
      <c r="P365" s="6" t="s">
        <v>87</v>
      </c>
      <c r="Q365" s="34" t="s">
        <v>87</v>
      </c>
      <c r="R365" s="6" t="s">
        <v>87</v>
      </c>
      <c r="S365" s="6" t="s">
        <v>87</v>
      </c>
      <c r="T365" s="12">
        <f>Tableau1[[#This Row],[Loyer €/m²]]*Tableau1[[#This Row],[Surface GLA]]</f>
        <v>45000</v>
      </c>
      <c r="U365" s="12">
        <f>IFERROR(Tableau1[[#This Row],[Loyer annuel]]/12,"")</f>
        <v>3750</v>
      </c>
      <c r="V365" s="12">
        <v>250</v>
      </c>
      <c r="W365" s="6" t="s">
        <v>87</v>
      </c>
      <c r="X365" s="6">
        <f>Tableau1[[#This Row],[Charges €/m²]]*Tableau1[[#This Row],[Surface GLA]]</f>
        <v>8100</v>
      </c>
      <c r="Y365" s="12">
        <f>Tableau1[[#This Row],[Charges annuelles]]/12</f>
        <v>675</v>
      </c>
      <c r="Z365" s="12">
        <v>45</v>
      </c>
      <c r="AA365" s="12">
        <f>IFERROR(Tableau1[[#This Row],[Taxe foncière €/m²]]*Tableau1[[#This Row],[Surface GLA]],)</f>
        <v>2880</v>
      </c>
      <c r="AB365" s="12">
        <v>16</v>
      </c>
      <c r="AC365" s="12">
        <f>IFERROR(Tableau1[[#This Row],[Marketing €/m²]]*Tableau1[[#This Row],[Surface GLA]],)</f>
        <v>0</v>
      </c>
      <c r="AD365" s="12"/>
      <c r="AE365" s="12">
        <f>IFERROR(Tableau1[[#This Row],[Loyer annuel]]+Tableau1[[#This Row],[Charges annuelles]]+Tableau1[[#This Row],[Taxe foncière]]+Tableau1[[#This Row],[Marketing]],"")</f>
        <v>55980</v>
      </c>
      <c r="AF365" s="12" t="str">
        <f t="shared" si="19"/>
        <v>3 mois = 11 250 €</v>
      </c>
      <c r="AG365" s="6" t="s">
        <v>87</v>
      </c>
      <c r="AH365" s="6" t="s">
        <v>87</v>
      </c>
      <c r="AI365" s="12" t="s">
        <v>346</v>
      </c>
      <c r="AJ365" s="10" t="s">
        <v>358</v>
      </c>
      <c r="AK365" s="10" t="s">
        <v>352</v>
      </c>
      <c r="AL365" s="10" t="s">
        <v>2351</v>
      </c>
      <c r="AM365" s="11" t="s">
        <v>2350</v>
      </c>
      <c r="AN365" s="11" t="s">
        <v>1308</v>
      </c>
      <c r="AO365" s="5" t="s">
        <v>350</v>
      </c>
      <c r="AP365" s="11" t="s">
        <v>2103</v>
      </c>
      <c r="AQ365" s="11" t="s">
        <v>2104</v>
      </c>
      <c r="AR365" s="11" t="s">
        <v>2097</v>
      </c>
      <c r="AS365" s="36" t="s">
        <v>2111</v>
      </c>
      <c r="AT365" s="11" t="s">
        <v>59</v>
      </c>
      <c r="AU365" s="11"/>
      <c r="AV365" s="13" t="s">
        <v>1746</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2093</v>
      </c>
      <c r="E366" s="26">
        <v>59600</v>
      </c>
      <c r="F366" s="10" t="s">
        <v>2090</v>
      </c>
      <c r="G366" s="39" t="str">
        <f>Tableau1[[#This Row],[Rue]]&amp;CHAR(10)&amp;Tableau1[[#This Row],[Code Postal]]&amp;" - "&amp;Tableau1[[#This Row],[Ville]]</f>
        <v>Carrefour, Quartier de l'epinette
59600 - Maubeuge</v>
      </c>
      <c r="H366" s="15" t="s">
        <v>2091</v>
      </c>
      <c r="I366" s="12" t="s">
        <v>35</v>
      </c>
      <c r="J366" s="12" t="s">
        <v>41</v>
      </c>
      <c r="K366" s="10" t="s">
        <v>87</v>
      </c>
      <c r="L366" s="10" t="s">
        <v>87</v>
      </c>
      <c r="M366" s="12" t="s">
        <v>87</v>
      </c>
      <c r="N366" s="36" t="s">
        <v>447</v>
      </c>
      <c r="O366" s="34">
        <v>231</v>
      </c>
      <c r="P366" s="6" t="s">
        <v>87</v>
      </c>
      <c r="Q366" s="34" t="s">
        <v>87</v>
      </c>
      <c r="R366" s="6" t="s">
        <v>87</v>
      </c>
      <c r="S366" s="6" t="s">
        <v>87</v>
      </c>
      <c r="T366" s="12">
        <f>Tableau1[[#This Row],[Loyer €/m²]]*Tableau1[[#This Row],[Surface GLA]]</f>
        <v>46200</v>
      </c>
      <c r="U366" s="12">
        <f>IFERROR(Tableau1[[#This Row],[Loyer annuel]]/12,"")</f>
        <v>3850</v>
      </c>
      <c r="V366" s="12">
        <v>200</v>
      </c>
      <c r="W366" s="6" t="s">
        <v>87</v>
      </c>
      <c r="X366" s="6">
        <f>Tableau1[[#This Row],[Charges €/m²]]*Tableau1[[#This Row],[Surface GLA]]</f>
        <v>10395</v>
      </c>
      <c r="Y366" s="12">
        <f>Tableau1[[#This Row],[Charges annuelles]]/12</f>
        <v>866.25</v>
      </c>
      <c r="Z366" s="12">
        <v>45</v>
      </c>
      <c r="AA366" s="12">
        <f>IFERROR(Tableau1[[#This Row],[Taxe foncière €/m²]]*Tableau1[[#This Row],[Surface GLA]],)</f>
        <v>3696</v>
      </c>
      <c r="AB366" s="12">
        <v>16</v>
      </c>
      <c r="AC366" s="12">
        <f>IFERROR(Tableau1[[#This Row],[Marketing €/m²]]*Tableau1[[#This Row],[Surface GLA]],)</f>
        <v>0</v>
      </c>
      <c r="AD366" s="12"/>
      <c r="AE366" s="12">
        <f>IFERROR(Tableau1[[#This Row],[Loyer annuel]]+Tableau1[[#This Row],[Charges annuelles]]+Tableau1[[#This Row],[Taxe foncière]]+Tableau1[[#This Row],[Marketing]],"")</f>
        <v>60291</v>
      </c>
      <c r="AF366" s="12" t="str">
        <f t="shared" si="19"/>
        <v>3 mois = 11 550 €</v>
      </c>
      <c r="AG366" s="6" t="s">
        <v>87</v>
      </c>
      <c r="AH366" s="6" t="s">
        <v>87</v>
      </c>
      <c r="AI366" s="12" t="s">
        <v>346</v>
      </c>
      <c r="AJ366" s="10" t="s">
        <v>358</v>
      </c>
      <c r="AK366" s="10" t="s">
        <v>352</v>
      </c>
      <c r="AL366" s="10" t="s">
        <v>2351</v>
      </c>
      <c r="AM366" s="11" t="s">
        <v>2350</v>
      </c>
      <c r="AN366" s="11" t="s">
        <v>1308</v>
      </c>
      <c r="AO366" s="5" t="s">
        <v>350</v>
      </c>
      <c r="AP366" s="11" t="s">
        <v>2105</v>
      </c>
      <c r="AQ366" s="11" t="s">
        <v>2106</v>
      </c>
      <c r="AR366" s="11" t="s">
        <v>2098</v>
      </c>
      <c r="AS366" s="36" t="s">
        <v>2111</v>
      </c>
      <c r="AT366" s="11" t="s">
        <v>59</v>
      </c>
      <c r="AU366" s="11"/>
      <c r="AV366" s="13" t="s">
        <v>1746</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2093</v>
      </c>
      <c r="E367" s="26">
        <v>59600</v>
      </c>
      <c r="F367" s="10" t="s">
        <v>2090</v>
      </c>
      <c r="G367" s="39" t="str">
        <f>Tableau1[[#This Row],[Rue]]&amp;CHAR(10)&amp;Tableau1[[#This Row],[Code Postal]]&amp;" - "&amp;Tableau1[[#This Row],[Ville]]</f>
        <v>Carrefour, Quartier de l'epinette
59600 - Maubeuge</v>
      </c>
      <c r="H367" s="15" t="s">
        <v>2091</v>
      </c>
      <c r="I367" s="12" t="s">
        <v>35</v>
      </c>
      <c r="J367" s="12" t="s">
        <v>41</v>
      </c>
      <c r="K367" s="10" t="s">
        <v>87</v>
      </c>
      <c r="L367" s="10" t="s">
        <v>87</v>
      </c>
      <c r="M367" s="12" t="s">
        <v>87</v>
      </c>
      <c r="N367" s="36" t="s">
        <v>449</v>
      </c>
      <c r="O367" s="34">
        <v>189</v>
      </c>
      <c r="P367" s="6" t="s">
        <v>87</v>
      </c>
      <c r="Q367" s="34" t="s">
        <v>87</v>
      </c>
      <c r="R367" s="6" t="s">
        <v>87</v>
      </c>
      <c r="S367" s="6" t="s">
        <v>87</v>
      </c>
      <c r="T367" s="12">
        <f>Tableau1[[#This Row],[Loyer €/m²]]*Tableau1[[#This Row],[Surface GLA]]</f>
        <v>47250</v>
      </c>
      <c r="U367" s="12">
        <f>IFERROR(Tableau1[[#This Row],[Loyer annuel]]/12,"")</f>
        <v>3937.5</v>
      </c>
      <c r="V367" s="12">
        <v>250</v>
      </c>
      <c r="W367" s="6" t="s">
        <v>87</v>
      </c>
      <c r="X367" s="6">
        <f>Tableau1[[#This Row],[Charges €/m²]]*Tableau1[[#This Row],[Surface GLA]]</f>
        <v>8505</v>
      </c>
      <c r="Y367" s="12">
        <f>Tableau1[[#This Row],[Charges annuelles]]/12</f>
        <v>708.75</v>
      </c>
      <c r="Z367" s="12">
        <v>45</v>
      </c>
      <c r="AA367" s="12">
        <f>IFERROR(Tableau1[[#This Row],[Taxe foncière €/m²]]*Tableau1[[#This Row],[Surface GLA]],)</f>
        <v>3024</v>
      </c>
      <c r="AB367" s="12">
        <v>16</v>
      </c>
      <c r="AC367" s="12">
        <f>IFERROR(Tableau1[[#This Row],[Marketing €/m²]]*Tableau1[[#This Row],[Surface GLA]],)</f>
        <v>0</v>
      </c>
      <c r="AD367" s="12"/>
      <c r="AE367" s="12">
        <f>IFERROR(Tableau1[[#This Row],[Loyer annuel]]+Tableau1[[#This Row],[Charges annuelles]]+Tableau1[[#This Row],[Taxe foncière]]+Tableau1[[#This Row],[Marketing]],"")</f>
        <v>58779</v>
      </c>
      <c r="AF367" s="12" t="str">
        <f t="shared" si="19"/>
        <v>3 mois = 11 813 €</v>
      </c>
      <c r="AG367" s="6" t="s">
        <v>87</v>
      </c>
      <c r="AH367" s="6" t="s">
        <v>87</v>
      </c>
      <c r="AI367" s="12" t="s">
        <v>346</v>
      </c>
      <c r="AJ367" s="10" t="s">
        <v>358</v>
      </c>
      <c r="AK367" s="10" t="s">
        <v>352</v>
      </c>
      <c r="AL367" s="10" t="s">
        <v>2351</v>
      </c>
      <c r="AM367" s="11" t="s">
        <v>2350</v>
      </c>
      <c r="AN367" s="11" t="s">
        <v>1308</v>
      </c>
      <c r="AO367" s="5" t="s">
        <v>350</v>
      </c>
      <c r="AP367" s="11" t="s">
        <v>2107</v>
      </c>
      <c r="AQ367" s="11" t="s">
        <v>2108</v>
      </c>
      <c r="AR367" s="11" t="s">
        <v>2099</v>
      </c>
      <c r="AS367" s="36" t="s">
        <v>2111</v>
      </c>
      <c r="AT367" s="11" t="s">
        <v>59</v>
      </c>
      <c r="AU367" s="11"/>
      <c r="AV367" s="13" t="s">
        <v>1746</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2093</v>
      </c>
      <c r="E368" s="26">
        <v>59600</v>
      </c>
      <c r="F368" s="10" t="s">
        <v>2090</v>
      </c>
      <c r="G368" s="39" t="str">
        <f>Tableau1[[#This Row],[Rue]]&amp;CHAR(10)&amp;Tableau1[[#This Row],[Code Postal]]&amp;" - "&amp;Tableau1[[#This Row],[Ville]]</f>
        <v>Carrefour, Quartier de l'epinette
59600 - Maubeuge</v>
      </c>
      <c r="H368" s="15" t="s">
        <v>2091</v>
      </c>
      <c r="I368" s="12" t="s">
        <v>35</v>
      </c>
      <c r="J368" s="12" t="s">
        <v>41</v>
      </c>
      <c r="K368" s="10" t="s">
        <v>87</v>
      </c>
      <c r="L368" s="10" t="s">
        <v>87</v>
      </c>
      <c r="M368" s="12" t="s">
        <v>87</v>
      </c>
      <c r="N368" s="36" t="s">
        <v>2095</v>
      </c>
      <c r="O368" s="34">
        <v>172</v>
      </c>
      <c r="P368" s="6" t="s">
        <v>87</v>
      </c>
      <c r="Q368" s="34" t="s">
        <v>87</v>
      </c>
      <c r="R368" s="6" t="s">
        <v>87</v>
      </c>
      <c r="S368" s="6" t="s">
        <v>87</v>
      </c>
      <c r="T368" s="12">
        <f>Tableau1[[#This Row],[Loyer €/m²]]*Tableau1[[#This Row],[Surface GLA]]</f>
        <v>43000</v>
      </c>
      <c r="U368" s="12">
        <f>IFERROR(Tableau1[[#This Row],[Loyer annuel]]/12,"")</f>
        <v>3583.3333333333335</v>
      </c>
      <c r="V368" s="12">
        <v>250</v>
      </c>
      <c r="W368" s="6" t="s">
        <v>87</v>
      </c>
      <c r="X368" s="6">
        <f>Tableau1[[#This Row],[Charges €/m²]]*Tableau1[[#This Row],[Surface GLA]]</f>
        <v>7740</v>
      </c>
      <c r="Y368" s="12">
        <f>Tableau1[[#This Row],[Charges annuelles]]/12</f>
        <v>645</v>
      </c>
      <c r="Z368" s="12">
        <v>45</v>
      </c>
      <c r="AA368" s="12">
        <f>IFERROR(Tableau1[[#This Row],[Taxe foncière €/m²]]*Tableau1[[#This Row],[Surface GLA]],)</f>
        <v>2752</v>
      </c>
      <c r="AB368" s="12">
        <v>16</v>
      </c>
      <c r="AC368" s="12">
        <f>IFERROR(Tableau1[[#This Row],[Marketing €/m²]]*Tableau1[[#This Row],[Surface GLA]],)</f>
        <v>0</v>
      </c>
      <c r="AD368" s="12"/>
      <c r="AE368" s="12">
        <f>IFERROR(Tableau1[[#This Row],[Loyer annuel]]+Tableau1[[#This Row],[Charges annuelles]]+Tableau1[[#This Row],[Taxe foncière]]+Tableau1[[#This Row],[Marketing]],"")</f>
        <v>53492</v>
      </c>
      <c r="AF368" s="12" t="str">
        <f t="shared" si="19"/>
        <v>3 mois = 10 750 €</v>
      </c>
      <c r="AG368" s="6" t="s">
        <v>87</v>
      </c>
      <c r="AH368" s="6" t="s">
        <v>87</v>
      </c>
      <c r="AI368" s="12" t="s">
        <v>346</v>
      </c>
      <c r="AJ368" s="10" t="s">
        <v>358</v>
      </c>
      <c r="AK368" s="10" t="s">
        <v>352</v>
      </c>
      <c r="AL368" s="10" t="s">
        <v>2351</v>
      </c>
      <c r="AM368" s="11" t="s">
        <v>2350</v>
      </c>
      <c r="AN368" s="11" t="s">
        <v>1308</v>
      </c>
      <c r="AO368" s="5" t="s">
        <v>350</v>
      </c>
      <c r="AP368" s="11" t="s">
        <v>2109</v>
      </c>
      <c r="AQ368" s="11" t="s">
        <v>2110</v>
      </c>
      <c r="AR368" s="11" t="s">
        <v>2100</v>
      </c>
      <c r="AS368" s="36" t="s">
        <v>2111</v>
      </c>
      <c r="AT368" s="11" t="s">
        <v>59</v>
      </c>
      <c r="AU368" s="11"/>
      <c r="AV368" s="13" t="s">
        <v>1746</v>
      </c>
      <c r="AW368" s="14"/>
      <c r="AX368" s="44">
        <v>46175</v>
      </c>
    </row>
    <row r="369" spans="1:50" ht="25.5">
      <c r="A369" s="38" t="str">
        <f>VLOOKUP(Tableau1[[#This Row],[N° Département]],Feuil1!$C$6:$E$106,3)</f>
        <v>Hauts-de-France</v>
      </c>
      <c r="B369" s="38" t="str">
        <f>VLOOKUP(Tableau1[[#This Row],[N° Département]],Feuil1!$C$6:$E$106,2)</f>
        <v>Oise</v>
      </c>
      <c r="C369" s="38">
        <f>LEFT(Tableau1[[#This Row],[Code Postal]],2)*1</f>
        <v>60</v>
      </c>
      <c r="D369" s="10" t="s">
        <v>2353</v>
      </c>
      <c r="E369" s="26">
        <v>60110</v>
      </c>
      <c r="F369" s="10" t="s">
        <v>2113</v>
      </c>
      <c r="G369" s="39" t="str">
        <f>Tableau1[[#This Row],[Rue]]&amp;CHAR(10)&amp;Tableau1[[#This Row],[Code Postal]]&amp;" - "&amp;Tableau1[[#This Row],[Ville]]</f>
        <v>G20, Oh Village !
60110 - Méru</v>
      </c>
      <c r="H369" s="15" t="s">
        <v>2112</v>
      </c>
      <c r="I369" s="12" t="s">
        <v>35</v>
      </c>
      <c r="J369" s="12" t="s">
        <v>40</v>
      </c>
      <c r="K369" s="10" t="s">
        <v>87</v>
      </c>
      <c r="L369" s="10" t="s">
        <v>87</v>
      </c>
      <c r="M369" s="12" t="s">
        <v>87</v>
      </c>
      <c r="N369" s="36" t="s">
        <v>319</v>
      </c>
      <c r="O369" s="34">
        <v>135</v>
      </c>
      <c r="P369" s="6" t="s">
        <v>87</v>
      </c>
      <c r="Q369" s="34" t="s">
        <v>87</v>
      </c>
      <c r="R369" s="6" t="s">
        <v>87</v>
      </c>
      <c r="S369" s="6" t="s">
        <v>87</v>
      </c>
      <c r="T369" s="12">
        <f>Tableau1[[#This Row],[Loyer €/m²]]*Tableau1[[#This Row],[Surface GLA]]</f>
        <v>27000</v>
      </c>
      <c r="U369" s="12">
        <f>IFERROR(Tableau1[[#This Row],[Loyer annuel]]/12,"")</f>
        <v>2250</v>
      </c>
      <c r="V369" s="12">
        <v>200</v>
      </c>
      <c r="W369" s="6" t="s">
        <v>87</v>
      </c>
      <c r="X369" s="6">
        <f>Tableau1[[#This Row],[Charges €/m²]]*Tableau1[[#This Row],[Surface GLA]]</f>
        <v>3375</v>
      </c>
      <c r="Y369" s="12">
        <f>Tableau1[[#This Row],[Charges annuelles]]/12</f>
        <v>281.25</v>
      </c>
      <c r="Z369" s="12">
        <v>25</v>
      </c>
      <c r="AA369" s="12">
        <f>IFERROR(Tableau1[[#This Row],[Taxe foncière €/m²]]*Tableau1[[#This Row],[Surface GLA]],)</f>
        <v>2025</v>
      </c>
      <c r="AB369" s="12">
        <v>15</v>
      </c>
      <c r="AC369" s="12">
        <f>IFERROR(Tableau1[[#This Row],[Marketing €/m²]]*Tableau1[[#This Row],[Surface GLA]],)</f>
        <v>0</v>
      </c>
      <c r="AD369" s="12"/>
      <c r="AE369" s="12">
        <f>IFERROR(Tableau1[[#This Row],[Loyer annuel]]+Tableau1[[#This Row],[Charges annuelles]]+Tableau1[[#This Row],[Taxe foncière]]+Tableau1[[#This Row],[Marketing]],"")</f>
        <v>32400</v>
      </c>
      <c r="AF369" s="12" t="str">
        <f t="shared" ref="AF369" si="20">"3 mois = "&amp;TEXT(ROUND(3/12*T369,0),"### ### ##0 €")</f>
        <v>3 mois = 6 750 €</v>
      </c>
      <c r="AG369" s="6" t="s">
        <v>87</v>
      </c>
      <c r="AH369" s="6" t="s">
        <v>87</v>
      </c>
      <c r="AI369" s="12" t="s">
        <v>346</v>
      </c>
      <c r="AJ369" s="10" t="s">
        <v>358</v>
      </c>
      <c r="AK369" s="10" t="s">
        <v>352</v>
      </c>
      <c r="AL369" s="10" t="s">
        <v>2352</v>
      </c>
      <c r="AM369" s="11" t="s">
        <v>2354</v>
      </c>
      <c r="AN369" s="11" t="s">
        <v>1308</v>
      </c>
      <c r="AO369" s="5" t="s">
        <v>350</v>
      </c>
      <c r="AP369" s="11" t="s">
        <v>2115</v>
      </c>
      <c r="AQ369" s="11" t="s">
        <v>2116</v>
      </c>
      <c r="AR369" s="11">
        <v>98</v>
      </c>
      <c r="AS369" s="36" t="s">
        <v>2114</v>
      </c>
      <c r="AT369" s="11" t="s">
        <v>59</v>
      </c>
      <c r="AU369" s="11"/>
      <c r="AV369" s="13" t="s">
        <v>1746</v>
      </c>
      <c r="AW369" s="14"/>
      <c r="AX369" s="44">
        <v>46175</v>
      </c>
    </row>
    <row r="370" spans="1:50" ht="25.5">
      <c r="A370" s="38" t="str">
        <f>VLOOKUP(Tableau1[[#This Row],[N° Département]],Feuil1!$C$6:$E$106,3)</f>
        <v>Hauts-de-France</v>
      </c>
      <c r="B370" s="38" t="str">
        <f>VLOOKUP(Tableau1[[#This Row],[N° Département]],Feuil1!$C$6:$E$106,2)</f>
        <v>Oise</v>
      </c>
      <c r="C370" s="38">
        <f>LEFT(Tableau1[[#This Row],[Code Postal]],2)*1</f>
        <v>60</v>
      </c>
      <c r="D370" s="10" t="s">
        <v>2144</v>
      </c>
      <c r="E370" s="26">
        <v>60180</v>
      </c>
      <c r="F370" s="10" t="s">
        <v>2118</v>
      </c>
      <c r="G370" s="39" t="str">
        <f>Tableau1[[#This Row],[Rue]]&amp;CHAR(10)&amp;Tableau1[[#This Row],[Code Postal]]&amp;" - "&amp;Tableau1[[#This Row],[Ville]]</f>
        <v>Auchan, 110 Avenue de l'Europe
60180 - Nogent-sur-Oise</v>
      </c>
      <c r="H370" s="15" t="s">
        <v>2117</v>
      </c>
      <c r="I370" s="12" t="s">
        <v>35</v>
      </c>
      <c r="J370" s="12" t="s">
        <v>39</v>
      </c>
      <c r="K370" s="10" t="s">
        <v>87</v>
      </c>
      <c r="L370" s="10" t="s">
        <v>87</v>
      </c>
      <c r="M370" s="12" t="s">
        <v>87</v>
      </c>
      <c r="N370" s="36" t="s">
        <v>2119</v>
      </c>
      <c r="O370" s="34">
        <v>221</v>
      </c>
      <c r="P370" s="6" t="s">
        <v>87</v>
      </c>
      <c r="Q370" s="34" t="s">
        <v>87</v>
      </c>
      <c r="R370" s="6" t="s">
        <v>87</v>
      </c>
      <c r="S370" s="6" t="s">
        <v>87</v>
      </c>
      <c r="T370" s="12">
        <f>Tableau1[[#This Row],[Loyer €/m²]]*Tableau1[[#This Row],[Surface GLA]]</f>
        <v>44200</v>
      </c>
      <c r="U370" s="12">
        <f>IFERROR(Tableau1[[#This Row],[Loyer annuel]]/12,"")</f>
        <v>3683.3333333333335</v>
      </c>
      <c r="V370" s="12">
        <v>200</v>
      </c>
      <c r="W370" s="6" t="s">
        <v>87</v>
      </c>
      <c r="X370" s="6">
        <f>Tableau1[[#This Row],[Charges €/m²]]*Tableau1[[#This Row],[Surface GLA]]</f>
        <v>9945</v>
      </c>
      <c r="Y370" s="12">
        <f>Tableau1[[#This Row],[Charges annuelles]]/12</f>
        <v>828.75</v>
      </c>
      <c r="Z370" s="12">
        <v>45</v>
      </c>
      <c r="AA370" s="12">
        <f>IFERROR(Tableau1[[#This Row],[Taxe foncière €/m²]]*Tableau1[[#This Row],[Surface GLA]],)</f>
        <v>4420</v>
      </c>
      <c r="AB370" s="12">
        <v>20</v>
      </c>
      <c r="AC370" s="12">
        <f>IFERROR(Tableau1[[#This Row],[Marketing €/m²]]*Tableau1[[#This Row],[Surface GLA]],)</f>
        <v>5525</v>
      </c>
      <c r="AD370" s="12">
        <v>25</v>
      </c>
      <c r="AE370" s="12">
        <f>IFERROR(Tableau1[[#This Row],[Loyer annuel]]+Tableau1[[#This Row],[Charges annuelles]]+Tableau1[[#This Row],[Taxe foncière]]+Tableau1[[#This Row],[Marketing]],"")</f>
        <v>64090</v>
      </c>
      <c r="AF370" s="12" t="str">
        <f t="shared" ref="AF370:AF374" si="21">"3 mois = "&amp;TEXT(ROUND(3/12*T370,0),"### ### ##0 €")</f>
        <v>3 mois = 11 050 €</v>
      </c>
      <c r="AG370" s="6" t="s">
        <v>87</v>
      </c>
      <c r="AH370" s="6" t="s">
        <v>87</v>
      </c>
      <c r="AI370" s="12" t="s">
        <v>346</v>
      </c>
      <c r="AJ370" s="10" t="s">
        <v>358</v>
      </c>
      <c r="AK370" s="10" t="s">
        <v>352</v>
      </c>
      <c r="AL370" s="10" t="s">
        <v>2356</v>
      </c>
      <c r="AM370" s="11" t="s">
        <v>2355</v>
      </c>
      <c r="AN370" s="11" t="s">
        <v>1308</v>
      </c>
      <c r="AO370" s="5" t="s">
        <v>350</v>
      </c>
      <c r="AP370" s="11" t="s">
        <v>2128</v>
      </c>
      <c r="AQ370" s="11" t="s">
        <v>2129</v>
      </c>
      <c r="AR370" s="11" t="s">
        <v>2123</v>
      </c>
      <c r="AS370" s="36" t="s">
        <v>2138</v>
      </c>
      <c r="AT370" s="11" t="s">
        <v>59</v>
      </c>
      <c r="AU370" s="11"/>
      <c r="AV370" s="13" t="s">
        <v>1746</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2144</v>
      </c>
      <c r="E371" s="10">
        <v>60180</v>
      </c>
      <c r="F371" s="10" t="s">
        <v>2118</v>
      </c>
      <c r="G371" s="39" t="str">
        <f>Tableau1[[#This Row],[Rue]]&amp;CHAR(10)&amp;Tableau1[[#This Row],[Code Postal]]&amp;" - "&amp;Tableau1[[#This Row],[Ville]]</f>
        <v>Auchan, 110 Avenue de l'Europe
60180 - Nogent-sur-Oise</v>
      </c>
      <c r="H371" s="15" t="s">
        <v>2117</v>
      </c>
      <c r="I371" s="12" t="s">
        <v>35</v>
      </c>
      <c r="J371" s="12" t="s">
        <v>39</v>
      </c>
      <c r="K371" s="10" t="s">
        <v>87</v>
      </c>
      <c r="L371" s="10" t="s">
        <v>87</v>
      </c>
      <c r="M371" s="12" t="s">
        <v>87</v>
      </c>
      <c r="N371" s="36" t="s">
        <v>2120</v>
      </c>
      <c r="O371" s="34">
        <v>81</v>
      </c>
      <c r="P371" s="6" t="s">
        <v>87</v>
      </c>
      <c r="Q371" s="34" t="s">
        <v>87</v>
      </c>
      <c r="R371" s="6" t="s">
        <v>87</v>
      </c>
      <c r="S371" s="6" t="s">
        <v>87</v>
      </c>
      <c r="T371" s="12">
        <f>Tableau1[[#This Row],[Loyer €/m²]]*Tableau1[[#This Row],[Surface GLA]]</f>
        <v>24300</v>
      </c>
      <c r="U371" s="12">
        <f>IFERROR(Tableau1[[#This Row],[Loyer annuel]]/12,"")</f>
        <v>2025</v>
      </c>
      <c r="V371" s="12">
        <v>300</v>
      </c>
      <c r="W371" s="6" t="s">
        <v>87</v>
      </c>
      <c r="X371" s="6">
        <f>Tableau1[[#This Row],[Charges €/m²]]*Tableau1[[#This Row],[Surface GLA]]</f>
        <v>3726</v>
      </c>
      <c r="Y371" s="12">
        <f>Tableau1[[#This Row],[Charges annuelles]]/12</f>
        <v>310.5</v>
      </c>
      <c r="Z371" s="12">
        <v>46</v>
      </c>
      <c r="AA371" s="12">
        <f>IFERROR(Tableau1[[#This Row],[Taxe foncière €/m²]]*Tableau1[[#This Row],[Surface GLA]],)</f>
        <v>1620</v>
      </c>
      <c r="AB371" s="12">
        <v>20</v>
      </c>
      <c r="AC371" s="12">
        <f>IFERROR(Tableau1[[#This Row],[Marketing €/m²]]*Tableau1[[#This Row],[Surface GLA]],)</f>
        <v>2025</v>
      </c>
      <c r="AD371" s="12">
        <v>25</v>
      </c>
      <c r="AE371" s="12">
        <f>IFERROR(Tableau1[[#This Row],[Loyer annuel]]+Tableau1[[#This Row],[Charges annuelles]]+Tableau1[[#This Row],[Taxe foncière]]+Tableau1[[#This Row],[Marketing]],"")</f>
        <v>31671</v>
      </c>
      <c r="AF371" s="12" t="str">
        <f t="shared" si="21"/>
        <v>3 mois = 6 075 €</v>
      </c>
      <c r="AG371" s="6" t="s">
        <v>87</v>
      </c>
      <c r="AH371" s="6" t="s">
        <v>87</v>
      </c>
      <c r="AI371" s="12" t="s">
        <v>346</v>
      </c>
      <c r="AJ371" s="10" t="s">
        <v>358</v>
      </c>
      <c r="AK371" s="10" t="s">
        <v>352</v>
      </c>
      <c r="AL371" s="10" t="s">
        <v>2356</v>
      </c>
      <c r="AM371" s="11" t="s">
        <v>2355</v>
      </c>
      <c r="AN371" s="11" t="s">
        <v>1308</v>
      </c>
      <c r="AO371" s="5" t="s">
        <v>350</v>
      </c>
      <c r="AP371" s="11" t="s">
        <v>2130</v>
      </c>
      <c r="AQ371" s="11" t="s">
        <v>2131</v>
      </c>
      <c r="AR371" s="11" t="s">
        <v>2124</v>
      </c>
      <c r="AS371" s="36" t="s">
        <v>2138</v>
      </c>
      <c r="AT371" s="11" t="s">
        <v>59</v>
      </c>
      <c r="AU371" s="11"/>
      <c r="AV371" s="13" t="s">
        <v>1746</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2144</v>
      </c>
      <c r="E372" s="10">
        <v>60180</v>
      </c>
      <c r="F372" s="10" t="s">
        <v>2118</v>
      </c>
      <c r="G372" s="39" t="str">
        <f>Tableau1[[#This Row],[Rue]]&amp;CHAR(10)&amp;Tableau1[[#This Row],[Code Postal]]&amp;" - "&amp;Tableau1[[#This Row],[Ville]]</f>
        <v>Auchan, 110 Avenue de l'Europe
60180 - Nogent-sur-Oise</v>
      </c>
      <c r="H372" s="15" t="s">
        <v>2117</v>
      </c>
      <c r="I372" s="12" t="s">
        <v>35</v>
      </c>
      <c r="J372" s="12" t="s">
        <v>39</v>
      </c>
      <c r="K372" s="10" t="s">
        <v>87</v>
      </c>
      <c r="L372" s="10" t="s">
        <v>87</v>
      </c>
      <c r="M372" s="12" t="s">
        <v>87</v>
      </c>
      <c r="N372" s="36" t="s">
        <v>2121</v>
      </c>
      <c r="O372" s="34">
        <v>234</v>
      </c>
      <c r="P372" s="6" t="s">
        <v>87</v>
      </c>
      <c r="Q372" s="34">
        <v>555</v>
      </c>
      <c r="R372" s="6" t="s">
        <v>87</v>
      </c>
      <c r="S372" s="6" t="s">
        <v>87</v>
      </c>
      <c r="T372" s="12">
        <f>Tableau1[[#This Row],[Loyer €/m²]]*Tableau1[[#This Row],[Surface GLA]]</f>
        <v>46800</v>
      </c>
      <c r="U372" s="12">
        <f>IFERROR(Tableau1[[#This Row],[Loyer annuel]]/12,"")</f>
        <v>3900</v>
      </c>
      <c r="V372" s="12">
        <v>200</v>
      </c>
      <c r="W372" s="6" t="s">
        <v>87</v>
      </c>
      <c r="X372" s="6">
        <f>Tableau1[[#This Row],[Charges €/m²]]*Tableau1[[#This Row],[Surface GLA]]</f>
        <v>10998</v>
      </c>
      <c r="Y372" s="12">
        <f>Tableau1[[#This Row],[Charges annuelles]]/12</f>
        <v>916.5</v>
      </c>
      <c r="Z372" s="12">
        <v>47</v>
      </c>
      <c r="AA372" s="12">
        <f>IFERROR(Tableau1[[#This Row],[Taxe foncière €/m²]]*Tableau1[[#This Row],[Surface GLA]],)</f>
        <v>4680</v>
      </c>
      <c r="AB372" s="12">
        <v>20</v>
      </c>
      <c r="AC372" s="12">
        <f>IFERROR(Tableau1[[#This Row],[Marketing €/m²]]*Tableau1[[#This Row],[Surface GLA]],)</f>
        <v>5850</v>
      </c>
      <c r="AD372" s="12">
        <v>25</v>
      </c>
      <c r="AE372" s="12">
        <f>IFERROR(Tableau1[[#This Row],[Loyer annuel]]+Tableau1[[#This Row],[Charges annuelles]]+Tableau1[[#This Row],[Taxe foncière]]+Tableau1[[#This Row],[Marketing]],"")</f>
        <v>68328</v>
      </c>
      <c r="AF372" s="12" t="str">
        <f t="shared" si="21"/>
        <v>3 mois = 11 700 €</v>
      </c>
      <c r="AG372" s="6" t="s">
        <v>87</v>
      </c>
      <c r="AH372" s="6" t="s">
        <v>87</v>
      </c>
      <c r="AI372" s="12" t="s">
        <v>346</v>
      </c>
      <c r="AJ372" s="10" t="s">
        <v>358</v>
      </c>
      <c r="AK372" s="10" t="s">
        <v>352</v>
      </c>
      <c r="AL372" s="10" t="s">
        <v>2356</v>
      </c>
      <c r="AM372" s="11" t="s">
        <v>2355</v>
      </c>
      <c r="AN372" s="11" t="s">
        <v>1308</v>
      </c>
      <c r="AO372" s="5" t="s">
        <v>350</v>
      </c>
      <c r="AP372" s="11" t="s">
        <v>2134</v>
      </c>
      <c r="AQ372" s="11" t="s">
        <v>2135</v>
      </c>
      <c r="AR372" s="11" t="s">
        <v>2125</v>
      </c>
      <c r="AS372" s="36" t="s">
        <v>2138</v>
      </c>
      <c r="AT372" s="11" t="s">
        <v>59</v>
      </c>
      <c r="AU372" s="11"/>
      <c r="AV372" s="13" t="s">
        <v>1746</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2144</v>
      </c>
      <c r="E373" s="10">
        <v>60180</v>
      </c>
      <c r="F373" s="10" t="s">
        <v>2118</v>
      </c>
      <c r="G373" s="39" t="str">
        <f>Tableau1[[#This Row],[Rue]]&amp;CHAR(10)&amp;Tableau1[[#This Row],[Code Postal]]&amp;" - "&amp;Tableau1[[#This Row],[Ville]]</f>
        <v>Auchan, 110 Avenue de l'Europe
60180 - Nogent-sur-Oise</v>
      </c>
      <c r="H373" s="15" t="s">
        <v>2117</v>
      </c>
      <c r="I373" s="12" t="s">
        <v>35</v>
      </c>
      <c r="J373" s="12" t="s">
        <v>39</v>
      </c>
      <c r="K373" s="10" t="s">
        <v>87</v>
      </c>
      <c r="L373" s="10" t="s">
        <v>87</v>
      </c>
      <c r="M373" s="12" t="s">
        <v>87</v>
      </c>
      <c r="N373" s="36" t="s">
        <v>2122</v>
      </c>
      <c r="O373" s="34">
        <v>321</v>
      </c>
      <c r="P373" s="6" t="s">
        <v>87</v>
      </c>
      <c r="Q373" s="34">
        <v>555</v>
      </c>
      <c r="R373" s="6" t="s">
        <v>87</v>
      </c>
      <c r="S373" s="6" t="s">
        <v>87</v>
      </c>
      <c r="T373" s="12">
        <f>Tableau1[[#This Row],[Loyer €/m²]]*Tableau1[[#This Row],[Surface GLA]]</f>
        <v>64200</v>
      </c>
      <c r="U373" s="12">
        <f>IFERROR(Tableau1[[#This Row],[Loyer annuel]]/12,"")</f>
        <v>5350</v>
      </c>
      <c r="V373" s="12">
        <v>200</v>
      </c>
      <c r="W373" s="6" t="s">
        <v>87</v>
      </c>
      <c r="X373" s="6">
        <f>Tableau1[[#This Row],[Charges €/m²]]*Tableau1[[#This Row],[Surface GLA]]</f>
        <v>15408</v>
      </c>
      <c r="Y373" s="12">
        <f>Tableau1[[#This Row],[Charges annuelles]]/12</f>
        <v>1284</v>
      </c>
      <c r="Z373" s="12">
        <v>48</v>
      </c>
      <c r="AA373" s="12">
        <f>IFERROR(Tableau1[[#This Row],[Taxe foncière €/m²]]*Tableau1[[#This Row],[Surface GLA]],)</f>
        <v>6420</v>
      </c>
      <c r="AB373" s="12">
        <v>20</v>
      </c>
      <c r="AC373" s="12">
        <f>IFERROR(Tableau1[[#This Row],[Marketing €/m²]]*Tableau1[[#This Row],[Surface GLA]],)</f>
        <v>8025</v>
      </c>
      <c r="AD373" s="12">
        <v>25</v>
      </c>
      <c r="AE373" s="12">
        <f>IFERROR(Tableau1[[#This Row],[Loyer annuel]]+Tableau1[[#This Row],[Charges annuelles]]+Tableau1[[#This Row],[Taxe foncière]]+Tableau1[[#This Row],[Marketing]],"")</f>
        <v>94053</v>
      </c>
      <c r="AF373" s="12" t="str">
        <f t="shared" si="21"/>
        <v>3 mois = 16 050 €</v>
      </c>
      <c r="AG373" s="6" t="s">
        <v>87</v>
      </c>
      <c r="AH373" s="6" t="s">
        <v>87</v>
      </c>
      <c r="AI373" s="12" t="s">
        <v>346</v>
      </c>
      <c r="AJ373" s="10" t="s">
        <v>358</v>
      </c>
      <c r="AK373" s="10" t="s">
        <v>352</v>
      </c>
      <c r="AL373" s="10" t="s">
        <v>2356</v>
      </c>
      <c r="AM373" s="11" t="s">
        <v>2355</v>
      </c>
      <c r="AN373" s="11" t="s">
        <v>1308</v>
      </c>
      <c r="AO373" s="5" t="s">
        <v>350</v>
      </c>
      <c r="AP373" s="11" t="s">
        <v>2136</v>
      </c>
      <c r="AQ373" s="11" t="s">
        <v>2137</v>
      </c>
      <c r="AR373" s="11" t="s">
        <v>2126</v>
      </c>
      <c r="AS373" s="36" t="s">
        <v>2138</v>
      </c>
      <c r="AT373" s="11" t="s">
        <v>59</v>
      </c>
      <c r="AU373" s="11"/>
      <c r="AV373" s="13" t="s">
        <v>1746</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2144</v>
      </c>
      <c r="E374" s="10">
        <v>60180</v>
      </c>
      <c r="F374" s="10" t="s">
        <v>2118</v>
      </c>
      <c r="G374" s="39" t="str">
        <f>Tableau1[[#This Row],[Rue]]&amp;CHAR(10)&amp;Tableau1[[#This Row],[Code Postal]]&amp;" - "&amp;Tableau1[[#This Row],[Ville]]</f>
        <v>Auchan, 110 Avenue de l'Europe
60180 - Nogent-sur-Oise</v>
      </c>
      <c r="H374" s="15" t="s">
        <v>2117</v>
      </c>
      <c r="I374" s="12" t="s">
        <v>35</v>
      </c>
      <c r="J374" s="12" t="s">
        <v>39</v>
      </c>
      <c r="K374" s="10" t="s">
        <v>87</v>
      </c>
      <c r="L374" s="10" t="s">
        <v>87</v>
      </c>
      <c r="M374" s="12" t="s">
        <v>87</v>
      </c>
      <c r="N374" s="36" t="s">
        <v>1985</v>
      </c>
      <c r="O374" s="34">
        <v>1423</v>
      </c>
      <c r="P374" s="6" t="s">
        <v>87</v>
      </c>
      <c r="Q374" s="34" t="s">
        <v>87</v>
      </c>
      <c r="R374" s="6" t="s">
        <v>87</v>
      </c>
      <c r="S374" s="6" t="s">
        <v>87</v>
      </c>
      <c r="T374" s="12">
        <f>Tableau1[[#This Row],[Loyer €/m²]]*Tableau1[[#This Row],[Surface GLA]]</f>
        <v>213450</v>
      </c>
      <c r="U374" s="12">
        <f>IFERROR(Tableau1[[#This Row],[Loyer annuel]]/12,"")</f>
        <v>17787.5</v>
      </c>
      <c r="V374" s="12">
        <v>150</v>
      </c>
      <c r="W374" s="6" t="s">
        <v>87</v>
      </c>
      <c r="X374" s="6">
        <f>Tableau1[[#This Row],[Charges €/m²]]*Tableau1[[#This Row],[Surface GLA]]</f>
        <v>69727</v>
      </c>
      <c r="Y374" s="12">
        <f>Tableau1[[#This Row],[Charges annuelles]]/12</f>
        <v>5810.583333333333</v>
      </c>
      <c r="Z374" s="12">
        <v>49</v>
      </c>
      <c r="AA374" s="12">
        <f>IFERROR(Tableau1[[#This Row],[Taxe foncière €/m²]]*Tableau1[[#This Row],[Surface GLA]],)</f>
        <v>28460</v>
      </c>
      <c r="AB374" s="12">
        <v>20</v>
      </c>
      <c r="AC374" s="12">
        <f>IFERROR(Tableau1[[#This Row],[Marketing €/m²]]*Tableau1[[#This Row],[Surface GLA]],)</f>
        <v>35575</v>
      </c>
      <c r="AD374" s="12">
        <v>25</v>
      </c>
      <c r="AE374" s="12">
        <f>IFERROR(Tableau1[[#This Row],[Loyer annuel]]+Tableau1[[#This Row],[Charges annuelles]]+Tableau1[[#This Row],[Taxe foncière]]+Tableau1[[#This Row],[Marketing]],"")</f>
        <v>347212</v>
      </c>
      <c r="AF374" s="12" t="str">
        <f t="shared" si="21"/>
        <v>3 mois = 53 363 €</v>
      </c>
      <c r="AG374" s="6" t="s">
        <v>87</v>
      </c>
      <c r="AH374" s="6" t="s">
        <v>87</v>
      </c>
      <c r="AI374" s="12" t="s">
        <v>346</v>
      </c>
      <c r="AJ374" s="10" t="s">
        <v>358</v>
      </c>
      <c r="AK374" s="10" t="s">
        <v>352</v>
      </c>
      <c r="AL374" s="10" t="s">
        <v>2356</v>
      </c>
      <c r="AM374" s="11" t="s">
        <v>2355</v>
      </c>
      <c r="AN374" s="11" t="s">
        <v>1308</v>
      </c>
      <c r="AO374" s="5" t="s">
        <v>350</v>
      </c>
      <c r="AP374" s="11" t="s">
        <v>2132</v>
      </c>
      <c r="AQ374" s="11" t="s">
        <v>2133</v>
      </c>
      <c r="AR374" s="11" t="s">
        <v>2127</v>
      </c>
      <c r="AS374" s="36" t="s">
        <v>2138</v>
      </c>
      <c r="AT374" s="11" t="s">
        <v>59</v>
      </c>
      <c r="AU374" s="11"/>
      <c r="AV374" s="13" t="s">
        <v>1746</v>
      </c>
      <c r="AW374" s="14"/>
      <c r="AX374" s="44">
        <v>46175</v>
      </c>
    </row>
    <row r="375" spans="1:50" ht="38.25">
      <c r="A375" s="38" t="str">
        <f>VLOOKUP(Tableau1[[#This Row],[N° Département]],Feuil1!$C$6:$E$106,3)</f>
        <v>Bretagne</v>
      </c>
      <c r="B375" s="38" t="str">
        <f>VLOOKUP(Tableau1[[#This Row],[N° Département]],Feuil1!$C$6:$E$106,2)</f>
        <v>Côtes d'Armor</v>
      </c>
      <c r="C375" s="38">
        <f>LEFT(Tableau1[[#This Row],[Code Postal]],2)*1</f>
        <v>22</v>
      </c>
      <c r="D375" s="10" t="s">
        <v>2358</v>
      </c>
      <c r="E375" s="26">
        <v>22000</v>
      </c>
      <c r="F375" s="10" t="s">
        <v>2142</v>
      </c>
      <c r="G375" s="39" t="str">
        <f>Tableau1[[#This Row],[Rue]]&amp;CHAR(10)&amp;Tableau1[[#This Row],[Code Postal]]&amp;" - "&amp;Tableau1[[#This Row],[Ville]]</f>
        <v>Monoprix, Les Champs, 1 rue Sainte-Barbe
22000 - Saint-Brieuc</v>
      </c>
      <c r="H375" s="15" t="s">
        <v>2143</v>
      </c>
      <c r="I375" s="12" t="s">
        <v>35</v>
      </c>
      <c r="J375" s="12" t="s">
        <v>39</v>
      </c>
      <c r="K375" s="10" t="s">
        <v>87</v>
      </c>
      <c r="L375" s="10" t="s">
        <v>87</v>
      </c>
      <c r="M375" s="12" t="s">
        <v>87</v>
      </c>
      <c r="N375" s="36" t="s">
        <v>319</v>
      </c>
      <c r="O375" s="34">
        <v>57</v>
      </c>
      <c r="P375" s="6" t="s">
        <v>87</v>
      </c>
      <c r="Q375" s="34">
        <v>160</v>
      </c>
      <c r="R375" s="6" t="s">
        <v>87</v>
      </c>
      <c r="S375" s="6" t="s">
        <v>87</v>
      </c>
      <c r="T375" s="12">
        <f>Tableau1[[#This Row],[Loyer €/m²]]*Tableau1[[#This Row],[Surface GLA]]</f>
        <v>22800</v>
      </c>
      <c r="U375" s="12">
        <f>IFERROR(Tableau1[[#This Row],[Loyer annuel]]/12,"")</f>
        <v>1900</v>
      </c>
      <c r="V375" s="12">
        <v>400</v>
      </c>
      <c r="W375" s="6" t="s">
        <v>87</v>
      </c>
      <c r="X375" s="6">
        <f>Tableau1[[#This Row],[Charges €/m²]]*Tableau1[[#This Row],[Surface GLA]]</f>
        <v>3135</v>
      </c>
      <c r="Y375" s="12">
        <f>Tableau1[[#This Row],[Charges annuelles]]/12</f>
        <v>261.25</v>
      </c>
      <c r="Z375" s="12">
        <v>55</v>
      </c>
      <c r="AA375" s="12">
        <f>IFERROR(Tableau1[[#This Row],[Taxe foncière €/m²]]*Tableau1[[#This Row],[Surface GLA]],)</f>
        <v>912</v>
      </c>
      <c r="AB375" s="12">
        <v>16</v>
      </c>
      <c r="AC375" s="12">
        <f>IFERROR(Tableau1[[#This Row],[Marketing €/m²]]*Tableau1[[#This Row],[Surface GLA]],)</f>
        <v>0</v>
      </c>
      <c r="AD375" s="12"/>
      <c r="AE375" s="12">
        <f>IFERROR(Tableau1[[#This Row],[Loyer annuel]]+Tableau1[[#This Row],[Charges annuelles]]+Tableau1[[#This Row],[Taxe foncière]]+Tableau1[[#This Row],[Marketing]],"")</f>
        <v>26847</v>
      </c>
      <c r="AF375" s="12" t="str">
        <f t="shared" ref="AF375:AF380" si="22">"3 mois = "&amp;TEXT(ROUND(3/12*T375,0),"### ### ##0 €")</f>
        <v>3 mois = 5 700 €</v>
      </c>
      <c r="AG375" s="6" t="s">
        <v>87</v>
      </c>
      <c r="AH375" s="6" t="s">
        <v>87</v>
      </c>
      <c r="AI375" s="12" t="s">
        <v>346</v>
      </c>
      <c r="AJ375" s="10" t="s">
        <v>43</v>
      </c>
      <c r="AK375" s="10"/>
      <c r="AL375" s="10" t="s">
        <v>2360</v>
      </c>
      <c r="AM375" s="11" t="s">
        <v>2357</v>
      </c>
      <c r="AN375" s="11" t="s">
        <v>1308</v>
      </c>
      <c r="AO375" s="5" t="s">
        <v>350</v>
      </c>
      <c r="AP375" s="11" t="s">
        <v>2152</v>
      </c>
      <c r="AQ375" s="11" t="s">
        <v>2153</v>
      </c>
      <c r="AR375" s="11" t="s">
        <v>2146</v>
      </c>
      <c r="AS375" s="36" t="s">
        <v>2164</v>
      </c>
      <c r="AT375" s="11" t="s">
        <v>59</v>
      </c>
      <c r="AU375" s="11"/>
      <c r="AV375" s="13" t="s">
        <v>1746</v>
      </c>
      <c r="AW375" s="14"/>
      <c r="AX375" s="44">
        <v>46175</v>
      </c>
    </row>
    <row r="376" spans="1:50" ht="38.25">
      <c r="A376" s="38" t="str">
        <f>VLOOKUP(Tableau1[[#This Row],[N° Département]],Feuil1!$C$6:$E$106,3)</f>
        <v>Bretagne</v>
      </c>
      <c r="B376" s="38" t="str">
        <f>VLOOKUP(Tableau1[[#This Row],[N° Département]],Feuil1!$C$6:$E$106,2)</f>
        <v>Côtes d'Armor</v>
      </c>
      <c r="C376" s="38">
        <f>LEFT(Tableau1[[#This Row],[Code Postal]],2)*1</f>
        <v>22</v>
      </c>
      <c r="D376" s="10" t="s">
        <v>2358</v>
      </c>
      <c r="E376" s="26">
        <v>22000</v>
      </c>
      <c r="F376" s="10" t="s">
        <v>2142</v>
      </c>
      <c r="G376" s="39" t="str">
        <f>Tableau1[[#This Row],[Rue]]&amp;CHAR(10)&amp;Tableau1[[#This Row],[Code Postal]]&amp;" - "&amp;Tableau1[[#This Row],[Ville]]</f>
        <v>Monoprix, Les Champs, 1 rue Sainte-Barbe
22000 - Saint-Brieuc</v>
      </c>
      <c r="H376" s="15" t="s">
        <v>2143</v>
      </c>
      <c r="I376" s="12" t="s">
        <v>35</v>
      </c>
      <c r="J376" s="12" t="s">
        <v>39</v>
      </c>
      <c r="K376" s="10" t="s">
        <v>87</v>
      </c>
      <c r="L376" s="10" t="s">
        <v>87</v>
      </c>
      <c r="M376" s="12" t="s">
        <v>87</v>
      </c>
      <c r="N376" s="36">
        <v>3</v>
      </c>
      <c r="O376" s="34">
        <v>103</v>
      </c>
      <c r="P376" s="6" t="s">
        <v>87</v>
      </c>
      <c r="Q376" s="34">
        <v>160</v>
      </c>
      <c r="R376" s="6" t="s">
        <v>87</v>
      </c>
      <c r="S376" s="6" t="s">
        <v>87</v>
      </c>
      <c r="T376" s="12">
        <f>Tableau1[[#This Row],[Loyer €/m²]]*Tableau1[[#This Row],[Surface GLA]]</f>
        <v>30900</v>
      </c>
      <c r="U376" s="12">
        <f>IFERROR(Tableau1[[#This Row],[Loyer annuel]]/12,"")</f>
        <v>2575</v>
      </c>
      <c r="V376" s="12">
        <v>300</v>
      </c>
      <c r="W376" s="6" t="s">
        <v>87</v>
      </c>
      <c r="X376" s="6">
        <f>Tableau1[[#This Row],[Charges €/m²]]*Tableau1[[#This Row],[Surface GLA]]</f>
        <v>5665</v>
      </c>
      <c r="Y376" s="12">
        <f>Tableau1[[#This Row],[Charges annuelles]]/12</f>
        <v>472.08333333333331</v>
      </c>
      <c r="Z376" s="12">
        <v>55</v>
      </c>
      <c r="AA376" s="12">
        <f>IFERROR(Tableau1[[#This Row],[Taxe foncière €/m²]]*Tableau1[[#This Row],[Surface GLA]],)</f>
        <v>1648</v>
      </c>
      <c r="AB376" s="12">
        <v>16</v>
      </c>
      <c r="AC376" s="12">
        <f>IFERROR(Tableau1[[#This Row],[Marketing €/m²]]*Tableau1[[#This Row],[Surface GLA]],)</f>
        <v>0</v>
      </c>
      <c r="AD376" s="12"/>
      <c r="AE376" s="12">
        <f>IFERROR(Tableau1[[#This Row],[Loyer annuel]]+Tableau1[[#This Row],[Charges annuelles]]+Tableau1[[#This Row],[Taxe foncière]]+Tableau1[[#This Row],[Marketing]],"")</f>
        <v>38213</v>
      </c>
      <c r="AF376" s="12" t="str">
        <f t="shared" si="22"/>
        <v>3 mois = 7 725 €</v>
      </c>
      <c r="AG376" s="6" t="s">
        <v>87</v>
      </c>
      <c r="AH376" s="6" t="s">
        <v>87</v>
      </c>
      <c r="AI376" s="12" t="s">
        <v>346</v>
      </c>
      <c r="AJ376" s="10" t="s">
        <v>43</v>
      </c>
      <c r="AK376" s="10"/>
      <c r="AL376" s="10" t="s">
        <v>2360</v>
      </c>
      <c r="AM376" s="11" t="s">
        <v>2357</v>
      </c>
      <c r="AN376" s="11" t="s">
        <v>1308</v>
      </c>
      <c r="AO376" s="5" t="s">
        <v>350</v>
      </c>
      <c r="AP376" s="11" t="s">
        <v>2154</v>
      </c>
      <c r="AQ376" s="11" t="s">
        <v>2155</v>
      </c>
      <c r="AR376" s="11" t="s">
        <v>2147</v>
      </c>
      <c r="AS376" s="36" t="s">
        <v>2164</v>
      </c>
      <c r="AT376" s="11" t="s">
        <v>59</v>
      </c>
      <c r="AU376" s="11"/>
      <c r="AV376" s="13" t="s">
        <v>1746</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2358</v>
      </c>
      <c r="E377" s="26">
        <v>22000</v>
      </c>
      <c r="F377" s="10" t="s">
        <v>2142</v>
      </c>
      <c r="G377" s="39" t="str">
        <f>Tableau1[[#This Row],[Rue]]&amp;CHAR(10)&amp;Tableau1[[#This Row],[Code Postal]]&amp;" - "&amp;Tableau1[[#This Row],[Ville]]</f>
        <v>Monoprix, Les Champs, 1 rue Sainte-Barbe
22000 - Saint-Brieuc</v>
      </c>
      <c r="H377" s="15" t="s">
        <v>2143</v>
      </c>
      <c r="I377" s="12" t="s">
        <v>35</v>
      </c>
      <c r="J377" s="12" t="s">
        <v>39</v>
      </c>
      <c r="K377" s="10" t="s">
        <v>87</v>
      </c>
      <c r="L377" s="10" t="s">
        <v>87</v>
      </c>
      <c r="M377" s="12" t="s">
        <v>87</v>
      </c>
      <c r="N377" s="36">
        <v>5</v>
      </c>
      <c r="O377" s="34">
        <v>144</v>
      </c>
      <c r="P377" s="6" t="s">
        <v>87</v>
      </c>
      <c r="Q377" s="34" t="s">
        <v>87</v>
      </c>
      <c r="R377" s="6" t="s">
        <v>87</v>
      </c>
      <c r="S377" s="6" t="s">
        <v>87</v>
      </c>
      <c r="T377" s="12">
        <f>Tableau1[[#This Row],[Loyer €/m²]]*Tableau1[[#This Row],[Surface GLA]]</f>
        <v>43200</v>
      </c>
      <c r="U377" s="12">
        <f>IFERROR(Tableau1[[#This Row],[Loyer annuel]]/12,"")</f>
        <v>3600</v>
      </c>
      <c r="V377" s="12">
        <v>300</v>
      </c>
      <c r="W377" s="6" t="s">
        <v>87</v>
      </c>
      <c r="X377" s="6">
        <f>Tableau1[[#This Row],[Charges €/m²]]*Tableau1[[#This Row],[Surface GLA]]</f>
        <v>7920</v>
      </c>
      <c r="Y377" s="12">
        <f>Tableau1[[#This Row],[Charges annuelles]]/12</f>
        <v>660</v>
      </c>
      <c r="Z377" s="12">
        <v>55</v>
      </c>
      <c r="AA377" s="12">
        <f>IFERROR(Tableau1[[#This Row],[Taxe foncière €/m²]]*Tableau1[[#This Row],[Surface GLA]],)</f>
        <v>2304</v>
      </c>
      <c r="AB377" s="12">
        <v>16</v>
      </c>
      <c r="AC377" s="12">
        <f>IFERROR(Tableau1[[#This Row],[Marketing €/m²]]*Tableau1[[#This Row],[Surface GLA]],)</f>
        <v>0</v>
      </c>
      <c r="AD377" s="12"/>
      <c r="AE377" s="12">
        <f>IFERROR(Tableau1[[#This Row],[Loyer annuel]]+Tableau1[[#This Row],[Charges annuelles]]+Tableau1[[#This Row],[Taxe foncière]]+Tableau1[[#This Row],[Marketing]],"")</f>
        <v>53424</v>
      </c>
      <c r="AF377" s="12" t="str">
        <f t="shared" si="22"/>
        <v>3 mois = 10 800 €</v>
      </c>
      <c r="AG377" s="6" t="s">
        <v>87</v>
      </c>
      <c r="AH377" s="6" t="s">
        <v>87</v>
      </c>
      <c r="AI377" s="12" t="s">
        <v>346</v>
      </c>
      <c r="AJ377" s="10" t="s">
        <v>43</v>
      </c>
      <c r="AK377" s="10"/>
      <c r="AL377" s="10" t="s">
        <v>2360</v>
      </c>
      <c r="AM377" s="11" t="s">
        <v>2357</v>
      </c>
      <c r="AN377" s="11" t="s">
        <v>1308</v>
      </c>
      <c r="AO377" s="5" t="s">
        <v>350</v>
      </c>
      <c r="AP377" s="11" t="s">
        <v>2156</v>
      </c>
      <c r="AQ377" s="11" t="s">
        <v>2157</v>
      </c>
      <c r="AR377" s="11" t="s">
        <v>2148</v>
      </c>
      <c r="AS377" s="36" t="s">
        <v>2164</v>
      </c>
      <c r="AT377" s="11" t="s">
        <v>59</v>
      </c>
      <c r="AU377" s="11"/>
      <c r="AV377" s="13" t="s">
        <v>1746</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2358</v>
      </c>
      <c r="E378" s="26">
        <v>22000</v>
      </c>
      <c r="F378" s="10" t="s">
        <v>2142</v>
      </c>
      <c r="G378" s="39" t="str">
        <f>Tableau1[[#This Row],[Rue]]&amp;CHAR(10)&amp;Tableau1[[#This Row],[Code Postal]]&amp;" - "&amp;Tableau1[[#This Row],[Ville]]</f>
        <v>Monoprix, Les Champs, 1 rue Sainte-Barbe
22000 - Saint-Brieuc</v>
      </c>
      <c r="H378" s="15" t="s">
        <v>2143</v>
      </c>
      <c r="I378" s="12" t="s">
        <v>35</v>
      </c>
      <c r="J378" s="12" t="s">
        <v>39</v>
      </c>
      <c r="K378" s="10" t="s">
        <v>87</v>
      </c>
      <c r="L378" s="10" t="s">
        <v>87</v>
      </c>
      <c r="M378" s="12" t="s">
        <v>87</v>
      </c>
      <c r="N378" s="36" t="s">
        <v>2145</v>
      </c>
      <c r="O378" s="34">
        <v>342</v>
      </c>
      <c r="P378" s="6" t="s">
        <v>87</v>
      </c>
      <c r="Q378" s="34" t="s">
        <v>87</v>
      </c>
      <c r="R378" s="6" t="s">
        <v>87</v>
      </c>
      <c r="S378" s="6" t="s">
        <v>87</v>
      </c>
      <c r="T378" s="12">
        <f>Tableau1[[#This Row],[Loyer €/m²]]*Tableau1[[#This Row],[Surface GLA]]</f>
        <v>68400</v>
      </c>
      <c r="U378" s="12">
        <f>IFERROR(Tableau1[[#This Row],[Loyer annuel]]/12,"")</f>
        <v>5700</v>
      </c>
      <c r="V378" s="12">
        <v>200</v>
      </c>
      <c r="W378" s="6" t="s">
        <v>87</v>
      </c>
      <c r="X378" s="6">
        <f>Tableau1[[#This Row],[Charges €/m²]]*Tableau1[[#This Row],[Surface GLA]]</f>
        <v>18810</v>
      </c>
      <c r="Y378" s="12">
        <f>Tableau1[[#This Row],[Charges annuelles]]/12</f>
        <v>1567.5</v>
      </c>
      <c r="Z378" s="12">
        <v>55</v>
      </c>
      <c r="AA378" s="12">
        <f>IFERROR(Tableau1[[#This Row],[Taxe foncière €/m²]]*Tableau1[[#This Row],[Surface GLA]],)</f>
        <v>5472</v>
      </c>
      <c r="AB378" s="12">
        <v>16</v>
      </c>
      <c r="AC378" s="12">
        <f>IFERROR(Tableau1[[#This Row],[Marketing €/m²]]*Tableau1[[#This Row],[Surface GLA]],)</f>
        <v>0</v>
      </c>
      <c r="AD378" s="12"/>
      <c r="AE378" s="12">
        <f>IFERROR(Tableau1[[#This Row],[Loyer annuel]]+Tableau1[[#This Row],[Charges annuelles]]+Tableau1[[#This Row],[Taxe foncière]]+Tableau1[[#This Row],[Marketing]],"")</f>
        <v>92682</v>
      </c>
      <c r="AF378" s="12" t="str">
        <f t="shared" si="22"/>
        <v>3 mois = 17 100 €</v>
      </c>
      <c r="AG378" s="6" t="s">
        <v>87</v>
      </c>
      <c r="AH378" s="6" t="s">
        <v>87</v>
      </c>
      <c r="AI378" s="12" t="s">
        <v>346</v>
      </c>
      <c r="AJ378" s="10" t="s">
        <v>59</v>
      </c>
      <c r="AK378" s="10" t="s">
        <v>352</v>
      </c>
      <c r="AL378" s="10" t="s">
        <v>2360</v>
      </c>
      <c r="AM378" s="11" t="s">
        <v>2357</v>
      </c>
      <c r="AN378" s="11" t="s">
        <v>1308</v>
      </c>
      <c r="AO378" s="5" t="s">
        <v>350</v>
      </c>
      <c r="AP378" s="11" t="s">
        <v>2158</v>
      </c>
      <c r="AQ378" s="11" t="s">
        <v>2159</v>
      </c>
      <c r="AR378" s="11" t="s">
        <v>2150</v>
      </c>
      <c r="AS378" s="36" t="s">
        <v>2164</v>
      </c>
      <c r="AT378" s="11" t="s">
        <v>59</v>
      </c>
      <c r="AU378" s="11"/>
      <c r="AV378" s="13" t="s">
        <v>1746</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2358</v>
      </c>
      <c r="E379" s="26">
        <v>22000</v>
      </c>
      <c r="F379" s="10" t="s">
        <v>2142</v>
      </c>
      <c r="G379" s="39" t="str">
        <f>Tableau1[[#This Row],[Rue]]&amp;CHAR(10)&amp;Tableau1[[#This Row],[Code Postal]]&amp;" - "&amp;Tableau1[[#This Row],[Ville]]</f>
        <v>Monoprix, Les Champs, 1 rue Sainte-Barbe
22000 - Saint-Brieuc</v>
      </c>
      <c r="H379" s="15" t="s">
        <v>2143</v>
      </c>
      <c r="I379" s="12" t="s">
        <v>35</v>
      </c>
      <c r="J379" s="12" t="s">
        <v>39</v>
      </c>
      <c r="K379" s="10" t="s">
        <v>87</v>
      </c>
      <c r="L379" s="10" t="s">
        <v>87</v>
      </c>
      <c r="M379" s="12" t="s">
        <v>87</v>
      </c>
      <c r="N379" s="36">
        <v>25</v>
      </c>
      <c r="O379" s="34">
        <v>63</v>
      </c>
      <c r="P379" s="6" t="s">
        <v>87</v>
      </c>
      <c r="Q379" s="34" t="s">
        <v>87</v>
      </c>
      <c r="R379" s="6" t="s">
        <v>87</v>
      </c>
      <c r="S379" s="6" t="s">
        <v>87</v>
      </c>
      <c r="T379" s="12">
        <f>Tableau1[[#This Row],[Loyer €/m²]]*Tableau1[[#This Row],[Surface GLA]]</f>
        <v>25200</v>
      </c>
      <c r="U379" s="12">
        <f>IFERROR(Tableau1[[#This Row],[Loyer annuel]]/12,"")</f>
        <v>2100</v>
      </c>
      <c r="V379" s="12">
        <v>400</v>
      </c>
      <c r="W379" s="6" t="s">
        <v>87</v>
      </c>
      <c r="X379" s="6">
        <f>Tableau1[[#This Row],[Charges €/m²]]*Tableau1[[#This Row],[Surface GLA]]</f>
        <v>3465</v>
      </c>
      <c r="Y379" s="12">
        <f>Tableau1[[#This Row],[Charges annuelles]]/12</f>
        <v>288.75</v>
      </c>
      <c r="Z379" s="12">
        <v>55</v>
      </c>
      <c r="AA379" s="12">
        <f>IFERROR(Tableau1[[#This Row],[Taxe foncière €/m²]]*Tableau1[[#This Row],[Surface GLA]],)</f>
        <v>1008</v>
      </c>
      <c r="AB379" s="12">
        <v>16</v>
      </c>
      <c r="AC379" s="12">
        <f>IFERROR(Tableau1[[#This Row],[Marketing €/m²]]*Tableau1[[#This Row],[Surface GLA]],)</f>
        <v>0</v>
      </c>
      <c r="AD379" s="12"/>
      <c r="AE379" s="12">
        <f>IFERROR(Tableau1[[#This Row],[Loyer annuel]]+Tableau1[[#This Row],[Charges annuelles]]+Tableau1[[#This Row],[Taxe foncière]]+Tableau1[[#This Row],[Marketing]],"")</f>
        <v>29673</v>
      </c>
      <c r="AF379" s="12" t="str">
        <f t="shared" si="22"/>
        <v>3 mois = 6 300 €</v>
      </c>
      <c r="AG379" s="6" t="s">
        <v>87</v>
      </c>
      <c r="AH379" s="6" t="s">
        <v>87</v>
      </c>
      <c r="AI379" s="12" t="s">
        <v>346</v>
      </c>
      <c r="AJ379" s="10" t="s">
        <v>43</v>
      </c>
      <c r="AK379" s="10"/>
      <c r="AL379" s="10" t="s">
        <v>2360</v>
      </c>
      <c r="AM379" s="11" t="s">
        <v>2357</v>
      </c>
      <c r="AN379" s="11" t="s">
        <v>1308</v>
      </c>
      <c r="AO379" s="5" t="s">
        <v>350</v>
      </c>
      <c r="AP379" s="11" t="s">
        <v>2160</v>
      </c>
      <c r="AQ379" s="11" t="s">
        <v>2161</v>
      </c>
      <c r="AR379" s="11" t="s">
        <v>2149</v>
      </c>
      <c r="AS379" s="36" t="s">
        <v>2164</v>
      </c>
      <c r="AT379" s="11" t="s">
        <v>59</v>
      </c>
      <c r="AU379" s="11"/>
      <c r="AV379" s="13" t="s">
        <v>1746</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2358</v>
      </c>
      <c r="E380" s="26">
        <v>22000</v>
      </c>
      <c r="F380" s="10" t="s">
        <v>2142</v>
      </c>
      <c r="G380" s="39" t="str">
        <f>Tableau1[[#This Row],[Rue]]&amp;CHAR(10)&amp;Tableau1[[#This Row],[Code Postal]]&amp;" - "&amp;Tableau1[[#This Row],[Ville]]</f>
        <v>Monoprix, Les Champs, 1 rue Sainte-Barbe
22000 - Saint-Brieuc</v>
      </c>
      <c r="H380" s="15" t="s">
        <v>2143</v>
      </c>
      <c r="I380" s="12" t="s">
        <v>35</v>
      </c>
      <c r="J380" s="12" t="s">
        <v>39</v>
      </c>
      <c r="K380" s="10" t="s">
        <v>87</v>
      </c>
      <c r="L380" s="10" t="s">
        <v>87</v>
      </c>
      <c r="M380" s="12" t="s">
        <v>87</v>
      </c>
      <c r="N380" s="36" t="s">
        <v>2167</v>
      </c>
      <c r="O380" s="34">
        <v>104</v>
      </c>
      <c r="P380" s="6" t="s">
        <v>87</v>
      </c>
      <c r="Q380" s="34" t="s">
        <v>87</v>
      </c>
      <c r="R380" s="6" t="s">
        <v>87</v>
      </c>
      <c r="S380" s="6" t="s">
        <v>87</v>
      </c>
      <c r="T380" s="12">
        <f>Tableau1[[#This Row],[Loyer €/m²]]*Tableau1[[#This Row],[Surface GLA]]</f>
        <v>31200</v>
      </c>
      <c r="U380" s="12">
        <f>IFERROR(Tableau1[[#This Row],[Loyer annuel]]/12,"")</f>
        <v>2600</v>
      </c>
      <c r="V380" s="12">
        <v>300</v>
      </c>
      <c r="W380" s="6" t="s">
        <v>87</v>
      </c>
      <c r="X380" s="6">
        <f>Tableau1[[#This Row],[Charges €/m²]]*Tableau1[[#This Row],[Surface GLA]]</f>
        <v>5720</v>
      </c>
      <c r="Y380" s="12">
        <f>Tableau1[[#This Row],[Charges annuelles]]/12</f>
        <v>476.66666666666669</v>
      </c>
      <c r="Z380" s="12">
        <v>55</v>
      </c>
      <c r="AA380" s="12">
        <f>IFERROR(Tableau1[[#This Row],[Taxe foncière €/m²]]*Tableau1[[#This Row],[Surface GLA]],)</f>
        <v>1664</v>
      </c>
      <c r="AB380" s="12">
        <v>16</v>
      </c>
      <c r="AC380" s="12">
        <f>IFERROR(Tableau1[[#This Row],[Marketing €/m²]]*Tableau1[[#This Row],[Surface GLA]],)</f>
        <v>0</v>
      </c>
      <c r="AD380" s="12"/>
      <c r="AE380" s="12">
        <f>IFERROR(Tableau1[[#This Row],[Loyer annuel]]+Tableau1[[#This Row],[Charges annuelles]]+Tableau1[[#This Row],[Taxe foncière]]+Tableau1[[#This Row],[Marketing]],"")</f>
        <v>38584</v>
      </c>
      <c r="AF380" s="12" t="str">
        <f t="shared" si="22"/>
        <v>3 mois = 7 800 €</v>
      </c>
      <c r="AG380" s="6" t="s">
        <v>87</v>
      </c>
      <c r="AH380" s="6" t="s">
        <v>87</v>
      </c>
      <c r="AI380" s="12" t="s">
        <v>346</v>
      </c>
      <c r="AJ380" s="10" t="s">
        <v>358</v>
      </c>
      <c r="AK380" s="10" t="s">
        <v>352</v>
      </c>
      <c r="AL380" s="10" t="s">
        <v>2360</v>
      </c>
      <c r="AM380" s="11" t="s">
        <v>2357</v>
      </c>
      <c r="AN380" s="11" t="s">
        <v>1308</v>
      </c>
      <c r="AO380" s="5" t="s">
        <v>350</v>
      </c>
      <c r="AP380" s="11" t="s">
        <v>2162</v>
      </c>
      <c r="AQ380" s="11" t="s">
        <v>2163</v>
      </c>
      <c r="AR380" s="11" t="s">
        <v>2151</v>
      </c>
      <c r="AS380" s="36" t="s">
        <v>2164</v>
      </c>
      <c r="AT380" s="11" t="s">
        <v>59</v>
      </c>
      <c r="AU380" s="11"/>
      <c r="AV380" s="13" t="s">
        <v>1746</v>
      </c>
      <c r="AW380" s="14"/>
      <c r="AX380" s="44">
        <v>46175</v>
      </c>
    </row>
    <row r="381" spans="1:50" ht="38.25">
      <c r="A381" s="38" t="str">
        <f>VLOOKUP(Tableau1[[#This Row],[N° Département]],Feuil1!$C$6:$E$106,3)</f>
        <v>Grand Est</v>
      </c>
      <c r="B381" s="38" t="str">
        <f>VLOOKUP(Tableau1[[#This Row],[N° Département]],Feuil1!$C$6:$E$106,2)</f>
        <v>Moselle</v>
      </c>
      <c r="C381" s="38">
        <f>LEFT(Tableau1[[#This Row],[Code Postal]],2)*1</f>
        <v>57</v>
      </c>
      <c r="D381" s="10" t="s">
        <v>2361</v>
      </c>
      <c r="E381" s="26">
        <v>57100</v>
      </c>
      <c r="F381" s="10" t="s">
        <v>2165</v>
      </c>
      <c r="G381" s="39" t="str">
        <f>Tableau1[[#This Row],[Rue]]&amp;CHAR(10)&amp;Tableau1[[#This Row],[Code Postal]]&amp;" - "&amp;Tableau1[[#This Row],[Ville]]</f>
        <v>Carrefour, La Cour des Capucins, 13 rue du Cygne
57100 - Thionville</v>
      </c>
      <c r="H381" s="15" t="s">
        <v>2166</v>
      </c>
      <c r="I381" s="12" t="s">
        <v>35</v>
      </c>
      <c r="J381" s="12" t="s">
        <v>39</v>
      </c>
      <c r="K381" s="10" t="s">
        <v>87</v>
      </c>
      <c r="L381" s="10" t="s">
        <v>87</v>
      </c>
      <c r="M381" s="12" t="s">
        <v>87</v>
      </c>
      <c r="N381" s="36" t="s">
        <v>278</v>
      </c>
      <c r="O381" s="34">
        <v>202</v>
      </c>
      <c r="P381" s="6" t="s">
        <v>87</v>
      </c>
      <c r="Q381" s="34">
        <v>388</v>
      </c>
      <c r="R381" s="6" t="s">
        <v>87</v>
      </c>
      <c r="S381" s="6" t="s">
        <v>87</v>
      </c>
      <c r="T381" s="12">
        <f>Tableau1[[#This Row],[Loyer €/m²]]*Tableau1[[#This Row],[Surface GLA]]</f>
        <v>40400</v>
      </c>
      <c r="U381" s="12">
        <f>IFERROR(Tableau1[[#This Row],[Loyer annuel]]/12,"")</f>
        <v>3366.6666666666665</v>
      </c>
      <c r="V381" s="12">
        <v>200</v>
      </c>
      <c r="W381" s="6" t="s">
        <v>87</v>
      </c>
      <c r="X381" s="6">
        <f>Tableau1[[#This Row],[Charges €/m²]]*Tableau1[[#This Row],[Surface GLA]]</f>
        <v>9090</v>
      </c>
      <c r="Y381" s="12">
        <f>Tableau1[[#This Row],[Charges annuelles]]/12</f>
        <v>757.5</v>
      </c>
      <c r="Z381" s="12">
        <v>45</v>
      </c>
      <c r="AA381" s="12">
        <f>IFERROR(Tableau1[[#This Row],[Taxe foncière €/m²]]*Tableau1[[#This Row],[Surface GLA]],)</f>
        <v>3232</v>
      </c>
      <c r="AB381" s="12">
        <v>16</v>
      </c>
      <c r="AC381" s="12">
        <f>IFERROR(Tableau1[[#This Row],[Marketing €/m²]]*Tableau1[[#This Row],[Surface GLA]],)</f>
        <v>5050</v>
      </c>
      <c r="AD381" s="12">
        <v>25</v>
      </c>
      <c r="AE381" s="12">
        <f>IFERROR(Tableau1[[#This Row],[Loyer annuel]]+Tableau1[[#This Row],[Charges annuelles]]+Tableau1[[#This Row],[Taxe foncière]]+Tableau1[[#This Row],[Marketing]],"")</f>
        <v>57772</v>
      </c>
      <c r="AF381" s="12" t="str">
        <f t="shared" ref="AF381:AF395" si="23">"3 mois = "&amp;TEXT(ROUND(3/12*T381,0),"### ### ##0 €")</f>
        <v>3 mois = 10 100 €</v>
      </c>
      <c r="AG381" s="6" t="s">
        <v>87</v>
      </c>
      <c r="AH381" s="6" t="s">
        <v>87</v>
      </c>
      <c r="AI381" s="12" t="s">
        <v>346</v>
      </c>
      <c r="AJ381" s="10"/>
      <c r="AK381" s="10"/>
      <c r="AL381" s="10" t="s">
        <v>2362</v>
      </c>
      <c r="AM381" s="11" t="s">
        <v>2359</v>
      </c>
      <c r="AN381" s="11" t="s">
        <v>1308</v>
      </c>
      <c r="AO381" s="5" t="s">
        <v>350</v>
      </c>
      <c r="AP381" s="11" t="s">
        <v>2192</v>
      </c>
      <c r="AQ381" s="11" t="s">
        <v>2193</v>
      </c>
      <c r="AR381" s="11" t="s">
        <v>2179</v>
      </c>
      <c r="AS381" s="36" t="s">
        <v>2218</v>
      </c>
      <c r="AT381" s="11" t="s">
        <v>59</v>
      </c>
      <c r="AU381" s="11"/>
      <c r="AV381" s="13" t="s">
        <v>1746</v>
      </c>
      <c r="AW381" s="14"/>
      <c r="AX381" s="44">
        <v>46175</v>
      </c>
    </row>
    <row r="382" spans="1:50" ht="38.25">
      <c r="A382" s="38" t="str">
        <f>VLOOKUP(Tableau1[[#This Row],[N° Département]],Feuil1!$C$6:$E$106,3)</f>
        <v>Grand Est</v>
      </c>
      <c r="B382" s="38" t="str">
        <f>VLOOKUP(Tableau1[[#This Row],[N° Département]],Feuil1!$C$6:$E$106,2)</f>
        <v>Moselle</v>
      </c>
      <c r="C382" s="38">
        <f>LEFT(Tableau1[[#This Row],[Code Postal]],2)*1</f>
        <v>57</v>
      </c>
      <c r="D382" s="10" t="s">
        <v>2361</v>
      </c>
      <c r="E382" s="10">
        <v>57100</v>
      </c>
      <c r="F382" s="10" t="s">
        <v>2165</v>
      </c>
      <c r="G382" s="39" t="str">
        <f>Tableau1[[#This Row],[Rue]]&amp;CHAR(10)&amp;Tableau1[[#This Row],[Code Postal]]&amp;" - "&amp;Tableau1[[#This Row],[Ville]]</f>
        <v>Carrefour, La Cour des Capucins, 13 rue du Cygne
57100 - Thionville</v>
      </c>
      <c r="H382" s="52" t="s">
        <v>2166</v>
      </c>
      <c r="I382" s="12" t="s">
        <v>35</v>
      </c>
      <c r="J382" s="12" t="s">
        <v>39</v>
      </c>
      <c r="K382" s="10" t="s">
        <v>87</v>
      </c>
      <c r="L382" s="10" t="s">
        <v>87</v>
      </c>
      <c r="M382" s="12" t="s">
        <v>87</v>
      </c>
      <c r="N382" s="36" t="s">
        <v>2168</v>
      </c>
      <c r="O382" s="34">
        <v>186</v>
      </c>
      <c r="P382" s="6" t="s">
        <v>87</v>
      </c>
      <c r="Q382" s="34">
        <v>388</v>
      </c>
      <c r="R382" s="6" t="s">
        <v>87</v>
      </c>
      <c r="S382" s="6" t="s">
        <v>87</v>
      </c>
      <c r="T382" s="12">
        <f>Tableau1[[#This Row],[Loyer €/m²]]*Tableau1[[#This Row],[Surface GLA]]</f>
        <v>46500</v>
      </c>
      <c r="U382" s="12">
        <f>IFERROR(Tableau1[[#This Row],[Loyer annuel]]/12,"")</f>
        <v>3875</v>
      </c>
      <c r="V382" s="12">
        <v>250</v>
      </c>
      <c r="W382" s="6" t="s">
        <v>87</v>
      </c>
      <c r="X382" s="6">
        <f>Tableau1[[#This Row],[Charges €/m²]]*Tableau1[[#This Row],[Surface GLA]]</f>
        <v>8370</v>
      </c>
      <c r="Y382" s="12">
        <f>Tableau1[[#This Row],[Charges annuelles]]/12</f>
        <v>697.5</v>
      </c>
      <c r="Z382" s="12">
        <v>45</v>
      </c>
      <c r="AA382" s="12">
        <f>IFERROR(Tableau1[[#This Row],[Taxe foncière €/m²]]*Tableau1[[#This Row],[Surface GLA]],)</f>
        <v>2976</v>
      </c>
      <c r="AB382" s="12">
        <v>16</v>
      </c>
      <c r="AC382" s="12">
        <f>IFERROR(Tableau1[[#This Row],[Marketing €/m²]]*Tableau1[[#This Row],[Surface GLA]],)</f>
        <v>4650</v>
      </c>
      <c r="AD382" s="12">
        <v>25</v>
      </c>
      <c r="AE382" s="12">
        <f>IFERROR(Tableau1[[#This Row],[Loyer annuel]]+Tableau1[[#This Row],[Charges annuelles]]+Tableau1[[#This Row],[Taxe foncière]]+Tableau1[[#This Row],[Marketing]],"")</f>
        <v>62496</v>
      </c>
      <c r="AF382" s="12" t="str">
        <f t="shared" si="23"/>
        <v>3 mois = 11 625 €</v>
      </c>
      <c r="AG382" s="6" t="s">
        <v>87</v>
      </c>
      <c r="AH382" s="6" t="s">
        <v>87</v>
      </c>
      <c r="AI382" s="12" t="s">
        <v>346</v>
      </c>
      <c r="AJ382" s="10"/>
      <c r="AK382" s="10"/>
      <c r="AL382" s="10" t="s">
        <v>2362</v>
      </c>
      <c r="AM382" s="11" t="s">
        <v>2359</v>
      </c>
      <c r="AN382" s="11" t="s">
        <v>1308</v>
      </c>
      <c r="AO382" s="5" t="s">
        <v>350</v>
      </c>
      <c r="AP382" s="11" t="s">
        <v>2194</v>
      </c>
      <c r="AQ382" s="11" t="s">
        <v>2195</v>
      </c>
      <c r="AR382" s="11" t="s">
        <v>2180</v>
      </c>
      <c r="AS382" s="36" t="s">
        <v>2218</v>
      </c>
      <c r="AT382" s="11" t="s">
        <v>59</v>
      </c>
      <c r="AU382" s="11"/>
      <c r="AV382" s="13" t="s">
        <v>1746</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2361</v>
      </c>
      <c r="E383" s="10">
        <v>57100</v>
      </c>
      <c r="F383" s="10" t="s">
        <v>2165</v>
      </c>
      <c r="G383" s="39" t="str">
        <f>Tableau1[[#This Row],[Rue]]&amp;CHAR(10)&amp;Tableau1[[#This Row],[Code Postal]]&amp;" - "&amp;Tableau1[[#This Row],[Ville]]</f>
        <v>Carrefour, La Cour des Capucins, 13 rue du Cygne
57100 - Thionville</v>
      </c>
      <c r="H383" s="52" t="s">
        <v>2166</v>
      </c>
      <c r="I383" s="12" t="s">
        <v>35</v>
      </c>
      <c r="J383" s="12" t="s">
        <v>39</v>
      </c>
      <c r="K383" s="10" t="s">
        <v>87</v>
      </c>
      <c r="L383" s="10" t="s">
        <v>87</v>
      </c>
      <c r="M383" s="12" t="s">
        <v>87</v>
      </c>
      <c r="N383" s="36" t="s">
        <v>2169</v>
      </c>
      <c r="O383" s="34">
        <v>77</v>
      </c>
      <c r="P383" s="6" t="s">
        <v>87</v>
      </c>
      <c r="Q383" s="34" t="s">
        <v>87</v>
      </c>
      <c r="R383" s="6" t="s">
        <v>87</v>
      </c>
      <c r="S383" s="6" t="s">
        <v>87</v>
      </c>
      <c r="T383" s="12">
        <f>Tableau1[[#This Row],[Loyer €/m²]]*Tableau1[[#This Row],[Surface GLA]]</f>
        <v>23100</v>
      </c>
      <c r="U383" s="12">
        <f>IFERROR(Tableau1[[#This Row],[Loyer annuel]]/12,"")</f>
        <v>1925</v>
      </c>
      <c r="V383" s="12">
        <v>300</v>
      </c>
      <c r="W383" s="6" t="s">
        <v>87</v>
      </c>
      <c r="X383" s="6">
        <f>Tableau1[[#This Row],[Charges €/m²]]*Tableau1[[#This Row],[Surface GLA]]</f>
        <v>3465</v>
      </c>
      <c r="Y383" s="12">
        <f>Tableau1[[#This Row],[Charges annuelles]]/12</f>
        <v>288.75</v>
      </c>
      <c r="Z383" s="12">
        <v>45</v>
      </c>
      <c r="AA383" s="12">
        <f>IFERROR(Tableau1[[#This Row],[Taxe foncière €/m²]]*Tableau1[[#This Row],[Surface GLA]],)</f>
        <v>1232</v>
      </c>
      <c r="AB383" s="12">
        <v>16</v>
      </c>
      <c r="AC383" s="12">
        <f>IFERROR(Tableau1[[#This Row],[Marketing €/m²]]*Tableau1[[#This Row],[Surface GLA]],)</f>
        <v>1925</v>
      </c>
      <c r="AD383" s="12">
        <v>25</v>
      </c>
      <c r="AE383" s="12">
        <f>IFERROR(Tableau1[[#This Row],[Loyer annuel]]+Tableau1[[#This Row],[Charges annuelles]]+Tableau1[[#This Row],[Taxe foncière]]+Tableau1[[#This Row],[Marketing]],"")</f>
        <v>29722</v>
      </c>
      <c r="AF383" s="12" t="str">
        <f t="shared" si="23"/>
        <v>3 mois = 5 775 €</v>
      </c>
      <c r="AG383" s="6" t="s">
        <v>87</v>
      </c>
      <c r="AH383" s="6" t="s">
        <v>87</v>
      </c>
      <c r="AI383" s="12" t="s">
        <v>346</v>
      </c>
      <c r="AJ383" s="10" t="s">
        <v>358</v>
      </c>
      <c r="AK383" s="10" t="s">
        <v>352</v>
      </c>
      <c r="AL383" s="10" t="s">
        <v>2362</v>
      </c>
      <c r="AM383" s="11" t="s">
        <v>2359</v>
      </c>
      <c r="AN383" s="11" t="s">
        <v>1308</v>
      </c>
      <c r="AO383" s="5" t="s">
        <v>350</v>
      </c>
      <c r="AP383" s="11" t="s">
        <v>2196</v>
      </c>
      <c r="AQ383" s="11" t="s">
        <v>2197</v>
      </c>
      <c r="AR383" s="11" t="s">
        <v>2182</v>
      </c>
      <c r="AS383" s="36" t="s">
        <v>2218</v>
      </c>
      <c r="AT383" s="11" t="s">
        <v>59</v>
      </c>
      <c r="AU383" s="11"/>
      <c r="AV383" s="13" t="s">
        <v>1746</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2361</v>
      </c>
      <c r="E384" s="10">
        <v>57100</v>
      </c>
      <c r="F384" s="10" t="s">
        <v>2165</v>
      </c>
      <c r="G384" s="39" t="str">
        <f>Tableau1[[#This Row],[Rue]]&amp;CHAR(10)&amp;Tableau1[[#This Row],[Code Postal]]&amp;" - "&amp;Tableau1[[#This Row],[Ville]]</f>
        <v>Carrefour, La Cour des Capucins, 13 rue du Cygne
57100 - Thionville</v>
      </c>
      <c r="H384" s="52" t="s">
        <v>2166</v>
      </c>
      <c r="I384" s="12" t="s">
        <v>35</v>
      </c>
      <c r="J384" s="12" t="s">
        <v>39</v>
      </c>
      <c r="K384" s="10" t="s">
        <v>87</v>
      </c>
      <c r="L384" s="10" t="s">
        <v>87</v>
      </c>
      <c r="M384" s="12" t="s">
        <v>87</v>
      </c>
      <c r="N384" s="36" t="s">
        <v>280</v>
      </c>
      <c r="O384" s="34">
        <v>129</v>
      </c>
      <c r="P384" s="6" t="s">
        <v>87</v>
      </c>
      <c r="Q384" s="34" t="s">
        <v>87</v>
      </c>
      <c r="R384" s="6" t="s">
        <v>87</v>
      </c>
      <c r="S384" s="6" t="s">
        <v>87</v>
      </c>
      <c r="T384" s="12">
        <f>Tableau1[[#This Row],[Loyer €/m²]]*Tableau1[[#This Row],[Surface GLA]]</f>
        <v>32250</v>
      </c>
      <c r="U384" s="12">
        <f>IFERROR(Tableau1[[#This Row],[Loyer annuel]]/12,"")</f>
        <v>2687.5</v>
      </c>
      <c r="V384" s="12">
        <v>250</v>
      </c>
      <c r="W384" s="6" t="s">
        <v>87</v>
      </c>
      <c r="X384" s="6">
        <f>Tableau1[[#This Row],[Charges €/m²]]*Tableau1[[#This Row],[Surface GLA]]</f>
        <v>5805</v>
      </c>
      <c r="Y384" s="12">
        <f>Tableau1[[#This Row],[Charges annuelles]]/12</f>
        <v>483.75</v>
      </c>
      <c r="Z384" s="12">
        <v>45</v>
      </c>
      <c r="AA384" s="12">
        <f>IFERROR(Tableau1[[#This Row],[Taxe foncière €/m²]]*Tableau1[[#This Row],[Surface GLA]],)</f>
        <v>2064</v>
      </c>
      <c r="AB384" s="12">
        <v>16</v>
      </c>
      <c r="AC384" s="12">
        <f>IFERROR(Tableau1[[#This Row],[Marketing €/m²]]*Tableau1[[#This Row],[Surface GLA]],)</f>
        <v>3225</v>
      </c>
      <c r="AD384" s="12">
        <v>25</v>
      </c>
      <c r="AE384" s="12">
        <f>IFERROR(Tableau1[[#This Row],[Loyer annuel]]+Tableau1[[#This Row],[Charges annuelles]]+Tableau1[[#This Row],[Taxe foncière]]+Tableau1[[#This Row],[Marketing]],"")</f>
        <v>43344</v>
      </c>
      <c r="AF384" s="12" t="str">
        <f t="shared" si="23"/>
        <v>3 mois = 8 063 €</v>
      </c>
      <c r="AG384" s="6" t="s">
        <v>87</v>
      </c>
      <c r="AH384" s="6" t="s">
        <v>87</v>
      </c>
      <c r="AI384" s="12" t="s">
        <v>346</v>
      </c>
      <c r="AJ384" s="10" t="s">
        <v>358</v>
      </c>
      <c r="AK384" s="10" t="s">
        <v>352</v>
      </c>
      <c r="AL384" s="10" t="s">
        <v>2362</v>
      </c>
      <c r="AM384" s="11" t="s">
        <v>2359</v>
      </c>
      <c r="AN384" s="11" t="s">
        <v>1308</v>
      </c>
      <c r="AO384" s="5" t="s">
        <v>350</v>
      </c>
      <c r="AP384" s="11" t="s">
        <v>2198</v>
      </c>
      <c r="AQ384" s="11" t="s">
        <v>2199</v>
      </c>
      <c r="AR384" s="11" t="s">
        <v>2183</v>
      </c>
      <c r="AS384" s="36" t="s">
        <v>2218</v>
      </c>
      <c r="AT384" s="11" t="s">
        <v>59</v>
      </c>
      <c r="AU384" s="11"/>
      <c r="AV384" s="13" t="s">
        <v>1746</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2361</v>
      </c>
      <c r="E385" s="10">
        <v>57100</v>
      </c>
      <c r="F385" s="10" t="s">
        <v>2165</v>
      </c>
      <c r="G385" s="39" t="str">
        <f>Tableau1[[#This Row],[Rue]]&amp;CHAR(10)&amp;Tableau1[[#This Row],[Code Postal]]&amp;" - "&amp;Tableau1[[#This Row],[Ville]]</f>
        <v>Carrefour, La Cour des Capucins, 13 rue du Cygne
57100 - Thionville</v>
      </c>
      <c r="H385" s="52" t="s">
        <v>2166</v>
      </c>
      <c r="I385" s="12" t="s">
        <v>35</v>
      </c>
      <c r="J385" s="12" t="s">
        <v>39</v>
      </c>
      <c r="K385" s="10" t="s">
        <v>87</v>
      </c>
      <c r="L385" s="10" t="s">
        <v>87</v>
      </c>
      <c r="M385" s="12" t="s">
        <v>87</v>
      </c>
      <c r="N385" s="36" t="s">
        <v>2170</v>
      </c>
      <c r="O385" s="34">
        <v>142</v>
      </c>
      <c r="P385" s="6" t="s">
        <v>87</v>
      </c>
      <c r="Q385" s="34" t="s">
        <v>87</v>
      </c>
      <c r="R385" s="6" t="s">
        <v>87</v>
      </c>
      <c r="S385" s="6" t="s">
        <v>87</v>
      </c>
      <c r="T385" s="12">
        <f>Tableau1[[#This Row],[Loyer €/m²]]*Tableau1[[#This Row],[Surface GLA]]</f>
        <v>35500</v>
      </c>
      <c r="U385" s="12">
        <f>IFERROR(Tableau1[[#This Row],[Loyer annuel]]/12,"")</f>
        <v>2958.3333333333335</v>
      </c>
      <c r="V385" s="12">
        <v>250</v>
      </c>
      <c r="W385" s="6" t="s">
        <v>87</v>
      </c>
      <c r="X385" s="6">
        <f>Tableau1[[#This Row],[Charges €/m²]]*Tableau1[[#This Row],[Surface GLA]]</f>
        <v>6390</v>
      </c>
      <c r="Y385" s="12">
        <f>Tableau1[[#This Row],[Charges annuelles]]/12</f>
        <v>532.5</v>
      </c>
      <c r="Z385" s="12">
        <v>45</v>
      </c>
      <c r="AA385" s="12">
        <f>IFERROR(Tableau1[[#This Row],[Taxe foncière €/m²]]*Tableau1[[#This Row],[Surface GLA]],)</f>
        <v>2272</v>
      </c>
      <c r="AB385" s="12">
        <v>16</v>
      </c>
      <c r="AC385" s="12">
        <f>IFERROR(Tableau1[[#This Row],[Marketing €/m²]]*Tableau1[[#This Row],[Surface GLA]],)</f>
        <v>3550</v>
      </c>
      <c r="AD385" s="12">
        <v>25</v>
      </c>
      <c r="AE385" s="12">
        <f>IFERROR(Tableau1[[#This Row],[Loyer annuel]]+Tableau1[[#This Row],[Charges annuelles]]+Tableau1[[#This Row],[Taxe foncière]]+Tableau1[[#This Row],[Marketing]],"")</f>
        <v>47712</v>
      </c>
      <c r="AF385" s="12" t="str">
        <f t="shared" si="23"/>
        <v>3 mois = 8 875 €</v>
      </c>
      <c r="AG385" s="6" t="s">
        <v>87</v>
      </c>
      <c r="AH385" s="6" t="s">
        <v>87</v>
      </c>
      <c r="AI385" s="12" t="s">
        <v>346</v>
      </c>
      <c r="AJ385" s="10"/>
      <c r="AK385" s="10"/>
      <c r="AL385" s="10" t="s">
        <v>2362</v>
      </c>
      <c r="AM385" s="11" t="s">
        <v>2359</v>
      </c>
      <c r="AN385" s="11" t="s">
        <v>1308</v>
      </c>
      <c r="AO385" s="5" t="s">
        <v>350</v>
      </c>
      <c r="AP385" s="11" t="s">
        <v>2200</v>
      </c>
      <c r="AQ385" s="11" t="s">
        <v>2201</v>
      </c>
      <c r="AR385" s="11" t="s">
        <v>2181</v>
      </c>
      <c r="AS385" s="36" t="s">
        <v>2218</v>
      </c>
      <c r="AT385" s="11" t="s">
        <v>59</v>
      </c>
      <c r="AU385" s="11"/>
      <c r="AV385" s="13" t="s">
        <v>1746</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2361</v>
      </c>
      <c r="E386" s="10">
        <v>57100</v>
      </c>
      <c r="F386" s="10" t="s">
        <v>2165</v>
      </c>
      <c r="G386" s="39" t="str">
        <f>Tableau1[[#This Row],[Rue]]&amp;CHAR(10)&amp;Tableau1[[#This Row],[Code Postal]]&amp;" - "&amp;Tableau1[[#This Row],[Ville]]</f>
        <v>Carrefour, La Cour des Capucins, 13 rue du Cygne
57100 - Thionville</v>
      </c>
      <c r="H386" s="52" t="s">
        <v>2166</v>
      </c>
      <c r="I386" s="12" t="s">
        <v>35</v>
      </c>
      <c r="J386" s="12" t="s">
        <v>39</v>
      </c>
      <c r="K386" s="10" t="s">
        <v>87</v>
      </c>
      <c r="L386" s="10" t="s">
        <v>87</v>
      </c>
      <c r="M386" s="12" t="s">
        <v>87</v>
      </c>
      <c r="N386" s="36" t="s">
        <v>2171</v>
      </c>
      <c r="O386" s="34">
        <v>76</v>
      </c>
      <c r="P386" s="6" t="s">
        <v>87</v>
      </c>
      <c r="Q386" s="34">
        <v>174</v>
      </c>
      <c r="R386" s="6" t="s">
        <v>87</v>
      </c>
      <c r="S386" s="6" t="s">
        <v>87</v>
      </c>
      <c r="T386" s="12">
        <f>Tableau1[[#This Row],[Loyer €/m²]]*Tableau1[[#This Row],[Surface GLA]]</f>
        <v>22800</v>
      </c>
      <c r="U386" s="12">
        <f>IFERROR(Tableau1[[#This Row],[Loyer annuel]]/12,"")</f>
        <v>1900</v>
      </c>
      <c r="V386" s="12">
        <v>300</v>
      </c>
      <c r="W386" s="6" t="s">
        <v>87</v>
      </c>
      <c r="X386" s="6">
        <f>Tableau1[[#This Row],[Charges €/m²]]*Tableau1[[#This Row],[Surface GLA]]</f>
        <v>3420</v>
      </c>
      <c r="Y386" s="12">
        <f>Tableau1[[#This Row],[Charges annuelles]]/12</f>
        <v>285</v>
      </c>
      <c r="Z386" s="12">
        <v>45</v>
      </c>
      <c r="AA386" s="12">
        <f>IFERROR(Tableau1[[#This Row],[Taxe foncière €/m²]]*Tableau1[[#This Row],[Surface GLA]],)</f>
        <v>1216</v>
      </c>
      <c r="AB386" s="12">
        <v>16</v>
      </c>
      <c r="AC386" s="12">
        <f>IFERROR(Tableau1[[#This Row],[Marketing €/m²]]*Tableau1[[#This Row],[Surface GLA]],)</f>
        <v>1900</v>
      </c>
      <c r="AD386" s="12">
        <v>25</v>
      </c>
      <c r="AE386" s="12">
        <f>IFERROR(Tableau1[[#This Row],[Loyer annuel]]+Tableau1[[#This Row],[Charges annuelles]]+Tableau1[[#This Row],[Taxe foncière]]+Tableau1[[#This Row],[Marketing]],"")</f>
        <v>29336</v>
      </c>
      <c r="AF386" s="12" t="str">
        <f t="shared" si="23"/>
        <v>3 mois = 5 700 €</v>
      </c>
      <c r="AG386" s="6" t="s">
        <v>87</v>
      </c>
      <c r="AH386" s="6" t="s">
        <v>87</v>
      </c>
      <c r="AI386" s="12" t="s">
        <v>346</v>
      </c>
      <c r="AJ386" s="10"/>
      <c r="AK386" s="10"/>
      <c r="AL386" s="10" t="s">
        <v>2362</v>
      </c>
      <c r="AM386" s="11" t="s">
        <v>2359</v>
      </c>
      <c r="AN386" s="11" t="s">
        <v>1308</v>
      </c>
      <c r="AO386" s="5" t="s">
        <v>350</v>
      </c>
      <c r="AP386" s="11" t="s">
        <v>2202</v>
      </c>
      <c r="AQ386" s="11" t="s">
        <v>2203</v>
      </c>
      <c r="AR386" s="11" t="s">
        <v>2184</v>
      </c>
      <c r="AS386" s="36" t="s">
        <v>2218</v>
      </c>
      <c r="AT386" s="11" t="s">
        <v>59</v>
      </c>
      <c r="AU386" s="11"/>
      <c r="AV386" s="13" t="s">
        <v>1746</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2361</v>
      </c>
      <c r="E387" s="10">
        <v>57100</v>
      </c>
      <c r="F387" s="10" t="s">
        <v>2165</v>
      </c>
      <c r="G387" s="39" t="str">
        <f>Tableau1[[#This Row],[Rue]]&amp;CHAR(10)&amp;Tableau1[[#This Row],[Code Postal]]&amp;" - "&amp;Tableau1[[#This Row],[Ville]]</f>
        <v>Carrefour, La Cour des Capucins, 13 rue du Cygne
57100 - Thionville</v>
      </c>
      <c r="H387" s="52" t="s">
        <v>2166</v>
      </c>
      <c r="I387" s="12" t="s">
        <v>35</v>
      </c>
      <c r="J387" s="12" t="s">
        <v>39</v>
      </c>
      <c r="K387" s="10" t="s">
        <v>87</v>
      </c>
      <c r="L387" s="10" t="s">
        <v>87</v>
      </c>
      <c r="M387" s="12" t="s">
        <v>87</v>
      </c>
      <c r="N387" s="36" t="s">
        <v>2172</v>
      </c>
      <c r="O387" s="34">
        <v>98</v>
      </c>
      <c r="P387" s="6" t="s">
        <v>87</v>
      </c>
      <c r="Q387" s="34">
        <v>174</v>
      </c>
      <c r="R387" s="6" t="s">
        <v>87</v>
      </c>
      <c r="S387" s="6" t="s">
        <v>87</v>
      </c>
      <c r="T387" s="12">
        <f>Tableau1[[#This Row],[Loyer €/m²]]*Tableau1[[#This Row],[Surface GLA]]</f>
        <v>29400</v>
      </c>
      <c r="U387" s="12">
        <f>IFERROR(Tableau1[[#This Row],[Loyer annuel]]/12,"")</f>
        <v>2450</v>
      </c>
      <c r="V387" s="12">
        <v>300</v>
      </c>
      <c r="W387" s="6" t="s">
        <v>87</v>
      </c>
      <c r="X387" s="6">
        <f>Tableau1[[#This Row],[Charges €/m²]]*Tableau1[[#This Row],[Surface GLA]]</f>
        <v>4410</v>
      </c>
      <c r="Y387" s="12">
        <f>Tableau1[[#This Row],[Charges annuelles]]/12</f>
        <v>367.5</v>
      </c>
      <c r="Z387" s="12">
        <v>45</v>
      </c>
      <c r="AA387" s="12">
        <f>IFERROR(Tableau1[[#This Row],[Taxe foncière €/m²]]*Tableau1[[#This Row],[Surface GLA]],)</f>
        <v>1568</v>
      </c>
      <c r="AB387" s="12">
        <v>16</v>
      </c>
      <c r="AC387" s="12">
        <f>IFERROR(Tableau1[[#This Row],[Marketing €/m²]]*Tableau1[[#This Row],[Surface GLA]],)</f>
        <v>2450</v>
      </c>
      <c r="AD387" s="12">
        <v>25</v>
      </c>
      <c r="AE387" s="12">
        <f>IFERROR(Tableau1[[#This Row],[Loyer annuel]]+Tableau1[[#This Row],[Charges annuelles]]+Tableau1[[#This Row],[Taxe foncière]]+Tableau1[[#This Row],[Marketing]],"")</f>
        <v>37828</v>
      </c>
      <c r="AF387" s="12" t="str">
        <f t="shared" si="23"/>
        <v>3 mois = 7 350 €</v>
      </c>
      <c r="AG387" s="6" t="s">
        <v>87</v>
      </c>
      <c r="AH387" s="6" t="s">
        <v>87</v>
      </c>
      <c r="AI387" s="12" t="s">
        <v>346</v>
      </c>
      <c r="AJ387" s="10"/>
      <c r="AK387" s="10"/>
      <c r="AL387" s="10" t="s">
        <v>2362</v>
      </c>
      <c r="AM387" s="11" t="s">
        <v>2359</v>
      </c>
      <c r="AN387" s="11" t="s">
        <v>1308</v>
      </c>
      <c r="AO387" s="5" t="s">
        <v>350</v>
      </c>
      <c r="AP387" s="11" t="s">
        <v>2204</v>
      </c>
      <c r="AQ387" s="11" t="s">
        <v>2205</v>
      </c>
      <c r="AR387" s="11" t="s">
        <v>2185</v>
      </c>
      <c r="AS387" s="36" t="s">
        <v>2218</v>
      </c>
      <c r="AT387" s="11" t="s">
        <v>59</v>
      </c>
      <c r="AU387" s="11"/>
      <c r="AV387" s="13" t="s">
        <v>1746</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2361</v>
      </c>
      <c r="E388" s="10">
        <v>57100</v>
      </c>
      <c r="F388" s="10" t="s">
        <v>2165</v>
      </c>
      <c r="G388" s="39" t="str">
        <f>Tableau1[[#This Row],[Rue]]&amp;CHAR(10)&amp;Tableau1[[#This Row],[Code Postal]]&amp;" - "&amp;Tableau1[[#This Row],[Ville]]</f>
        <v>Carrefour, La Cour des Capucins, 13 rue du Cygne
57100 - Thionville</v>
      </c>
      <c r="H388" s="52" t="s">
        <v>2166</v>
      </c>
      <c r="I388" s="12" t="s">
        <v>35</v>
      </c>
      <c r="J388" s="12" t="s">
        <v>39</v>
      </c>
      <c r="K388" s="10" t="s">
        <v>87</v>
      </c>
      <c r="L388" s="10" t="s">
        <v>87</v>
      </c>
      <c r="M388" s="12" t="s">
        <v>87</v>
      </c>
      <c r="N388" s="36" t="s">
        <v>2173</v>
      </c>
      <c r="O388" s="34">
        <v>145</v>
      </c>
      <c r="P388" s="6" t="s">
        <v>87</v>
      </c>
      <c r="Q388" s="34" t="s">
        <v>87</v>
      </c>
      <c r="R388" s="6" t="s">
        <v>87</v>
      </c>
      <c r="S388" s="6" t="s">
        <v>87</v>
      </c>
      <c r="T388" s="12">
        <f>Tableau1[[#This Row],[Loyer €/m²]]*Tableau1[[#This Row],[Surface GLA]]</f>
        <v>36250</v>
      </c>
      <c r="U388" s="12">
        <f>IFERROR(Tableau1[[#This Row],[Loyer annuel]]/12,"")</f>
        <v>3020.8333333333335</v>
      </c>
      <c r="V388" s="12">
        <v>250</v>
      </c>
      <c r="W388" s="6" t="s">
        <v>87</v>
      </c>
      <c r="X388" s="6">
        <f>Tableau1[[#This Row],[Charges €/m²]]*Tableau1[[#This Row],[Surface GLA]]</f>
        <v>6525</v>
      </c>
      <c r="Y388" s="12">
        <f>Tableau1[[#This Row],[Charges annuelles]]/12</f>
        <v>543.75</v>
      </c>
      <c r="Z388" s="12">
        <v>45</v>
      </c>
      <c r="AA388" s="12">
        <f>IFERROR(Tableau1[[#This Row],[Taxe foncière €/m²]]*Tableau1[[#This Row],[Surface GLA]],)</f>
        <v>2320</v>
      </c>
      <c r="AB388" s="12">
        <v>16</v>
      </c>
      <c r="AC388" s="12">
        <f>IFERROR(Tableau1[[#This Row],[Marketing €/m²]]*Tableau1[[#This Row],[Surface GLA]],)</f>
        <v>3625</v>
      </c>
      <c r="AD388" s="12">
        <v>25</v>
      </c>
      <c r="AE388" s="12">
        <f>IFERROR(Tableau1[[#This Row],[Loyer annuel]]+Tableau1[[#This Row],[Charges annuelles]]+Tableau1[[#This Row],[Taxe foncière]]+Tableau1[[#This Row],[Marketing]],"")</f>
        <v>48720</v>
      </c>
      <c r="AF388" s="12" t="str">
        <f t="shared" si="23"/>
        <v>3 mois = 9 063 €</v>
      </c>
      <c r="AG388" s="6" t="s">
        <v>87</v>
      </c>
      <c r="AH388" s="6" t="s">
        <v>87</v>
      </c>
      <c r="AI388" s="12" t="s">
        <v>346</v>
      </c>
      <c r="AJ388" s="10" t="s">
        <v>358</v>
      </c>
      <c r="AK388" s="10" t="s">
        <v>352</v>
      </c>
      <c r="AL388" s="10" t="s">
        <v>2362</v>
      </c>
      <c r="AM388" s="11" t="s">
        <v>2359</v>
      </c>
      <c r="AN388" s="11" t="s">
        <v>1308</v>
      </c>
      <c r="AO388" s="5" t="s">
        <v>350</v>
      </c>
      <c r="AP388" s="11" t="s">
        <v>2206</v>
      </c>
      <c r="AQ388" s="11" t="s">
        <v>2207</v>
      </c>
      <c r="AR388" s="11" t="s">
        <v>2186</v>
      </c>
      <c r="AS388" s="36" t="s">
        <v>2218</v>
      </c>
      <c r="AT388" s="11" t="s">
        <v>59</v>
      </c>
      <c r="AU388" s="11"/>
      <c r="AV388" s="13" t="s">
        <v>1746</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2361</v>
      </c>
      <c r="E389" s="10">
        <v>57100</v>
      </c>
      <c r="F389" s="10" t="s">
        <v>2165</v>
      </c>
      <c r="G389" s="39" t="str">
        <f>Tableau1[[#This Row],[Rue]]&amp;CHAR(10)&amp;Tableau1[[#This Row],[Code Postal]]&amp;" - "&amp;Tableau1[[#This Row],[Ville]]</f>
        <v>Carrefour, La Cour des Capucins, 13 rue du Cygne
57100 - Thionville</v>
      </c>
      <c r="H389" s="52" t="s">
        <v>2166</v>
      </c>
      <c r="I389" s="12" t="s">
        <v>35</v>
      </c>
      <c r="J389" s="12" t="s">
        <v>39</v>
      </c>
      <c r="K389" s="10" t="s">
        <v>87</v>
      </c>
      <c r="L389" s="10" t="s">
        <v>87</v>
      </c>
      <c r="M389" s="12" t="s">
        <v>87</v>
      </c>
      <c r="N389" s="36" t="s">
        <v>2174</v>
      </c>
      <c r="O389" s="34">
        <v>91</v>
      </c>
      <c r="P389" s="6" t="s">
        <v>87</v>
      </c>
      <c r="Q389" s="34" t="s">
        <v>87</v>
      </c>
      <c r="R389" s="6" t="s">
        <v>87</v>
      </c>
      <c r="S389" s="6" t="s">
        <v>87</v>
      </c>
      <c r="T389" s="12">
        <f>Tableau1[[#This Row],[Loyer €/m²]]*Tableau1[[#This Row],[Surface GLA]]</f>
        <v>27300</v>
      </c>
      <c r="U389" s="12">
        <f>IFERROR(Tableau1[[#This Row],[Loyer annuel]]/12,"")</f>
        <v>2275</v>
      </c>
      <c r="V389" s="12">
        <v>300</v>
      </c>
      <c r="W389" s="6" t="s">
        <v>87</v>
      </c>
      <c r="X389" s="6">
        <f>Tableau1[[#This Row],[Charges €/m²]]*Tableau1[[#This Row],[Surface GLA]]</f>
        <v>4095</v>
      </c>
      <c r="Y389" s="12">
        <f>Tableau1[[#This Row],[Charges annuelles]]/12</f>
        <v>341.25</v>
      </c>
      <c r="Z389" s="12">
        <v>45</v>
      </c>
      <c r="AA389" s="12">
        <f>IFERROR(Tableau1[[#This Row],[Taxe foncière €/m²]]*Tableau1[[#This Row],[Surface GLA]],)</f>
        <v>1456</v>
      </c>
      <c r="AB389" s="12">
        <v>16</v>
      </c>
      <c r="AC389" s="12">
        <f>IFERROR(Tableau1[[#This Row],[Marketing €/m²]]*Tableau1[[#This Row],[Surface GLA]],)</f>
        <v>2275</v>
      </c>
      <c r="AD389" s="12">
        <v>25</v>
      </c>
      <c r="AE389" s="12">
        <f>IFERROR(Tableau1[[#This Row],[Loyer annuel]]+Tableau1[[#This Row],[Charges annuelles]]+Tableau1[[#This Row],[Taxe foncière]]+Tableau1[[#This Row],[Marketing]],"")</f>
        <v>35126</v>
      </c>
      <c r="AF389" s="12" t="str">
        <f t="shared" si="23"/>
        <v>3 mois = 6 825 €</v>
      </c>
      <c r="AG389" s="6" t="s">
        <v>87</v>
      </c>
      <c r="AH389" s="6" t="s">
        <v>87</v>
      </c>
      <c r="AI389" s="12" t="s">
        <v>346</v>
      </c>
      <c r="AJ389" s="10" t="s">
        <v>358</v>
      </c>
      <c r="AK389" s="10" t="s">
        <v>352</v>
      </c>
      <c r="AL389" s="10" t="s">
        <v>2362</v>
      </c>
      <c r="AM389" s="11" t="s">
        <v>2359</v>
      </c>
      <c r="AN389" s="11" t="s">
        <v>1308</v>
      </c>
      <c r="AO389" s="5" t="s">
        <v>350</v>
      </c>
      <c r="AP389" s="11" t="s">
        <v>2208</v>
      </c>
      <c r="AQ389" s="11" t="s">
        <v>2209</v>
      </c>
      <c r="AR389" s="11" t="s">
        <v>2187</v>
      </c>
      <c r="AS389" s="36" t="s">
        <v>2218</v>
      </c>
      <c r="AT389" s="11" t="s">
        <v>59</v>
      </c>
      <c r="AU389" s="11"/>
      <c r="AV389" s="13" t="s">
        <v>1746</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2361</v>
      </c>
      <c r="E390" s="10">
        <v>57100</v>
      </c>
      <c r="F390" s="10" t="s">
        <v>2165</v>
      </c>
      <c r="G390" s="39" t="str">
        <f>Tableau1[[#This Row],[Rue]]&amp;CHAR(10)&amp;Tableau1[[#This Row],[Code Postal]]&amp;" - "&amp;Tableau1[[#This Row],[Ville]]</f>
        <v>Carrefour, La Cour des Capucins, 13 rue du Cygne
57100 - Thionville</v>
      </c>
      <c r="H390" s="52" t="s">
        <v>2166</v>
      </c>
      <c r="I390" s="12" t="s">
        <v>35</v>
      </c>
      <c r="J390" s="12" t="s">
        <v>39</v>
      </c>
      <c r="K390" s="10" t="s">
        <v>87</v>
      </c>
      <c r="L390" s="10" t="s">
        <v>87</v>
      </c>
      <c r="M390" s="12" t="s">
        <v>87</v>
      </c>
      <c r="N390" s="36" t="s">
        <v>2175</v>
      </c>
      <c r="O390" s="34"/>
      <c r="P390" s="6" t="s">
        <v>87</v>
      </c>
      <c r="Q390" s="34" t="s">
        <v>87</v>
      </c>
      <c r="R390" s="6" t="s">
        <v>87</v>
      </c>
      <c r="S390" s="6" t="s">
        <v>87</v>
      </c>
      <c r="T390" s="12">
        <f>Tableau1[[#This Row],[Loyer €/m²]]*Tableau1[[#This Row],[Surface GLA]]</f>
        <v>0</v>
      </c>
      <c r="U390" s="12">
        <f>IFERROR(Tableau1[[#This Row],[Loyer annuel]]/12,"")</f>
        <v>0</v>
      </c>
      <c r="V390" s="12"/>
      <c r="W390" s="6" t="s">
        <v>87</v>
      </c>
      <c r="X390" s="6">
        <f>Tableau1[[#This Row],[Charges €/m²]]*Tableau1[[#This Row],[Surface GLA]]</f>
        <v>0</v>
      </c>
      <c r="Y390" s="12">
        <f>Tableau1[[#This Row],[Charges annuelles]]/12</f>
        <v>0</v>
      </c>
      <c r="Z390" s="12">
        <v>45</v>
      </c>
      <c r="AA390" s="12">
        <f>IFERROR(Tableau1[[#This Row],[Taxe foncière €/m²]]*Tableau1[[#This Row],[Surface GLA]],)</f>
        <v>0</v>
      </c>
      <c r="AB390" s="12">
        <v>16</v>
      </c>
      <c r="AC390" s="12">
        <f>IFERROR(Tableau1[[#This Row],[Marketing €/m²]]*Tableau1[[#This Row],[Surface GLA]],)</f>
        <v>0</v>
      </c>
      <c r="AD390" s="12">
        <v>25</v>
      </c>
      <c r="AE390" s="12">
        <f>IFERROR(Tableau1[[#This Row],[Loyer annuel]]+Tableau1[[#This Row],[Charges annuelles]]+Tableau1[[#This Row],[Taxe foncière]]+Tableau1[[#This Row],[Marketing]],"")</f>
        <v>0</v>
      </c>
      <c r="AF390" s="12" t="str">
        <f t="shared" si="23"/>
        <v>3 mois = 0 €</v>
      </c>
      <c r="AG390" s="6" t="s">
        <v>87</v>
      </c>
      <c r="AH390" s="6" t="s">
        <v>87</v>
      </c>
      <c r="AI390" s="12" t="s">
        <v>346</v>
      </c>
      <c r="AJ390" s="10" t="s">
        <v>358</v>
      </c>
      <c r="AK390" s="10" t="s">
        <v>352</v>
      </c>
      <c r="AL390" s="10" t="s">
        <v>2362</v>
      </c>
      <c r="AM390" s="11" t="s">
        <v>2359</v>
      </c>
      <c r="AN390" s="11" t="s">
        <v>1308</v>
      </c>
      <c r="AO390" s="5" t="s">
        <v>350</v>
      </c>
      <c r="AP390" s="11" t="s">
        <v>2210</v>
      </c>
      <c r="AQ390" s="11" t="s">
        <v>2211</v>
      </c>
      <c r="AR390" s="11" t="s">
        <v>2188</v>
      </c>
      <c r="AS390" s="36" t="s">
        <v>2218</v>
      </c>
      <c r="AT390" s="11" t="s">
        <v>59</v>
      </c>
      <c r="AU390" s="11"/>
      <c r="AV390" s="13" t="s">
        <v>1746</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2361</v>
      </c>
      <c r="E391" s="10">
        <v>57100</v>
      </c>
      <c r="F391" s="10" t="s">
        <v>2165</v>
      </c>
      <c r="G391" s="39" t="str">
        <f>Tableau1[[#This Row],[Rue]]&amp;CHAR(10)&amp;Tableau1[[#This Row],[Code Postal]]&amp;" - "&amp;Tableau1[[#This Row],[Ville]]</f>
        <v>Carrefour, La Cour des Capucins, 13 rue du Cygne
57100 - Thionville</v>
      </c>
      <c r="H391" s="52" t="s">
        <v>2166</v>
      </c>
      <c r="I391" s="12" t="s">
        <v>35</v>
      </c>
      <c r="J391" s="12" t="s">
        <v>39</v>
      </c>
      <c r="K391" s="10" t="s">
        <v>87</v>
      </c>
      <c r="L391" s="10" t="s">
        <v>87</v>
      </c>
      <c r="M391" s="12" t="s">
        <v>87</v>
      </c>
      <c r="N391" s="36" t="s">
        <v>2176</v>
      </c>
      <c r="O391" s="34"/>
      <c r="P391" s="6" t="s">
        <v>87</v>
      </c>
      <c r="Q391" s="34" t="s">
        <v>87</v>
      </c>
      <c r="R391" s="6" t="s">
        <v>87</v>
      </c>
      <c r="S391" s="6" t="s">
        <v>87</v>
      </c>
      <c r="T391" s="12">
        <f>Tableau1[[#This Row],[Loyer €/m²]]*Tableau1[[#This Row],[Surface GLA]]</f>
        <v>0</v>
      </c>
      <c r="U391" s="12">
        <f>IFERROR(Tableau1[[#This Row],[Loyer annuel]]/12,"")</f>
        <v>0</v>
      </c>
      <c r="V391" s="12"/>
      <c r="W391" s="6" t="s">
        <v>87</v>
      </c>
      <c r="X391" s="6">
        <f>Tableau1[[#This Row],[Charges €/m²]]*Tableau1[[#This Row],[Surface GLA]]</f>
        <v>0</v>
      </c>
      <c r="Y391" s="12">
        <f>Tableau1[[#This Row],[Charges annuelles]]/12</f>
        <v>0</v>
      </c>
      <c r="Z391" s="12">
        <v>45</v>
      </c>
      <c r="AA391" s="12">
        <f>IFERROR(Tableau1[[#This Row],[Taxe foncière €/m²]]*Tableau1[[#This Row],[Surface GLA]],)</f>
        <v>0</v>
      </c>
      <c r="AB391" s="12">
        <v>16</v>
      </c>
      <c r="AC391" s="12">
        <f>IFERROR(Tableau1[[#This Row],[Marketing €/m²]]*Tableau1[[#This Row],[Surface GLA]],)</f>
        <v>0</v>
      </c>
      <c r="AD391" s="12">
        <v>25</v>
      </c>
      <c r="AE391" s="12">
        <f>IFERROR(Tableau1[[#This Row],[Loyer annuel]]+Tableau1[[#This Row],[Charges annuelles]]+Tableau1[[#This Row],[Taxe foncière]]+Tableau1[[#This Row],[Marketing]],"")</f>
        <v>0</v>
      </c>
      <c r="AF391" s="12" t="str">
        <f t="shared" si="23"/>
        <v>3 mois = 0 €</v>
      </c>
      <c r="AG391" s="6" t="s">
        <v>87</v>
      </c>
      <c r="AH391" s="6" t="s">
        <v>87</v>
      </c>
      <c r="AI391" s="12" t="s">
        <v>346</v>
      </c>
      <c r="AJ391" s="10" t="s">
        <v>358</v>
      </c>
      <c r="AK391" s="10" t="s">
        <v>352</v>
      </c>
      <c r="AL391" s="10" t="s">
        <v>2362</v>
      </c>
      <c r="AM391" s="11" t="s">
        <v>2359</v>
      </c>
      <c r="AN391" s="11" t="s">
        <v>1308</v>
      </c>
      <c r="AO391" s="5" t="s">
        <v>350</v>
      </c>
      <c r="AP391" s="11" t="s">
        <v>2212</v>
      </c>
      <c r="AQ391" s="11" t="s">
        <v>2213</v>
      </c>
      <c r="AR391" s="11" t="s">
        <v>2189</v>
      </c>
      <c r="AS391" s="36" t="s">
        <v>2218</v>
      </c>
      <c r="AT391" s="11" t="s">
        <v>59</v>
      </c>
      <c r="AU391" s="11"/>
      <c r="AV391" s="13" t="s">
        <v>1746</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2361</v>
      </c>
      <c r="E392" s="10">
        <v>57100</v>
      </c>
      <c r="F392" s="10" t="s">
        <v>2165</v>
      </c>
      <c r="G392" s="39" t="str">
        <f>Tableau1[[#This Row],[Rue]]&amp;CHAR(10)&amp;Tableau1[[#This Row],[Code Postal]]&amp;" - "&amp;Tableau1[[#This Row],[Ville]]</f>
        <v>Carrefour, La Cour des Capucins, 13 rue du Cygne
57100 - Thionville</v>
      </c>
      <c r="H392" s="52" t="s">
        <v>2166</v>
      </c>
      <c r="I392" s="12" t="s">
        <v>35</v>
      </c>
      <c r="J392" s="12" t="s">
        <v>39</v>
      </c>
      <c r="K392" s="10" t="s">
        <v>87</v>
      </c>
      <c r="L392" s="10" t="s">
        <v>87</v>
      </c>
      <c r="M392" s="12" t="s">
        <v>87</v>
      </c>
      <c r="N392" s="36" t="s">
        <v>2177</v>
      </c>
      <c r="O392" s="34">
        <v>24</v>
      </c>
      <c r="P392" s="6" t="s">
        <v>87</v>
      </c>
      <c r="Q392" s="34" t="s">
        <v>87</v>
      </c>
      <c r="R392" s="6" t="s">
        <v>87</v>
      </c>
      <c r="S392" s="6" t="s">
        <v>87</v>
      </c>
      <c r="T392" s="12">
        <f>Tableau1[[#This Row],[Loyer €/m²]]*Tableau1[[#This Row],[Surface GLA]]</f>
        <v>12000</v>
      </c>
      <c r="U392" s="12">
        <f>IFERROR(Tableau1[[#This Row],[Loyer annuel]]/12,"")</f>
        <v>1000</v>
      </c>
      <c r="V392" s="12">
        <v>500</v>
      </c>
      <c r="W392" s="6" t="s">
        <v>87</v>
      </c>
      <c r="X392" s="6">
        <f>Tableau1[[#This Row],[Charges €/m²]]*Tableau1[[#This Row],[Surface GLA]]</f>
        <v>1080</v>
      </c>
      <c r="Y392" s="12">
        <f>Tableau1[[#This Row],[Charges annuelles]]/12</f>
        <v>90</v>
      </c>
      <c r="Z392" s="12">
        <v>45</v>
      </c>
      <c r="AA392" s="12">
        <f>IFERROR(Tableau1[[#This Row],[Taxe foncière €/m²]]*Tableau1[[#This Row],[Surface GLA]],)</f>
        <v>384</v>
      </c>
      <c r="AB392" s="12">
        <v>16</v>
      </c>
      <c r="AC392" s="12">
        <f>IFERROR(Tableau1[[#This Row],[Marketing €/m²]]*Tableau1[[#This Row],[Surface GLA]],)</f>
        <v>600</v>
      </c>
      <c r="AD392" s="12">
        <v>25</v>
      </c>
      <c r="AE392" s="12">
        <f>IFERROR(Tableau1[[#This Row],[Loyer annuel]]+Tableau1[[#This Row],[Charges annuelles]]+Tableau1[[#This Row],[Taxe foncière]]+Tableau1[[#This Row],[Marketing]],"")</f>
        <v>14064</v>
      </c>
      <c r="AF392" s="12" t="str">
        <f t="shared" si="23"/>
        <v>3 mois = 3 000 €</v>
      </c>
      <c r="AG392" s="6" t="s">
        <v>87</v>
      </c>
      <c r="AH392" s="6" t="s">
        <v>87</v>
      </c>
      <c r="AI392" s="12" t="s">
        <v>346</v>
      </c>
      <c r="AJ392" s="10"/>
      <c r="AK392" s="10"/>
      <c r="AL392" s="10" t="s">
        <v>2362</v>
      </c>
      <c r="AM392" s="11" t="s">
        <v>2359</v>
      </c>
      <c r="AN392" s="11" t="s">
        <v>1308</v>
      </c>
      <c r="AO392" s="5" t="s">
        <v>350</v>
      </c>
      <c r="AP392" s="11" t="s">
        <v>2214</v>
      </c>
      <c r="AQ392" s="11" t="s">
        <v>2215</v>
      </c>
      <c r="AR392" s="11" t="s">
        <v>2190</v>
      </c>
      <c r="AS392" s="36" t="s">
        <v>2218</v>
      </c>
      <c r="AT392" s="11" t="s">
        <v>59</v>
      </c>
      <c r="AU392" s="11"/>
      <c r="AV392" s="13" t="s">
        <v>1746</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2361</v>
      </c>
      <c r="E393" s="10">
        <v>57100</v>
      </c>
      <c r="F393" s="10" t="s">
        <v>2165</v>
      </c>
      <c r="G393" s="39" t="str">
        <f>Tableau1[[#This Row],[Rue]]&amp;CHAR(10)&amp;Tableau1[[#This Row],[Code Postal]]&amp;" - "&amp;Tableau1[[#This Row],[Ville]]</f>
        <v>Carrefour, La Cour des Capucins, 13 rue du Cygne
57100 - Thionville</v>
      </c>
      <c r="H393" s="52" t="s">
        <v>2166</v>
      </c>
      <c r="I393" s="12" t="s">
        <v>35</v>
      </c>
      <c r="J393" s="12" t="s">
        <v>39</v>
      </c>
      <c r="K393" s="10" t="s">
        <v>87</v>
      </c>
      <c r="L393" s="10" t="s">
        <v>87</v>
      </c>
      <c r="M393" s="12" t="s">
        <v>87</v>
      </c>
      <c r="N393" s="36" t="s">
        <v>2178</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3"/>
        <v>3 mois = 0 €</v>
      </c>
      <c r="AG393" s="6" t="s">
        <v>87</v>
      </c>
      <c r="AH393" s="6" t="s">
        <v>87</v>
      </c>
      <c r="AI393" s="12" t="s">
        <v>346</v>
      </c>
      <c r="AJ393" s="10"/>
      <c r="AK393" s="10"/>
      <c r="AL393" s="10" t="s">
        <v>2362</v>
      </c>
      <c r="AM393" s="11" t="s">
        <v>2359</v>
      </c>
      <c r="AN393" s="11" t="s">
        <v>1308</v>
      </c>
      <c r="AO393" s="5" t="s">
        <v>350</v>
      </c>
      <c r="AP393" s="11" t="s">
        <v>2216</v>
      </c>
      <c r="AQ393" s="11" t="s">
        <v>2217</v>
      </c>
      <c r="AR393" s="11" t="s">
        <v>2191</v>
      </c>
      <c r="AS393" s="36" t="s">
        <v>2218</v>
      </c>
      <c r="AT393" s="11" t="s">
        <v>59</v>
      </c>
      <c r="AU393" s="11"/>
      <c r="AV393" s="13" t="s">
        <v>1746</v>
      </c>
      <c r="AW393" s="14"/>
      <c r="AX393" s="44">
        <v>46175</v>
      </c>
    </row>
    <row r="394" spans="1:50" ht="25.5">
      <c r="A394" s="38" t="str">
        <f>VLOOKUP(Tableau1[[#This Row],[N° Département]],Feuil1!$C$6:$E$106,3)</f>
        <v>Nouvelle-Aquitaine</v>
      </c>
      <c r="B394" s="38" t="str">
        <f>VLOOKUP(Tableau1[[#This Row],[N° Département]],Feuil1!$C$6:$E$106,2)</f>
        <v>Charente-Maritime</v>
      </c>
      <c r="C394" s="38">
        <f>LEFT(Tableau1[[#This Row],[Code Postal]],2)*1</f>
        <v>17</v>
      </c>
      <c r="D394" s="10" t="s">
        <v>2271</v>
      </c>
      <c r="E394" s="26">
        <v>17000</v>
      </c>
      <c r="F394" s="10" t="s">
        <v>2139</v>
      </c>
      <c r="G394" s="39" t="str">
        <f>Tableau1[[#This Row],[Rue]]&amp;CHAR(10)&amp;Tableau1[[#This Row],[Code Postal]]&amp;" - "&amp;Tableau1[[#This Row],[Ville]]</f>
        <v>19/21 rue du Palais
17000 - La Rochelle</v>
      </c>
      <c r="H394" s="15" t="s">
        <v>2272</v>
      </c>
      <c r="I394" s="12" t="s">
        <v>35</v>
      </c>
      <c r="J394" s="12" t="s">
        <v>34</v>
      </c>
      <c r="K394" s="10" t="s">
        <v>87</v>
      </c>
      <c r="L394" s="10" t="s">
        <v>2273</v>
      </c>
      <c r="M394" s="12" t="s">
        <v>87</v>
      </c>
      <c r="N394" s="12" t="s">
        <v>87</v>
      </c>
      <c r="O394" s="34">
        <v>156</v>
      </c>
      <c r="P394" s="12" t="s">
        <v>2274</v>
      </c>
      <c r="Q394" s="34" t="s">
        <v>87</v>
      </c>
      <c r="R394" s="6" t="s">
        <v>87</v>
      </c>
      <c r="S394" s="6" t="s">
        <v>87</v>
      </c>
      <c r="T394" s="12">
        <f>Tableau1[[#This Row],[Loyer €/m²]]*Tableau1[[#This Row],[Surface GLA]]</f>
        <v>54600</v>
      </c>
      <c r="U394" s="12">
        <f>IFERROR(Tableau1[[#This Row],[Loyer annuel]]/12,"")</f>
        <v>4550</v>
      </c>
      <c r="V394" s="12">
        <v>350</v>
      </c>
      <c r="W394" s="6" t="s">
        <v>87</v>
      </c>
      <c r="X394" s="6">
        <f>Tableau1[[#This Row],[Charges €/m²]]*Tableau1[[#This Row],[Surface GLA]]</f>
        <v>3120</v>
      </c>
      <c r="Y394" s="12">
        <f>Tableau1[[#This Row],[Charges annuelles]]/12</f>
        <v>260</v>
      </c>
      <c r="Z394" s="12">
        <v>20</v>
      </c>
      <c r="AA394" s="12">
        <f>IFERROR(Tableau1[[#This Row],[Taxe foncière €/m²]]*Tableau1[[#This Row],[Surface GLA]],)</f>
        <v>3120</v>
      </c>
      <c r="AB394" s="12">
        <v>20</v>
      </c>
      <c r="AC394" s="12">
        <f>IFERROR(Tableau1[[#This Row],[Marketing €/m²]]*Tableau1[[#This Row],[Surface GLA]],)</f>
        <v>0</v>
      </c>
      <c r="AD394" s="12"/>
      <c r="AE394" s="12">
        <f>IFERROR(Tableau1[[#This Row],[Loyer annuel]]+Tableau1[[#This Row],[Charges annuelles]]+Tableau1[[#This Row],[Taxe foncière]]+Tableau1[[#This Row],[Marketing]],"")</f>
        <v>60840</v>
      </c>
      <c r="AF394" s="12" t="str">
        <f t="shared" si="23"/>
        <v>3 mois = 13 650 €</v>
      </c>
      <c r="AG394" s="6" t="s">
        <v>87</v>
      </c>
      <c r="AH394" s="6" t="s">
        <v>87</v>
      </c>
      <c r="AI394" s="12" t="s">
        <v>346</v>
      </c>
      <c r="AJ394" s="10" t="s">
        <v>59</v>
      </c>
      <c r="AK394" s="10" t="s">
        <v>352</v>
      </c>
      <c r="AL394" s="10"/>
      <c r="AM394" s="11" t="s">
        <v>2363</v>
      </c>
      <c r="AN394" s="11" t="s">
        <v>87</v>
      </c>
      <c r="AO394" s="5" t="s">
        <v>350</v>
      </c>
      <c r="AP394" s="11">
        <v>46.159671000000003</v>
      </c>
      <c r="AQ394" s="11">
        <v>-1.153489</v>
      </c>
      <c r="AR394" s="11">
        <v>102</v>
      </c>
      <c r="AS394" s="36" t="s">
        <v>2276</v>
      </c>
      <c r="AT394" s="11" t="s">
        <v>59</v>
      </c>
      <c r="AU394" s="11"/>
      <c r="AV394" s="13" t="s">
        <v>2275</v>
      </c>
      <c r="AW394" s="14"/>
      <c r="AX394" s="44">
        <v>46197</v>
      </c>
    </row>
    <row r="395" spans="1:50" ht="38.25">
      <c r="A395" s="38" t="str">
        <f>VLOOKUP(Tableau1[[#This Row],[N° Département]],Feuil1!$C$6:$E$106,3)</f>
        <v>Normandie</v>
      </c>
      <c r="B395" s="38" t="str">
        <f>VLOOKUP(Tableau1[[#This Row],[N° Département]],Feuil1!$C$6:$E$106,2)</f>
        <v>Seine-Maritime</v>
      </c>
      <c r="C395" s="38">
        <f>LEFT(Tableau1[[#This Row],[Code Postal]],2)*1</f>
        <v>76</v>
      </c>
      <c r="D395" s="10" t="s">
        <v>2278</v>
      </c>
      <c r="E395" s="26">
        <v>76200</v>
      </c>
      <c r="F395" s="10" t="s">
        <v>2219</v>
      </c>
      <c r="G395" s="39" t="str">
        <f>Tableau1[[#This Row],[Rue]]&amp;CHAR(10)&amp;Tableau1[[#This Row],[Code Postal]]&amp;" - "&amp;Tableau1[[#This Row],[Ville]]</f>
        <v>Centre commercial du Belvédère, avenue des Canadiens
76200 - Dieppe</v>
      </c>
      <c r="H395" s="15" t="s">
        <v>2277</v>
      </c>
      <c r="I395" s="12" t="s">
        <v>37</v>
      </c>
      <c r="J395" s="12" t="s">
        <v>39</v>
      </c>
      <c r="K395" s="10" t="s">
        <v>87</v>
      </c>
      <c r="L395" s="10" t="s">
        <v>2281</v>
      </c>
      <c r="M395" s="12" t="s">
        <v>87</v>
      </c>
      <c r="N395" s="36" t="s">
        <v>2280</v>
      </c>
      <c r="O395" s="34">
        <v>216</v>
      </c>
      <c r="P395" s="12" t="s">
        <v>2279</v>
      </c>
      <c r="Q395" s="34" t="s">
        <v>87</v>
      </c>
      <c r="R395" s="6" t="s">
        <v>87</v>
      </c>
      <c r="S395" s="6" t="s">
        <v>87</v>
      </c>
      <c r="T395" s="12">
        <f>Tableau1[[#This Row],[Loyer €/m²]]*Tableau1[[#This Row],[Surface GLA]]</f>
        <v>58320</v>
      </c>
      <c r="U395" s="12">
        <f>IFERROR(Tableau1[[#This Row],[Loyer annuel]]/12,"")</f>
        <v>4860</v>
      </c>
      <c r="V395" s="12">
        <v>270</v>
      </c>
      <c r="W395" s="46">
        <v>0.06</v>
      </c>
      <c r="X395" s="12"/>
      <c r="Y395" s="12">
        <f>Tableau1[[#This Row],[Charges annuelles]]/12</f>
        <v>0</v>
      </c>
      <c r="Z395" s="12"/>
      <c r="AA395" s="12">
        <f>IFERROR(Tableau1[[#This Row],[Taxe foncière €/m²]]*Tableau1[[#This Row],[Surface GLA]],)</f>
        <v>0</v>
      </c>
      <c r="AB395" s="12"/>
      <c r="AC395" s="12">
        <f>IFERROR(Tableau1[[#This Row],[Marketing €/m²]]*Tableau1[[#This Row],[Surface GLA]],)</f>
        <v>0</v>
      </c>
      <c r="AD395" s="12"/>
      <c r="AE395" s="12">
        <f>IFERROR(Tableau1[[#This Row],[Loyer annuel]]+Tableau1[[#This Row],[Charges annuelles]]+Tableau1[[#This Row],[Taxe foncière]]+Tableau1[[#This Row],[Marketing]],"")</f>
        <v>58320</v>
      </c>
      <c r="AF395" s="12" t="str">
        <f t="shared" si="23"/>
        <v>3 mois = 14 580 €</v>
      </c>
      <c r="AG395" s="6" t="s">
        <v>87</v>
      </c>
      <c r="AH395" s="6" t="s">
        <v>87</v>
      </c>
      <c r="AI395" s="12" t="s">
        <v>346</v>
      </c>
      <c r="AJ395" s="10" t="s">
        <v>59</v>
      </c>
      <c r="AK395" s="10" t="s">
        <v>352</v>
      </c>
      <c r="AL395" s="10"/>
      <c r="AM395" s="11"/>
      <c r="AN395" s="11" t="s">
        <v>87</v>
      </c>
      <c r="AO395" s="5" t="s">
        <v>350</v>
      </c>
      <c r="AP395" s="11" t="s">
        <v>2283</v>
      </c>
      <c r="AQ395" s="11" t="s">
        <v>2284</v>
      </c>
      <c r="AR395" s="11" t="s">
        <v>2289</v>
      </c>
      <c r="AS395" s="36" t="s">
        <v>2285</v>
      </c>
      <c r="AT395" s="11" t="s">
        <v>59</v>
      </c>
      <c r="AU395" s="11"/>
      <c r="AV395" s="13" t="s">
        <v>2282</v>
      </c>
      <c r="AW395" s="14"/>
      <c r="AX395" s="44">
        <v>46197</v>
      </c>
    </row>
    <row r="396" spans="1:50" ht="38.25">
      <c r="A396" s="38" t="str">
        <f>VLOOKUP(Tableau1[[#This Row],[N° Département]],Feuil1!$C$6:$E$106,3)</f>
        <v>Normandie</v>
      </c>
      <c r="B396" s="38" t="str">
        <f>VLOOKUP(Tableau1[[#This Row],[N° Département]],Feuil1!$C$6:$E$106,2)</f>
        <v>Seine-Maritime</v>
      </c>
      <c r="C396" s="38">
        <f>LEFT(Tableau1[[#This Row],[Code Postal]],2)*1</f>
        <v>76</v>
      </c>
      <c r="D396" s="10" t="s">
        <v>2278</v>
      </c>
      <c r="E396" s="26">
        <v>76200</v>
      </c>
      <c r="F396" s="10" t="s">
        <v>2219</v>
      </c>
      <c r="G396" s="39" t="str">
        <f>Tableau1[[#This Row],[Rue]]&amp;CHAR(10)&amp;Tableau1[[#This Row],[Code Postal]]&amp;" - "&amp;Tableau1[[#This Row],[Ville]]</f>
        <v>Centre commercial du Belvédère, avenue des Canadiens
76200 - Dieppe</v>
      </c>
      <c r="H396" s="52" t="s">
        <v>2277</v>
      </c>
      <c r="I396" s="12" t="s">
        <v>37</v>
      </c>
      <c r="J396" s="12" t="s">
        <v>39</v>
      </c>
      <c r="K396" s="10" t="s">
        <v>87</v>
      </c>
      <c r="L396" s="10" t="s">
        <v>2281</v>
      </c>
      <c r="M396" s="12" t="s">
        <v>87</v>
      </c>
      <c r="N396" s="36" t="s">
        <v>2286</v>
      </c>
      <c r="O396" s="34">
        <v>132</v>
      </c>
      <c r="P396" s="6" t="s">
        <v>87</v>
      </c>
      <c r="Q396" s="34" t="s">
        <v>87</v>
      </c>
      <c r="R396" s="6" t="s">
        <v>87</v>
      </c>
      <c r="S396" s="6" t="s">
        <v>87</v>
      </c>
      <c r="T396" s="12"/>
      <c r="U396" s="12">
        <f>IFERROR(Tableau1[[#This Row],[Loyer annuel]]/12,"")</f>
        <v>0</v>
      </c>
      <c r="V396" s="12"/>
      <c r="W396" s="46">
        <v>0.06</v>
      </c>
      <c r="X396" s="12"/>
      <c r="Y396" s="12">
        <f>Tableau1[[#This Row],[Charges annuelles]]/12</f>
        <v>0</v>
      </c>
      <c r="Z396" s="12"/>
      <c r="AA396" s="12">
        <f>IFERROR(Tableau1[[#This Row],[Taxe foncière €/m²]]*Tableau1[[#This Row],[Surface GLA]],)</f>
        <v>0</v>
      </c>
      <c r="AB396" s="12"/>
      <c r="AC396" s="12">
        <f>IFERROR(Tableau1[[#This Row],[Marketing €/m²]]*Tableau1[[#This Row],[Surface GLA]],)</f>
        <v>0</v>
      </c>
      <c r="AD396" s="12"/>
      <c r="AE396" s="12">
        <f>IFERROR(Tableau1[[#This Row],[Loyer annuel]]+Tableau1[[#This Row],[Charges annuelles]]+Tableau1[[#This Row],[Taxe foncière]]+Tableau1[[#This Row],[Marketing]],"")</f>
        <v>0</v>
      </c>
      <c r="AF396" s="12"/>
      <c r="AG396" s="6" t="s">
        <v>87</v>
      </c>
      <c r="AH396" s="6" t="s">
        <v>87</v>
      </c>
      <c r="AI396" s="12" t="s">
        <v>346</v>
      </c>
      <c r="AJ396" s="10"/>
      <c r="AK396" s="10"/>
      <c r="AL396" s="10"/>
      <c r="AM396" s="11"/>
      <c r="AN396" s="11" t="s">
        <v>87</v>
      </c>
      <c r="AO396" s="5" t="s">
        <v>350</v>
      </c>
      <c r="AP396" s="11" t="s">
        <v>2293</v>
      </c>
      <c r="AQ396" s="11" t="s">
        <v>2294</v>
      </c>
      <c r="AR396" s="11" t="s">
        <v>2290</v>
      </c>
      <c r="AS396" s="36" t="s">
        <v>2285</v>
      </c>
      <c r="AT396" s="11" t="s">
        <v>59</v>
      </c>
      <c r="AU396" s="11"/>
      <c r="AV396" s="13" t="s">
        <v>2282</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2278</v>
      </c>
      <c r="E397" s="26">
        <v>76200</v>
      </c>
      <c r="F397" s="10" t="s">
        <v>2219</v>
      </c>
      <c r="G397" s="39" t="str">
        <f>Tableau1[[#This Row],[Rue]]&amp;CHAR(10)&amp;Tableau1[[#This Row],[Code Postal]]&amp;" - "&amp;Tableau1[[#This Row],[Ville]]</f>
        <v>Centre commercial du Belvédère, avenue des Canadiens
76200 - Dieppe</v>
      </c>
      <c r="H397" s="52" t="s">
        <v>2277</v>
      </c>
      <c r="I397" s="12" t="s">
        <v>37</v>
      </c>
      <c r="J397" s="12" t="s">
        <v>39</v>
      </c>
      <c r="K397" s="10" t="s">
        <v>87</v>
      </c>
      <c r="L397" s="10" t="s">
        <v>2281</v>
      </c>
      <c r="M397" s="12" t="s">
        <v>87</v>
      </c>
      <c r="N397" s="36" t="s">
        <v>2287</v>
      </c>
      <c r="O397" s="34">
        <v>142</v>
      </c>
      <c r="P397" s="6" t="s">
        <v>87</v>
      </c>
      <c r="Q397" s="34" t="s">
        <v>87</v>
      </c>
      <c r="R397" s="6" t="s">
        <v>87</v>
      </c>
      <c r="S397" s="6" t="s">
        <v>87</v>
      </c>
      <c r="T397" s="12"/>
      <c r="U397" s="12">
        <f>IFERROR(Tableau1[[#This Row],[Loyer annuel]]/12,"")</f>
        <v>0</v>
      </c>
      <c r="V397" s="12"/>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0</v>
      </c>
      <c r="AF397" s="12"/>
      <c r="AG397" s="6" t="s">
        <v>87</v>
      </c>
      <c r="AH397" s="6" t="s">
        <v>87</v>
      </c>
      <c r="AI397" s="12" t="s">
        <v>346</v>
      </c>
      <c r="AJ397" s="10"/>
      <c r="AK397" s="10"/>
      <c r="AL397" s="10"/>
      <c r="AM397" s="11"/>
      <c r="AN397" s="11" t="s">
        <v>87</v>
      </c>
      <c r="AO397" s="5" t="s">
        <v>350</v>
      </c>
      <c r="AP397" s="11" t="s">
        <v>2297</v>
      </c>
      <c r="AQ397" s="11" t="s">
        <v>2298</v>
      </c>
      <c r="AR397" s="11" t="s">
        <v>2291</v>
      </c>
      <c r="AS397" s="36" t="s">
        <v>2285</v>
      </c>
      <c r="AT397" s="11" t="s">
        <v>59</v>
      </c>
      <c r="AU397" s="11"/>
      <c r="AV397" s="13" t="s">
        <v>2282</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2278</v>
      </c>
      <c r="E398" s="26">
        <v>76200</v>
      </c>
      <c r="F398" s="10" t="s">
        <v>2219</v>
      </c>
      <c r="G398" s="39" t="str">
        <f>Tableau1[[#This Row],[Rue]]&amp;CHAR(10)&amp;Tableau1[[#This Row],[Code Postal]]&amp;" - "&amp;Tableau1[[#This Row],[Ville]]</f>
        <v>Centre commercial du Belvédère, avenue des Canadiens
76200 - Dieppe</v>
      </c>
      <c r="H398" s="52" t="s">
        <v>2277</v>
      </c>
      <c r="I398" s="12" t="s">
        <v>37</v>
      </c>
      <c r="J398" s="12" t="s">
        <v>39</v>
      </c>
      <c r="K398" s="10" t="s">
        <v>87</v>
      </c>
      <c r="L398" s="10" t="s">
        <v>2281</v>
      </c>
      <c r="M398" s="12" t="s">
        <v>87</v>
      </c>
      <c r="N398" s="36" t="s">
        <v>2288</v>
      </c>
      <c r="O398" s="34">
        <v>180</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2295</v>
      </c>
      <c r="AQ398" s="11" t="s">
        <v>2296</v>
      </c>
      <c r="AR398" s="11" t="s">
        <v>2292</v>
      </c>
      <c r="AS398" s="36" t="s">
        <v>2285</v>
      </c>
      <c r="AT398" s="11" t="s">
        <v>59</v>
      </c>
      <c r="AU398" s="11"/>
      <c r="AV398" s="13" t="s">
        <v>2282</v>
      </c>
      <c r="AW398" s="14"/>
      <c r="AX398" s="44">
        <v>46197</v>
      </c>
    </row>
    <row r="399" spans="1:50" ht="25.5">
      <c r="A399" s="38" t="str">
        <f>VLOOKUP(Tableau1[[#This Row],[N° Département]],Feuil1!$C$6:$E$106,3)</f>
        <v>Provence-Alpes-Côte d'Azur</v>
      </c>
      <c r="B399" s="38" t="str">
        <f>VLOOKUP(Tableau1[[#This Row],[N° Département]],Feuil1!$C$6:$E$106,2)</f>
        <v>Bouches-du-Rhône</v>
      </c>
      <c r="C399" s="38">
        <f>LEFT(Tableau1[[#This Row],[Code Postal]],2)*1</f>
        <v>13</v>
      </c>
      <c r="D399" s="10" t="s">
        <v>967</v>
      </c>
      <c r="E399" s="26">
        <v>13480</v>
      </c>
      <c r="F399" s="10" t="s">
        <v>2302</v>
      </c>
      <c r="G399" s="39" t="str">
        <f>Tableau1[[#This Row],[Rue]]&amp;CHAR(10)&amp;Tableau1[[#This Row],[Code Postal]]&amp;" - "&amp;Tableau1[[#This Row],[Ville]]</f>
        <v>Avant Cap
13480 - Cabriès</v>
      </c>
      <c r="H399" s="52" t="s">
        <v>2301</v>
      </c>
      <c r="I399" s="12" t="s">
        <v>37</v>
      </c>
      <c r="J399" s="12" t="s">
        <v>39</v>
      </c>
      <c r="K399" s="10" t="s">
        <v>87</v>
      </c>
      <c r="L399" s="12" t="s">
        <v>2273</v>
      </c>
      <c r="M399" s="12" t="s">
        <v>1110</v>
      </c>
      <c r="N399" s="36"/>
      <c r="O399" s="34"/>
      <c r="P399" s="6" t="s">
        <v>87</v>
      </c>
      <c r="Q399" s="34" t="s">
        <v>87</v>
      </c>
      <c r="R399" s="6" t="s">
        <v>87</v>
      </c>
      <c r="S399" s="6" t="s">
        <v>87</v>
      </c>
      <c r="T399" s="12"/>
      <c r="U399" s="12">
        <f>IFERROR(Tableau1[[#This Row],[Loyer annuel]]/12,"")</f>
        <v>0</v>
      </c>
      <c r="V399" s="12"/>
      <c r="W399" s="12"/>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12"/>
      <c r="AH399" s="12"/>
      <c r="AI399" s="12" t="s">
        <v>346</v>
      </c>
      <c r="AJ399" s="10" t="s">
        <v>59</v>
      </c>
      <c r="AK399" s="10" t="s">
        <v>352</v>
      </c>
      <c r="AL399" s="10"/>
      <c r="AM399" s="11" t="s">
        <v>2303</v>
      </c>
      <c r="AN399" s="11"/>
      <c r="AO399" s="11" t="s">
        <v>1116</v>
      </c>
      <c r="AP399" s="11" t="s">
        <v>2299</v>
      </c>
      <c r="AQ399" s="11" t="s">
        <v>2300</v>
      </c>
      <c r="AR399" s="11">
        <v>104</v>
      </c>
      <c r="AS399" s="36" t="s">
        <v>2304</v>
      </c>
      <c r="AT399" s="11" t="s">
        <v>59</v>
      </c>
      <c r="AU399" s="11"/>
      <c r="AV399" s="13" t="s">
        <v>2310</v>
      </c>
      <c r="AW399" s="14"/>
      <c r="AX399" s="44">
        <v>46197</v>
      </c>
    </row>
    <row r="400" spans="1:50" ht="25.5">
      <c r="A400" s="38" t="str">
        <f>VLOOKUP(Tableau1[[#This Row],[N° Département]],Feuil1!$C$6:$E$106,3)</f>
        <v>Hauts-de-France</v>
      </c>
      <c r="B400" s="38" t="str">
        <f>VLOOKUP(Tableau1[[#This Row],[N° Département]],Feuil1!$C$6:$E$106,2)</f>
        <v>Aisne</v>
      </c>
      <c r="C400" s="38">
        <f>LEFT(Tableau1[[#This Row],[Code Postal]],2)*1</f>
        <v>2</v>
      </c>
      <c r="D400" s="10" t="s">
        <v>2305</v>
      </c>
      <c r="E400" s="48" t="s">
        <v>2306</v>
      </c>
      <c r="F400" s="10" t="s">
        <v>2427</v>
      </c>
      <c r="G400" s="39" t="str">
        <f>Tableau1[[#This Row],[Rue]]&amp;CHAR(10)&amp;Tableau1[[#This Row],[Code Postal]]&amp;" - "&amp;Tableau1[[#This Row],[Ville]]</f>
        <v>Boulevard Henri Martin
02 100 - Saint-Quentin</v>
      </c>
      <c r="H400" s="15" t="s">
        <v>2307</v>
      </c>
      <c r="I400" s="12" t="s">
        <v>35</v>
      </c>
      <c r="J400" s="12" t="s">
        <v>34</v>
      </c>
      <c r="K400" s="10" t="s">
        <v>87</v>
      </c>
      <c r="L400" s="10"/>
      <c r="M400" s="12" t="s">
        <v>1110</v>
      </c>
      <c r="N400" s="36"/>
      <c r="O400" s="34">
        <v>1135</v>
      </c>
      <c r="P400" s="12" t="s">
        <v>2308</v>
      </c>
      <c r="Q400" s="34" t="s">
        <v>87</v>
      </c>
      <c r="R400" s="6" t="s">
        <v>87</v>
      </c>
      <c r="S400" s="6" t="s">
        <v>87</v>
      </c>
      <c r="T400" s="12"/>
      <c r="U400" s="12">
        <f>IFERROR(Tableau1[[#This Row],[Loyer annuel]]/12,"")</f>
        <v>0</v>
      </c>
      <c r="V400" s="12"/>
      <c r="W400" s="12"/>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12"/>
      <c r="AH400" s="12"/>
      <c r="AI400" s="12" t="s">
        <v>346</v>
      </c>
      <c r="AJ400" s="10" t="s">
        <v>59</v>
      </c>
      <c r="AK400" s="10" t="s">
        <v>352</v>
      </c>
      <c r="AL400" s="10"/>
      <c r="AM400" s="11" t="s">
        <v>2313</v>
      </c>
      <c r="AN400" s="11"/>
      <c r="AO400" s="11" t="s">
        <v>1116</v>
      </c>
      <c r="AP400" s="11" t="s">
        <v>2311</v>
      </c>
      <c r="AQ400" s="11" t="s">
        <v>2312</v>
      </c>
      <c r="AR400" s="11">
        <v>105</v>
      </c>
      <c r="AS400" s="36" t="s">
        <v>2314</v>
      </c>
      <c r="AT400" s="11" t="s">
        <v>59</v>
      </c>
      <c r="AU400" s="11"/>
      <c r="AV400" s="13" t="s">
        <v>2309</v>
      </c>
      <c r="AW400" s="14"/>
      <c r="AX400" s="44">
        <v>46197</v>
      </c>
    </row>
    <row r="401" spans="1:50" ht="25.5">
      <c r="A401" s="38" t="str">
        <f>VLOOKUP(Tableau1[[#This Row],[N° Département]],Feuil1!$C$6:$E$106,3)</f>
        <v>Centre-Val de Loire</v>
      </c>
      <c r="B401" s="38" t="str">
        <f>VLOOKUP(Tableau1[[#This Row],[N° Département]],Feuil1!$C$6:$E$106,2)</f>
        <v>Indre-et-Loire</v>
      </c>
      <c r="C401" s="38">
        <f>LEFT(Tableau1[[#This Row],[Code Postal]],2)*1</f>
        <v>37</v>
      </c>
      <c r="D401" s="10" t="s">
        <v>2315</v>
      </c>
      <c r="E401" s="26">
        <v>37300</v>
      </c>
      <c r="F401" s="10" t="s">
        <v>2316</v>
      </c>
      <c r="G401" s="39" t="str">
        <f>Tableau1[[#This Row],[Rue]]&amp;CHAR(10)&amp;Tableau1[[#This Row],[Code Postal]]&amp;" - "&amp;Tableau1[[#This Row],[Ville]]</f>
        <v>151 Boulevard de Chinon
37300 - Joué-les-Tours</v>
      </c>
      <c r="H401" s="15" t="s">
        <v>2317</v>
      </c>
      <c r="I401" s="12" t="s">
        <v>35</v>
      </c>
      <c r="J401" s="12" t="s">
        <v>38</v>
      </c>
      <c r="K401" s="10" t="s">
        <v>87</v>
      </c>
      <c r="L401" s="10"/>
      <c r="M401" s="12" t="s">
        <v>1110</v>
      </c>
      <c r="N401" s="36"/>
      <c r="O401" s="34">
        <v>2285</v>
      </c>
      <c r="P401" s="6" t="s">
        <v>87</v>
      </c>
      <c r="Q401" s="34" t="s">
        <v>87</v>
      </c>
      <c r="R401" s="6" t="s">
        <v>87</v>
      </c>
      <c r="S401" s="6" t="s">
        <v>87</v>
      </c>
      <c r="T401" s="12"/>
      <c r="U401" s="12">
        <f>IFERROR(Tableau1[[#This Row],[Loyer annuel]]/12,"")</f>
        <v>0</v>
      </c>
      <c r="V401" s="12"/>
      <c r="W401" s="6" t="s">
        <v>87</v>
      </c>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c r="AK401" s="10"/>
      <c r="AL401" s="10"/>
      <c r="AM401" s="11" t="s">
        <v>2318</v>
      </c>
      <c r="AN401" s="11"/>
      <c r="AO401" s="11" t="s">
        <v>1116</v>
      </c>
      <c r="AP401" s="11" t="s">
        <v>2320</v>
      </c>
      <c r="AQ401" s="11" t="s">
        <v>2321</v>
      </c>
      <c r="AR401" s="11">
        <v>106</v>
      </c>
      <c r="AS401" s="36" t="s">
        <v>2319</v>
      </c>
      <c r="AT401" s="11" t="s">
        <v>59</v>
      </c>
      <c r="AU401" s="11"/>
      <c r="AV401" s="13" t="s">
        <v>2309</v>
      </c>
      <c r="AW401" s="14"/>
      <c r="AX401" s="44">
        <v>46197</v>
      </c>
    </row>
    <row r="402" spans="1:50" ht="38.25">
      <c r="A402" s="38" t="str">
        <f>VLOOKUP(Tableau1[[#This Row],[N° Département]],Feuil1!$C$6:$E$106,3)</f>
        <v>Grand Est</v>
      </c>
      <c r="B402" s="38" t="str">
        <f>VLOOKUP(Tableau1[[#This Row],[N° Département]],Feuil1!$C$6:$E$106,2)</f>
        <v>Marne</v>
      </c>
      <c r="C402" s="38">
        <f>LEFT(Tableau1[[#This Row],[Code Postal]],2)*1</f>
        <v>51</v>
      </c>
      <c r="D402" s="10" t="s">
        <v>2371</v>
      </c>
      <c r="E402" s="26">
        <v>51100</v>
      </c>
      <c r="F402" s="10" t="s">
        <v>2370</v>
      </c>
      <c r="G402" s="39" t="str">
        <f>Tableau1[[#This Row],[Rue]]&amp;CHAR(10)&amp;Tableau1[[#This Row],[Code Postal]]&amp;" - "&amp;Tableau1[[#This Row],[Ville]]</f>
        <v>Hyper U Croix Blandin, Rue Jacques de La Giraudière
51100 - Reims</v>
      </c>
      <c r="H402" s="15" t="s">
        <v>2369</v>
      </c>
      <c r="I402" s="12" t="s">
        <v>37</v>
      </c>
      <c r="J402" s="12" t="s">
        <v>41</v>
      </c>
      <c r="K402" s="10" t="s">
        <v>87</v>
      </c>
      <c r="L402" s="12" t="s">
        <v>2273</v>
      </c>
      <c r="M402" s="12" t="s">
        <v>87</v>
      </c>
      <c r="N402" s="36" t="s">
        <v>342</v>
      </c>
      <c r="O402" s="34">
        <v>101</v>
      </c>
      <c r="P402" s="6" t="s">
        <v>87</v>
      </c>
      <c r="Q402" s="34" t="s">
        <v>87</v>
      </c>
      <c r="R402" s="6" t="s">
        <v>87</v>
      </c>
      <c r="S402" s="6" t="s">
        <v>87</v>
      </c>
      <c r="T402" s="12"/>
      <c r="U402" s="12">
        <f>IFERROR(Tableau1[[#This Row],[Loyer annuel]]/12,"")</f>
        <v>0</v>
      </c>
      <c r="V402" s="12"/>
      <c r="W402" s="6" t="s">
        <v>87</v>
      </c>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c r="AJ402" s="10"/>
      <c r="AK402" s="10"/>
      <c r="AL402" s="10"/>
      <c r="AM402" s="11" t="s">
        <v>2449</v>
      </c>
      <c r="AN402" s="11"/>
      <c r="AO402" s="5" t="s">
        <v>350</v>
      </c>
      <c r="AP402" s="11" t="s">
        <v>2372</v>
      </c>
      <c r="AQ402" s="11" t="s">
        <v>2373</v>
      </c>
      <c r="AR402" s="11" t="s">
        <v>2388</v>
      </c>
      <c r="AS402" s="36" t="s">
        <v>2396</v>
      </c>
      <c r="AT402" s="11" t="s">
        <v>59</v>
      </c>
      <c r="AU402" s="11"/>
      <c r="AV402" s="13" t="s">
        <v>1746</v>
      </c>
      <c r="AW402" s="14"/>
      <c r="AX402" s="44">
        <v>46203</v>
      </c>
    </row>
    <row r="403" spans="1:50" ht="38.25">
      <c r="A403" s="38" t="str">
        <f>VLOOKUP(Tableau1[[#This Row],[N° Département]],Feuil1!$C$6:$E$106,3)</f>
        <v>Grand Est</v>
      </c>
      <c r="B403" s="38" t="str">
        <f>VLOOKUP(Tableau1[[#This Row],[N° Département]],Feuil1!$C$6:$E$106,2)</f>
        <v>Marne</v>
      </c>
      <c r="C403" s="38">
        <f>LEFT(Tableau1[[#This Row],[Code Postal]],2)*1</f>
        <v>51</v>
      </c>
      <c r="D403" s="10" t="s">
        <v>2371</v>
      </c>
      <c r="E403" s="26">
        <v>51100</v>
      </c>
      <c r="F403" s="10" t="s">
        <v>2370</v>
      </c>
      <c r="G403" s="39" t="str">
        <f>Tableau1[[#This Row],[Rue]]&amp;CHAR(10)&amp;Tableau1[[#This Row],[Code Postal]]&amp;" - "&amp;Tableau1[[#This Row],[Ville]]</f>
        <v>Hyper U Croix Blandin, Rue Jacques de La Giraudière
51100 - Reims</v>
      </c>
      <c r="H403" s="15" t="s">
        <v>2369</v>
      </c>
      <c r="I403" s="12" t="s">
        <v>37</v>
      </c>
      <c r="J403" s="12" t="s">
        <v>41</v>
      </c>
      <c r="K403" s="10" t="s">
        <v>87</v>
      </c>
      <c r="L403" s="12" t="s">
        <v>2273</v>
      </c>
      <c r="M403" s="12" t="s">
        <v>87</v>
      </c>
      <c r="N403" s="36">
        <v>12</v>
      </c>
      <c r="O403" s="34">
        <v>153</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c r="AJ403" s="10"/>
      <c r="AK403" s="10"/>
      <c r="AL403" s="10"/>
      <c r="AM403" s="11" t="s">
        <v>2449</v>
      </c>
      <c r="AN403" s="11"/>
      <c r="AO403" s="5" t="s">
        <v>350</v>
      </c>
      <c r="AP403" s="11" t="s">
        <v>2374</v>
      </c>
      <c r="AQ403" s="11" t="s">
        <v>2375</v>
      </c>
      <c r="AR403" s="11" t="s">
        <v>2389</v>
      </c>
      <c r="AS403" s="36" t="s">
        <v>2396</v>
      </c>
      <c r="AT403" s="11" t="s">
        <v>59</v>
      </c>
      <c r="AU403" s="11"/>
      <c r="AV403" s="13" t="s">
        <v>1746</v>
      </c>
      <c r="AW403" s="14"/>
      <c r="AX403" s="44">
        <v>46203</v>
      </c>
    </row>
    <row r="404" spans="1:50" ht="38.25">
      <c r="A404" s="38" t="str">
        <f>VLOOKUP(Tableau1[[#This Row],[N° Département]],Feuil1!$C$6:$E$106,3)</f>
        <v>Grand Est</v>
      </c>
      <c r="B404" s="38" t="str">
        <f>VLOOKUP(Tableau1[[#This Row],[N° Département]],Feuil1!$C$6:$E$106,2)</f>
        <v>Marne</v>
      </c>
      <c r="C404" s="38">
        <f>LEFT(Tableau1[[#This Row],[Code Postal]],2)*1</f>
        <v>51</v>
      </c>
      <c r="D404" s="10" t="s">
        <v>2371</v>
      </c>
      <c r="E404" s="26">
        <v>51100</v>
      </c>
      <c r="F404" s="10" t="s">
        <v>2370</v>
      </c>
      <c r="G404" s="39" t="str">
        <f>Tableau1[[#This Row],[Rue]]&amp;CHAR(10)&amp;Tableau1[[#This Row],[Code Postal]]&amp;" - "&amp;Tableau1[[#This Row],[Ville]]</f>
        <v>Hyper U Croix Blandin, Rue Jacques de La Giraudière
51100 - Reims</v>
      </c>
      <c r="H404" s="15" t="s">
        <v>2369</v>
      </c>
      <c r="I404" s="12" t="s">
        <v>37</v>
      </c>
      <c r="J404" s="12" t="s">
        <v>41</v>
      </c>
      <c r="K404" s="10" t="s">
        <v>87</v>
      </c>
      <c r="L404" s="12" t="s">
        <v>2273</v>
      </c>
      <c r="M404" s="12" t="s">
        <v>87</v>
      </c>
      <c r="N404" s="36">
        <v>14</v>
      </c>
      <c r="O404" s="34">
        <v>74</v>
      </c>
      <c r="P404" s="6" t="s">
        <v>87</v>
      </c>
      <c r="Q404" s="34" t="s">
        <v>87</v>
      </c>
      <c r="R404" s="6" t="s">
        <v>87</v>
      </c>
      <c r="S404" s="6" t="s">
        <v>87</v>
      </c>
      <c r="T404" s="12">
        <f>Tableau1[[#This Row],[Loyer €/m²]]*Tableau1[[#This Row],[Surface GLA]]</f>
        <v>22200</v>
      </c>
      <c r="U404" s="12">
        <f>IFERROR(Tableau1[[#This Row],[Loyer annuel]]/12,"")</f>
        <v>1850</v>
      </c>
      <c r="V404" s="12">
        <v>300</v>
      </c>
      <c r="W404" s="6" t="s">
        <v>87</v>
      </c>
      <c r="X404" s="6">
        <f>Tableau1[[#This Row],[Charges €/m²]]*Tableau1[[#This Row],[Surface GLA]]</f>
        <v>2590</v>
      </c>
      <c r="Y404" s="12">
        <f>Tableau1[[#This Row],[Charges annuelles]]/12</f>
        <v>215.83333333333334</v>
      </c>
      <c r="Z404" s="12">
        <v>35</v>
      </c>
      <c r="AA404" s="12">
        <f>IFERROR(Tableau1[[#This Row],[Taxe foncière €/m²]]*Tableau1[[#This Row],[Surface GLA]],)</f>
        <v>814</v>
      </c>
      <c r="AB404" s="12">
        <v>11</v>
      </c>
      <c r="AC404" s="12">
        <f>IFERROR(Tableau1[[#This Row],[Marketing €/m²]]*Tableau1[[#This Row],[Surface GLA]],)</f>
        <v>0</v>
      </c>
      <c r="AD404" s="12"/>
      <c r="AE404" s="12">
        <f>IFERROR(Tableau1[[#This Row],[Loyer annuel]]+Tableau1[[#This Row],[Charges annuelles]]+Tableau1[[#This Row],[Taxe foncière]]+Tableau1[[#This Row],[Marketing]],"")</f>
        <v>25604</v>
      </c>
      <c r="AF404" s="12" t="str">
        <f t="shared" ref="AF404" si="24">"3 mois = "&amp;TEXT(ROUND(3/12*T404,0),"### ### ##0 €")</f>
        <v>3 mois = 5 550 €</v>
      </c>
      <c r="AG404" s="12"/>
      <c r="AH404" s="12"/>
      <c r="AI404" s="12" t="s">
        <v>346</v>
      </c>
      <c r="AJ404" s="10"/>
      <c r="AK404" s="10"/>
      <c r="AL404" s="10"/>
      <c r="AM404" s="11" t="s">
        <v>2449</v>
      </c>
      <c r="AN404" s="11" t="s">
        <v>1308</v>
      </c>
      <c r="AO404" s="5" t="s">
        <v>350</v>
      </c>
      <c r="AP404" s="11" t="s">
        <v>2376</v>
      </c>
      <c r="AQ404" s="11" t="s">
        <v>2377</v>
      </c>
      <c r="AR404" s="11" t="s">
        <v>2390</v>
      </c>
      <c r="AS404" s="36" t="s">
        <v>2396</v>
      </c>
      <c r="AT404" s="11" t="s">
        <v>59</v>
      </c>
      <c r="AU404" s="11"/>
      <c r="AV404" s="13" t="s">
        <v>1746</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2371</v>
      </c>
      <c r="E405" s="26">
        <v>51100</v>
      </c>
      <c r="F405" s="10" t="s">
        <v>2370</v>
      </c>
      <c r="G405" s="39" t="str">
        <f>Tableau1[[#This Row],[Rue]]&amp;CHAR(10)&amp;Tableau1[[#This Row],[Code Postal]]&amp;" - "&amp;Tableau1[[#This Row],[Ville]]</f>
        <v>Hyper U Croix Blandin, Rue Jacques de La Giraudière
51100 - Reims</v>
      </c>
      <c r="H405" s="15" t="s">
        <v>2369</v>
      </c>
      <c r="I405" s="12" t="s">
        <v>37</v>
      </c>
      <c r="J405" s="12" t="s">
        <v>41</v>
      </c>
      <c r="K405" s="10" t="s">
        <v>87</v>
      </c>
      <c r="L405" s="12" t="s">
        <v>2273</v>
      </c>
      <c r="M405" s="12" t="s">
        <v>87</v>
      </c>
      <c r="N405" s="36">
        <v>15</v>
      </c>
      <c r="O405" s="34">
        <v>60</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2449</v>
      </c>
      <c r="AN405" s="11"/>
      <c r="AO405" s="5" t="s">
        <v>350</v>
      </c>
      <c r="AP405" s="11" t="s">
        <v>2378</v>
      </c>
      <c r="AQ405" s="11" t="s">
        <v>2379</v>
      </c>
      <c r="AR405" s="11" t="s">
        <v>2391</v>
      </c>
      <c r="AS405" s="36" t="s">
        <v>2396</v>
      </c>
      <c r="AT405" s="11" t="s">
        <v>59</v>
      </c>
      <c r="AU405" s="11"/>
      <c r="AV405" s="13" t="s">
        <v>1746</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2371</v>
      </c>
      <c r="E406" s="26">
        <v>51100</v>
      </c>
      <c r="F406" s="10" t="s">
        <v>2370</v>
      </c>
      <c r="G406" s="39" t="str">
        <f>Tableau1[[#This Row],[Rue]]&amp;CHAR(10)&amp;Tableau1[[#This Row],[Code Postal]]&amp;" - "&amp;Tableau1[[#This Row],[Ville]]</f>
        <v>Hyper U Croix Blandin, Rue Jacques de La Giraudière
51100 - Reims</v>
      </c>
      <c r="H406" s="15" t="s">
        <v>2369</v>
      </c>
      <c r="I406" s="12" t="s">
        <v>37</v>
      </c>
      <c r="J406" s="12" t="s">
        <v>41</v>
      </c>
      <c r="K406" s="10" t="s">
        <v>87</v>
      </c>
      <c r="L406" s="12" t="s">
        <v>2273</v>
      </c>
      <c r="M406" s="12" t="s">
        <v>87</v>
      </c>
      <c r="N406" s="36">
        <v>17</v>
      </c>
      <c r="O406" s="34">
        <v>170</v>
      </c>
      <c r="P406" s="6" t="s">
        <v>87</v>
      </c>
      <c r="Q406" s="34">
        <v>802</v>
      </c>
      <c r="R406" s="6" t="s">
        <v>87</v>
      </c>
      <c r="S406" s="6" t="s">
        <v>87</v>
      </c>
      <c r="T406" s="12"/>
      <c r="U406" s="12">
        <f>IFERROR(Tableau1[[#This Row],[Loyer annuel]]/12,"")</f>
        <v>0</v>
      </c>
      <c r="V406" s="12"/>
      <c r="W406" s="6" t="s">
        <v>87</v>
      </c>
      <c r="X406" s="12"/>
      <c r="Y406" s="12">
        <f>Tableau1[[#This Row],[Charges annuelles]]/12</f>
        <v>0</v>
      </c>
      <c r="Z406" s="12"/>
      <c r="AA406" s="12">
        <f>IFERROR(Tableau1[[#This Row],[Taxe foncière €/m²]]*Tableau1[[#This Row],[Surface GLA]],)</f>
        <v>0</v>
      </c>
      <c r="AB406" s="12"/>
      <c r="AC406" s="12">
        <f>IFERROR(Tableau1[[#This Row],[Marketing €/m²]]*Tableau1[[#This Row],[Surface GLA]],)</f>
        <v>0</v>
      </c>
      <c r="AD406" s="12"/>
      <c r="AE406" s="12">
        <f>IFERROR(Tableau1[[#This Row],[Loyer annuel]]+Tableau1[[#This Row],[Charges annuelles]]+Tableau1[[#This Row],[Taxe foncière]]+Tableau1[[#This Row],[Marketing]],"")</f>
        <v>0</v>
      </c>
      <c r="AF406" s="12"/>
      <c r="AG406" s="12"/>
      <c r="AH406" s="12"/>
      <c r="AI406" s="12"/>
      <c r="AJ406" s="10"/>
      <c r="AK406" s="10"/>
      <c r="AL406" s="10"/>
      <c r="AM406" s="11" t="s">
        <v>2449</v>
      </c>
      <c r="AN406" s="11"/>
      <c r="AO406" s="5" t="s">
        <v>350</v>
      </c>
      <c r="AP406" s="11" t="s">
        <v>2380</v>
      </c>
      <c r="AQ406" s="11" t="s">
        <v>2381</v>
      </c>
      <c r="AR406" s="11" t="s">
        <v>2392</v>
      </c>
      <c r="AS406" s="36" t="s">
        <v>2396</v>
      </c>
      <c r="AT406" s="11" t="s">
        <v>59</v>
      </c>
      <c r="AU406" s="11"/>
      <c r="AV406" s="13" t="s">
        <v>1746</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2371</v>
      </c>
      <c r="E407" s="26">
        <v>51100</v>
      </c>
      <c r="F407" s="10" t="s">
        <v>2370</v>
      </c>
      <c r="G407" s="39" t="str">
        <f>Tableau1[[#This Row],[Rue]]&amp;CHAR(10)&amp;Tableau1[[#This Row],[Code Postal]]&amp;" - "&amp;Tableau1[[#This Row],[Ville]]</f>
        <v>Hyper U Croix Blandin, Rue Jacques de La Giraudière
51100 - Reims</v>
      </c>
      <c r="H407" s="15" t="s">
        <v>2369</v>
      </c>
      <c r="I407" s="12" t="s">
        <v>37</v>
      </c>
      <c r="J407" s="12" t="s">
        <v>41</v>
      </c>
      <c r="K407" s="10" t="s">
        <v>87</v>
      </c>
      <c r="L407" s="12" t="s">
        <v>2273</v>
      </c>
      <c r="M407" s="12" t="s">
        <v>87</v>
      </c>
      <c r="N407" s="36">
        <v>18</v>
      </c>
      <c r="O407" s="34">
        <v>159</v>
      </c>
      <c r="P407" s="6" t="s">
        <v>87</v>
      </c>
      <c r="Q407" s="34">
        <v>802</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2449</v>
      </c>
      <c r="AN407" s="11"/>
      <c r="AO407" s="5" t="s">
        <v>350</v>
      </c>
      <c r="AP407" s="11" t="s">
        <v>2382</v>
      </c>
      <c r="AQ407" s="11" t="s">
        <v>2383</v>
      </c>
      <c r="AR407" s="11" t="s">
        <v>2393</v>
      </c>
      <c r="AS407" s="36" t="s">
        <v>2396</v>
      </c>
      <c r="AT407" s="11" t="s">
        <v>59</v>
      </c>
      <c r="AU407" s="11"/>
      <c r="AV407" s="13" t="s">
        <v>1746</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2371</v>
      </c>
      <c r="E408" s="26">
        <v>51100</v>
      </c>
      <c r="F408" s="10" t="s">
        <v>2370</v>
      </c>
      <c r="G408" s="39" t="str">
        <f>Tableau1[[#This Row],[Rue]]&amp;CHAR(10)&amp;Tableau1[[#This Row],[Code Postal]]&amp;" - "&amp;Tableau1[[#This Row],[Ville]]</f>
        <v>Hyper U Croix Blandin, Rue Jacques de La Giraudière
51100 - Reims</v>
      </c>
      <c r="H408" s="15" t="s">
        <v>2369</v>
      </c>
      <c r="I408" s="12" t="s">
        <v>37</v>
      </c>
      <c r="J408" s="12" t="s">
        <v>41</v>
      </c>
      <c r="K408" s="10" t="s">
        <v>87</v>
      </c>
      <c r="L408" s="12" t="s">
        <v>2273</v>
      </c>
      <c r="M408" s="12" t="s">
        <v>87</v>
      </c>
      <c r="N408" s="36">
        <v>19</v>
      </c>
      <c r="O408" s="34">
        <v>473</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2449</v>
      </c>
      <c r="AN408" s="11"/>
      <c r="AO408" s="5" t="s">
        <v>350</v>
      </c>
      <c r="AP408" s="11" t="s">
        <v>2384</v>
      </c>
      <c r="AQ408" s="11" t="s">
        <v>2385</v>
      </c>
      <c r="AR408" s="11" t="s">
        <v>2394</v>
      </c>
      <c r="AS408" s="36" t="s">
        <v>2396</v>
      </c>
      <c r="AT408" s="11" t="s">
        <v>59</v>
      </c>
      <c r="AU408" s="11"/>
      <c r="AV408" s="13" t="s">
        <v>1746</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2371</v>
      </c>
      <c r="E409" s="26">
        <v>51100</v>
      </c>
      <c r="F409" s="10" t="s">
        <v>2370</v>
      </c>
      <c r="G409" s="39" t="str">
        <f>Tableau1[[#This Row],[Rue]]&amp;CHAR(10)&amp;Tableau1[[#This Row],[Code Postal]]&amp;" - "&amp;Tableau1[[#This Row],[Ville]]</f>
        <v>Hyper U Croix Blandin, Rue Jacques de La Giraudière
51100 - Reims</v>
      </c>
      <c r="H409" s="15" t="s">
        <v>2369</v>
      </c>
      <c r="I409" s="12" t="s">
        <v>37</v>
      </c>
      <c r="J409" s="12" t="s">
        <v>41</v>
      </c>
      <c r="K409" s="10" t="s">
        <v>87</v>
      </c>
      <c r="L409" s="12" t="s">
        <v>2273</v>
      </c>
      <c r="M409" s="12" t="s">
        <v>87</v>
      </c>
      <c r="N409" s="36">
        <v>21</v>
      </c>
      <c r="O409" s="34">
        <v>55</v>
      </c>
      <c r="P409" s="6" t="s">
        <v>87</v>
      </c>
      <c r="Q409" s="34" t="s">
        <v>87</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2449</v>
      </c>
      <c r="AN409" s="11"/>
      <c r="AO409" s="5" t="s">
        <v>350</v>
      </c>
      <c r="AP409" s="11" t="s">
        <v>2386</v>
      </c>
      <c r="AQ409" s="11" t="s">
        <v>2387</v>
      </c>
      <c r="AR409" s="11" t="s">
        <v>2395</v>
      </c>
      <c r="AS409" s="36" t="s">
        <v>2396</v>
      </c>
      <c r="AT409" s="11" t="s">
        <v>59</v>
      </c>
      <c r="AU409" s="11"/>
      <c r="AV409" s="13" t="s">
        <v>1746</v>
      </c>
      <c r="AW409" s="14"/>
      <c r="AX409" s="44">
        <v>46203</v>
      </c>
    </row>
    <row r="410" spans="1:50" ht="38.25">
      <c r="A410" s="38" t="str">
        <f>VLOOKUP(Tableau1[[#This Row],[N° Département]],Feuil1!$C$6:$E$106,3)</f>
        <v>Auvergne-Rhône-Alpes</v>
      </c>
      <c r="B410" s="38" t="str">
        <f>VLOOKUP(Tableau1[[#This Row],[N° Département]],Feuil1!$C$6:$E$106,2)</f>
        <v>Loire</v>
      </c>
      <c r="C410" s="38">
        <f>LEFT(Tableau1[[#This Row],[Code Postal]],2)*1</f>
        <v>42</v>
      </c>
      <c r="D410" s="10" t="s">
        <v>2398</v>
      </c>
      <c r="E410" s="26">
        <v>42300</v>
      </c>
      <c r="F410" s="10" t="s">
        <v>2397</v>
      </c>
      <c r="G410" s="39" t="str">
        <f>Tableau1[[#This Row],[Rue]]&amp;CHAR(10)&amp;Tableau1[[#This Row],[Code Postal]]&amp;" - "&amp;Tableau1[[#This Row],[Ville]]</f>
        <v>Carrefour Espace Saint-Louis, rue Alexandre Raffin
42300 - Roanne</v>
      </c>
      <c r="H410" s="15" t="s">
        <v>2399</v>
      </c>
      <c r="I410" s="12" t="s">
        <v>35</v>
      </c>
      <c r="J410" s="12" t="s">
        <v>41</v>
      </c>
      <c r="K410" s="10" t="s">
        <v>87</v>
      </c>
      <c r="L410" s="10"/>
      <c r="M410" s="6" t="s">
        <v>87</v>
      </c>
      <c r="N410" s="36" t="s">
        <v>1858</v>
      </c>
      <c r="O410" s="34">
        <v>516</v>
      </c>
      <c r="P410" s="6" t="s">
        <v>87</v>
      </c>
      <c r="Q410" s="34" t="s">
        <v>87</v>
      </c>
      <c r="R410" s="6" t="s">
        <v>87</v>
      </c>
      <c r="S410" s="6" t="s">
        <v>87</v>
      </c>
      <c r="T410" s="12">
        <f>Tableau1[[#This Row],[Loyer €/m²]]*Tableau1[[#This Row],[Surface GLA]]</f>
        <v>61920</v>
      </c>
      <c r="U410" s="12">
        <f>IFERROR(Tableau1[[#This Row],[Loyer annuel]]/12,"")</f>
        <v>5160</v>
      </c>
      <c r="V410" s="12">
        <v>120</v>
      </c>
      <c r="W410" s="6" t="s">
        <v>87</v>
      </c>
      <c r="X410" s="6">
        <f>Tableau1[[#This Row],[Charges €/m²]]*Tableau1[[#This Row],[Surface GLA]]</f>
        <v>41280</v>
      </c>
      <c r="Y410" s="12">
        <f>Tableau1[[#This Row],[Charges annuelles]]/12</f>
        <v>3440</v>
      </c>
      <c r="Z410" s="12">
        <v>80</v>
      </c>
      <c r="AA410" s="12">
        <f>IFERROR(Tableau1[[#This Row],[Taxe foncière €/m²]]*Tableau1[[#This Row],[Surface GLA]],)</f>
        <v>18060</v>
      </c>
      <c r="AB410" s="12">
        <v>35</v>
      </c>
      <c r="AC410" s="12">
        <f>IFERROR(Tableau1[[#This Row],[Marketing €/m²]]*Tableau1[[#This Row],[Surface GLA]],)</f>
        <v>0</v>
      </c>
      <c r="AD410" s="12"/>
      <c r="AE410" s="12">
        <f>IFERROR(Tableau1[[#This Row],[Loyer annuel]]+Tableau1[[#This Row],[Charges annuelles]]+Tableau1[[#This Row],[Taxe foncière]]+Tableau1[[#This Row],[Marketing]],"")</f>
        <v>121260</v>
      </c>
      <c r="AF410" s="12" t="str">
        <f t="shared" ref="AF410" si="25">"3 mois = "&amp;TEXT(ROUND(3/12*T410,0),"### ### ##0 €")</f>
        <v>3 mois = 15 480 €</v>
      </c>
      <c r="AG410" s="6" t="s">
        <v>87</v>
      </c>
      <c r="AH410" s="6" t="s">
        <v>87</v>
      </c>
      <c r="AI410" s="12" t="s">
        <v>346</v>
      </c>
      <c r="AJ410" s="10"/>
      <c r="AK410" s="10"/>
      <c r="AL410" s="10" t="s">
        <v>2401</v>
      </c>
      <c r="AM410" s="11" t="s">
        <v>2400</v>
      </c>
      <c r="AN410" s="11" t="s">
        <v>1308</v>
      </c>
      <c r="AO410" s="5" t="s">
        <v>350</v>
      </c>
      <c r="AP410" s="11" t="s">
        <v>2402</v>
      </c>
      <c r="AQ410" s="11" t="s">
        <v>2403</v>
      </c>
      <c r="AR410" s="11">
        <v>108</v>
      </c>
      <c r="AS410" s="36" t="s">
        <v>2404</v>
      </c>
      <c r="AT410" s="11" t="s">
        <v>59</v>
      </c>
      <c r="AU410" s="11"/>
      <c r="AV410" s="13" t="s">
        <v>1746</v>
      </c>
      <c r="AW410" s="14"/>
      <c r="AX410" s="44"/>
    </row>
    <row r="411" spans="1:50" ht="25.5">
      <c r="A411" s="38" t="str">
        <f>VLOOKUP(Tableau1[[#This Row],[N° Département]],Feuil1!$C$6:$E$106,3)</f>
        <v>Centre-Val de Loire</v>
      </c>
      <c r="B411" s="38" t="str">
        <f>VLOOKUP(Tableau1[[#This Row],[N° Département]],Feuil1!$C$6:$E$106,2)</f>
        <v>Indre</v>
      </c>
      <c r="C411" s="38">
        <f>LEFT(Tableau1[[#This Row],[Code Postal]],2)*1</f>
        <v>36</v>
      </c>
      <c r="D411" s="10" t="s">
        <v>2416</v>
      </c>
      <c r="E411" s="26">
        <v>36250</v>
      </c>
      <c r="F411" s="10" t="s">
        <v>2417</v>
      </c>
      <c r="G411" s="39" t="str">
        <f>Tableau1[[#This Row],[Rue]]&amp;CHAR(10)&amp;Tableau1[[#This Row],[Code Postal]]&amp;" - "&amp;Tableau1[[#This Row],[Ville]]</f>
        <v>Zone Cap Sud, Avenue d'Occitanie
36250 - Saint-Maur</v>
      </c>
      <c r="H411" s="15" t="s">
        <v>2418</v>
      </c>
      <c r="I411" s="12" t="s">
        <v>37</v>
      </c>
      <c r="J411" s="12" t="s">
        <v>38</v>
      </c>
      <c r="K411" s="10" t="s">
        <v>87</v>
      </c>
      <c r="L411" s="10"/>
      <c r="M411" s="6" t="s">
        <v>87</v>
      </c>
      <c r="N411" s="6" t="s">
        <v>87</v>
      </c>
      <c r="O411" s="34">
        <v>487</v>
      </c>
      <c r="P411" s="6" t="s">
        <v>2419</v>
      </c>
      <c r="Q411" s="34" t="s">
        <v>87</v>
      </c>
      <c r="R411" s="6" t="s">
        <v>87</v>
      </c>
      <c r="S411" s="6" t="s">
        <v>87</v>
      </c>
      <c r="T411" s="12"/>
      <c r="U411" s="12">
        <f>IFERROR(Tableau1[[#This Row],[Loyer annuel]]/12,"")</f>
        <v>0</v>
      </c>
      <c r="V411" s="12"/>
      <c r="W411" s="12"/>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6" t="s">
        <v>87</v>
      </c>
      <c r="AH411" s="6" t="s">
        <v>87</v>
      </c>
      <c r="AI411" s="12" t="s">
        <v>346</v>
      </c>
      <c r="AJ411" s="10" t="s">
        <v>59</v>
      </c>
      <c r="AK411" s="10" t="s">
        <v>352</v>
      </c>
      <c r="AL411" s="10" t="s">
        <v>2423</v>
      </c>
      <c r="AM411" s="11" t="s">
        <v>2425</v>
      </c>
      <c r="AN411" s="11"/>
      <c r="AO411" s="5" t="s">
        <v>350</v>
      </c>
      <c r="AP411" s="11" t="s">
        <v>2420</v>
      </c>
      <c r="AQ411" s="11" t="s">
        <v>2421</v>
      </c>
      <c r="AR411" s="11">
        <v>109</v>
      </c>
      <c r="AS411" s="36" t="s">
        <v>2424</v>
      </c>
      <c r="AT411" s="11" t="s">
        <v>59</v>
      </c>
      <c r="AU411" s="11"/>
      <c r="AV411" s="13" t="s">
        <v>2422</v>
      </c>
      <c r="AW411" s="14"/>
      <c r="AX411" s="44">
        <v>46218</v>
      </c>
    </row>
    <row r="412" spans="1:50" ht="25.5">
      <c r="A412" s="38" t="str">
        <f>VLOOKUP(Tableau1[[#This Row],[N° Département]],Feuil1!$C$6:$E$106,3)</f>
        <v>Ile-de-France</v>
      </c>
      <c r="B412" s="38" t="str">
        <f>VLOOKUP(Tableau1[[#This Row],[N° Département]],Feuil1!$C$6:$E$106,2)</f>
        <v>Yvelines</v>
      </c>
      <c r="C412" s="38">
        <f>LEFT(Tableau1[[#This Row],[Code Postal]],2)*1</f>
        <v>78</v>
      </c>
      <c r="D412" s="10" t="s">
        <v>2430</v>
      </c>
      <c r="E412" s="26">
        <v>78310</v>
      </c>
      <c r="F412" s="10" t="s">
        <v>74</v>
      </c>
      <c r="G412" s="39" t="str">
        <f>Tableau1[[#This Row],[Rue]]&amp;CHAR(10)&amp;Tableau1[[#This Row],[Code Postal]]&amp;" - "&amp;Tableau1[[#This Row],[Ville]]</f>
        <v>Rue Jean Perrin
78310 - Maurepas</v>
      </c>
      <c r="H412" s="15" t="s">
        <v>2429</v>
      </c>
      <c r="I412" s="12" t="s">
        <v>37</v>
      </c>
      <c r="J412" s="12" t="s">
        <v>40</v>
      </c>
      <c r="K412" s="10" t="s">
        <v>87</v>
      </c>
      <c r="L412" s="10"/>
      <c r="M412" s="6" t="s">
        <v>87</v>
      </c>
      <c r="N412" s="6" t="s">
        <v>87</v>
      </c>
      <c r="O412" s="34">
        <v>393</v>
      </c>
      <c r="P412" s="6" t="s">
        <v>87</v>
      </c>
      <c r="Q412" s="34" t="s">
        <v>87</v>
      </c>
      <c r="R412" s="6" t="s">
        <v>87</v>
      </c>
      <c r="S412" s="6" t="s">
        <v>87</v>
      </c>
      <c r="T412" s="12">
        <f>Tableau1[[#This Row],[Loyer €/m²]]*Tableau1[[#This Row],[Surface GLA]]</f>
        <v>70740</v>
      </c>
      <c r="U412" s="12">
        <f>IFERROR(Tableau1[[#This Row],[Loyer annuel]]/12,"")</f>
        <v>5895</v>
      </c>
      <c r="V412" s="12">
        <v>180</v>
      </c>
      <c r="W412" s="6" t="s">
        <v>87</v>
      </c>
      <c r="X412" s="6">
        <f>Tableau1[[#This Row],[Charges €/m²]]*Tableau1[[#This Row],[Surface GLA]]</f>
        <v>5109</v>
      </c>
      <c r="Y412" s="12">
        <f>Tableau1[[#This Row],[Charges annuelles]]/12</f>
        <v>425.75</v>
      </c>
      <c r="Z412" s="12">
        <v>13</v>
      </c>
      <c r="AA412" s="12">
        <f>IFERROR(Tableau1[[#This Row],[Taxe foncière €/m²]]*Tableau1[[#This Row],[Surface GLA]],)</f>
        <v>11790</v>
      </c>
      <c r="AB412" s="12">
        <v>30</v>
      </c>
      <c r="AC412" s="12">
        <f>IFERROR(Tableau1[[#This Row],[Marketing €/m²]]*Tableau1[[#This Row],[Surface GLA]],)</f>
        <v>0</v>
      </c>
      <c r="AD412" s="12"/>
      <c r="AE412" s="12">
        <f>IFERROR(Tableau1[[#This Row],[Loyer annuel]]+Tableau1[[#This Row],[Charges annuelles]]+Tableau1[[#This Row],[Taxe foncière]]+Tableau1[[#This Row],[Marketing]],"")</f>
        <v>87639</v>
      </c>
      <c r="AF412" s="12" t="str">
        <f t="shared" ref="AF412" si="26">"3 mois = "&amp;TEXT(ROUND(3/12*T412,0),"### ### ##0 €")</f>
        <v>3 mois = 17 685 €</v>
      </c>
      <c r="AG412" s="6" t="s">
        <v>87</v>
      </c>
      <c r="AH412" s="6" t="s">
        <v>87</v>
      </c>
      <c r="AI412" s="12" t="s">
        <v>346</v>
      </c>
      <c r="AJ412" s="10" t="s">
        <v>358</v>
      </c>
      <c r="AK412" s="10" t="s">
        <v>352</v>
      </c>
      <c r="AL412" s="10" t="s">
        <v>2434</v>
      </c>
      <c r="AM412" s="11" t="s">
        <v>2436</v>
      </c>
      <c r="AN412" s="11"/>
      <c r="AO412" s="5" t="s">
        <v>350</v>
      </c>
      <c r="AP412" s="11" t="s">
        <v>2432</v>
      </c>
      <c r="AQ412" s="11" t="s">
        <v>2433</v>
      </c>
      <c r="AR412" s="11">
        <v>110</v>
      </c>
      <c r="AS412" s="36" t="s">
        <v>2435</v>
      </c>
      <c r="AT412" s="11" t="s">
        <v>59</v>
      </c>
      <c r="AU412" s="11"/>
      <c r="AV412" s="13" t="s">
        <v>2431</v>
      </c>
      <c r="AW412" s="14"/>
      <c r="AX412" s="44">
        <v>46219</v>
      </c>
    </row>
    <row r="413" spans="1:50" ht="38.25">
      <c r="A413" s="38" t="str">
        <f>VLOOKUP(Tableau1[[#This Row],[N° Département]],Feuil1!$C$6:$E$106,3)</f>
        <v>Ile-de-France</v>
      </c>
      <c r="B413" s="38" t="str">
        <f>VLOOKUP(Tableau1[[#This Row],[N° Département]],Feuil1!$C$6:$E$106,2)</f>
        <v>Seine-et-Marne</v>
      </c>
      <c r="C413" s="38">
        <f>LEFT(Tableau1[[#This Row],[Code Postal]],2)*1</f>
        <v>77</v>
      </c>
      <c r="D413" s="10" t="s">
        <v>2437</v>
      </c>
      <c r="E413" s="26">
        <v>77200</v>
      </c>
      <c r="F413" s="42" t="s">
        <v>2438</v>
      </c>
      <c r="G413" s="39" t="str">
        <f>Tableau1[[#This Row],[Rue]]&amp;CHAR(10)&amp;Tableau1[[#This Row],[Code Postal]]&amp;" - "&amp;Tableau1[[#This Row],[Ville]]</f>
        <v>Centre Commercial Bay 1, promenade du 7ème Art
77200 - Torcy</v>
      </c>
      <c r="H413" s="15" t="s">
        <v>2439</v>
      </c>
      <c r="I413" s="12" t="s">
        <v>35</v>
      </c>
      <c r="J413" s="12" t="s">
        <v>39</v>
      </c>
      <c r="K413" s="10" t="s">
        <v>87</v>
      </c>
      <c r="L413" s="10"/>
      <c r="M413" s="6" t="s">
        <v>87</v>
      </c>
      <c r="N413" s="6" t="s">
        <v>87</v>
      </c>
      <c r="O413" s="34"/>
      <c r="P413" s="12"/>
      <c r="Q413" s="34"/>
      <c r="R413" s="10"/>
      <c r="S413" s="12"/>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12"/>
      <c r="AH413" s="12"/>
      <c r="AI413" s="12" t="s">
        <v>361</v>
      </c>
      <c r="AJ413" s="10" t="s">
        <v>358</v>
      </c>
      <c r="AK413" s="10" t="s">
        <v>352</v>
      </c>
      <c r="AL413" s="10" t="s">
        <v>2443</v>
      </c>
      <c r="AM413" s="11" t="s">
        <v>2442</v>
      </c>
      <c r="AN413" s="11"/>
      <c r="AO413" s="5" t="s">
        <v>350</v>
      </c>
      <c r="AP413" s="11" t="s">
        <v>2440</v>
      </c>
      <c r="AQ413" s="11" t="s">
        <v>2441</v>
      </c>
      <c r="AR413" s="11">
        <v>111</v>
      </c>
      <c r="AS413" s="36" t="s">
        <v>2444</v>
      </c>
      <c r="AT413" s="11" t="s">
        <v>59</v>
      </c>
      <c r="AU413" s="11"/>
      <c r="AV413" s="13" t="s">
        <v>2431</v>
      </c>
      <c r="AW413" s="14"/>
      <c r="AX413" s="44">
        <v>46219</v>
      </c>
    </row>
    <row r="414" spans="1:50" ht="25.5">
      <c r="A414" s="38" t="str">
        <f>VLOOKUP(Tableau1[[#This Row],[N° Département]],Feuil1!$C$6:$E$106,3)</f>
        <v>Ile-de-France</v>
      </c>
      <c r="B414" s="38" t="str">
        <f>VLOOKUP(Tableau1[[#This Row],[N° Département]],Feuil1!$C$6:$E$106,2)</f>
        <v>Val-D'Oise</v>
      </c>
      <c r="C414" s="38">
        <f>LEFT(Tableau1[[#This Row],[Code Postal]],2)*1</f>
        <v>95</v>
      </c>
      <c r="D414" s="10" t="s">
        <v>2453</v>
      </c>
      <c r="E414" s="26">
        <v>95000</v>
      </c>
      <c r="F414" s="10" t="s">
        <v>2455</v>
      </c>
      <c r="G414" s="39" t="str">
        <f>Tableau1[[#This Row],[Rue]]&amp;CHAR(10)&amp;Tableau1[[#This Row],[Code Postal]]&amp;" - "&amp;Tableau1[[#This Row],[Ville]]</f>
        <v>16, rue des Marjoberts
95000 - Cergy</v>
      </c>
      <c r="H414" s="15" t="s">
        <v>2454</v>
      </c>
      <c r="I414" s="12" t="s">
        <v>35</v>
      </c>
      <c r="J414" s="12" t="s">
        <v>34</v>
      </c>
      <c r="K414" s="10" t="s">
        <v>87</v>
      </c>
      <c r="L414" s="10" t="s">
        <v>1437</v>
      </c>
      <c r="M414" s="12" t="s">
        <v>87</v>
      </c>
      <c r="N414" s="6" t="s">
        <v>87</v>
      </c>
      <c r="O414" s="34">
        <v>403</v>
      </c>
      <c r="P414" s="6" t="s">
        <v>87</v>
      </c>
      <c r="Q414" s="34" t="s">
        <v>87</v>
      </c>
      <c r="R414" s="6" t="s">
        <v>87</v>
      </c>
      <c r="S414" s="6" t="s">
        <v>87</v>
      </c>
      <c r="T414" s="12">
        <f>Tableau1[[#This Row],[Loyer €/m²]]*Tableau1[[#This Row],[Surface GLA]]</f>
        <v>87451</v>
      </c>
      <c r="U414" s="12">
        <f>IFERROR(Tableau1[[#This Row],[Loyer annuel]]/12,"")</f>
        <v>7287.583333333333</v>
      </c>
      <c r="V414" s="12">
        <v>217</v>
      </c>
      <c r="W414" s="6" t="s">
        <v>87</v>
      </c>
      <c r="X414" s="6">
        <f>Tableau1[[#This Row],[Charges €/m²]]*Tableau1[[#This Row],[Surface GLA]]</f>
        <v>1209</v>
      </c>
      <c r="Y414" s="12">
        <f>Tableau1[[#This Row],[Charges annuelles]]/12</f>
        <v>100.75</v>
      </c>
      <c r="Z414" s="12">
        <v>3</v>
      </c>
      <c r="AA414" s="12">
        <f>IFERROR(Tableau1[[#This Row],[Taxe foncière €/m²]]*Tableau1[[#This Row],[Surface GLA]],)</f>
        <v>0</v>
      </c>
      <c r="AB414" s="12"/>
      <c r="AC414" s="12">
        <f>IFERROR(Tableau1[[#This Row],[Marketing €/m²]]*Tableau1[[#This Row],[Surface GLA]],)</f>
        <v>0</v>
      </c>
      <c r="AD414" s="12"/>
      <c r="AE414" s="12">
        <f>IFERROR(Tableau1[[#This Row],[Loyer annuel]]+Tableau1[[#This Row],[Charges annuelles]]+Tableau1[[#This Row],[Taxe foncière]]+Tableau1[[#This Row],[Marketing]],"")</f>
        <v>88660</v>
      </c>
      <c r="AF414" s="12" t="str">
        <f t="shared" ref="AF414:AF415" si="27">"3 mois = "&amp;TEXT(ROUND(3/12*T414,0),"### ### ##0 €")</f>
        <v>3 mois = 21 863 €</v>
      </c>
      <c r="AG414" s="6" t="s">
        <v>87</v>
      </c>
      <c r="AH414" s="12" t="s">
        <v>1308</v>
      </c>
      <c r="AI414" s="12" t="s">
        <v>346</v>
      </c>
      <c r="AJ414" s="10" t="s">
        <v>59</v>
      </c>
      <c r="AK414" s="10" t="s">
        <v>352</v>
      </c>
      <c r="AL414" s="10"/>
      <c r="AM414" s="11"/>
      <c r="AN414" s="11"/>
      <c r="AO414" s="5" t="s">
        <v>350</v>
      </c>
      <c r="AP414" s="11" t="s">
        <v>2456</v>
      </c>
      <c r="AQ414" s="11" t="s">
        <v>2457</v>
      </c>
      <c r="AR414" s="11">
        <v>112</v>
      </c>
      <c r="AS414" s="36" t="s">
        <v>2491</v>
      </c>
      <c r="AT414" s="11" t="s">
        <v>59</v>
      </c>
      <c r="AU414" s="11"/>
      <c r="AV414" s="13" t="s">
        <v>1504</v>
      </c>
      <c r="AW414" s="14"/>
      <c r="AX414" s="44">
        <v>46231</v>
      </c>
    </row>
    <row r="415" spans="1:50" ht="25.5">
      <c r="A415" s="38" t="str">
        <f>VLOOKUP(Tableau1[[#This Row],[N° Département]],Feuil1!$C$6:$E$106,3)</f>
        <v>Ile-de-France</v>
      </c>
      <c r="B415" s="38" t="str">
        <f>VLOOKUP(Tableau1[[#This Row],[N° Département]],Feuil1!$C$6:$E$106,2)</f>
        <v>Essonne</v>
      </c>
      <c r="C415" s="38">
        <f>LEFT(Tableau1[[#This Row],[Code Postal]],2)*1</f>
        <v>91</v>
      </c>
      <c r="D415" s="10" t="s">
        <v>2459</v>
      </c>
      <c r="E415" s="26">
        <v>91080</v>
      </c>
      <c r="F415" s="10" t="s">
        <v>2460</v>
      </c>
      <c r="G415" s="39" t="str">
        <f>Tableau1[[#This Row],[Rue]]&amp;CHAR(10)&amp;Tableau1[[#This Row],[Code Postal]]&amp;" - "&amp;Tableau1[[#This Row],[Ville]]</f>
        <v>40 - 42 rue Nettie Stevens
91080 - Évry-Courcouronnes</v>
      </c>
      <c r="H415" s="15" t="s">
        <v>2458</v>
      </c>
      <c r="I415" s="12" t="s">
        <v>35</v>
      </c>
      <c r="J415" s="12" t="s">
        <v>34</v>
      </c>
      <c r="K415" s="10" t="s">
        <v>87</v>
      </c>
      <c r="L415" s="10" t="s">
        <v>1437</v>
      </c>
      <c r="M415" s="12" t="s">
        <v>87</v>
      </c>
      <c r="N415" s="36" t="s">
        <v>437</v>
      </c>
      <c r="O415" s="34">
        <v>71</v>
      </c>
      <c r="P415" s="6" t="s">
        <v>87</v>
      </c>
      <c r="Q415" s="34" t="s">
        <v>87</v>
      </c>
      <c r="R415" s="6" t="s">
        <v>87</v>
      </c>
      <c r="S415" s="6" t="s">
        <v>87</v>
      </c>
      <c r="T415" s="12">
        <f>Tableau1[[#This Row],[Loyer €/m²]]*Tableau1[[#This Row],[Surface GLA]]</f>
        <v>22933</v>
      </c>
      <c r="U415" s="12">
        <f>IFERROR(Tableau1[[#This Row],[Loyer annuel]]/12,"")</f>
        <v>1911.0833333333333</v>
      </c>
      <c r="V415" s="12">
        <v>323</v>
      </c>
      <c r="W415" s="6" t="s">
        <v>87</v>
      </c>
      <c r="X415" s="6">
        <f>Tableau1[[#This Row],[Charges €/m²]]*Tableau1[[#This Row],[Surface GLA]]</f>
        <v>994</v>
      </c>
      <c r="Y415" s="12">
        <f>Tableau1[[#This Row],[Charges annuelles]]/12</f>
        <v>82.833333333333329</v>
      </c>
      <c r="Z415" s="12">
        <v>14</v>
      </c>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23927</v>
      </c>
      <c r="AF415" s="12" t="str">
        <f t="shared" si="27"/>
        <v>3 mois = 5 733 €</v>
      </c>
      <c r="AG415" s="6" t="s">
        <v>87</v>
      </c>
      <c r="AH415" s="12" t="s">
        <v>2461</v>
      </c>
      <c r="AI415" s="12" t="s">
        <v>346</v>
      </c>
      <c r="AJ415" s="10" t="s">
        <v>59</v>
      </c>
      <c r="AK415" s="10" t="s">
        <v>352</v>
      </c>
      <c r="AL415" s="10"/>
      <c r="AM415" s="11"/>
      <c r="AN415" s="11"/>
      <c r="AO415" s="5" t="s">
        <v>350</v>
      </c>
      <c r="AP415" s="11" t="s">
        <v>2462</v>
      </c>
      <c r="AQ415" s="11" t="s">
        <v>2463</v>
      </c>
      <c r="AR415" s="11">
        <v>113</v>
      </c>
      <c r="AS415" s="36" t="s">
        <v>2492</v>
      </c>
      <c r="AT415" s="11" t="s">
        <v>59</v>
      </c>
      <c r="AU415" s="11"/>
      <c r="AV415" s="13" t="s">
        <v>1504</v>
      </c>
      <c r="AW415" s="14"/>
      <c r="AX415" s="44">
        <v>46231</v>
      </c>
    </row>
    <row r="416" spans="1:50" ht="25.5">
      <c r="A416" s="38" t="str">
        <f>VLOOKUP(Tableau1[[#This Row],[N° Département]],Feuil1!$C$6:$E$106,3)</f>
        <v>Ile-de-France</v>
      </c>
      <c r="B416" s="38" t="str">
        <f>VLOOKUP(Tableau1[[#This Row],[N° Département]],Feuil1!$C$6:$E$106,2)</f>
        <v>Essonne</v>
      </c>
      <c r="C416" s="38">
        <f>LEFT(Tableau1[[#This Row],[Code Postal]],2)*1</f>
        <v>91</v>
      </c>
      <c r="D416" s="10" t="s">
        <v>2465</v>
      </c>
      <c r="E416" s="26">
        <v>91260</v>
      </c>
      <c r="F416" s="10" t="s">
        <v>2466</v>
      </c>
      <c r="G416" s="39" t="str">
        <f>Tableau1[[#This Row],[Rue]]&amp;CHAR(10)&amp;Tableau1[[#This Row],[Code Postal]]&amp;" - "&amp;Tableau1[[#This Row],[Ville]]</f>
        <v>31 avenue de la Cour de France
91260 - Juvisy-sur-Orge</v>
      </c>
      <c r="H416" s="15" t="s">
        <v>2464</v>
      </c>
      <c r="I416" s="12" t="s">
        <v>35</v>
      </c>
      <c r="J416" s="12" t="s">
        <v>34</v>
      </c>
      <c r="K416" s="10" t="s">
        <v>87</v>
      </c>
      <c r="L416" s="10" t="s">
        <v>1437</v>
      </c>
      <c r="M416" s="12" t="s">
        <v>87</v>
      </c>
      <c r="N416" s="6" t="s">
        <v>87</v>
      </c>
      <c r="O416" s="34">
        <v>102</v>
      </c>
      <c r="P416" s="6" t="s">
        <v>87</v>
      </c>
      <c r="Q416" s="34" t="s">
        <v>87</v>
      </c>
      <c r="R416" s="6" t="s">
        <v>87</v>
      </c>
      <c r="S416" s="6" t="s">
        <v>87</v>
      </c>
      <c r="T416" s="12">
        <f>Tableau1[[#This Row],[Loyer €/m²]]*Tableau1[[#This Row],[Surface GLA]]</f>
        <v>22950</v>
      </c>
      <c r="U416" s="12">
        <f>IFERROR(Tableau1[[#This Row],[Loyer annuel]]/12,"")</f>
        <v>1912.5</v>
      </c>
      <c r="V416" s="12">
        <v>225</v>
      </c>
      <c r="W416" s="6" t="s">
        <v>87</v>
      </c>
      <c r="X416" s="6">
        <f>Tableau1[[#This Row],[Charges €/m²]]*Tableau1[[#This Row],[Surface GLA]]</f>
        <v>2040</v>
      </c>
      <c r="Y416" s="12">
        <f>Tableau1[[#This Row],[Charges annuelles]]/12</f>
        <v>170</v>
      </c>
      <c r="Z416" s="12">
        <v>20</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24990</v>
      </c>
      <c r="AF416" s="12" t="str">
        <f t="shared" ref="AF416:AF418" si="28">"3 mois = "&amp;TEXT(ROUND(3/12*T416,0),"### ### ##0 €")</f>
        <v>3 mois = 5 738 €</v>
      </c>
      <c r="AG416" s="6" t="s">
        <v>87</v>
      </c>
      <c r="AH416" s="12" t="s">
        <v>2467</v>
      </c>
      <c r="AI416" s="12" t="s">
        <v>346</v>
      </c>
      <c r="AJ416" s="10" t="s">
        <v>59</v>
      </c>
      <c r="AK416" s="10" t="s">
        <v>352</v>
      </c>
      <c r="AL416" s="10"/>
      <c r="AM416" s="11"/>
      <c r="AN416" s="11"/>
      <c r="AO416" s="5" t="s">
        <v>350</v>
      </c>
      <c r="AP416" s="11" t="s">
        <v>2468</v>
      </c>
      <c r="AQ416" s="11" t="s">
        <v>2469</v>
      </c>
      <c r="AR416" s="11">
        <v>114</v>
      </c>
      <c r="AS416" s="70" t="s">
        <v>2493</v>
      </c>
      <c r="AT416" s="11" t="s">
        <v>59</v>
      </c>
      <c r="AU416" s="11"/>
      <c r="AV416" s="13" t="s">
        <v>1504</v>
      </c>
      <c r="AW416" s="14"/>
      <c r="AX416" s="44">
        <v>46231</v>
      </c>
    </row>
    <row r="417" spans="1:50" ht="25.5">
      <c r="A417" s="38" t="str">
        <f>VLOOKUP(Tableau1[[#This Row],[N° Département]],Feuil1!$C$6:$E$106,3)</f>
        <v>Ile-de-France</v>
      </c>
      <c r="B417" s="38" t="str">
        <f>VLOOKUP(Tableau1[[#This Row],[N° Département]],Feuil1!$C$6:$E$106,2)</f>
        <v>Seine-Saint-Denis</v>
      </c>
      <c r="C417" s="38">
        <f>LEFT(Tableau1[[#This Row],[Code Postal]],2)*1</f>
        <v>93</v>
      </c>
      <c r="D417" s="10" t="s">
        <v>2471</v>
      </c>
      <c r="E417" s="26">
        <v>93400</v>
      </c>
      <c r="F417" s="10" t="s">
        <v>1473</v>
      </c>
      <c r="G417" s="39" t="str">
        <f>Tableau1[[#This Row],[Rue]]&amp;CHAR(10)&amp;Tableau1[[#This Row],[Code Postal]]&amp;" - "&amp;Tableau1[[#This Row],[Ville]]</f>
        <v>5 Allée de la comtesse du Cayla
93400 - Saint-Ouen</v>
      </c>
      <c r="H417" s="15" t="s">
        <v>2470</v>
      </c>
      <c r="I417" s="12" t="s">
        <v>35</v>
      </c>
      <c r="J417" s="12" t="s">
        <v>34</v>
      </c>
      <c r="K417" s="10" t="s">
        <v>87</v>
      </c>
      <c r="L417" s="10" t="s">
        <v>1437</v>
      </c>
      <c r="M417" s="12" t="s">
        <v>87</v>
      </c>
      <c r="N417" s="6" t="s">
        <v>87</v>
      </c>
      <c r="O417" s="34">
        <v>65</v>
      </c>
      <c r="P417" s="6" t="s">
        <v>87</v>
      </c>
      <c r="Q417" s="34" t="s">
        <v>87</v>
      </c>
      <c r="R417" s="6" t="s">
        <v>87</v>
      </c>
      <c r="S417" s="6" t="s">
        <v>87</v>
      </c>
      <c r="T417" s="12">
        <f>Tableau1[[#This Row],[Loyer €/m²]]*Tableau1[[#This Row],[Surface GLA]]</f>
        <v>20150</v>
      </c>
      <c r="U417" s="12">
        <f>IFERROR(Tableau1[[#This Row],[Loyer annuel]]/12,"")</f>
        <v>1679.1666666666667</v>
      </c>
      <c r="V417" s="12">
        <v>310</v>
      </c>
      <c r="W417" s="6" t="s">
        <v>87</v>
      </c>
      <c r="X417" s="6">
        <f>Tableau1[[#This Row],[Charges €/m²]]*Tableau1[[#This Row],[Surface GLA]]</f>
        <v>0</v>
      </c>
      <c r="Y417" s="12">
        <f>Tableau1[[#This Row],[Charges annuelles]]/12</f>
        <v>0</v>
      </c>
      <c r="Z417" s="12"/>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20150</v>
      </c>
      <c r="AF417" s="12" t="str">
        <f t="shared" si="28"/>
        <v>3 mois = 5 038 €</v>
      </c>
      <c r="AG417" s="6" t="s">
        <v>87</v>
      </c>
      <c r="AH417" s="12" t="s">
        <v>2474</v>
      </c>
      <c r="AI417" s="12" t="s">
        <v>346</v>
      </c>
      <c r="AJ417" s="10" t="s">
        <v>59</v>
      </c>
      <c r="AK417" s="10" t="s">
        <v>352</v>
      </c>
      <c r="AL417" s="10"/>
      <c r="AM417" s="11"/>
      <c r="AN417" s="11"/>
      <c r="AO417" s="5" t="s">
        <v>350</v>
      </c>
      <c r="AP417" s="11" t="s">
        <v>2476</v>
      </c>
      <c r="AQ417" s="11" t="s">
        <v>2477</v>
      </c>
      <c r="AR417" s="11" t="s">
        <v>2480</v>
      </c>
      <c r="AS417" s="36"/>
      <c r="AT417" s="11" t="s">
        <v>59</v>
      </c>
      <c r="AU417" s="11"/>
      <c r="AV417" s="13" t="s">
        <v>1504</v>
      </c>
      <c r="AW417" s="14"/>
      <c r="AX417" s="44">
        <v>46231</v>
      </c>
    </row>
    <row r="418" spans="1:50" ht="25.5">
      <c r="A418" s="38" t="str">
        <f>VLOOKUP(Tableau1[[#This Row],[N° Département]],Feuil1!$C$6:$E$106,3)</f>
        <v>Ile-de-France</v>
      </c>
      <c r="B418" s="38" t="str">
        <f>VLOOKUP(Tableau1[[#This Row],[N° Département]],Feuil1!$C$6:$E$106,2)</f>
        <v>Seine-Saint-Denis</v>
      </c>
      <c r="C418" s="38">
        <f>LEFT(Tableau1[[#This Row],[Code Postal]],2)*1</f>
        <v>93</v>
      </c>
      <c r="D418" s="10" t="s">
        <v>2472</v>
      </c>
      <c r="E418" s="26">
        <v>93400</v>
      </c>
      <c r="F418" s="10" t="s">
        <v>1473</v>
      </c>
      <c r="G418" s="39" t="str">
        <f>Tableau1[[#This Row],[Rue]]&amp;CHAR(10)&amp;Tableau1[[#This Row],[Code Postal]]&amp;" - "&amp;Tableau1[[#This Row],[Ville]]</f>
        <v>7 Allée de la comtesse du Cayla
93400 - Saint-Ouen</v>
      </c>
      <c r="H418" s="15" t="s">
        <v>2473</v>
      </c>
      <c r="I418" s="12" t="s">
        <v>35</v>
      </c>
      <c r="J418" s="12" t="s">
        <v>34</v>
      </c>
      <c r="K418" s="10" t="s">
        <v>87</v>
      </c>
      <c r="L418" s="10" t="s">
        <v>1437</v>
      </c>
      <c r="M418" s="12" t="s">
        <v>87</v>
      </c>
      <c r="N418" s="6" t="s">
        <v>87</v>
      </c>
      <c r="O418" s="34">
        <v>72</v>
      </c>
      <c r="P418" s="6" t="s">
        <v>87</v>
      </c>
      <c r="Q418" s="34" t="s">
        <v>87</v>
      </c>
      <c r="R418" s="6" t="s">
        <v>87</v>
      </c>
      <c r="S418" s="6" t="s">
        <v>87</v>
      </c>
      <c r="T418" s="12">
        <f>Tableau1[[#This Row],[Loyer €/m²]]*Tableau1[[#This Row],[Surface GLA]]</f>
        <v>23328</v>
      </c>
      <c r="U418" s="12">
        <f>IFERROR(Tableau1[[#This Row],[Loyer annuel]]/12,"")</f>
        <v>1944</v>
      </c>
      <c r="V418" s="12">
        <v>324</v>
      </c>
      <c r="W418" s="6" t="s">
        <v>87</v>
      </c>
      <c r="X418" s="6">
        <f>Tableau1[[#This Row],[Charges €/m²]]*Tableau1[[#This Row],[Surface GLA]]</f>
        <v>0</v>
      </c>
      <c r="Y418" s="12">
        <f>Tableau1[[#This Row],[Charges annuelles]]/12</f>
        <v>0</v>
      </c>
      <c r="Z418" s="12"/>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23328</v>
      </c>
      <c r="AF418" s="12" t="str">
        <f t="shared" si="28"/>
        <v>3 mois = 5 832 €</v>
      </c>
      <c r="AG418" s="6" t="s">
        <v>87</v>
      </c>
      <c r="AH418" s="12" t="s">
        <v>2475</v>
      </c>
      <c r="AI418" s="12" t="s">
        <v>346</v>
      </c>
      <c r="AJ418" s="10" t="s">
        <v>59</v>
      </c>
      <c r="AK418" s="10" t="s">
        <v>352</v>
      </c>
      <c r="AL418" s="10"/>
      <c r="AM418" s="11"/>
      <c r="AN418" s="11"/>
      <c r="AO418" s="5" t="s">
        <v>350</v>
      </c>
      <c r="AP418" s="11" t="s">
        <v>2478</v>
      </c>
      <c r="AQ418" s="11" t="s">
        <v>2479</v>
      </c>
      <c r="AR418" s="11" t="s">
        <v>2481</v>
      </c>
      <c r="AS418" s="36"/>
      <c r="AT418" s="11" t="s">
        <v>59</v>
      </c>
      <c r="AU418" s="11"/>
      <c r="AV418" s="13" t="s">
        <v>1504</v>
      </c>
      <c r="AW418" s="14"/>
      <c r="AX418" s="44">
        <v>46231</v>
      </c>
    </row>
    <row r="419" spans="1:50" ht="25.5">
      <c r="A419" s="38" t="str">
        <f>VLOOKUP(Tableau1[[#This Row],[N° Département]],Feuil1!$C$6:$E$106,3)</f>
        <v>Ile-de-France</v>
      </c>
      <c r="B419" s="38" t="str">
        <f>VLOOKUP(Tableau1[[#This Row],[N° Département]],Feuil1!$C$6:$E$106,2)</f>
        <v>Val-D'Oise</v>
      </c>
      <c r="C419" s="38">
        <f>LEFT(Tableau1[[#This Row],[Code Postal]],2)*1</f>
        <v>95</v>
      </c>
      <c r="D419" s="10" t="s">
        <v>2489</v>
      </c>
      <c r="E419" s="26">
        <v>95500</v>
      </c>
      <c r="F419" s="10" t="s">
        <v>2482</v>
      </c>
      <c r="G419" s="39" t="str">
        <f>Tableau1[[#This Row],[Rue]]&amp;CHAR(10)&amp;Tableau1[[#This Row],[Code Postal]]&amp;" - "&amp;Tableau1[[#This Row],[Ville]]</f>
        <v>8 rue Emmanuel Rain
95500 - Gonesse</v>
      </c>
      <c r="H419" s="15" t="s">
        <v>2490</v>
      </c>
      <c r="I419" s="12"/>
      <c r="J419" s="12"/>
      <c r="K419" s="10" t="s">
        <v>87</v>
      </c>
      <c r="L419" s="10" t="s">
        <v>1437</v>
      </c>
      <c r="M419" s="12" t="s">
        <v>87</v>
      </c>
      <c r="N419" s="6" t="s">
        <v>87</v>
      </c>
      <c r="O419" s="34"/>
      <c r="P419" s="6" t="s">
        <v>87</v>
      </c>
      <c r="Q419" s="34" t="s">
        <v>87</v>
      </c>
      <c r="R419" s="6" t="s">
        <v>87</v>
      </c>
      <c r="S419" s="6" t="s">
        <v>87</v>
      </c>
      <c r="T419" s="12">
        <f>Tableau1[[#This Row],[Loyer €/m²]]*Tableau1[[#This Row],[Surface GLA]]</f>
        <v>0</v>
      </c>
      <c r="U419" s="12">
        <f>IFERROR(Tableau1[[#This Row],[Loyer annuel]]/12,"")</f>
        <v>0</v>
      </c>
      <c r="V419" s="12"/>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0</v>
      </c>
      <c r="AF419" s="12"/>
      <c r="AG419" s="12"/>
      <c r="AH419" s="12"/>
      <c r="AI419" s="12"/>
      <c r="AJ419" s="10"/>
      <c r="AK419" s="10"/>
      <c r="AL419" s="10"/>
      <c r="AM419" s="11"/>
      <c r="AN419" s="11"/>
      <c r="AO419" s="5" t="s">
        <v>350</v>
      </c>
      <c r="AP419" s="11"/>
      <c r="AQ419" s="11"/>
      <c r="AR419" s="11">
        <v>116</v>
      </c>
      <c r="AS419" s="36"/>
      <c r="AT419" s="11" t="s">
        <v>59</v>
      </c>
      <c r="AU419" s="11"/>
      <c r="AV419" s="13" t="s">
        <v>1504</v>
      </c>
      <c r="AW419" s="14"/>
      <c r="AX419" s="44">
        <v>46231</v>
      </c>
    </row>
    <row r="420" spans="1:50" ht="25.5">
      <c r="A420" s="38" t="e">
        <f>VLOOKUP(Tableau1[[#This Row],[N° Département]],Feuil1!$C$6:$E$106,3)</f>
        <v>#VALUE!</v>
      </c>
      <c r="B420" s="38" t="e">
        <f>VLOOKUP(Tableau1[[#This Row],[N° Département]],Feuil1!$C$6:$E$106,2)</f>
        <v>#VALUE!</v>
      </c>
      <c r="C420" s="38" t="e">
        <f>LEFT(Tableau1[[#This Row],[Code Postal]],2)*1</f>
        <v>#VALUE!</v>
      </c>
      <c r="D420" s="10"/>
      <c r="E420" s="10"/>
      <c r="F420" s="10" t="s">
        <v>1038</v>
      </c>
      <c r="G420" s="39" t="str">
        <f>Tableau1[[#This Row],[Rue]]&amp;CHAR(10)&amp;Tableau1[[#This Row],[Code Postal]]&amp;" - "&amp;Tableau1[[#This Row],[Ville]]</f>
        <v xml:space="preserve">
 - Champigny-sur-Marne</v>
      </c>
      <c r="H420" s="52" t="e" cm="1">
        <f t="array" aca="1" ref="H420" ca="1">Extrait_hyperlien(#REF!)</f>
        <v>#NAME?</v>
      </c>
      <c r="I420" s="12"/>
      <c r="J420" s="12"/>
      <c r="K420" s="10" t="s">
        <v>87</v>
      </c>
      <c r="L420" s="10" t="s">
        <v>1437</v>
      </c>
      <c r="M420" s="12" t="s">
        <v>87</v>
      </c>
      <c r="N420" s="6" t="s">
        <v>87</v>
      </c>
      <c r="O420" s="34"/>
      <c r="P420" s="6" t="s">
        <v>87</v>
      </c>
      <c r="Q420" s="34" t="s">
        <v>87</v>
      </c>
      <c r="R420" s="6" t="s">
        <v>87</v>
      </c>
      <c r="S420" s="6" t="s">
        <v>87</v>
      </c>
      <c r="T420" s="12">
        <f>Tableau1[[#This Row],[Loyer €/m²]]*Tableau1[[#This Row],[Surface GLA]]</f>
        <v>0</v>
      </c>
      <c r="U420" s="12">
        <f>IFERROR(Tableau1[[#This Row],[Loyer annuel]]/12,"")</f>
        <v>0</v>
      </c>
      <c r="V420" s="12"/>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0</v>
      </c>
      <c r="AF420" s="12"/>
      <c r="AG420" s="12"/>
      <c r="AH420" s="12"/>
      <c r="AI420" s="12"/>
      <c r="AJ420" s="10"/>
      <c r="AK420" s="10"/>
      <c r="AL420" s="10"/>
      <c r="AM420" s="11"/>
      <c r="AN420" s="11"/>
      <c r="AO420" s="5" t="s">
        <v>350</v>
      </c>
      <c r="AP420" s="11"/>
      <c r="AQ420" s="11"/>
      <c r="AR420" s="11">
        <v>117</v>
      </c>
      <c r="AS420" s="36"/>
      <c r="AT420" s="11" t="s">
        <v>59</v>
      </c>
      <c r="AU420" s="11"/>
      <c r="AV420" s="13" t="s">
        <v>1504</v>
      </c>
      <c r="AW420" s="14"/>
      <c r="AX420" s="44">
        <v>46231</v>
      </c>
    </row>
    <row r="421" spans="1:50" ht="25.5">
      <c r="A421" s="38" t="str">
        <f>VLOOKUP(Tableau1[[#This Row],[N° Département]],Feuil1!$C$6:$E$106,3)</f>
        <v>Hauts-de-France</v>
      </c>
      <c r="B421" s="38" t="str">
        <f>VLOOKUP(Tableau1[[#This Row],[N° Département]],Feuil1!$C$6:$E$106,2)</f>
        <v>Pas-de-Calais</v>
      </c>
      <c r="C421" s="38">
        <f>LEFT(Tableau1[[#This Row],[Code Postal]],2)*1</f>
        <v>62</v>
      </c>
      <c r="D421" s="10" t="s">
        <v>2484</v>
      </c>
      <c r="E421" s="26">
        <v>62110</v>
      </c>
      <c r="F421" s="10" t="s">
        <v>2485</v>
      </c>
      <c r="G421" s="39" t="str">
        <f>Tableau1[[#This Row],[Rue]]&amp;CHAR(10)&amp;Tableau1[[#This Row],[Code Postal]]&amp;" - "&amp;Tableau1[[#This Row],[Ville]]</f>
        <v>Avenue du bord des eaux
62110 - Hénin-Beaumont</v>
      </c>
      <c r="H421" s="15" t="s">
        <v>2483</v>
      </c>
      <c r="I421" s="12" t="s">
        <v>37</v>
      </c>
      <c r="J421" s="12" t="s">
        <v>40</v>
      </c>
      <c r="K421" s="10" t="s">
        <v>87</v>
      </c>
      <c r="L421" s="10" t="s">
        <v>1437</v>
      </c>
      <c r="M421" s="12" t="s">
        <v>87</v>
      </c>
      <c r="N421" s="6" t="s">
        <v>2486</v>
      </c>
      <c r="O421" s="34">
        <v>600</v>
      </c>
      <c r="P421" s="6" t="s">
        <v>87</v>
      </c>
      <c r="Q421" s="34" t="s">
        <v>87</v>
      </c>
      <c r="R421" s="6" t="s">
        <v>87</v>
      </c>
      <c r="S421" s="6" t="s">
        <v>87</v>
      </c>
      <c r="T421" s="12">
        <f>Tableau1[[#This Row],[Loyer €/m²]]*Tableau1[[#This Row],[Surface GLA]]</f>
        <v>72000</v>
      </c>
      <c r="U421" s="12">
        <f>IFERROR(Tableau1[[#This Row],[Loyer annuel]]/12,"")</f>
        <v>6000</v>
      </c>
      <c r="V421" s="12">
        <v>120</v>
      </c>
      <c r="W421" s="6" t="s">
        <v>87</v>
      </c>
      <c r="X421" s="6">
        <f>Tableau1[[#This Row],[Charges €/m²]]*Tableau1[[#This Row],[Surface GLA]]</f>
        <v>9000</v>
      </c>
      <c r="Y421" s="12">
        <f>Tableau1[[#This Row],[Charges annuelles]]/12</f>
        <v>750</v>
      </c>
      <c r="Z421" s="12">
        <v>15</v>
      </c>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81000</v>
      </c>
      <c r="AF421" s="12" t="str">
        <f t="shared" ref="AF421" si="29">"3 mois = "&amp;TEXT(ROUND(3/12*T421,0),"### ### ##0 €")</f>
        <v>3 mois = 18 000 €</v>
      </c>
      <c r="AG421" s="6" t="s">
        <v>87</v>
      </c>
      <c r="AH421" s="12"/>
      <c r="AI421" s="12"/>
      <c r="AJ421" s="10" t="s">
        <v>358</v>
      </c>
      <c r="AK421" s="10" t="s">
        <v>352</v>
      </c>
      <c r="AL421" s="10"/>
      <c r="AM421" s="11"/>
      <c r="AN421" s="11"/>
      <c r="AO421" s="5" t="s">
        <v>350</v>
      </c>
      <c r="AP421" s="11" t="s">
        <v>2487</v>
      </c>
      <c r="AQ421" s="11" t="s">
        <v>2488</v>
      </c>
      <c r="AR421" s="11">
        <v>118</v>
      </c>
      <c r="AS421" s="36" t="s">
        <v>2494</v>
      </c>
      <c r="AT421" s="11" t="s">
        <v>59</v>
      </c>
      <c r="AU421" s="11"/>
      <c r="AV421" s="13" t="s">
        <v>1504</v>
      </c>
      <c r="AW421" s="14"/>
      <c r="AX421" s="44">
        <v>46231</v>
      </c>
    </row>
    <row r="426" spans="1:50">
      <c r="F426" s="1" t="s">
        <v>2414</v>
      </c>
    </row>
    <row r="427" spans="1:50">
      <c r="F427" s="1" t="s">
        <v>2408</v>
      </c>
    </row>
    <row r="428" spans="1:50">
      <c r="F428" s="1" t="s">
        <v>2405</v>
      </c>
    </row>
    <row r="429" spans="1:50">
      <c r="F429" s="1" t="s">
        <v>2140</v>
      </c>
    </row>
    <row r="430" spans="1:50">
      <c r="F430" s="1" t="s">
        <v>2141</v>
      </c>
    </row>
    <row r="431" spans="1:50">
      <c r="F431" s="1" t="s">
        <v>2370</v>
      </c>
    </row>
    <row r="432" spans="1:50">
      <c r="F432" s="1" t="s">
        <v>2451</v>
      </c>
    </row>
    <row r="433" spans="6:6">
      <c r="F433" s="1" t="s">
        <v>2431</v>
      </c>
    </row>
    <row r="435" spans="6:6">
      <c r="F435"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4" r:id="rId109" xr:uid="{D9CEB66C-2A2B-4C50-90E4-25DDB2866B82}"/>
    <hyperlink ref="H165" r:id="rId110" xr:uid="{77194CDF-321B-4F1D-8892-C65AB2918B74}"/>
    <hyperlink ref="H166" r:id="rId111" xr:uid="{A510C509-E61B-4228-AC93-D0093532C7D2}"/>
    <hyperlink ref="H167" r:id="rId112" xr:uid="{13D66F57-470F-41F4-93A6-03D5A2A4CCDB}"/>
    <hyperlink ref="H168" r:id="rId113" xr:uid="{5B7EA501-9646-45C8-A6A4-6075F4FADE70}"/>
    <hyperlink ref="H169" r:id="rId114" xr:uid="{6D822EC9-F492-4D93-A1BA-8FA65E1327B7}"/>
    <hyperlink ref="H171" r:id="rId115" xr:uid="{3C8BCE0A-AAD1-4E3F-915C-B7BFA9B07703}"/>
    <hyperlink ref="H172" r:id="rId116" xr:uid="{EB1761D0-DA2C-4FCB-8A87-DC3BF56A199A}"/>
    <hyperlink ref="H170" r:id="rId117" xr:uid="{AC7B9731-155A-409D-B7DE-6A2C81027D18}"/>
    <hyperlink ref="H173" r:id="rId118" xr:uid="{ED7C6A33-7CA0-4B59-BFC3-713467DF5837}"/>
    <hyperlink ref="H151" r:id="rId119" xr:uid="{84DBA056-5C11-4ECE-9D32-78D0DE5AACCA}"/>
    <hyperlink ref="H152" r:id="rId120" xr:uid="{3F6F7192-2423-4CFD-AC54-5D69482DCDAA}"/>
    <hyperlink ref="H153" r:id="rId121" xr:uid="{34F05E83-B67A-4D2E-97A2-715EF4DB16F0}"/>
    <hyperlink ref="H174" r:id="rId122" xr:uid="{0DCDD234-61DD-4535-96A0-1CB0ED1C39E2}"/>
    <hyperlink ref="H158" r:id="rId123" xr:uid="{69AC0ECC-2E2A-4A8B-BC81-EF4428A37640}"/>
    <hyperlink ref="H159:H163" r:id="rId124" display="https://maps.app.goo.gl/jjHUN2H4tKUGyBEQ7" xr:uid="{2DDA41A9-46D6-46F1-BFA4-95D30FE59882}"/>
    <hyperlink ref="H175" r:id="rId125" xr:uid="{F6366A42-B67C-40CD-AFBC-6C8424BEB013}"/>
    <hyperlink ref="H177" r:id="rId126" xr:uid="{AC4BD242-08DC-4A93-AF73-32CF15E14420}"/>
    <hyperlink ref="H178" r:id="rId127" xr:uid="{3FEF2131-529B-4B74-9649-3B4B1CFC2613}"/>
    <hyperlink ref="H179" r:id="rId128" xr:uid="{3F02EB48-A165-461F-8BAF-AC050FE23690}"/>
    <hyperlink ref="H180" r:id="rId129" xr:uid="{145A22A7-33A1-43C0-A440-9E0FD9BB1AD1}"/>
    <hyperlink ref="H181" r:id="rId130" xr:uid="{A5000FCA-4DF3-47B7-97D9-DAAC213C360B}"/>
    <hyperlink ref="H182" r:id="rId131" xr:uid="{9FF463BE-AA91-4BC5-AE7D-4936D1C6D265}"/>
    <hyperlink ref="H183" r:id="rId132" xr:uid="{EED7450E-F5F5-483A-B269-54C932486E0F}"/>
    <hyperlink ref="H184" r:id="rId133" xr:uid="{B52E97C0-A3E5-471B-BD01-7BEB96586BB6}"/>
    <hyperlink ref="H185" r:id="rId134" xr:uid="{6D139DEB-1BCB-45F1-9FA5-40A114985687}"/>
    <hyperlink ref="H140" r:id="rId135" xr:uid="{069CCB02-48CE-4D86-8BBE-DFAEAC941704}"/>
    <hyperlink ref="H176" r:id="rId136" xr:uid="{3FF7903C-E5BA-4ED9-88DD-9F4AF755FB57}"/>
    <hyperlink ref="H187" r:id="rId137" xr:uid="{B58FC76B-D0FB-47D2-9309-07FBB7AE8F26}"/>
    <hyperlink ref="H188" r:id="rId138" xr:uid="{5ACAB395-A666-4978-812B-9B6039F53703}"/>
    <hyperlink ref="H189" r:id="rId139" xr:uid="{21A42A74-18EE-46BA-BF13-26B8D1F6FB47}"/>
    <hyperlink ref="H190" r:id="rId140" xr:uid="{979A4771-81FC-497B-97EF-32C019953489}"/>
    <hyperlink ref="H191" r:id="rId141" xr:uid="{234D72AD-6212-4E7C-8477-5EE09B54842C}"/>
    <hyperlink ref="H192" r:id="rId142" xr:uid="{00FC64E2-B2F8-4262-AD93-67A69A51A2AE}"/>
    <hyperlink ref="H195" r:id="rId143" xr:uid="{37D46FE9-659B-4E71-B1B0-2BAE5EB3E001}"/>
    <hyperlink ref="H197" r:id="rId144" xr:uid="{C1FEA757-567F-46DB-8BE8-C181F4790348}"/>
    <hyperlink ref="H199" r:id="rId145" xr:uid="{E5DA9A5D-81D1-4927-A98E-48C8E1B7F848}"/>
    <hyperlink ref="H201" r:id="rId146" xr:uid="{BF1AC4BD-BCB3-41AE-BB4E-A4D7D4B9CA30}"/>
    <hyperlink ref="H203" r:id="rId147" xr:uid="{F331605E-78A2-41C4-A9DE-125F32D6DA17}"/>
    <hyperlink ref="H205" r:id="rId148" xr:uid="{CD04C61F-F4DD-4619-8D0C-B117149DDD16}"/>
    <hyperlink ref="H208" r:id="rId149" xr:uid="{126CAEE5-AFE9-4D78-8299-0693794DBF35}"/>
    <hyperlink ref="H210" r:id="rId150" xr:uid="{99CC6C3B-99A9-43A2-98C5-FB3C0CDBB22E}"/>
    <hyperlink ref="H212" r:id="rId151" xr:uid="{5ACB8786-94C9-4AC5-891E-06289DFF8043}"/>
    <hyperlink ref="H193" r:id="rId152" xr:uid="{2FDB9825-2079-4C7E-B037-8188CA0176F5}"/>
    <hyperlink ref="H196" r:id="rId153" xr:uid="{A69F4B4C-FA3C-439D-BC44-569193F38E47}"/>
    <hyperlink ref="H198" r:id="rId154" xr:uid="{46585970-332F-4A0A-9FB9-F74633BF4F42}"/>
    <hyperlink ref="H200" r:id="rId155" xr:uid="{8D52DD5E-FD4A-4159-BFA0-B6EE5B956520}"/>
    <hyperlink ref="H202" r:id="rId156" xr:uid="{DDFB99AD-CCF9-4F9C-B530-960F480ECD4B}"/>
    <hyperlink ref="H204" r:id="rId157" xr:uid="{8C88AF55-D328-4D4E-ACE7-C01C70716F01}"/>
    <hyperlink ref="H207" r:id="rId158" xr:uid="{A2384EAF-1892-4C85-B4DB-D89DEED6A1DD}"/>
    <hyperlink ref="H209" r:id="rId159" xr:uid="{D6D56087-231C-4ABA-8429-E4BF41585FE5}"/>
    <hyperlink ref="H211" r:id="rId160" xr:uid="{D09EAEF8-49AC-4164-AAB1-5DDF19295801}"/>
    <hyperlink ref="H206" r:id="rId161" display="https://maps.app.goo.gl/RJ2QRVrW96tKL7ur6" xr:uid="{609C48FB-80B4-46B2-AA88-2F3D30BF6C33}"/>
    <hyperlink ref="H194" r:id="rId162" xr:uid="{2E729EBE-5AE8-4BE9-AA51-7933BA8C3C79}"/>
    <hyperlink ref="H218" r:id="rId163" xr:uid="{CCF25449-1659-4582-89F9-12D2B6EE3579}"/>
    <hyperlink ref="H219" r:id="rId164" display="https://maps.app.goo.gl/7dsMYhd2KW95ZzZs5" xr:uid="{EC1AD3C9-DDCC-4E6E-B2E9-DAF4ADC35D2C}"/>
    <hyperlink ref="H220" r:id="rId165" display="https://maps.app.goo.gl/7dsMYhd2KW95ZzZs5" xr:uid="{50958474-7E87-4C6E-8635-C114CA360BBD}"/>
    <hyperlink ref="H213" r:id="rId166" xr:uid="{9041352D-F93F-4B8D-B1AB-6E12264A34EA}"/>
    <hyperlink ref="H214" r:id="rId167" xr:uid="{FB6C0D8E-2AF1-40BC-BE6E-2992CB054D78}"/>
    <hyperlink ref="H215" r:id="rId168" xr:uid="{1F235C3F-C9DB-4C11-8CCF-0C97AB89EBD7}"/>
    <hyperlink ref="H217" r:id="rId169" xr:uid="{388632CD-FE0B-4C31-ACA8-6DA26C4D8ADF}"/>
    <hyperlink ref="H147" r:id="rId170" xr:uid="{D89787FE-D414-4ADC-AC02-C8B9D2520919}"/>
    <hyperlink ref="H221" r:id="rId171" xr:uid="{ACBC6070-DAD9-4FE2-8D5C-716E5B266865}"/>
    <hyperlink ref="H231" r:id="rId172" xr:uid="{CD3468AF-EFE4-4CA7-A470-92A73B92CFB8}"/>
    <hyperlink ref="H232" r:id="rId173" xr:uid="{346E6C25-BB0F-44A0-8892-BC68069BAA7A}"/>
    <hyperlink ref="H234" r:id="rId174" xr:uid="{C3673093-0EB3-431E-A819-C56087625C52}"/>
    <hyperlink ref="H235" r:id="rId175" xr:uid="{5FD41EE0-E32F-4B42-9354-0A62AD7E219E}"/>
    <hyperlink ref="H236" r:id="rId176" xr:uid="{FED85340-EAA2-4E7A-8432-7A3BE5D6AD3B}"/>
    <hyperlink ref="H238" r:id="rId177" xr:uid="{9C135695-9C00-4C5F-913A-8013B376DD95}"/>
    <hyperlink ref="H239" r:id="rId178" xr:uid="{7B5795EF-4703-4B84-8920-EE6B31A463D3}"/>
    <hyperlink ref="H240" r:id="rId179" xr:uid="{89FEC483-A001-4B45-B8FA-C0133C0159FE}"/>
    <hyperlink ref="H241" r:id="rId180" xr:uid="{3DFB2647-894B-43B0-92A3-00B341C0DA0D}"/>
    <hyperlink ref="H245" r:id="rId181" xr:uid="{408D462D-C0B8-47D0-B218-E428030F0641}"/>
    <hyperlink ref="H246" r:id="rId182" xr:uid="{6B91A769-147A-4650-A292-F429547DB920}"/>
    <hyperlink ref="H233" r:id="rId183" xr:uid="{2B7A13EC-A717-45C6-BC9D-F69C297E69E5}"/>
    <hyperlink ref="H237" r:id="rId184" xr:uid="{29AFFB8F-4CA4-4A3F-ADBC-A4550416732D}"/>
    <hyperlink ref="H141" r:id="rId185" xr:uid="{654E0E82-F5AB-4B65-B563-9D3E91BF83D4}"/>
    <hyperlink ref="H142" r:id="rId186" xr:uid="{C5A3DF91-92D1-4C68-91E5-2339E158AAC9}"/>
    <hyperlink ref="H250" r:id="rId187" xr:uid="{D488917C-1773-46C8-AE24-C0150C67D2BC}"/>
    <hyperlink ref="H251" r:id="rId188" xr:uid="{FA4BB291-4E0D-4A6E-9E43-DF05E067866A}"/>
    <hyperlink ref="H252" r:id="rId189" xr:uid="{8ED2A142-1C2D-4EEF-B2C9-8E7DBF014473}"/>
    <hyperlink ref="H253" r:id="rId190" xr:uid="{3EE40D55-CEE4-48CB-B1B7-513D68E9C6A6}"/>
    <hyperlink ref="H186" r:id="rId191" xr:uid="{75B930EA-6D01-4FF4-A61B-C6AEA8DAC1AA}"/>
    <hyperlink ref="H254" r:id="rId192" xr:uid="{B791AC49-8556-4BE6-8345-FA11843C584F}"/>
    <hyperlink ref="H255" r:id="rId193" xr:uid="{246CD591-7D7F-4917-83C9-04BFB04148F6}"/>
    <hyperlink ref="H256" r:id="rId194" xr:uid="{B26517D8-0B06-4B5F-B842-EAB04E0C00BB}"/>
    <hyperlink ref="H257" r:id="rId195" xr:uid="{AB9D97B5-51AA-4CC4-A666-D61BC8D70FBB}"/>
    <hyperlink ref="H258" r:id="rId196" xr:uid="{0D1D41B3-79C2-4EA1-935B-F582F71707BE}"/>
    <hyperlink ref="H260" r:id="rId197" xr:uid="{9FF5B64D-BF65-4345-B32E-48F9AB582FF7}"/>
    <hyperlink ref="H262" r:id="rId198" xr:uid="{C8E9D3B8-7109-4B6E-9DEE-7F875584CBED}"/>
    <hyperlink ref="H264" r:id="rId199" xr:uid="{B7DA6EE5-0053-4A88-B6DB-4339320B19A9}"/>
    <hyperlink ref="H266" r:id="rId200" xr:uid="{B80ADE9F-F4AD-4836-89E5-25774AE98B34}"/>
    <hyperlink ref="H268" r:id="rId201" xr:uid="{9252F765-54A8-4365-B655-1CEB35A665E2}"/>
    <hyperlink ref="H270" r:id="rId202" xr:uid="{5E682CD6-A1E9-4669-AB24-37B56F75E248}"/>
    <hyperlink ref="H272" r:id="rId203" xr:uid="{9910A7B1-BC6F-44B9-A1B5-CDE437CE8C67}"/>
    <hyperlink ref="H259" r:id="rId204" xr:uid="{3760C67A-B702-490D-B7BF-10D045F6DBCA}"/>
    <hyperlink ref="H261" r:id="rId205" xr:uid="{74366FF4-BD79-4A4E-95B6-ACBE8796C1CD}"/>
    <hyperlink ref="H263" r:id="rId206" xr:uid="{6387CEAD-2485-4AAD-A042-A804233A8F62}"/>
    <hyperlink ref="H265" r:id="rId207" xr:uid="{95B81931-1443-4FA3-B65D-1E58CD1E85CD}"/>
    <hyperlink ref="H267" r:id="rId208" xr:uid="{D3CFA2EC-4DC9-42C4-AA87-F31AA4632399}"/>
    <hyperlink ref="H269" r:id="rId209" xr:uid="{1026C532-9542-4C3D-807F-C730F1C6A6E0}"/>
    <hyperlink ref="H271" r:id="rId210" xr:uid="{575408C7-3CD2-4A9F-B53A-B6A883510B8A}"/>
    <hyperlink ref="H273" r:id="rId211" xr:uid="{2F10B6EB-65C5-478E-804D-CED8FF9BBA43}"/>
    <hyperlink ref="H274" r:id="rId212" xr:uid="{D990A4C0-561C-4371-B28E-A3B279B3B0C0}"/>
    <hyperlink ref="H276" r:id="rId213" xr:uid="{C77B3F00-9E90-48BB-84E8-7863535B54FF}"/>
    <hyperlink ref="H278" r:id="rId214" xr:uid="{34596A82-7C41-4201-B1A8-58B27D8893E8}"/>
    <hyperlink ref="H280" r:id="rId215" xr:uid="{5F674D0E-15A4-4560-8CFA-3848B94A746A}"/>
    <hyperlink ref="H282" r:id="rId216" xr:uid="{6701594D-30D8-430F-9B0B-A00148A37DD6}"/>
    <hyperlink ref="H284" r:id="rId217" xr:uid="{B07E8029-DD04-4347-B16E-77ED782FEE6F}"/>
    <hyperlink ref="H286" r:id="rId218" xr:uid="{2E39182C-3664-49F0-BAF5-CCB66A0EB117}"/>
    <hyperlink ref="H275" r:id="rId219" xr:uid="{D8FAB089-5DA1-4163-B592-08A788ECDB61}"/>
    <hyperlink ref="H277" r:id="rId220" xr:uid="{D0E96C71-0CA6-4430-B910-10DEC30CF5DC}"/>
    <hyperlink ref="H279" r:id="rId221" xr:uid="{1F988F3C-B5EB-4DE2-B6CC-343B8651A0FF}"/>
    <hyperlink ref="H281" r:id="rId222" xr:uid="{0ADBD325-5248-4D36-9BD2-13C41E83B9AA}"/>
    <hyperlink ref="H283" r:id="rId223" xr:uid="{91E6E8D9-6A78-4A1A-918F-959C07CFE9DF}"/>
    <hyperlink ref="H285" r:id="rId224" xr:uid="{6348A3C5-2EC8-492B-A5CD-4D326901BC6B}"/>
    <hyperlink ref="H287" r:id="rId225" xr:uid="{6D66F3E1-8804-4654-B4C9-6068638177DC}"/>
    <hyperlink ref="H321" r:id="rId226" xr:uid="{49A01813-52A0-404C-92BA-54EF4D718CB7}"/>
    <hyperlink ref="H322" r:id="rId227" xr:uid="{80CCBAEF-6A99-442C-9A56-81B764B73EC2}"/>
    <hyperlink ref="H323" r:id="rId228" xr:uid="{072602D4-2E10-41ED-A386-57F09024FAE2}"/>
    <hyperlink ref="H324" r:id="rId229" xr:uid="{70FF3256-D984-4D4D-89BA-121FA1873E27}"/>
    <hyperlink ref="H325" r:id="rId230" xr:uid="{918FA815-DE52-41A8-90E1-21840078D3EA}"/>
    <hyperlink ref="H326" r:id="rId231" xr:uid="{13E8E726-00F1-43DF-AD54-2EF27AF985C3}"/>
    <hyperlink ref="H327" r:id="rId232" xr:uid="{2E15494E-6D46-45BE-90BF-77F429F95A81}"/>
    <hyperlink ref="H328" r:id="rId233" xr:uid="{5BB2DC43-94D6-4856-91F8-3587E943A69F}"/>
    <hyperlink ref="H329" r:id="rId234" xr:uid="{9191ADCA-3E27-4429-A3E1-BFD7826F8A5D}"/>
    <hyperlink ref="H330" r:id="rId235" xr:uid="{F776E42C-E1AD-45E8-A29C-1D8BD7202448}"/>
    <hyperlink ref="H331" r:id="rId236" xr:uid="{BC1BBF2C-0EF7-4444-9796-1878E6F93381}"/>
    <hyperlink ref="H332" r:id="rId237" xr:uid="{B519C797-D442-4B16-83ED-9819FB25F874}"/>
    <hyperlink ref="H333" r:id="rId238" xr:uid="{7C8D4687-EA34-437D-ACCA-5A0365C79698}"/>
    <hyperlink ref="H334" r:id="rId239" xr:uid="{D01D3410-B8A4-4F3F-820E-B5C2245828C2}"/>
    <hyperlink ref="H335" r:id="rId240" xr:uid="{F3685333-8429-47B8-B68D-BF7A8F542065}"/>
    <hyperlink ref="H336" r:id="rId241" xr:uid="{C13A9DA0-2916-43B1-A420-149EC8395993}"/>
    <hyperlink ref="H337" r:id="rId242" xr:uid="{B6A500CA-7217-49B8-A950-B272EC327C01}"/>
    <hyperlink ref="H338" r:id="rId243" xr:uid="{E6E2FDD9-A0B8-4351-83C5-7D2B6FBD3705}"/>
    <hyperlink ref="H339" r:id="rId244" xr:uid="{58E2DD69-699F-44E0-B0BD-F902609E9FF7}"/>
    <hyperlink ref="H340" r:id="rId245" xr:uid="{FC816376-1028-48EF-964B-5B6B47463ED5}"/>
    <hyperlink ref="H341" r:id="rId246" xr:uid="{C02C92B1-151B-4062-8001-E3C0B11124AB}"/>
    <hyperlink ref="H342" r:id="rId247" xr:uid="{658C1AD8-E161-4CC4-B610-EDEC14D9FAE6}"/>
    <hyperlink ref="H343" r:id="rId248" xr:uid="{3DB10061-588D-4FF5-A962-79D7E7A34390}"/>
    <hyperlink ref="H345" r:id="rId249" xr:uid="{A2AEC236-7DAE-40FF-88FA-F00688628594}"/>
    <hyperlink ref="H347" r:id="rId250" xr:uid="{3B802C7D-772F-49A0-B969-EA04AEDB31F1}"/>
    <hyperlink ref="H344" r:id="rId251" xr:uid="{A5ACC57F-29C4-40A3-AC0F-64D5F84F1DB4}"/>
    <hyperlink ref="H346" r:id="rId252" xr:uid="{4CEA5D0C-1935-417C-9DAD-FB09E830FDD9}"/>
    <hyperlink ref="H348" r:id="rId253" xr:uid="{84C9F479-F1AF-484F-9CB4-E70E671C4E5B}"/>
    <hyperlink ref="H349:H356" r:id="rId254" display="https://maps.app.goo.gl/X1jp89PLDxsSRV858" xr:uid="{19A8729E-3281-4918-99AC-A6E64BBA6BC8}"/>
    <hyperlink ref="H362" r:id="rId255" xr:uid="{6C89A58B-B614-4C60-A064-3EB58C30D8B2}"/>
    <hyperlink ref="H363" r:id="rId256" xr:uid="{09CC79C8-B922-40C6-AFDB-D2A0161949E4}"/>
    <hyperlink ref="H364" r:id="rId257" xr:uid="{7EFD7826-254C-4771-86FB-4E6C294458B0}"/>
    <hyperlink ref="H365" r:id="rId258" xr:uid="{66E8A6ED-41EC-451A-B048-354549E4DE49}"/>
    <hyperlink ref="H366" r:id="rId259" xr:uid="{7A5BF5D9-0F99-4676-9E48-0C6A81FD929B}"/>
    <hyperlink ref="H367" r:id="rId260" xr:uid="{EC917CF1-E4E3-4B49-A0D4-45A56E36FC58}"/>
    <hyperlink ref="H368" r:id="rId261" xr:uid="{15CDED15-3E15-4A6B-928B-646756631948}"/>
    <hyperlink ref="H369" r:id="rId262" xr:uid="{0DA89D5D-09A9-4806-B061-C5B071D502F7}"/>
    <hyperlink ref="H370" r:id="rId263" xr:uid="{6A6AF02B-EFC8-43DD-9C55-A15242B2E42D}"/>
    <hyperlink ref="H371" r:id="rId264" xr:uid="{CE7B2C2C-ACE4-41B5-A1A1-912A2545C7CF}"/>
    <hyperlink ref="H372" r:id="rId265" xr:uid="{078AE52B-CC27-4108-9CFB-D4CE0EFD672A}"/>
    <hyperlink ref="H373" r:id="rId266" xr:uid="{A57C9CE5-A662-444F-A812-860052FD0927}"/>
    <hyperlink ref="H374" r:id="rId267" xr:uid="{0D13ADB9-9303-4AF4-8465-E1A0C62872B6}"/>
    <hyperlink ref="H375" r:id="rId268" xr:uid="{7220AAEE-257B-47FA-8C2C-113EDEB2BC70}"/>
    <hyperlink ref="H376" r:id="rId269" xr:uid="{9EF41C60-F619-43AC-8DB7-9B6C38D7021A}"/>
    <hyperlink ref="H377" r:id="rId270" xr:uid="{337BEC90-BB3B-4235-921D-F323FE557DAB}"/>
    <hyperlink ref="H378" r:id="rId271" xr:uid="{66C762BA-5D4B-4ED9-B5D2-353522237F7C}"/>
    <hyperlink ref="H379" r:id="rId272" xr:uid="{8238EF33-973D-4D97-B892-6932C409E6F1}"/>
    <hyperlink ref="H380" r:id="rId273" xr:uid="{1C991613-1A3C-435D-9249-BFE39942A378}"/>
    <hyperlink ref="H381" r:id="rId274" xr:uid="{CF49F516-2DD0-4E72-A8D6-6AD59F461728}"/>
    <hyperlink ref="H382" r:id="rId275" xr:uid="{F38B568A-0561-4EE4-8642-EF105374291D}"/>
    <hyperlink ref="H383" r:id="rId276" xr:uid="{B9C39496-1944-41F3-B934-0220767B9C8C}"/>
    <hyperlink ref="H384" r:id="rId277" xr:uid="{A2AD8FE8-2FBA-44E2-BB93-6D45AD07A806}"/>
    <hyperlink ref="H385" r:id="rId278" xr:uid="{94647971-6DF4-488C-A8F6-258257B5D2D7}"/>
    <hyperlink ref="H386" r:id="rId279" xr:uid="{87E6FFAF-19E6-4DC6-9A22-26A7E72CC11A}"/>
    <hyperlink ref="H387" r:id="rId280" xr:uid="{67E695E6-63AE-4EA7-98AA-2ABCD735735B}"/>
    <hyperlink ref="H388" r:id="rId281" xr:uid="{4C129572-5EFF-44D8-BD65-97D6D42AC5DD}"/>
    <hyperlink ref="H389" r:id="rId282" xr:uid="{7433B465-F8AB-4D1C-B7A9-B8E8095196D4}"/>
    <hyperlink ref="H390" r:id="rId283" xr:uid="{3E638456-A7EA-4ACC-80B0-B3809AF2BC00}"/>
    <hyperlink ref="H391" r:id="rId284" xr:uid="{26E62F7B-9E98-4B45-9CFF-22BACC55BF56}"/>
    <hyperlink ref="H392" r:id="rId285" xr:uid="{37F36AB5-949E-4121-A845-431F3226B63D}"/>
    <hyperlink ref="H393" r:id="rId286" xr:uid="{CC19A681-D2AC-4E3B-AF06-0EAD62F77364}"/>
    <hyperlink ref="H394" r:id="rId287" xr:uid="{C6D6EB2D-D283-42DB-9622-116FEA35AC16}"/>
    <hyperlink ref="H395" r:id="rId288" xr:uid="{8525C38E-72D3-491A-A4FA-04F1113BEFD2}"/>
    <hyperlink ref="H396" r:id="rId289" xr:uid="{D4E52379-65D6-4F3A-9424-BBF1AEE8110A}"/>
    <hyperlink ref="H397" r:id="rId290" xr:uid="{E9FEBDA5-17FA-4D05-8550-20C06DE2E0FC}"/>
    <hyperlink ref="H398" r:id="rId291" xr:uid="{069B2CAC-CAA0-4A95-A05F-D855EA31D77A}"/>
    <hyperlink ref="H400" r:id="rId292" xr:uid="{F318FE01-8AB6-42A1-9F7E-9AEB7F639B23}"/>
    <hyperlink ref="H401" r:id="rId293" xr:uid="{B30B4D30-2902-4A46-8743-779F54A09792}"/>
    <hyperlink ref="H402" r:id="rId294" xr:uid="{D88FA563-AC17-4EF6-A9E4-DE6748B09E7F}"/>
    <hyperlink ref="H403" r:id="rId295" xr:uid="{F719B5A9-9AF3-47D8-83AD-58154BE77BB3}"/>
    <hyperlink ref="H404" r:id="rId296" xr:uid="{EFEE3E11-317B-4539-9E3E-4CCC43B4EA32}"/>
    <hyperlink ref="H405" r:id="rId297" xr:uid="{C027B761-A104-45BD-BB50-B46DF83688BA}"/>
    <hyperlink ref="H406" r:id="rId298" xr:uid="{DBF3A921-F9A5-4A58-B24A-83E6B1870969}"/>
    <hyperlink ref="H407" r:id="rId299" xr:uid="{65E06DF3-C42F-48C1-ACAF-9BEAFD3EC2DE}"/>
    <hyperlink ref="H408" r:id="rId300" xr:uid="{499C0269-7CFA-4DC4-9EA8-8E2143404736}"/>
    <hyperlink ref="H409" r:id="rId301" xr:uid="{527E1EED-2DC1-4ED9-B23E-D6B052A994CB}"/>
    <hyperlink ref="H410" r:id="rId302" xr:uid="{689D914F-A6CC-48A0-B800-CB584EC3EF8C}"/>
    <hyperlink ref="H126" r:id="rId303" xr:uid="{AEAA50D2-E70D-448E-A5C3-CDA4ED28F4F0}"/>
    <hyperlink ref="H91:H97" r:id="rId304" display="https://maps.app.goo.gl/ts7HeRqA9noh8CVp9" xr:uid="{517E7F98-214F-461E-A445-87425FE35E6D}"/>
    <hyperlink ref="H411" r:id="rId305" xr:uid="{918B0362-EDAB-413C-A13E-BFFE633C1F99}"/>
    <hyperlink ref="H412" r:id="rId306" xr:uid="{0E95CB04-CC17-4726-81E6-EA93A6EFFCB5}"/>
    <hyperlink ref="H413" r:id="rId307" xr:uid="{0A424E66-27CF-43E1-B308-5D6521A5E0AD}"/>
    <hyperlink ref="H414" r:id="rId308" xr:uid="{FFF19067-88E9-4694-97EB-90B637577C1C}"/>
    <hyperlink ref="H415" r:id="rId309" xr:uid="{E4F3A126-593D-42B9-8E90-E44F943A5823}"/>
    <hyperlink ref="H416" r:id="rId310" xr:uid="{A60E3008-75FC-47F8-AC23-ED55203C3730}"/>
    <hyperlink ref="H417" r:id="rId311" xr:uid="{37E492E1-3EF4-496F-94A8-6A8866990BF4}"/>
    <hyperlink ref="H418" r:id="rId312" xr:uid="{A311E68B-0FF5-4155-B91C-1D66625AEBDD}"/>
    <hyperlink ref="H421" r:id="rId313" xr:uid="{62378DC8-EDA5-460F-A637-43197B68E7D4}"/>
    <hyperlink ref="H419" r:id="rId314" xr:uid="{C4FDFE61-B6F8-4A9E-BF1A-E2A75C4D819E}"/>
    <hyperlink ref="AS416" r:id="rId315" xr:uid="{AAF0CBA8-C03E-4F86-9355-535C80F8A686}"/>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2426</v>
      </c>
      <c r="F5" t="s">
        <v>2181</v>
      </c>
      <c r="H5" t="s">
        <v>92</v>
      </c>
      <c r="J5" t="b">
        <v>0</v>
      </c>
    </row>
    <row r="8" spans="2:10" ht="15">
      <c r="B8" s="66" t="s">
        <v>2445</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1293</v>
      </c>
      <c r="E12" s="55"/>
      <c r="F12" s="58" t="str">
        <f>_xlfn.XLOOKUP($F$5, 'Tableau recherche'!$AR:$AR, 'Tableau recherche'!$K:$K, "")</f>
        <v>/</v>
      </c>
    </row>
    <row r="13" spans="2:10" ht="15">
      <c r="B13" s="55"/>
      <c r="C13" s="55"/>
      <c r="D13" s="55"/>
      <c r="E13" s="55"/>
      <c r="F13" s="58"/>
    </row>
    <row r="14" spans="2:10" ht="15">
      <c r="B14" s="66" t="s">
        <v>2446</v>
      </c>
      <c r="C14" s="55"/>
      <c r="D14" s="55"/>
      <c r="E14" s="55"/>
      <c r="F14" s="58"/>
    </row>
    <row r="15" spans="2:10" ht="15" hidden="1">
      <c r="B15" s="55"/>
      <c r="C15" s="55"/>
      <c r="D15" s="55" t="s">
        <v>1297</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1299</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2447</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2448</v>
      </c>
      <c r="C40" s="55"/>
      <c r="D40" s="63"/>
      <c r="E40" s="63"/>
      <c r="F40" s="64"/>
    </row>
    <row r="41" spans="2:6" ht="15">
      <c r="B41" s="55"/>
      <c r="C41" s="55"/>
      <c r="D41" s="55" t="s">
        <v>1295</v>
      </c>
      <c r="E41" s="55"/>
      <c r="F41" s="58" t="str">
        <f>_xlfn.XLOOKUP($F$5, 'Tableau recherche'!$AR:$AR, 'Tableau recherche'!$AN:$AN, "")</f>
        <v>1 500 € HT</v>
      </c>
    </row>
    <row r="42" spans="2:6" ht="15">
      <c r="B42" s="55"/>
      <c r="C42" s="55"/>
      <c r="D42" s="55" t="s">
        <v>1296</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2026-07-28T18:37:23Z</dcterms:modified>
</cp:coreProperties>
</file>