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AA1CA2A9-8711-4DB2-830F-1B1728B2872E}"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D143" i="2" l="1"/>
  <c r="AD142" i="2"/>
  <c r="AD141" i="2"/>
  <c r="AD140" i="2"/>
  <c r="AA139" i="2"/>
  <c r="Y139" i="2"/>
  <c r="V139" i="2"/>
  <c r="W139" i="2" s="1"/>
  <c r="R139" i="2"/>
  <c r="AD139" i="2" s="1"/>
  <c r="G139" i="2"/>
  <c r="C139" i="2"/>
  <c r="A139" i="2" s="1"/>
  <c r="R189" i="2"/>
  <c r="AD189" i="2" s="1"/>
  <c r="S189" i="2"/>
  <c r="V179" i="2"/>
  <c r="W179" i="2" s="1"/>
  <c r="V180" i="2"/>
  <c r="W180" i="2" s="1"/>
  <c r="V181" i="2"/>
  <c r="W181" i="2" s="1"/>
  <c r="V182" i="2"/>
  <c r="W182" i="2" s="1"/>
  <c r="V183" i="2"/>
  <c r="W183" i="2" s="1"/>
  <c r="V184" i="2"/>
  <c r="W184" i="2" s="1"/>
  <c r="V185" i="2"/>
  <c r="W185" i="2" s="1"/>
  <c r="V186" i="2"/>
  <c r="W186" i="2" s="1"/>
  <c r="V187" i="2"/>
  <c r="W187" i="2" s="1"/>
  <c r="V188" i="2"/>
  <c r="W188" i="2" s="1"/>
  <c r="V189" i="2"/>
  <c r="W189" i="2" s="1"/>
  <c r="C189" i="2"/>
  <c r="A189" i="2" s="1"/>
  <c r="G189" i="2"/>
  <c r="Y189" i="2"/>
  <c r="AA189" i="2"/>
  <c r="AD185" i="2"/>
  <c r="AD186" i="2"/>
  <c r="R185" i="2"/>
  <c r="S185" i="2" s="1"/>
  <c r="R186" i="2"/>
  <c r="S186" i="2" s="1"/>
  <c r="R187" i="2"/>
  <c r="S187" i="2" s="1"/>
  <c r="R188" i="2"/>
  <c r="S188" i="2" s="1"/>
  <c r="G180" i="2"/>
  <c r="G181" i="2"/>
  <c r="G182" i="2"/>
  <c r="G183" i="2"/>
  <c r="G184" i="2"/>
  <c r="G185" i="2"/>
  <c r="G186" i="2"/>
  <c r="G187" i="2"/>
  <c r="G188" i="2"/>
  <c r="C188" i="2"/>
  <c r="A188" i="2" s="1"/>
  <c r="Y188" i="2"/>
  <c r="AA188" i="2"/>
  <c r="C187" i="2"/>
  <c r="A187" i="2" s="1"/>
  <c r="Y187" i="2"/>
  <c r="AA187" i="2"/>
  <c r="C186" i="2"/>
  <c r="A186" i="2" s="1"/>
  <c r="Y186" i="2"/>
  <c r="AA186" i="2"/>
  <c r="C185" i="2"/>
  <c r="A185" i="2" s="1"/>
  <c r="Y185" i="2"/>
  <c r="AA185" i="2"/>
  <c r="R181" i="2"/>
  <c r="S181" i="2" s="1"/>
  <c r="R182" i="2"/>
  <c r="S182" i="2" s="1"/>
  <c r="R183" i="2"/>
  <c r="S183" i="2" s="1"/>
  <c r="R184" i="2"/>
  <c r="AD184" i="2" s="1"/>
  <c r="C184" i="2"/>
  <c r="A184" i="2" s="1"/>
  <c r="Y184" i="2"/>
  <c r="AA184" i="2"/>
  <c r="C183" i="2"/>
  <c r="A183" i="2" s="1"/>
  <c r="Y183" i="2"/>
  <c r="AA183" i="2"/>
  <c r="C182" i="2"/>
  <c r="A182" i="2" s="1"/>
  <c r="Y182" i="2"/>
  <c r="AA182" i="2"/>
  <c r="C181" i="2"/>
  <c r="A181" i="2" s="1"/>
  <c r="Y181" i="2"/>
  <c r="AA181" i="2"/>
  <c r="R180" i="2"/>
  <c r="S180" i="2" s="1"/>
  <c r="C180" i="2"/>
  <c r="A180" i="2" s="1"/>
  <c r="Y180" i="2"/>
  <c r="AA180" i="2"/>
  <c r="S139" i="2" l="1"/>
  <c r="AC139" i="2"/>
  <c r="B139" i="2"/>
  <c r="AD188" i="2"/>
  <c r="AD187" i="2"/>
  <c r="AD182" i="2"/>
  <c r="AC189" i="2"/>
  <c r="B189" i="2"/>
  <c r="AD181" i="2"/>
  <c r="AD183" i="2"/>
  <c r="AC186" i="2"/>
  <c r="AC187" i="2"/>
  <c r="AC188" i="2"/>
  <c r="B188" i="2"/>
  <c r="B187" i="2"/>
  <c r="AC184" i="2"/>
  <c r="AC185" i="2"/>
  <c r="B186" i="2"/>
  <c r="B185" i="2"/>
  <c r="S184" i="2"/>
  <c r="AC183" i="2"/>
  <c r="B184" i="2"/>
  <c r="B183" i="2"/>
  <c r="AC182" i="2"/>
  <c r="B182" i="2"/>
  <c r="AC181" i="2"/>
  <c r="AD180" i="2"/>
  <c r="B181" i="2"/>
  <c r="AC180" i="2"/>
  <c r="B180" i="2"/>
  <c r="R179" i="2" l="1"/>
  <c r="S179" i="2" s="1"/>
  <c r="G179" i="2"/>
  <c r="C179" i="2"/>
  <c r="A179" i="2" s="1"/>
  <c r="Y179" i="2"/>
  <c r="AA179" i="2"/>
  <c r="G167" i="2"/>
  <c r="C167" i="2"/>
  <c r="B167" i="2" s="1"/>
  <c r="G166" i="2"/>
  <c r="C166" i="2"/>
  <c r="B166" i="2" s="1"/>
  <c r="G165" i="2"/>
  <c r="C165" i="2"/>
  <c r="B165" i="2" s="1"/>
  <c r="G164" i="2"/>
  <c r="C164" i="2"/>
  <c r="B164" i="2" s="1"/>
  <c r="G163" i="2"/>
  <c r="C163" i="2"/>
  <c r="B163" i="2" s="1"/>
  <c r="V163" i="2"/>
  <c r="W163" i="2" s="1"/>
  <c r="V164" i="2"/>
  <c r="W164" i="2"/>
  <c r="V165" i="2"/>
  <c r="W165" i="2" s="1"/>
  <c r="V166" i="2"/>
  <c r="W166" i="2" s="1"/>
  <c r="V167" i="2"/>
  <c r="W167" i="2" s="1"/>
  <c r="R163" i="2"/>
  <c r="S163" i="2" s="1"/>
  <c r="R164" i="2"/>
  <c r="S164" i="2" s="1"/>
  <c r="R165" i="2"/>
  <c r="S165" i="2" s="1"/>
  <c r="R166" i="2"/>
  <c r="S166" i="2" s="1"/>
  <c r="R167" i="2"/>
  <c r="S167" i="2" s="1"/>
  <c r="Y163" i="2"/>
  <c r="Y164" i="2"/>
  <c r="Y165" i="2"/>
  <c r="Y166" i="2"/>
  <c r="Y167" i="2"/>
  <c r="AA163" i="2"/>
  <c r="AA164" i="2"/>
  <c r="AA165" i="2"/>
  <c r="AA166" i="2"/>
  <c r="AA167" i="2"/>
  <c r="AD179" i="2" l="1"/>
  <c r="AD165" i="2"/>
  <c r="AC179" i="2"/>
  <c r="AD163" i="2"/>
  <c r="AD164" i="2"/>
  <c r="AD167" i="2"/>
  <c r="AD166" i="2"/>
  <c r="B179" i="2"/>
  <c r="A165" i="2"/>
  <c r="A166" i="2"/>
  <c r="A163" i="2"/>
  <c r="A164" i="2"/>
  <c r="A167" i="2"/>
  <c r="AC166" i="2"/>
  <c r="AC163" i="2"/>
  <c r="AC167" i="2"/>
  <c r="AC165" i="2"/>
  <c r="AC164" i="2"/>
  <c r="G174" i="2" l="1"/>
  <c r="C157" i="2"/>
  <c r="A157" i="2" s="1"/>
  <c r="G157" i="2"/>
  <c r="C156" i="2"/>
  <c r="A156" i="2" s="1"/>
  <c r="G156" i="2"/>
  <c r="C155" i="2"/>
  <c r="A155" i="2" s="1"/>
  <c r="G155" i="2"/>
  <c r="V154" i="2"/>
  <c r="W154" i="2" s="1"/>
  <c r="V155" i="2"/>
  <c r="W155" i="2" s="1"/>
  <c r="V156" i="2"/>
  <c r="W156" i="2" s="1"/>
  <c r="V157" i="2"/>
  <c r="W157" i="2" s="1"/>
  <c r="V158" i="2"/>
  <c r="W158" i="2" s="1"/>
  <c r="V159" i="2"/>
  <c r="W159" i="2" s="1"/>
  <c r="V160" i="2"/>
  <c r="W160" i="2" s="1"/>
  <c r="V161" i="2"/>
  <c r="W161" i="2" s="1"/>
  <c r="V162" i="2"/>
  <c r="W162"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R154" i="2"/>
  <c r="S154" i="2" s="1"/>
  <c r="R155" i="2"/>
  <c r="S155" i="2" s="1"/>
  <c r="R156" i="2"/>
  <c r="S156" i="2" s="1"/>
  <c r="R157" i="2"/>
  <c r="S157" i="2" s="1"/>
  <c r="R158" i="2"/>
  <c r="S158" i="2" s="1"/>
  <c r="R159" i="2"/>
  <c r="AD159" i="2" s="1"/>
  <c r="R160" i="2"/>
  <c r="AD160" i="2" s="1"/>
  <c r="R161" i="2"/>
  <c r="AD161" i="2" s="1"/>
  <c r="R162" i="2"/>
  <c r="S162" i="2" s="1"/>
  <c r="R168" i="2"/>
  <c r="S168" i="2" s="1"/>
  <c r="R169" i="2"/>
  <c r="S169" i="2" s="1"/>
  <c r="R170" i="2"/>
  <c r="S170" i="2" s="1"/>
  <c r="R171" i="2"/>
  <c r="R172" i="2"/>
  <c r="AD172" i="2" s="1"/>
  <c r="R173" i="2"/>
  <c r="AD173" i="2" s="1"/>
  <c r="R174" i="2"/>
  <c r="S174" i="2" s="1"/>
  <c r="R175" i="2"/>
  <c r="S175" i="2" s="1"/>
  <c r="R176" i="2"/>
  <c r="AD176" i="2" s="1"/>
  <c r="R177" i="2"/>
  <c r="AD177" i="2" s="1"/>
  <c r="R178" i="2"/>
  <c r="AD178" i="2" s="1"/>
  <c r="Y155" i="2"/>
  <c r="Y156" i="2"/>
  <c r="Y157" i="2"/>
  <c r="AA155" i="2"/>
  <c r="AA156" i="2"/>
  <c r="AA157" i="2"/>
  <c r="G178" i="2"/>
  <c r="C178" i="2"/>
  <c r="A178" i="2" s="1"/>
  <c r="Y178" i="2"/>
  <c r="AA178" i="2"/>
  <c r="G158" i="2"/>
  <c r="G159" i="2"/>
  <c r="G160" i="2"/>
  <c r="G161" i="2"/>
  <c r="G162" i="2"/>
  <c r="G168" i="2"/>
  <c r="G169" i="2"/>
  <c r="G170" i="2"/>
  <c r="G171" i="2"/>
  <c r="G172" i="2"/>
  <c r="G173" i="2"/>
  <c r="G175" i="2"/>
  <c r="G176" i="2"/>
  <c r="G177" i="2"/>
  <c r="C176" i="2"/>
  <c r="A176" i="2" s="1"/>
  <c r="Y176" i="2"/>
  <c r="AA176" i="2"/>
  <c r="C174" i="2"/>
  <c r="A174" i="2" s="1"/>
  <c r="Y174" i="2"/>
  <c r="AA174" i="2"/>
  <c r="C172" i="2"/>
  <c r="A172" i="2" s="1"/>
  <c r="Y172" i="2"/>
  <c r="AA172" i="2"/>
  <c r="C160" i="2"/>
  <c r="A160" i="2" s="1"/>
  <c r="Y160" i="2"/>
  <c r="AA160" i="2"/>
  <c r="G154" i="2"/>
  <c r="C177" i="2"/>
  <c r="A177" i="2" s="1"/>
  <c r="Y177" i="2"/>
  <c r="AA177" i="2"/>
  <c r="C175" i="2"/>
  <c r="A175" i="2" s="1"/>
  <c r="Y175" i="2"/>
  <c r="AA175" i="2"/>
  <c r="C173" i="2"/>
  <c r="A173" i="2" s="1"/>
  <c r="Y173" i="2"/>
  <c r="AA173" i="2"/>
  <c r="C171" i="2"/>
  <c r="A171" i="2" s="1"/>
  <c r="Y171" i="2"/>
  <c r="AA171" i="2"/>
  <c r="C170" i="2"/>
  <c r="A170" i="2" s="1"/>
  <c r="Y170" i="2"/>
  <c r="AA170" i="2"/>
  <c r="C169" i="2"/>
  <c r="A169" i="2" s="1"/>
  <c r="Y169" i="2"/>
  <c r="AA169" i="2"/>
  <c r="C168" i="2"/>
  <c r="A168" i="2" s="1"/>
  <c r="Y168" i="2"/>
  <c r="AA168" i="2"/>
  <c r="C162" i="2"/>
  <c r="A162" i="2" s="1"/>
  <c r="Y162" i="2"/>
  <c r="AA162" i="2"/>
  <c r="C161" i="2"/>
  <c r="A161" i="2" s="1"/>
  <c r="Y161" i="2"/>
  <c r="AA161" i="2"/>
  <c r="C159" i="2"/>
  <c r="A159" i="2" s="1"/>
  <c r="Y159" i="2"/>
  <c r="AA159" i="2"/>
  <c r="C158" i="2"/>
  <c r="A158" i="2" s="1"/>
  <c r="Y158" i="2"/>
  <c r="C154" i="2"/>
  <c r="A154" i="2" s="1"/>
  <c r="Y154" i="2"/>
  <c r="AA154" i="2"/>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R150" i="2"/>
  <c r="S150" i="2" s="1"/>
  <c r="R151" i="2"/>
  <c r="S151" i="2" s="1"/>
  <c r="R152" i="2"/>
  <c r="AD152" i="2" s="1"/>
  <c r="R153" i="2"/>
  <c r="S153" i="2" s="1"/>
  <c r="C150" i="2"/>
  <c r="A150" i="2" s="1"/>
  <c r="G150" i="2"/>
  <c r="C151" i="2"/>
  <c r="A151" i="2" s="1"/>
  <c r="G151" i="2"/>
  <c r="C152" i="2"/>
  <c r="A152" i="2" s="1"/>
  <c r="G152" i="2"/>
  <c r="C153" i="2"/>
  <c r="A153" i="2" s="1"/>
  <c r="G153" i="2"/>
  <c r="L150" i="2"/>
  <c r="L151" i="2"/>
  <c r="L152" i="2"/>
  <c r="L153" i="2"/>
  <c r="Y153" i="2"/>
  <c r="AA153" i="2"/>
  <c r="Y152" i="2"/>
  <c r="AA152" i="2"/>
  <c r="Y151" i="2"/>
  <c r="AA151" i="2"/>
  <c r="Y150" i="2"/>
  <c r="AA150" i="2"/>
  <c r="L149" i="2"/>
  <c r="R145" i="2"/>
  <c r="S145" i="2" s="1"/>
  <c r="R146" i="2"/>
  <c r="S146" i="2" s="1"/>
  <c r="R147" i="2"/>
  <c r="S147" i="2" s="1"/>
  <c r="R148" i="2"/>
  <c r="S148" i="2" s="1"/>
  <c r="R149" i="2"/>
  <c r="S149" i="2" s="1"/>
  <c r="Y149" i="2"/>
  <c r="AA149" i="2"/>
  <c r="G149" i="2"/>
  <c r="C149" i="2"/>
  <c r="B149" i="2" s="1"/>
  <c r="G147" i="2"/>
  <c r="G148" i="2"/>
  <c r="C148" i="2"/>
  <c r="A148" i="2" s="1"/>
  <c r="Y148" i="2"/>
  <c r="AA148" i="2"/>
  <c r="C147" i="2"/>
  <c r="A147" i="2" s="1"/>
  <c r="Y147" i="2"/>
  <c r="AA147" i="2"/>
  <c r="R140" i="2"/>
  <c r="S140" i="2" s="1"/>
  <c r="R141" i="2"/>
  <c r="S141" i="2" s="1"/>
  <c r="R142" i="2"/>
  <c r="S142" i="2" s="1"/>
  <c r="R143" i="2"/>
  <c r="S143" i="2" s="1"/>
  <c r="R144" i="2"/>
  <c r="S144" i="2" s="1"/>
  <c r="G138" i="2"/>
  <c r="G140" i="2"/>
  <c r="G141" i="2"/>
  <c r="G142" i="2"/>
  <c r="G143" i="2"/>
  <c r="G144" i="2"/>
  <c r="G145" i="2"/>
  <c r="G146" i="2"/>
  <c r="C146" i="2"/>
  <c r="B146" i="2" s="1"/>
  <c r="Y146" i="2"/>
  <c r="AA146" i="2"/>
  <c r="C145" i="2"/>
  <c r="A145" i="2" s="1"/>
  <c r="Y145" i="2"/>
  <c r="AA145" i="2"/>
  <c r="C141" i="2"/>
  <c r="A141" i="2" s="1"/>
  <c r="C142" i="2"/>
  <c r="A142" i="2" s="1"/>
  <c r="C143" i="2"/>
  <c r="A143" i="2" s="1"/>
  <c r="C144" i="2"/>
  <c r="B144" i="2" s="1"/>
  <c r="Y142" i="2"/>
  <c r="Y143" i="2"/>
  <c r="Y144" i="2"/>
  <c r="AA142" i="2"/>
  <c r="AA143" i="2"/>
  <c r="AA144" i="2"/>
  <c r="Y141" i="2"/>
  <c r="AA141" i="2"/>
  <c r="C140" i="2"/>
  <c r="A140" i="2" s="1"/>
  <c r="Y140" i="2"/>
  <c r="AA140"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AD171" i="2" l="1"/>
  <c r="AE171" i="2"/>
  <c r="AE176" i="2"/>
  <c r="AE177" i="2"/>
  <c r="AE174" i="2"/>
  <c r="AE175" i="2"/>
  <c r="AE173" i="2"/>
  <c r="AE172" i="2"/>
  <c r="S161" i="2"/>
  <c r="AE158" i="2"/>
  <c r="S176" i="2"/>
  <c r="S159" i="2"/>
  <c r="S173" i="2"/>
  <c r="B157" i="2"/>
  <c r="B156" i="2"/>
  <c r="AD175" i="2"/>
  <c r="AD170" i="2"/>
  <c r="S171" i="2"/>
  <c r="AD169" i="2"/>
  <c r="AD158" i="2"/>
  <c r="S177" i="2"/>
  <c r="AD168" i="2"/>
  <c r="AD162" i="2"/>
  <c r="S178" i="2"/>
  <c r="S172" i="2"/>
  <c r="AC156" i="2"/>
  <c r="S160" i="2"/>
  <c r="AD174" i="2"/>
  <c r="AD157" i="2"/>
  <c r="AD156" i="2"/>
  <c r="AD154" i="2"/>
  <c r="AD155" i="2"/>
  <c r="B155" i="2"/>
  <c r="AC155" i="2"/>
  <c r="AC157" i="2"/>
  <c r="AC178" i="2"/>
  <c r="B178"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5" i="2"/>
  <c r="AD58" i="2"/>
  <c r="AD72" i="2"/>
  <c r="AD84" i="2"/>
  <c r="AD146" i="2"/>
  <c r="AC176" i="2"/>
  <c r="AC174" i="2"/>
  <c r="B176" i="2"/>
  <c r="B174" i="2"/>
  <c r="AC172" i="2"/>
  <c r="B172" i="2"/>
  <c r="AC160" i="2"/>
  <c r="B160" i="2"/>
  <c r="AC175" i="2"/>
  <c r="AC177" i="2"/>
  <c r="AC171" i="2"/>
  <c r="AC170" i="2"/>
  <c r="B177" i="2"/>
  <c r="AC173" i="2"/>
  <c r="AC169" i="2"/>
  <c r="B175" i="2"/>
  <c r="B173" i="2"/>
  <c r="AC162" i="2"/>
  <c r="B171" i="2"/>
  <c r="B170" i="2"/>
  <c r="AC168" i="2"/>
  <c r="B169" i="2"/>
  <c r="B168" i="2"/>
  <c r="AC161" i="2"/>
  <c r="AD153" i="2"/>
  <c r="AC154" i="2"/>
  <c r="B162" i="2"/>
  <c r="AC159" i="2"/>
  <c r="B161" i="2"/>
  <c r="B159" i="2"/>
  <c r="S152" i="2"/>
  <c r="B158" i="2"/>
  <c r="AD149" i="2"/>
  <c r="AD151" i="2"/>
  <c r="B154" i="2"/>
  <c r="AD150" i="2"/>
  <c r="AC153" i="2"/>
  <c r="W153" i="2"/>
  <c r="B152" i="2"/>
  <c r="B151" i="2"/>
  <c r="B153" i="2"/>
  <c r="B150" i="2"/>
  <c r="AC152" i="2"/>
  <c r="AC151" i="2"/>
  <c r="AC150" i="2"/>
  <c r="AC149" i="2"/>
  <c r="AD134" i="2"/>
  <c r="AD122" i="2"/>
  <c r="A149" i="2"/>
  <c r="AD148" i="2"/>
  <c r="AC148" i="2"/>
  <c r="B148" i="2"/>
  <c r="AC147" i="2"/>
  <c r="AD131" i="2"/>
  <c r="AD118" i="2"/>
  <c r="AD130" i="2"/>
  <c r="AD129" i="2"/>
  <c r="AD128" i="2"/>
  <c r="AD127" i="2"/>
  <c r="AD138" i="2"/>
  <c r="AD126" i="2"/>
  <c r="AD137" i="2"/>
  <c r="AD125" i="2"/>
  <c r="AD136" i="2"/>
  <c r="AD124" i="2"/>
  <c r="AD135" i="2"/>
  <c r="AD123" i="2"/>
  <c r="AD133" i="2"/>
  <c r="AD121" i="2"/>
  <c r="B147" i="2"/>
  <c r="AD132" i="2"/>
  <c r="AD117" i="2"/>
  <c r="AC146" i="2"/>
  <c r="AC145" i="2"/>
  <c r="AC143" i="2"/>
  <c r="AC142" i="2"/>
  <c r="A146" i="2"/>
  <c r="B145" i="2"/>
  <c r="AC144" i="2"/>
  <c r="AC141" i="2"/>
  <c r="A144" i="2"/>
  <c r="B143" i="2"/>
  <c r="B142" i="2"/>
  <c r="B141" i="2"/>
  <c r="AC140" i="2"/>
  <c r="B140"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8" i="2"/>
  <c r="AC158" i="2" s="1"/>
</calcChain>
</file>

<file path=xl/sharedStrings.xml><?xml version="1.0" encoding="utf-8"?>
<sst xmlns="http://schemas.openxmlformats.org/spreadsheetml/2006/main" count="5509" uniqueCount="1414">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</sst>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47">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U189" totalsRowShown="0" headerRowCellStyle="Normal 2" dataCellStyle="Normal 2">
  <autoFilter ref="A1:AU189" xr:uid="{C496A065-E5CA-44EF-B6AE-AC366F12DAEC}"/>
  <tableColumns count="47">
    <tableColumn id="43" xr3:uid="{DE1D6443-0E1C-43C0-8BC8-BDC69562CB95}" name="Région" dataDxfId="46" dataCellStyle="Normal 2">
      <calculatedColumnFormula>VLOOKUP(Tableau1[[#This Row],[N° Département]],Feuil1!$C$6:$E$106,3)</calculatedColumnFormula>
    </tableColumn>
    <tableColumn id="45" xr3:uid="{EA09E10C-F31A-414B-B7AE-01100FDFFB35}" name="Département" dataDxfId="45" dataCellStyle="Normal 2">
      <calculatedColumnFormula>VLOOKUP(Tableau1[[#This Row],[N° Département]],Feuil1!$C$6:$E$106,2)</calculatedColumnFormula>
    </tableColumn>
    <tableColumn id="44" xr3:uid="{B8B116FD-A2D6-4640-B53A-B27BF55F77D2}" name="N° Département" dataDxfId="44" dataCellStyle="Normal 2">
      <calculatedColumnFormula>LEFT(Tableau1[[#This Row],[Code Postal]],2)*1</calculatedColumnFormula>
    </tableColumn>
    <tableColumn id="22" xr3:uid="{807881FC-FCFC-4E58-94E6-974968140DE0}" name="Rue" dataDxfId="43" dataCellStyle="Normal 2"/>
    <tableColumn id="24" xr3:uid="{5BC55846-88AA-4EB3-AA6F-8E4CFB785641}" name="Code Postal" dataDxfId="42" dataCellStyle="Normal 2"/>
    <tableColumn id="17" xr3:uid="{35EE7115-51F8-4E1F-AD3E-33A05B4BE6AA}" name="Ville" dataDxfId="41" dataCellStyle="Normal 2"/>
    <tableColumn id="34" xr3:uid="{BCDF1767-53B8-4755-BA69-6972BF82336C}" name="Adresse" dataDxfId="40" dataCellStyle="Normal 2">
      <calculatedColumnFormula>Tableau1[[#This Row],[Rue]]&amp;Tableau1[[#This Row],[Code Postal]]&amp;Tableau1[[#This Row],[Ville]]</calculatedColumnFormula>
    </tableColumn>
    <tableColumn id="18" xr3:uid="{F16F96D2-ED03-45AB-90ED-8D480A7B0261}" name="Lien Google Maps" dataDxfId="39" dataCellStyle="Normal 2">
      <calculatedColumnFormula array="1">Extrait_hyperlien(#REF!)</calculatedColumnFormula>
    </tableColumn>
    <tableColumn id="15" xr3:uid="{172E07C4-0318-49AC-A621-9C0E3C5C5B5D}" name="Emplacement" dataDxfId="38" dataCellStyle="Normal 2"/>
    <tableColumn id="14" xr3:uid="{95EAECC7-A016-42C4-9C47-2CABFEAEC577}" name="Typologie" dataDxfId="37" dataCellStyle="Normal 2"/>
    <tableColumn id="3" xr3:uid="{8C8D77C7-8B55-471A-B479-215BC0D77604}" name="Type" dataDxfId="36" dataCellStyle="Normal 2"/>
    <tableColumn id="4" xr3:uid="{87D84239-5323-4A47-9424-F0CADB050723}" name="Cession / Droit au bail" dataDxfId="35" dataCellStyle="Normal 2"/>
    <tableColumn id="31" xr3:uid="{86770348-6586-45F2-A401-94B68504976F}" name="Numéro de lot" dataDxfId="34" dataCellStyle="Normal 2"/>
    <tableColumn id="1" xr3:uid="{3888DEAC-D743-4A06-B622-0805DADF7B24}" name="Surface GLA" dataDxfId="33" dataCellStyle="Normal 2"/>
    <tableColumn id="9" xr3:uid="{0D61162C-F920-419C-993E-EDC2DF105B61}" name="Répartition surface GLA" dataDxfId="32" dataCellStyle="Normal 2"/>
    <tableColumn id="2" xr3:uid="{9969DD5B-5EA2-4595-B887-2E9B21053A55}" name="Surface utile" dataDxfId="31" dataCellStyle="Normal 2"/>
    <tableColumn id="21" xr3:uid="{3DFB9473-7064-409A-A47B-5544538EC4AE}" name="Répartition surface utile" dataDxfId="30" dataCellStyle="Normal 2"/>
    <tableColumn id="5" xr3:uid="{A744513A-B9BE-426C-9A67-F73FDBDA82D8}" name="Loyer annuel" dataDxfId="29" dataCellStyle="Normal 2"/>
    <tableColumn id="6" xr3:uid="{356A37C1-BF3E-4357-A954-82A182007A4A}" name="Loyer Mensuel" dataDxfId="28" dataCellStyle="Normal 2">
      <calculatedColumnFormula>IFERROR(Tableau1[[#This Row],[Loyer annuel]]/12,"")</calculatedColumnFormula>
    </tableColumn>
    <tableColumn id="11" xr3:uid="{767012B1-AABD-475A-8A4D-3B7DA0A65895}" name="Loyer €/m²" dataDxfId="27" dataCellStyle="Normal 2"/>
    <tableColumn id="30" xr3:uid="{1B20B1A4-ACFD-45E3-955E-514E88115368}" name="Loyer variable" dataDxfId="26" dataCellStyle="Normal 2"/>
    <tableColumn id="7" xr3:uid="{2A7DA589-64F1-4CF6-8C82-38781BD9EC1D}" name="Charges annuelles" dataDxfId="25" dataCellStyle="Normal 2"/>
    <tableColumn id="8" xr3:uid="{440DF5B1-3CC3-4785-9C23-94B007AF5E1B}" name="Charges Mensuelles" dataDxfId="24" dataCellStyle="Normal 2">
      <calculatedColumnFormula>Tableau1[[#This Row],[Charges annuelles]]/12</calculatedColumnFormula>
    </tableColumn>
    <tableColumn id="19" xr3:uid="{4129B281-2FE2-4CF1-9B2A-1383495B75F8}" name="Charges €/m²" dataDxfId="23" dataCellStyle="Normal 2"/>
    <tableColumn id="23" xr3:uid="{8D958AF5-4590-4B2C-91C7-84AA83299F72}" name="Taxe foncière" dataDxfId="22" dataCellStyle="Normal 2">
      <calculatedColumnFormula>IFERROR(Tableau1[[#This Row],[Taxe foncière €/m²]]*Tableau1[[#This Row],[Surface GLA]],)</calculatedColumnFormula>
    </tableColumn>
    <tableColumn id="25" xr3:uid="{3ED0377F-0AC3-483C-A382-DCE0304838BB}" name="Taxe foncière €/m²" dataDxfId="21" dataCellStyle="Normal 2"/>
    <tableColumn id="37" xr3:uid="{DCF6EDF6-4C11-48C1-B6A2-F68E6553ECAE}" name="Marketing" dataDxfId="20" dataCellStyle="Normal 2">
      <calculatedColumnFormula>IFERROR(Tableau1[[#This Row],[Marketing €/m²]]*Tableau1[[#This Row],[Surface GLA]],)</calculatedColumnFormula>
    </tableColumn>
    <tableColumn id="26" xr3:uid="{0670F3CF-44F2-4728-8A06-52C034D6BD30}" name="Marketing €/m²" dataDxfId="19" dataCellStyle="Normal 2"/>
    <tableColumn id="39" xr3:uid="{5F4F5D62-4EE8-4561-AFC9-FBA26AD0FEB9}" name="Total (L+C+M)" dataDxfId="18"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7" dataCellStyle="Normal 2"/>
    <tableColumn id="33" xr3:uid="{5D2CDDBF-0016-4D42-9FA2-C6BE7187A781}" name="GAPD" dataDxfId="16" dataCellStyle="Normal 2"/>
    <tableColumn id="27" xr3:uid="{AE6532DB-DF7C-4137-958E-CF0878BAF4EA}" name="Gestion" dataDxfId="15" dataCellStyle="Normal 2"/>
    <tableColumn id="29" xr3:uid="{C7D740EB-05A5-4C80-B626-4AE327C99B0E}" name="Etat de livraison" dataDxfId="14" dataCellStyle="Normal 2"/>
    <tableColumn id="10" xr3:uid="{F202F9CF-E361-49F7-BCB2-41601DB0A090}" name="Extraction" dataDxfId="13" dataCellStyle="Normal 2"/>
    <tableColumn id="38" xr3:uid="{1E22D9C1-89FA-49FF-9893-8AC79191E4A6}" name="Restauration" dataDxfId="12" dataCellStyle="Normal 2"/>
    <tableColumn id="28" xr3:uid="{BF030FEC-E7AF-42C6-AC39-B670759A4BC7}" name="Environnement Commercial" dataDxfId="11" dataCellStyle="Normal 2"/>
    <tableColumn id="16" xr3:uid="{D3CC4D5A-911C-4939-9024-731260442272}" name="Commentaires" dataDxfId="10" dataCellStyle="Normal 2"/>
    <tableColumn id="40" xr3:uid="{5463AA4C-3D9C-45CF-B81C-A3755D028F2B}" name="Honoraires"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table" Target="../tables/table1.xm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D205"/>
  <sheetViews>
    <sheetView showZeros="0" tabSelected="1" zoomScale="80" zoomScaleNormal="80" workbookViewId="0">
      <pane xSplit="6" ySplit="1" topLeftCell="AH126" activePane="bottomRight" state="frozen"/>
      <selection pane="topRight" activeCell="G1" sqref="G1"/>
      <selection pane="bottomLeft" activeCell="A2" sqref="A2"/>
      <selection pane="bottomRight" activeCell="F140" sqref="F140"/>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7" width="53.875" style="1" customWidth="1"/>
    <col min="38" max="38" width="41.5" style="1" bestFit="1" customWidth="1"/>
    <col min="39" max="39" width="17.625" style="1" bestFit="1" customWidth="1"/>
    <col min="40" max="40" width="19.25" style="1" bestFit="1" customWidth="1"/>
    <col min="41" max="41" width="20.5" style="1" bestFit="1" customWidth="1"/>
    <col min="42" max="42" width="18.5" style="1" customWidth="1"/>
    <col min="43" max="43" width="21.5" style="1" bestFit="1" customWidth="1"/>
    <col min="44" max="44" width="17.625" style="1" bestFit="1" customWidth="1"/>
    <col min="45" max="45" width="13.375" style="1" bestFit="1" customWidth="1"/>
    <col min="46" max="46" width="13.375" style="1" customWidth="1"/>
    <col min="47" max="47" width="25.75" bestFit="1" customWidth="1"/>
    <col min="48" max="48" width="28" bestFit="1" customWidth="1"/>
    <col min="49" max="49" width="19.875" bestFit="1" customWidth="1"/>
    <col min="50" max="50" width="40.625" style="1" customWidth="1"/>
    <col min="51" max="51" width="27.75" style="1" customWidth="1"/>
    <col min="52" max="53" width="44.25" style="1" customWidth="1"/>
    <col min="54" max="54" width="33" style="1" bestFit="1" customWidth="1"/>
    <col min="55" max="55" width="93.625" style="1" bestFit="1" customWidth="1"/>
    <col min="57" max="16384" width="11.625" style="1"/>
  </cols>
  <sheetData>
    <row r="1" spans="1:56" ht="12.75">
      <c r="A1" s="1" t="s">
        <v>255</v>
      </c>
      <c r="B1" s="1" t="s">
        <v>128</v>
      </c>
      <c r="C1" s="1" t="s">
        <v>256</v>
      </c>
      <c r="D1" s="1" t="s">
        <v>127</v>
      </c>
      <c r="E1" s="1" t="s">
        <v>129</v>
      </c>
      <c r="F1" s="1" t="s">
        <v>77</v>
      </c>
      <c r="G1" s="40" t="s">
        <v>5</v>
      </c>
      <c r="H1" s="3" t="s">
        <v>78</v>
      </c>
      <c r="I1" s="3" t="s">
        <v>43</v>
      </c>
      <c r="J1" s="3" t="s">
        <v>42</v>
      </c>
      <c r="K1" s="1" t="s">
        <v>6</v>
      </c>
      <c r="L1" s="1" t="s">
        <v>10</v>
      </c>
      <c r="M1" s="1" t="s">
        <v>304</v>
      </c>
      <c r="N1" s="1" t="s">
        <v>19</v>
      </c>
      <c r="O1" s="1" t="s">
        <v>259</v>
      </c>
      <c r="P1" s="1" t="s">
        <v>260</v>
      </c>
      <c r="Q1" s="1" t="s">
        <v>261</v>
      </c>
      <c r="R1" s="1" t="s">
        <v>102</v>
      </c>
      <c r="S1" s="1" t="s">
        <v>11</v>
      </c>
      <c r="T1" s="1" t="s">
        <v>14</v>
      </c>
      <c r="U1" s="1" t="s">
        <v>101</v>
      </c>
      <c r="V1" s="1" t="s">
        <v>443</v>
      </c>
      <c r="W1" s="1" t="s">
        <v>8</v>
      </c>
      <c r="X1" s="1" t="s">
        <v>15</v>
      </c>
      <c r="Y1" s="1" t="s">
        <v>79</v>
      </c>
      <c r="Z1" s="1" t="s">
        <v>305</v>
      </c>
      <c r="AA1" s="1" t="s">
        <v>80</v>
      </c>
      <c r="AB1" s="1" t="s">
        <v>306</v>
      </c>
      <c r="AC1" s="1" t="s">
        <v>307</v>
      </c>
      <c r="AD1" s="1" t="s">
        <v>104</v>
      </c>
      <c r="AE1" s="1" t="s">
        <v>105</v>
      </c>
      <c r="AF1" s="1" t="s">
        <v>81</v>
      </c>
      <c r="AG1" s="1" t="s">
        <v>99</v>
      </c>
      <c r="AH1" s="1" t="s">
        <v>2</v>
      </c>
      <c r="AI1" s="1" t="s">
        <v>108</v>
      </c>
      <c r="AJ1" s="1" t="s">
        <v>100</v>
      </c>
      <c r="AK1" s="1" t="s">
        <v>1</v>
      </c>
      <c r="AL1" s="1" t="s">
        <v>367</v>
      </c>
      <c r="AM1" s="1" t="s">
        <v>106</v>
      </c>
      <c r="AN1" s="1" t="s">
        <v>107</v>
      </c>
      <c r="AO1" s="1" t="s">
        <v>258</v>
      </c>
      <c r="AP1" s="1" t="s">
        <v>257</v>
      </c>
      <c r="AQ1" s="1" t="s">
        <v>109</v>
      </c>
      <c r="AR1" s="1" t="s">
        <v>16</v>
      </c>
      <c r="AS1" s="1" t="s">
        <v>0</v>
      </c>
      <c r="AT1" s="1" t="s">
        <v>12</v>
      </c>
      <c r="AU1" s="3" t="s">
        <v>1101</v>
      </c>
      <c r="AV1" s="1"/>
      <c r="AW1" s="1"/>
      <c r="BD1" s="1"/>
    </row>
    <row r="2" spans="1:56"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t="s">
        <v>103</v>
      </c>
      <c r="M2" s="35" t="s">
        <v>103</v>
      </c>
      <c r="N2" s="33">
        <v>451</v>
      </c>
      <c r="O2" s="4" t="s">
        <v>262</v>
      </c>
      <c r="P2" s="34">
        <v>423</v>
      </c>
      <c r="Q2" s="4" t="s">
        <v>272</v>
      </c>
      <c r="R2" s="12">
        <f>Tableau1[[#This Row],[Loyer €/m²]]*Tableau1[[#This Row],[Surface GLA]]</f>
        <v>76670</v>
      </c>
      <c r="S2" s="6">
        <f>IFERROR(Tableau1[[#This Row],[Loyer annuel]]/12,"")</f>
        <v>6389.166666666667</v>
      </c>
      <c r="T2" s="6">
        <v>170</v>
      </c>
      <c r="U2" s="6" t="s">
        <v>103</v>
      </c>
      <c r="V2" s="6">
        <f>Tableau1[[#This Row],[Charges €/m²]]*Tableau1[[#This Row],[Surface GLA]]</f>
        <v>12177</v>
      </c>
      <c r="W2" s="6">
        <f>IFERROR(Tableau1[[#This Row],[Charges annuelles]]/12,"")</f>
        <v>1014.75</v>
      </c>
      <c r="X2" s="6">
        <v>27</v>
      </c>
      <c r="Y2" s="6">
        <f>IFERROR(Tableau1[[#This Row],[Taxe foncière €/m²]]*Tableau1[[#This Row],[Surface GLA]],)</f>
        <v>0</v>
      </c>
      <c r="Z2" s="6" t="s">
        <v>103</v>
      </c>
      <c r="AA2" s="6">
        <f>IFERROR(Tableau1[[#This Row],[Marketing €/m²]]*Tableau1[[#This Row],[Surface GLA]],)</f>
        <v>0</v>
      </c>
      <c r="AB2" s="6" t="s">
        <v>103</v>
      </c>
      <c r="AC2" s="6">
        <f>IFERROR(Tableau1[[#This Row],[Loyer annuel]]+Tableau1[[#This Row],[Charges annuelles]]+Tableau1[[#This Row],[Taxe foncière]]+Tableau1[[#This Row],[Marketing]],"")</f>
        <v>88847</v>
      </c>
      <c r="AD2" s="6" t="s">
        <v>103</v>
      </c>
      <c r="AE2" s="6" t="s">
        <v>103</v>
      </c>
      <c r="AF2" s="6" t="s">
        <v>103</v>
      </c>
      <c r="AG2" s="6" t="s">
        <v>363</v>
      </c>
      <c r="AH2" s="4" t="s">
        <v>377</v>
      </c>
      <c r="AI2" s="4" t="s">
        <v>370</v>
      </c>
      <c r="AJ2" s="4" t="s">
        <v>372</v>
      </c>
      <c r="AK2" s="5" t="s">
        <v>362</v>
      </c>
      <c r="AL2" s="5" t="s">
        <v>368</v>
      </c>
      <c r="AM2" s="5" t="s">
        <v>552</v>
      </c>
      <c r="AN2" s="5" t="s">
        <v>553</v>
      </c>
      <c r="AO2" s="32" t="s">
        <v>335</v>
      </c>
      <c r="AP2" s="35" t="s">
        <v>750</v>
      </c>
      <c r="AQ2" s="5" t="s">
        <v>75</v>
      </c>
      <c r="AR2" s="5" t="s">
        <v>17</v>
      </c>
      <c r="AS2" s="7" t="s">
        <v>18</v>
      </c>
      <c r="AT2" s="7"/>
      <c r="AU2" s="44"/>
      <c r="AV2" s="1"/>
      <c r="AW2" s="1"/>
      <c r="BD2" s="1"/>
    </row>
    <row r="3" spans="1:56"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t="s">
        <v>103</v>
      </c>
      <c r="M3" s="35" t="s">
        <v>103</v>
      </c>
      <c r="N3" s="33">
        <v>325</v>
      </c>
      <c r="O3" s="4" t="s">
        <v>263</v>
      </c>
      <c r="P3" s="34" t="s">
        <v>103</v>
      </c>
      <c r="Q3" s="6" t="s">
        <v>103</v>
      </c>
      <c r="R3" s="12">
        <f>Tableau1[[#This Row],[Loyer €/m²]]*Tableau1[[#This Row],[Surface GLA]]</f>
        <v>48750</v>
      </c>
      <c r="S3" s="6">
        <f>IFERROR(Tableau1[[#This Row],[Loyer annuel]]/12,"")</f>
        <v>4062.5</v>
      </c>
      <c r="T3" s="6">
        <v>150</v>
      </c>
      <c r="U3" s="6" t="s">
        <v>103</v>
      </c>
      <c r="V3" s="6">
        <f>Tableau1[[#This Row],[Charges €/m²]]*Tableau1[[#This Row],[Surface GLA]]</f>
        <v>8450</v>
      </c>
      <c r="W3" s="6">
        <f>IFERROR(Tableau1[[#This Row],[Charges annuelles]]/12,"")</f>
        <v>704.16666666666663</v>
      </c>
      <c r="X3" s="6">
        <v>26</v>
      </c>
      <c r="Y3" s="6">
        <f>IFERROR(Tableau1[[#This Row],[Taxe foncière €/m²]]*Tableau1[[#This Row],[Surface GLA]],)</f>
        <v>0</v>
      </c>
      <c r="Z3" s="6" t="s">
        <v>103</v>
      </c>
      <c r="AA3" s="6">
        <f>IFERROR(Tableau1[[#This Row],[Marketing €/m²]]*Tableau1[[#This Row],[Surface GLA]],)</f>
        <v>0</v>
      </c>
      <c r="AB3" s="6" t="s">
        <v>103</v>
      </c>
      <c r="AC3" s="6">
        <f>IFERROR(Tableau1[[#This Row],[Loyer annuel]]+Tableau1[[#This Row],[Charges annuelles]]+Tableau1[[#This Row],[Taxe foncière]]+Tableau1[[#This Row],[Marketing]],"")</f>
        <v>57200</v>
      </c>
      <c r="AD3" s="6" t="s">
        <v>103</v>
      </c>
      <c r="AE3" s="6" t="s">
        <v>103</v>
      </c>
      <c r="AF3" s="6" t="s">
        <v>103</v>
      </c>
      <c r="AG3" s="6" t="s">
        <v>363</v>
      </c>
      <c r="AH3" s="4" t="s">
        <v>53</v>
      </c>
      <c r="AI3" s="4" t="s">
        <v>369</v>
      </c>
      <c r="AJ3" s="4" t="s">
        <v>373</v>
      </c>
      <c r="AK3" s="5" t="s">
        <v>364</v>
      </c>
      <c r="AL3" s="5" t="s">
        <v>368</v>
      </c>
      <c r="AM3" s="5">
        <v>47.238161699999999</v>
      </c>
      <c r="AN3" s="5">
        <v>6.0234543</v>
      </c>
      <c r="AO3" s="32" t="s">
        <v>336</v>
      </c>
      <c r="AP3" s="35" t="s">
        <v>751</v>
      </c>
      <c r="AQ3" s="5" t="s">
        <v>75</v>
      </c>
      <c r="AR3" s="5" t="s">
        <v>22</v>
      </c>
      <c r="AS3" s="7" t="s">
        <v>18</v>
      </c>
      <c r="AT3" s="9"/>
      <c r="AU3" s="44"/>
      <c r="AV3" s="1"/>
      <c r="AW3" s="1"/>
      <c r="BD3" s="1"/>
    </row>
    <row r="4" spans="1:56"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t="s">
        <v>103</v>
      </c>
      <c r="M4" s="35" t="s">
        <v>103</v>
      </c>
      <c r="N4" s="33">
        <v>264</v>
      </c>
      <c r="O4" s="4" t="s">
        <v>264</v>
      </c>
      <c r="P4" s="34">
        <v>244</v>
      </c>
      <c r="Q4" s="4" t="s">
        <v>273</v>
      </c>
      <c r="R4" s="12">
        <f>Tableau1[[#This Row],[Loyer €/m²]]*Tableau1[[#This Row],[Surface GLA]]</f>
        <v>92400</v>
      </c>
      <c r="S4" s="6">
        <f>IFERROR(Tableau1[[#This Row],[Loyer annuel]]/12,"")</f>
        <v>7700</v>
      </c>
      <c r="T4" s="6">
        <v>350</v>
      </c>
      <c r="U4" s="6" t="s">
        <v>103</v>
      </c>
      <c r="V4" s="6">
        <f>Tableau1[[#This Row],[Charges €/m²]]*Tableau1[[#This Row],[Surface GLA]]</f>
        <v>12408</v>
      </c>
      <c r="W4" s="6">
        <f>IFERROR(Tableau1[[#This Row],[Charges annuelles]]/12,"")</f>
        <v>1034</v>
      </c>
      <c r="X4" s="6">
        <v>47</v>
      </c>
      <c r="Y4" s="6">
        <f>IFERROR(Tableau1[[#This Row],[Taxe foncière €/m²]]*Tableau1[[#This Row],[Surface GLA]],)</f>
        <v>0</v>
      </c>
      <c r="Z4" s="6" t="s">
        <v>103</v>
      </c>
      <c r="AA4" s="6">
        <f>IFERROR(Tableau1[[#This Row],[Marketing €/m²]]*Tableau1[[#This Row],[Surface GLA]],)</f>
        <v>0</v>
      </c>
      <c r="AB4" s="6" t="s">
        <v>103</v>
      </c>
      <c r="AC4" s="6">
        <f>IFERROR(Tableau1[[#This Row],[Loyer annuel]]+Tableau1[[#This Row],[Charges annuelles]]+Tableau1[[#This Row],[Taxe foncière]]+Tableau1[[#This Row],[Marketing]],"")</f>
        <v>104808</v>
      </c>
      <c r="AD4" s="6" t="s">
        <v>103</v>
      </c>
      <c r="AE4" s="6" t="s">
        <v>103</v>
      </c>
      <c r="AF4" s="6" t="s">
        <v>103</v>
      </c>
      <c r="AG4" s="6" t="s">
        <v>363</v>
      </c>
      <c r="AH4" s="4" t="s">
        <v>53</v>
      </c>
      <c r="AI4" s="4" t="s">
        <v>369</v>
      </c>
      <c r="AJ4" s="4" t="s">
        <v>374</v>
      </c>
      <c r="AK4" s="5" t="s">
        <v>365</v>
      </c>
      <c r="AL4" s="5" t="s">
        <v>368</v>
      </c>
      <c r="AM4" s="5" t="s">
        <v>554</v>
      </c>
      <c r="AN4" s="5" t="s">
        <v>555</v>
      </c>
      <c r="AO4" s="32" t="s">
        <v>357</v>
      </c>
      <c r="AP4" s="35" t="s">
        <v>752</v>
      </c>
      <c r="AQ4" s="5" t="s">
        <v>75</v>
      </c>
      <c r="AR4" s="5" t="s">
        <v>35</v>
      </c>
      <c r="AS4" s="7" t="s">
        <v>18</v>
      </c>
      <c r="AT4" s="8"/>
      <c r="AU4" s="44"/>
      <c r="AV4" s="1"/>
      <c r="AW4" s="1"/>
      <c r="BD4" s="1"/>
    </row>
    <row r="5" spans="1:56"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t="s">
        <v>103</v>
      </c>
      <c r="M5" s="35" t="s">
        <v>103</v>
      </c>
      <c r="N5" s="33">
        <v>9030</v>
      </c>
      <c r="O5" s="4" t="s">
        <v>1305</v>
      </c>
      <c r="P5" s="34">
        <v>8628</v>
      </c>
      <c r="Q5" s="4" t="s">
        <v>274</v>
      </c>
      <c r="R5" s="12">
        <f>Tableau1[[#This Row],[Loyer €/m²]]*Tableau1[[#This Row],[Surface GLA]]</f>
        <v>451500</v>
      </c>
      <c r="S5" s="6">
        <f>IFERROR(Tableau1[[#This Row],[Loyer annuel]]/12,"")</f>
        <v>37625</v>
      </c>
      <c r="T5" s="6">
        <v>50</v>
      </c>
      <c r="U5" s="6" t="s">
        <v>103</v>
      </c>
      <c r="V5" s="6">
        <f>Tableau1[[#This Row],[Charges €/m²]]*Tableau1[[#This Row],[Surface GLA]]</f>
        <v>90300</v>
      </c>
      <c r="W5" s="6">
        <f>IFERROR(Tableau1[[#This Row],[Charges annuelles]]/12,"")</f>
        <v>7525</v>
      </c>
      <c r="X5" s="6">
        <v>10</v>
      </c>
      <c r="Y5" s="6">
        <f>IFERROR(Tableau1[[#This Row],[Taxe foncière €/m²]]*Tableau1[[#This Row],[Surface GLA]],)</f>
        <v>0</v>
      </c>
      <c r="Z5" s="6" t="s">
        <v>103</v>
      </c>
      <c r="AA5" s="6">
        <f>IFERROR(Tableau1[[#This Row],[Marketing €/m²]]*Tableau1[[#This Row],[Surface GLA]],)</f>
        <v>0</v>
      </c>
      <c r="AB5" s="6" t="s">
        <v>103</v>
      </c>
      <c r="AC5" s="6">
        <f>IFERROR(Tableau1[[#This Row],[Loyer annuel]]+Tableau1[[#This Row],[Charges annuelles]]+Tableau1[[#This Row],[Taxe foncière]]+Tableau1[[#This Row],[Marketing]],"")</f>
        <v>541800</v>
      </c>
      <c r="AD5" s="6" t="s">
        <v>103</v>
      </c>
      <c r="AE5" s="6" t="s">
        <v>103</v>
      </c>
      <c r="AF5" s="6" t="s">
        <v>103</v>
      </c>
      <c r="AG5" s="6" t="s">
        <v>363</v>
      </c>
      <c r="AH5" s="4" t="s">
        <v>377</v>
      </c>
      <c r="AI5" s="4" t="s">
        <v>370</v>
      </c>
      <c r="AJ5" s="4" t="s">
        <v>375</v>
      </c>
      <c r="AK5" s="5" t="s">
        <v>366</v>
      </c>
      <c r="AL5" s="5" t="s">
        <v>368</v>
      </c>
      <c r="AM5" s="5" t="s">
        <v>556</v>
      </c>
      <c r="AN5" s="5" t="s">
        <v>557</v>
      </c>
      <c r="AO5" s="32" t="s">
        <v>358</v>
      </c>
      <c r="AP5" s="35" t="s">
        <v>753</v>
      </c>
      <c r="AQ5" s="5" t="s">
        <v>75</v>
      </c>
      <c r="AR5" s="5" t="s">
        <v>24</v>
      </c>
      <c r="AS5" s="7" t="s">
        <v>18</v>
      </c>
      <c r="AT5" s="8"/>
      <c r="AU5" s="44"/>
      <c r="AV5" s="1"/>
      <c r="AW5" s="1"/>
      <c r="BD5" s="1"/>
    </row>
    <row r="6" spans="1:56"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t="s">
        <v>103</v>
      </c>
      <c r="M6" s="36" t="s">
        <v>292</v>
      </c>
      <c r="N6" s="34">
        <v>179</v>
      </c>
      <c r="O6" s="6" t="s">
        <v>103</v>
      </c>
      <c r="P6" s="34" t="s">
        <v>103</v>
      </c>
      <c r="Q6" s="6" t="s">
        <v>103</v>
      </c>
      <c r="R6" s="12">
        <f>Tableau1[[#This Row],[Loyer €/m²]]*Tableau1[[#This Row],[Surface GLA]]</f>
        <v>71600</v>
      </c>
      <c r="S6" s="6">
        <f>IFERROR(Tableau1[[#This Row],[Loyer annuel]]/12,"")</f>
        <v>5966.666666666667</v>
      </c>
      <c r="T6" s="12">
        <v>400</v>
      </c>
      <c r="U6" s="6" t="s">
        <v>103</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103</v>
      </c>
      <c r="AE6" s="6" t="s">
        <v>103</v>
      </c>
      <c r="AF6" s="37">
        <v>2.5000000000000001E-2</v>
      </c>
      <c r="AG6" s="6" t="s">
        <v>363</v>
      </c>
      <c r="AH6" s="10" t="s">
        <v>53</v>
      </c>
      <c r="AI6" s="4" t="s">
        <v>369</v>
      </c>
      <c r="AJ6" s="4" t="s">
        <v>376</v>
      </c>
      <c r="AK6" s="11" t="s">
        <v>371</v>
      </c>
      <c r="AL6" s="5" t="s">
        <v>368</v>
      </c>
      <c r="AM6" s="11" t="s">
        <v>558</v>
      </c>
      <c r="AN6" s="11" t="s">
        <v>559</v>
      </c>
      <c r="AO6" s="32" t="s">
        <v>444</v>
      </c>
      <c r="AP6" s="35" t="s">
        <v>754</v>
      </c>
      <c r="AQ6" s="5" t="s">
        <v>75</v>
      </c>
      <c r="AR6" s="11" t="s">
        <v>378</v>
      </c>
      <c r="AS6" s="13" t="s">
        <v>74</v>
      </c>
      <c r="AT6" s="14"/>
      <c r="AU6" s="44"/>
      <c r="AV6" s="1"/>
      <c r="AW6" s="1"/>
      <c r="BD6" s="1"/>
    </row>
    <row r="7" spans="1:56"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t="s">
        <v>103</v>
      </c>
      <c r="M7" s="36" t="s">
        <v>293</v>
      </c>
      <c r="N7" s="34">
        <v>159</v>
      </c>
      <c r="O7" s="6" t="s">
        <v>103</v>
      </c>
      <c r="P7" s="34" t="s">
        <v>103</v>
      </c>
      <c r="Q7" s="6" t="s">
        <v>103</v>
      </c>
      <c r="R7" s="12">
        <f>Tableau1[[#This Row],[Loyer €/m²]]*Tableau1[[#This Row],[Surface GLA]]</f>
        <v>63600</v>
      </c>
      <c r="S7" s="6">
        <f>IFERROR(Tableau1[[#This Row],[Loyer annuel]]/12,"")</f>
        <v>5300</v>
      </c>
      <c r="T7" s="12">
        <v>400</v>
      </c>
      <c r="U7" s="6" t="s">
        <v>103</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103</v>
      </c>
      <c r="AE7" s="6" t="s">
        <v>103</v>
      </c>
      <c r="AF7" s="37">
        <v>2.5000000000000001E-2</v>
      </c>
      <c r="AG7" s="6" t="s">
        <v>363</v>
      </c>
      <c r="AH7" s="10" t="s">
        <v>53</v>
      </c>
      <c r="AI7" s="4" t="s">
        <v>369</v>
      </c>
      <c r="AJ7" s="4" t="s">
        <v>376</v>
      </c>
      <c r="AK7" s="11" t="s">
        <v>371</v>
      </c>
      <c r="AL7" s="5" t="s">
        <v>368</v>
      </c>
      <c r="AM7" s="11" t="s">
        <v>560</v>
      </c>
      <c r="AN7" s="11" t="s">
        <v>561</v>
      </c>
      <c r="AO7" s="32" t="s">
        <v>445</v>
      </c>
      <c r="AP7" s="35" t="s">
        <v>755</v>
      </c>
      <c r="AQ7" s="5" t="s">
        <v>75</v>
      </c>
      <c r="AR7" s="11" t="s">
        <v>378</v>
      </c>
      <c r="AS7" s="13" t="s">
        <v>74</v>
      </c>
      <c r="AT7" s="14"/>
      <c r="AU7" s="44"/>
      <c r="AV7" s="1"/>
      <c r="AW7" s="1"/>
      <c r="BD7" s="1"/>
    </row>
    <row r="8" spans="1:56"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t="s">
        <v>103</v>
      </c>
      <c r="M8" s="36" t="s">
        <v>291</v>
      </c>
      <c r="N8" s="34">
        <v>125</v>
      </c>
      <c r="O8" s="6" t="s">
        <v>103</v>
      </c>
      <c r="P8" s="34" t="s">
        <v>103</v>
      </c>
      <c r="Q8" s="6" t="s">
        <v>103</v>
      </c>
      <c r="R8" s="12">
        <f>Tableau1[[#This Row],[Loyer €/m²]]*Tableau1[[#This Row],[Surface GLA]]</f>
        <v>56250</v>
      </c>
      <c r="S8" s="6">
        <f>IFERROR(Tableau1[[#This Row],[Loyer annuel]]/12,"")</f>
        <v>4687.5</v>
      </c>
      <c r="T8" s="12">
        <v>450</v>
      </c>
      <c r="U8" s="6" t="s">
        <v>103</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103</v>
      </c>
      <c r="AE8" s="6" t="s">
        <v>103</v>
      </c>
      <c r="AF8" s="37">
        <v>2.5000000000000001E-2</v>
      </c>
      <c r="AG8" s="6" t="s">
        <v>363</v>
      </c>
      <c r="AH8" s="10" t="s">
        <v>53</v>
      </c>
      <c r="AI8" s="4" t="s">
        <v>369</v>
      </c>
      <c r="AJ8" s="4" t="s">
        <v>376</v>
      </c>
      <c r="AK8" s="11" t="s">
        <v>371</v>
      </c>
      <c r="AL8" s="5" t="s">
        <v>368</v>
      </c>
      <c r="AM8" s="11" t="s">
        <v>562</v>
      </c>
      <c r="AN8" s="11" t="s">
        <v>563</v>
      </c>
      <c r="AO8" s="32" t="s">
        <v>446</v>
      </c>
      <c r="AP8" s="35" t="s">
        <v>756</v>
      </c>
      <c r="AQ8" s="5" t="s">
        <v>75</v>
      </c>
      <c r="AR8" s="11" t="s">
        <v>378</v>
      </c>
      <c r="AS8" s="13" t="s">
        <v>74</v>
      </c>
      <c r="AT8" s="14"/>
      <c r="AU8" s="44"/>
      <c r="AV8" s="1"/>
      <c r="AW8" s="1"/>
      <c r="BD8" s="1"/>
    </row>
    <row r="9" spans="1:56"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t="s">
        <v>103</v>
      </c>
      <c r="M9" s="36" t="s">
        <v>294</v>
      </c>
      <c r="N9" s="34">
        <v>156</v>
      </c>
      <c r="O9" s="6" t="s">
        <v>103</v>
      </c>
      <c r="P9" s="34" t="s">
        <v>103</v>
      </c>
      <c r="Q9" s="6" t="s">
        <v>103</v>
      </c>
      <c r="R9" s="12">
        <f>Tableau1[[#This Row],[Loyer €/m²]]*Tableau1[[#This Row],[Surface GLA]]</f>
        <v>62400</v>
      </c>
      <c r="S9" s="6">
        <f>IFERROR(Tableau1[[#This Row],[Loyer annuel]]/12,"")</f>
        <v>5200</v>
      </c>
      <c r="T9" s="12">
        <v>400</v>
      </c>
      <c r="U9" s="6" t="s">
        <v>103</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103</v>
      </c>
      <c r="AE9" s="6" t="s">
        <v>103</v>
      </c>
      <c r="AF9" s="37">
        <v>2.5000000000000001E-2</v>
      </c>
      <c r="AG9" s="6" t="s">
        <v>363</v>
      </c>
      <c r="AH9" s="10" t="s">
        <v>53</v>
      </c>
      <c r="AI9" s="4" t="s">
        <v>369</v>
      </c>
      <c r="AJ9" s="4" t="s">
        <v>376</v>
      </c>
      <c r="AK9" s="11" t="s">
        <v>371</v>
      </c>
      <c r="AL9" s="5" t="s">
        <v>368</v>
      </c>
      <c r="AM9" s="11" t="s">
        <v>564</v>
      </c>
      <c r="AN9" s="11" t="s">
        <v>565</v>
      </c>
      <c r="AO9" s="32" t="s">
        <v>447</v>
      </c>
      <c r="AP9" s="35" t="s">
        <v>757</v>
      </c>
      <c r="AQ9" s="5" t="s">
        <v>75</v>
      </c>
      <c r="AR9" s="11" t="s">
        <v>378</v>
      </c>
      <c r="AS9" s="13" t="s">
        <v>74</v>
      </c>
      <c r="AT9" s="14"/>
      <c r="AU9" s="44"/>
      <c r="AV9" s="1"/>
      <c r="AW9" s="1"/>
      <c r="BD9" s="1"/>
    </row>
    <row r="10" spans="1:56"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t="s">
        <v>103</v>
      </c>
      <c r="M10" s="36" t="s">
        <v>295</v>
      </c>
      <c r="N10" s="34">
        <v>178</v>
      </c>
      <c r="O10" s="6" t="s">
        <v>103</v>
      </c>
      <c r="P10" s="34" t="s">
        <v>103</v>
      </c>
      <c r="Q10" s="6" t="s">
        <v>103</v>
      </c>
      <c r="R10" s="12">
        <f>Tableau1[[#This Row],[Loyer €/m²]]*Tableau1[[#This Row],[Surface GLA]]</f>
        <v>71200</v>
      </c>
      <c r="S10" s="6">
        <f>IFERROR(Tableau1[[#This Row],[Loyer annuel]]/12,"")</f>
        <v>5933.333333333333</v>
      </c>
      <c r="T10" s="12">
        <v>400</v>
      </c>
      <c r="U10" s="6" t="s">
        <v>103</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103</v>
      </c>
      <c r="AE10" s="6" t="s">
        <v>103</v>
      </c>
      <c r="AF10" s="37">
        <v>2.5000000000000001E-2</v>
      </c>
      <c r="AG10" s="6" t="s">
        <v>363</v>
      </c>
      <c r="AH10" s="10" t="s">
        <v>53</v>
      </c>
      <c r="AI10" s="4" t="s">
        <v>369</v>
      </c>
      <c r="AJ10" s="4" t="s">
        <v>376</v>
      </c>
      <c r="AK10" s="11" t="s">
        <v>371</v>
      </c>
      <c r="AL10" s="5" t="s">
        <v>368</v>
      </c>
      <c r="AM10" s="11" t="s">
        <v>566</v>
      </c>
      <c r="AN10" s="11" t="s">
        <v>567</v>
      </c>
      <c r="AO10" s="32" t="s">
        <v>448</v>
      </c>
      <c r="AP10" s="35" t="s">
        <v>758</v>
      </c>
      <c r="AQ10" s="5" t="s">
        <v>75</v>
      </c>
      <c r="AR10" s="11" t="s">
        <v>378</v>
      </c>
      <c r="AS10" s="13" t="s">
        <v>74</v>
      </c>
      <c r="AT10" s="14"/>
      <c r="AU10" s="44"/>
      <c r="AV10" s="1"/>
      <c r="AW10" s="1"/>
      <c r="BD10" s="1"/>
    </row>
    <row r="11" spans="1:56"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t="s">
        <v>103</v>
      </c>
      <c r="M11" s="36" t="s">
        <v>296</v>
      </c>
      <c r="N11" s="34">
        <v>253</v>
      </c>
      <c r="O11" s="6" t="s">
        <v>103</v>
      </c>
      <c r="P11" s="34" t="s">
        <v>103</v>
      </c>
      <c r="Q11" s="6" t="s">
        <v>103</v>
      </c>
      <c r="R11" s="12">
        <f>Tableau1[[#This Row],[Loyer €/m²]]*Tableau1[[#This Row],[Surface GLA]]</f>
        <v>88550</v>
      </c>
      <c r="S11" s="6">
        <f>IFERROR(Tableau1[[#This Row],[Loyer annuel]]/12,"")</f>
        <v>7379.166666666667</v>
      </c>
      <c r="T11" s="12">
        <v>350</v>
      </c>
      <c r="U11" s="6" t="s">
        <v>103</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103</v>
      </c>
      <c r="AE11" s="6" t="s">
        <v>103</v>
      </c>
      <c r="AF11" s="37">
        <v>2.5000000000000001E-2</v>
      </c>
      <c r="AG11" s="6" t="s">
        <v>363</v>
      </c>
      <c r="AH11" s="10" t="s">
        <v>53</v>
      </c>
      <c r="AI11" s="4" t="s">
        <v>369</v>
      </c>
      <c r="AJ11" s="4" t="s">
        <v>376</v>
      </c>
      <c r="AK11" s="11" t="s">
        <v>371</v>
      </c>
      <c r="AL11" s="5" t="s">
        <v>368</v>
      </c>
      <c r="AM11" s="11" t="s">
        <v>568</v>
      </c>
      <c r="AN11" s="11" t="s">
        <v>569</v>
      </c>
      <c r="AO11" s="32" t="s">
        <v>449</v>
      </c>
      <c r="AP11" s="35" t="s">
        <v>759</v>
      </c>
      <c r="AQ11" s="5" t="s">
        <v>75</v>
      </c>
      <c r="AR11" s="11" t="s">
        <v>378</v>
      </c>
      <c r="AS11" s="13" t="s">
        <v>74</v>
      </c>
      <c r="AT11" s="14"/>
      <c r="AU11" s="44"/>
      <c r="AV11" s="1"/>
      <c r="AW11" s="1"/>
      <c r="BD11" s="1"/>
    </row>
    <row r="12" spans="1:56"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t="s">
        <v>103</v>
      </c>
      <c r="M12" s="36" t="s">
        <v>297</v>
      </c>
      <c r="N12" s="34">
        <v>171</v>
      </c>
      <c r="O12" s="6" t="s">
        <v>103</v>
      </c>
      <c r="P12" s="34" t="s">
        <v>103</v>
      </c>
      <c r="Q12" s="6" t="s">
        <v>103</v>
      </c>
      <c r="R12" s="12">
        <f>Tableau1[[#This Row],[Loyer €/m²]]*Tableau1[[#This Row],[Surface GLA]]</f>
        <v>68400</v>
      </c>
      <c r="S12" s="6">
        <f>IFERROR(Tableau1[[#This Row],[Loyer annuel]]/12,"")</f>
        <v>5700</v>
      </c>
      <c r="T12" s="12">
        <v>400</v>
      </c>
      <c r="U12" s="6" t="s">
        <v>103</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103</v>
      </c>
      <c r="AE12" s="6" t="s">
        <v>103</v>
      </c>
      <c r="AF12" s="37">
        <v>2.5000000000000001E-2</v>
      </c>
      <c r="AG12" s="6" t="s">
        <v>363</v>
      </c>
      <c r="AH12" s="10" t="s">
        <v>53</v>
      </c>
      <c r="AI12" s="4" t="s">
        <v>369</v>
      </c>
      <c r="AJ12" s="4" t="s">
        <v>376</v>
      </c>
      <c r="AK12" s="11" t="s">
        <v>371</v>
      </c>
      <c r="AL12" s="5" t="s">
        <v>368</v>
      </c>
      <c r="AM12" s="11" t="s">
        <v>570</v>
      </c>
      <c r="AN12" s="11" t="s">
        <v>571</v>
      </c>
      <c r="AO12" s="32" t="s">
        <v>450</v>
      </c>
      <c r="AP12" s="35" t="s">
        <v>760</v>
      </c>
      <c r="AQ12" s="5" t="s">
        <v>75</v>
      </c>
      <c r="AR12" s="11" t="s">
        <v>378</v>
      </c>
      <c r="AS12" s="13" t="s">
        <v>74</v>
      </c>
      <c r="AT12" s="14"/>
      <c r="AU12" s="44"/>
      <c r="AV12" s="1"/>
      <c r="AW12" s="1"/>
      <c r="BD12" s="1"/>
    </row>
    <row r="13" spans="1:56"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t="s">
        <v>103</v>
      </c>
      <c r="M13" s="36" t="s">
        <v>298</v>
      </c>
      <c r="N13" s="34">
        <v>200</v>
      </c>
      <c r="O13" s="6" t="s">
        <v>103</v>
      </c>
      <c r="P13" s="34" t="s">
        <v>103</v>
      </c>
      <c r="Q13" s="6" t="s">
        <v>103</v>
      </c>
      <c r="R13" s="12">
        <f>Tableau1[[#This Row],[Loyer €/m²]]*Tableau1[[#This Row],[Surface GLA]]</f>
        <v>70000</v>
      </c>
      <c r="S13" s="6">
        <f>IFERROR(Tableau1[[#This Row],[Loyer annuel]]/12,"")</f>
        <v>5833.333333333333</v>
      </c>
      <c r="T13" s="12">
        <v>350</v>
      </c>
      <c r="U13" s="6" t="s">
        <v>103</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103</v>
      </c>
      <c r="AE13" s="6" t="s">
        <v>103</v>
      </c>
      <c r="AF13" s="37">
        <v>2.5000000000000001E-2</v>
      </c>
      <c r="AG13" s="6" t="s">
        <v>363</v>
      </c>
      <c r="AH13" s="10" t="s">
        <v>53</v>
      </c>
      <c r="AI13" s="4" t="s">
        <v>369</v>
      </c>
      <c r="AJ13" s="4" t="s">
        <v>376</v>
      </c>
      <c r="AK13" s="11" t="s">
        <v>371</v>
      </c>
      <c r="AL13" s="5" t="s">
        <v>368</v>
      </c>
      <c r="AM13" s="11" t="s">
        <v>572</v>
      </c>
      <c r="AN13" s="11" t="s">
        <v>573</v>
      </c>
      <c r="AO13" s="32" t="s">
        <v>451</v>
      </c>
      <c r="AP13" s="35" t="s">
        <v>761</v>
      </c>
      <c r="AQ13" s="5" t="s">
        <v>75</v>
      </c>
      <c r="AR13" s="11" t="s">
        <v>378</v>
      </c>
      <c r="AS13" s="13" t="s">
        <v>74</v>
      </c>
      <c r="AT13" s="14"/>
      <c r="AU13" s="44"/>
      <c r="AV13" s="1"/>
      <c r="AW13" s="1"/>
      <c r="BD13" s="1"/>
    </row>
    <row r="14" spans="1:56"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t="s">
        <v>103</v>
      </c>
      <c r="M14" s="36" t="s">
        <v>299</v>
      </c>
      <c r="N14" s="34">
        <v>105</v>
      </c>
      <c r="O14" s="6" t="s">
        <v>103</v>
      </c>
      <c r="P14" s="34" t="s">
        <v>103</v>
      </c>
      <c r="Q14" s="6" t="s">
        <v>103</v>
      </c>
      <c r="R14" s="12">
        <f>Tableau1[[#This Row],[Loyer €/m²]]*Tableau1[[#This Row],[Surface GLA]]</f>
        <v>47250</v>
      </c>
      <c r="S14" s="6">
        <f>IFERROR(Tableau1[[#This Row],[Loyer annuel]]/12,"")</f>
        <v>3937.5</v>
      </c>
      <c r="T14" s="12">
        <v>450</v>
      </c>
      <c r="U14" s="6" t="s">
        <v>103</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103</v>
      </c>
      <c r="AE14" s="6" t="s">
        <v>103</v>
      </c>
      <c r="AF14" s="37">
        <v>2.5000000000000001E-2</v>
      </c>
      <c r="AG14" s="6" t="s">
        <v>363</v>
      </c>
      <c r="AH14" s="10" t="s">
        <v>53</v>
      </c>
      <c r="AI14" s="4" t="s">
        <v>369</v>
      </c>
      <c r="AJ14" s="4" t="s">
        <v>376</v>
      </c>
      <c r="AK14" s="11" t="s">
        <v>371</v>
      </c>
      <c r="AL14" s="5" t="s">
        <v>368</v>
      </c>
      <c r="AM14" s="11" t="s">
        <v>574</v>
      </c>
      <c r="AN14" s="11" t="s">
        <v>575</v>
      </c>
      <c r="AO14" s="32" t="s">
        <v>452</v>
      </c>
      <c r="AP14" s="35" t="s">
        <v>762</v>
      </c>
      <c r="AQ14" s="5" t="s">
        <v>75</v>
      </c>
      <c r="AR14" s="11" t="s">
        <v>378</v>
      </c>
      <c r="AS14" s="13" t="s">
        <v>74</v>
      </c>
      <c r="AT14" s="14"/>
      <c r="AU14" s="44"/>
      <c r="AV14" s="1"/>
      <c r="AW14" s="1"/>
      <c r="BD14" s="1"/>
    </row>
    <row r="15" spans="1:56"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t="s">
        <v>103</v>
      </c>
      <c r="M15" s="36" t="s">
        <v>300</v>
      </c>
      <c r="N15" s="34">
        <v>51</v>
      </c>
      <c r="O15" s="6" t="s">
        <v>103</v>
      </c>
      <c r="P15" s="34" t="s">
        <v>103</v>
      </c>
      <c r="Q15" s="6" t="s">
        <v>103</v>
      </c>
      <c r="R15" s="12">
        <f>Tableau1[[#This Row],[Loyer €/m²]]*Tableau1[[#This Row],[Surface GLA]]</f>
        <v>25500</v>
      </c>
      <c r="S15" s="6">
        <f>IFERROR(Tableau1[[#This Row],[Loyer annuel]]/12,"")</f>
        <v>2125</v>
      </c>
      <c r="T15" s="12">
        <v>500</v>
      </c>
      <c r="U15" s="6" t="s">
        <v>103</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103</v>
      </c>
      <c r="AE15" s="6" t="s">
        <v>103</v>
      </c>
      <c r="AF15" s="37">
        <v>2.5000000000000001E-2</v>
      </c>
      <c r="AG15" s="6" t="s">
        <v>363</v>
      </c>
      <c r="AH15" s="10" t="s">
        <v>53</v>
      </c>
      <c r="AI15" s="4" t="s">
        <v>369</v>
      </c>
      <c r="AJ15" s="4" t="s">
        <v>376</v>
      </c>
      <c r="AK15" s="11" t="s">
        <v>371</v>
      </c>
      <c r="AL15" s="5" t="s">
        <v>368</v>
      </c>
      <c r="AM15" s="11" t="s">
        <v>576</v>
      </c>
      <c r="AN15" s="11" t="s">
        <v>577</v>
      </c>
      <c r="AO15" s="32" t="s">
        <v>453</v>
      </c>
      <c r="AP15" s="35" t="s">
        <v>763</v>
      </c>
      <c r="AQ15" s="5" t="s">
        <v>75</v>
      </c>
      <c r="AR15" s="11" t="s">
        <v>378</v>
      </c>
      <c r="AS15" s="13" t="s">
        <v>74</v>
      </c>
      <c r="AT15" s="14"/>
      <c r="AU15" s="44"/>
      <c r="AV15" s="1"/>
      <c r="AW15" s="1"/>
      <c r="BD15" s="1"/>
    </row>
    <row r="16" spans="1:56"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t="s">
        <v>103</v>
      </c>
      <c r="M16" s="36" t="s">
        <v>301</v>
      </c>
      <c r="N16" s="34">
        <v>115</v>
      </c>
      <c r="O16" s="6" t="s">
        <v>103</v>
      </c>
      <c r="P16" s="34" t="s">
        <v>103</v>
      </c>
      <c r="Q16" s="6" t="s">
        <v>103</v>
      </c>
      <c r="R16" s="12">
        <f>Tableau1[[#This Row],[Loyer €/m²]]*Tableau1[[#This Row],[Surface GLA]]</f>
        <v>51750</v>
      </c>
      <c r="S16" s="6">
        <f>IFERROR(Tableau1[[#This Row],[Loyer annuel]]/12,"")</f>
        <v>4312.5</v>
      </c>
      <c r="T16" s="12">
        <v>450</v>
      </c>
      <c r="U16" s="6" t="s">
        <v>103</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103</v>
      </c>
      <c r="AE16" s="6" t="s">
        <v>103</v>
      </c>
      <c r="AF16" s="37">
        <v>2.5000000000000001E-2</v>
      </c>
      <c r="AG16" s="6" t="s">
        <v>363</v>
      </c>
      <c r="AH16" s="10" t="s">
        <v>53</v>
      </c>
      <c r="AI16" s="4" t="s">
        <v>369</v>
      </c>
      <c r="AJ16" s="4" t="s">
        <v>376</v>
      </c>
      <c r="AK16" s="11" t="s">
        <v>371</v>
      </c>
      <c r="AL16" s="5" t="s">
        <v>368</v>
      </c>
      <c r="AM16" s="11" t="s">
        <v>576</v>
      </c>
      <c r="AN16" s="11" t="s">
        <v>578</v>
      </c>
      <c r="AO16" s="32" t="s">
        <v>454</v>
      </c>
      <c r="AP16" s="35" t="s">
        <v>764</v>
      </c>
      <c r="AQ16" s="5" t="s">
        <v>75</v>
      </c>
      <c r="AR16" s="11" t="s">
        <v>378</v>
      </c>
      <c r="AS16" s="13" t="s">
        <v>74</v>
      </c>
      <c r="AT16" s="14"/>
      <c r="AU16" s="44"/>
      <c r="AV16" s="1"/>
      <c r="AW16" s="1"/>
      <c r="BD16" s="1"/>
    </row>
    <row r="17" spans="1:56"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t="s">
        <v>103</v>
      </c>
      <c r="M17" s="36" t="s">
        <v>302</v>
      </c>
      <c r="N17" s="34">
        <v>210</v>
      </c>
      <c r="O17" s="6" t="s">
        <v>103</v>
      </c>
      <c r="P17" s="34" t="s">
        <v>103</v>
      </c>
      <c r="Q17" s="6" t="s">
        <v>103</v>
      </c>
      <c r="R17" s="12">
        <f>Tableau1[[#This Row],[Loyer €/m²]]*Tableau1[[#This Row],[Surface GLA]]</f>
        <v>73500</v>
      </c>
      <c r="S17" s="6">
        <f>IFERROR(Tableau1[[#This Row],[Loyer annuel]]/12,"")</f>
        <v>6125</v>
      </c>
      <c r="T17" s="12">
        <v>350</v>
      </c>
      <c r="U17" s="6" t="s">
        <v>103</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103</v>
      </c>
      <c r="AE17" s="6" t="s">
        <v>103</v>
      </c>
      <c r="AF17" s="37">
        <v>2.5000000000000001E-2</v>
      </c>
      <c r="AG17" s="6" t="s">
        <v>363</v>
      </c>
      <c r="AH17" s="10" t="s">
        <v>53</v>
      </c>
      <c r="AI17" s="4" t="s">
        <v>369</v>
      </c>
      <c r="AJ17" s="4" t="s">
        <v>376</v>
      </c>
      <c r="AK17" s="11" t="s">
        <v>371</v>
      </c>
      <c r="AL17" s="5" t="s">
        <v>368</v>
      </c>
      <c r="AM17" s="11" t="s">
        <v>579</v>
      </c>
      <c r="AN17" s="11" t="s">
        <v>580</v>
      </c>
      <c r="AO17" s="32" t="s">
        <v>455</v>
      </c>
      <c r="AP17" s="35" t="s">
        <v>765</v>
      </c>
      <c r="AQ17" s="5" t="s">
        <v>75</v>
      </c>
      <c r="AR17" s="11" t="s">
        <v>378</v>
      </c>
      <c r="AS17" s="13" t="s">
        <v>74</v>
      </c>
      <c r="AT17" s="14"/>
      <c r="AU17" s="44"/>
      <c r="AV17" s="1"/>
      <c r="AW17" s="1"/>
      <c r="BD17" s="1"/>
    </row>
    <row r="18" spans="1:56"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t="s">
        <v>103</v>
      </c>
      <c r="M18" s="36" t="s">
        <v>303</v>
      </c>
      <c r="N18" s="34">
        <v>30</v>
      </c>
      <c r="O18" s="6" t="s">
        <v>103</v>
      </c>
      <c r="P18" s="34" t="s">
        <v>103</v>
      </c>
      <c r="Q18" s="6" t="s">
        <v>103</v>
      </c>
      <c r="R18" s="12">
        <f>Tableau1[[#This Row],[Loyer €/m²]]*Tableau1[[#This Row],[Surface GLA]]</f>
        <v>15000</v>
      </c>
      <c r="S18" s="6">
        <f>IFERROR(Tableau1[[#This Row],[Loyer annuel]]/12,"")</f>
        <v>1250</v>
      </c>
      <c r="T18" s="12">
        <v>500</v>
      </c>
      <c r="U18" s="6" t="s">
        <v>103</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103</v>
      </c>
      <c r="AE18" s="6" t="s">
        <v>103</v>
      </c>
      <c r="AF18" s="37">
        <v>2.5000000000000001E-2</v>
      </c>
      <c r="AG18" s="6" t="s">
        <v>363</v>
      </c>
      <c r="AH18" s="10" t="s">
        <v>75</v>
      </c>
      <c r="AI18" s="4" t="s">
        <v>370</v>
      </c>
      <c r="AJ18" s="4" t="s">
        <v>376</v>
      </c>
      <c r="AK18" s="11" t="s">
        <v>371</v>
      </c>
      <c r="AL18" s="5" t="s">
        <v>368</v>
      </c>
      <c r="AM18" s="11" t="s">
        <v>581</v>
      </c>
      <c r="AN18" s="11" t="s">
        <v>582</v>
      </c>
      <c r="AO18" s="32" t="s">
        <v>456</v>
      </c>
      <c r="AP18" s="35" t="s">
        <v>766</v>
      </c>
      <c r="AQ18" s="5" t="s">
        <v>75</v>
      </c>
      <c r="AR18" s="11" t="s">
        <v>378</v>
      </c>
      <c r="AS18" s="13" t="s">
        <v>74</v>
      </c>
      <c r="AT18" s="14"/>
      <c r="AU18" s="44"/>
      <c r="AV18" s="1"/>
      <c r="AW18" s="1"/>
      <c r="BD18" s="1"/>
    </row>
    <row r="19" spans="1:56"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t="s">
        <v>103</v>
      </c>
      <c r="M19" s="36">
        <v>1</v>
      </c>
      <c r="N19" s="34">
        <v>1200</v>
      </c>
      <c r="O19" s="6" t="s">
        <v>103</v>
      </c>
      <c r="P19" s="34" t="s">
        <v>103</v>
      </c>
      <c r="Q19" s="6" t="s">
        <v>103</v>
      </c>
      <c r="R19" s="12">
        <f>Tableau1[[#This Row],[Loyer €/m²]]*Tableau1[[#This Row],[Surface GLA]]</f>
        <v>120000</v>
      </c>
      <c r="S19" s="6">
        <f>IFERROR(Tableau1[[#This Row],[Loyer annuel]]/12,"")</f>
        <v>10000</v>
      </c>
      <c r="T19" s="12">
        <v>100</v>
      </c>
      <c r="U19" s="6" t="s">
        <v>103</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103</v>
      </c>
      <c r="AE19" s="6" t="s">
        <v>103</v>
      </c>
      <c r="AF19" s="6" t="s">
        <v>103</v>
      </c>
      <c r="AG19" s="6" t="s">
        <v>363</v>
      </c>
      <c r="AH19" s="10" t="s">
        <v>377</v>
      </c>
      <c r="AI19" s="4" t="s">
        <v>370</v>
      </c>
      <c r="AJ19" s="4" t="s">
        <v>380</v>
      </c>
      <c r="AK19" s="11" t="s">
        <v>379</v>
      </c>
      <c r="AL19" s="5" t="s">
        <v>368</v>
      </c>
      <c r="AM19" s="11" t="s">
        <v>583</v>
      </c>
      <c r="AN19" s="11" t="s">
        <v>584</v>
      </c>
      <c r="AO19" s="32" t="s">
        <v>457</v>
      </c>
      <c r="AP19" s="35" t="s">
        <v>767</v>
      </c>
      <c r="AQ19" s="5" t="s">
        <v>75</v>
      </c>
      <c r="AR19" s="11" t="s">
        <v>378</v>
      </c>
      <c r="AS19" s="13" t="s">
        <v>74</v>
      </c>
      <c r="AT19" s="14"/>
      <c r="AU19" s="44"/>
      <c r="AV19" s="1"/>
      <c r="AW19" s="1"/>
      <c r="BD19" s="1"/>
    </row>
    <row r="20" spans="1:56"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t="s">
        <v>103</v>
      </c>
      <c r="M20" s="36">
        <v>2</v>
      </c>
      <c r="N20" s="34">
        <v>1200</v>
      </c>
      <c r="O20" s="6" t="s">
        <v>103</v>
      </c>
      <c r="P20" s="34" t="s">
        <v>103</v>
      </c>
      <c r="Q20" s="6" t="s">
        <v>103</v>
      </c>
      <c r="R20" s="12">
        <f>Tableau1[[#This Row],[Loyer €/m²]]*Tableau1[[#This Row],[Surface GLA]]</f>
        <v>120000</v>
      </c>
      <c r="S20" s="6">
        <f>IFERROR(Tableau1[[#This Row],[Loyer annuel]]/12,"")</f>
        <v>10000</v>
      </c>
      <c r="T20" s="12">
        <v>100</v>
      </c>
      <c r="U20" s="6" t="s">
        <v>103</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103</v>
      </c>
      <c r="AC20" s="12">
        <f>IFERROR(Tableau1[[#This Row],[Loyer annuel]]+Tableau1[[#This Row],[Charges annuelles]]+Tableau1[[#This Row],[Taxe foncière]]+Tableau1[[#This Row],[Marketing]],"")</f>
        <v>159600</v>
      </c>
      <c r="AD20" s="6" t="s">
        <v>103</v>
      </c>
      <c r="AE20" s="6" t="s">
        <v>103</v>
      </c>
      <c r="AF20" s="6" t="s">
        <v>103</v>
      </c>
      <c r="AG20" s="6" t="s">
        <v>363</v>
      </c>
      <c r="AH20" s="10" t="s">
        <v>377</v>
      </c>
      <c r="AI20" s="4" t="s">
        <v>370</v>
      </c>
      <c r="AJ20" s="4" t="s">
        <v>380</v>
      </c>
      <c r="AK20" s="11" t="s">
        <v>379</v>
      </c>
      <c r="AL20" s="5" t="s">
        <v>368</v>
      </c>
      <c r="AM20" s="11" t="s">
        <v>585</v>
      </c>
      <c r="AN20" s="11" t="s">
        <v>586</v>
      </c>
      <c r="AO20" s="32" t="s">
        <v>458</v>
      </c>
      <c r="AP20" s="36" t="s">
        <v>768</v>
      </c>
      <c r="AQ20" s="5" t="s">
        <v>75</v>
      </c>
      <c r="AR20" s="11" t="s">
        <v>378</v>
      </c>
      <c r="AS20" s="13" t="s">
        <v>74</v>
      </c>
      <c r="AT20" s="14"/>
      <c r="AU20" s="44"/>
      <c r="AV20" s="1"/>
      <c r="AW20" s="1"/>
      <c r="BD20" s="1"/>
    </row>
    <row r="21" spans="1:56"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t="s">
        <v>103</v>
      </c>
      <c r="M21" s="36">
        <v>3</v>
      </c>
      <c r="N21" s="34">
        <v>549</v>
      </c>
      <c r="O21" s="6" t="s">
        <v>103</v>
      </c>
      <c r="P21" s="34" t="s">
        <v>103</v>
      </c>
      <c r="Q21" s="6" t="s">
        <v>103</v>
      </c>
      <c r="R21" s="12">
        <f>Tableau1[[#This Row],[Loyer €/m²]]*Tableau1[[#This Row],[Surface GLA]]</f>
        <v>82350</v>
      </c>
      <c r="S21" s="6">
        <f>IFERROR(Tableau1[[#This Row],[Loyer annuel]]/12,"")</f>
        <v>6862.5</v>
      </c>
      <c r="T21" s="12">
        <v>150</v>
      </c>
      <c r="U21" s="6" t="s">
        <v>103</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103</v>
      </c>
      <c r="AC21" s="12">
        <f>IFERROR(Tableau1[[#This Row],[Loyer annuel]]+Tableau1[[#This Row],[Charges annuelles]]+Tableau1[[#This Row],[Taxe foncière]]+Tableau1[[#This Row],[Marketing]],"")</f>
        <v>100467</v>
      </c>
      <c r="AD21" s="6" t="s">
        <v>103</v>
      </c>
      <c r="AE21" s="6" t="s">
        <v>103</v>
      </c>
      <c r="AF21" s="6" t="s">
        <v>103</v>
      </c>
      <c r="AG21" s="6" t="s">
        <v>363</v>
      </c>
      <c r="AH21" s="10" t="s">
        <v>377</v>
      </c>
      <c r="AI21" s="4" t="s">
        <v>370</v>
      </c>
      <c r="AJ21" s="4" t="s">
        <v>380</v>
      </c>
      <c r="AK21" s="11" t="s">
        <v>379</v>
      </c>
      <c r="AL21" s="5" t="s">
        <v>368</v>
      </c>
      <c r="AM21" s="11" t="s">
        <v>587</v>
      </c>
      <c r="AN21" s="11" t="s">
        <v>588</v>
      </c>
      <c r="AO21" s="32" t="s">
        <v>459</v>
      </c>
      <c r="AP21" s="36" t="s">
        <v>769</v>
      </c>
      <c r="AQ21" s="5" t="s">
        <v>75</v>
      </c>
      <c r="AR21" s="11" t="s">
        <v>378</v>
      </c>
      <c r="AS21" s="13" t="s">
        <v>74</v>
      </c>
      <c r="AT21" s="14"/>
      <c r="AU21" s="44"/>
      <c r="AV21" s="1"/>
      <c r="AW21" s="1"/>
      <c r="BD21" s="1"/>
    </row>
    <row r="22" spans="1:56"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t="s">
        <v>103</v>
      </c>
      <c r="M22" s="36">
        <v>4</v>
      </c>
      <c r="N22" s="34">
        <v>502</v>
      </c>
      <c r="O22" s="6" t="s">
        <v>103</v>
      </c>
      <c r="P22" s="34" t="s">
        <v>103</v>
      </c>
      <c r="Q22" s="6" t="s">
        <v>103</v>
      </c>
      <c r="R22" s="12">
        <f>Tableau1[[#This Row],[Loyer €/m²]]*Tableau1[[#This Row],[Surface GLA]]</f>
        <v>75300</v>
      </c>
      <c r="S22" s="6">
        <f>IFERROR(Tableau1[[#This Row],[Loyer annuel]]/12,"")</f>
        <v>6275</v>
      </c>
      <c r="T22" s="12">
        <v>150</v>
      </c>
      <c r="U22" s="6" t="s">
        <v>103</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103</v>
      </c>
      <c r="AC22" s="12">
        <f>IFERROR(Tableau1[[#This Row],[Loyer annuel]]+Tableau1[[#This Row],[Charges annuelles]]+Tableau1[[#This Row],[Taxe foncière]]+Tableau1[[#This Row],[Marketing]],"")</f>
        <v>91866</v>
      </c>
      <c r="AD22" s="6" t="s">
        <v>103</v>
      </c>
      <c r="AE22" s="6" t="s">
        <v>103</v>
      </c>
      <c r="AF22" s="6" t="s">
        <v>103</v>
      </c>
      <c r="AG22" s="6" t="s">
        <v>363</v>
      </c>
      <c r="AH22" s="10" t="s">
        <v>377</v>
      </c>
      <c r="AI22" s="4" t="s">
        <v>370</v>
      </c>
      <c r="AJ22" s="4" t="s">
        <v>380</v>
      </c>
      <c r="AK22" s="11" t="s">
        <v>379</v>
      </c>
      <c r="AL22" s="5" t="s">
        <v>368</v>
      </c>
      <c r="AM22" s="11" t="s">
        <v>589</v>
      </c>
      <c r="AN22" s="11" t="s">
        <v>590</v>
      </c>
      <c r="AO22" s="32" t="s">
        <v>460</v>
      </c>
      <c r="AP22" s="36" t="s">
        <v>770</v>
      </c>
      <c r="AQ22" s="5" t="s">
        <v>75</v>
      </c>
      <c r="AR22" s="11" t="s">
        <v>378</v>
      </c>
      <c r="AS22" s="13" t="s">
        <v>74</v>
      </c>
      <c r="AT22" s="14"/>
      <c r="AU22" s="44"/>
      <c r="AV22" s="1"/>
      <c r="AW22" s="1"/>
      <c r="BD22" s="1"/>
    </row>
    <row r="23" spans="1:56"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t="s">
        <v>103</v>
      </c>
      <c r="M23" s="36">
        <v>5</v>
      </c>
      <c r="N23" s="34">
        <v>250</v>
      </c>
      <c r="O23" s="6" t="s">
        <v>103</v>
      </c>
      <c r="P23" s="34" t="s">
        <v>103</v>
      </c>
      <c r="Q23" s="6" t="s">
        <v>103</v>
      </c>
      <c r="R23" s="12">
        <f>Tableau1[[#This Row],[Loyer €/m²]]*Tableau1[[#This Row],[Surface GLA]]</f>
        <v>50000</v>
      </c>
      <c r="S23" s="6">
        <f>IFERROR(Tableau1[[#This Row],[Loyer annuel]]/12,"")</f>
        <v>4166.666666666667</v>
      </c>
      <c r="T23" s="12">
        <v>200</v>
      </c>
      <c r="U23" s="6" t="s">
        <v>103</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103</v>
      </c>
      <c r="AC23" s="12">
        <f>IFERROR(Tableau1[[#This Row],[Loyer annuel]]+Tableau1[[#This Row],[Charges annuelles]]+Tableau1[[#This Row],[Taxe foncière]]+Tableau1[[#This Row],[Marketing]],"")</f>
        <v>58250</v>
      </c>
      <c r="AD23" s="6" t="s">
        <v>103</v>
      </c>
      <c r="AE23" s="6" t="s">
        <v>103</v>
      </c>
      <c r="AF23" s="6" t="s">
        <v>103</v>
      </c>
      <c r="AG23" s="6" t="s">
        <v>363</v>
      </c>
      <c r="AH23" s="10" t="s">
        <v>377</v>
      </c>
      <c r="AI23" s="4" t="s">
        <v>370</v>
      </c>
      <c r="AJ23" s="4" t="s">
        <v>380</v>
      </c>
      <c r="AK23" s="11" t="s">
        <v>379</v>
      </c>
      <c r="AL23" s="5" t="s">
        <v>368</v>
      </c>
      <c r="AM23" s="11" t="s">
        <v>591</v>
      </c>
      <c r="AN23" s="11" t="s">
        <v>592</v>
      </c>
      <c r="AO23" s="32" t="s">
        <v>461</v>
      </c>
      <c r="AP23" s="36" t="s">
        <v>771</v>
      </c>
      <c r="AQ23" s="5" t="s">
        <v>75</v>
      </c>
      <c r="AR23" s="11" t="s">
        <v>378</v>
      </c>
      <c r="AS23" s="13" t="s">
        <v>74</v>
      </c>
      <c r="AT23" s="14"/>
      <c r="AU23" s="44"/>
      <c r="AV23" s="1"/>
      <c r="AW23" s="1"/>
      <c r="BD23" s="1"/>
    </row>
    <row r="24" spans="1:56"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t="s">
        <v>103</v>
      </c>
      <c r="M24" s="36">
        <v>6</v>
      </c>
      <c r="N24" s="34">
        <v>264</v>
      </c>
      <c r="O24" s="6" t="s">
        <v>103</v>
      </c>
      <c r="P24" s="34" t="s">
        <v>103</v>
      </c>
      <c r="Q24" s="6" t="s">
        <v>103</v>
      </c>
      <c r="R24" s="12">
        <f>Tableau1[[#This Row],[Loyer €/m²]]*Tableau1[[#This Row],[Surface GLA]]</f>
        <v>52800</v>
      </c>
      <c r="S24" s="6">
        <f>IFERROR(Tableau1[[#This Row],[Loyer annuel]]/12,"")</f>
        <v>4400</v>
      </c>
      <c r="T24" s="12">
        <v>200</v>
      </c>
      <c r="U24" s="6" t="s">
        <v>103</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103</v>
      </c>
      <c r="AC24" s="12">
        <f>IFERROR(Tableau1[[#This Row],[Loyer annuel]]+Tableau1[[#This Row],[Charges annuelles]]+Tableau1[[#This Row],[Taxe foncière]]+Tableau1[[#This Row],[Marketing]],"")</f>
        <v>61512</v>
      </c>
      <c r="AD24" s="6" t="s">
        <v>103</v>
      </c>
      <c r="AE24" s="6" t="s">
        <v>103</v>
      </c>
      <c r="AF24" s="6" t="s">
        <v>103</v>
      </c>
      <c r="AG24" s="6" t="s">
        <v>363</v>
      </c>
      <c r="AH24" s="10" t="s">
        <v>377</v>
      </c>
      <c r="AI24" s="4" t="s">
        <v>370</v>
      </c>
      <c r="AJ24" s="4" t="s">
        <v>380</v>
      </c>
      <c r="AK24" s="11" t="s">
        <v>379</v>
      </c>
      <c r="AL24" s="5" t="s">
        <v>368</v>
      </c>
      <c r="AM24" s="11" t="s">
        <v>593</v>
      </c>
      <c r="AN24" s="11" t="s">
        <v>594</v>
      </c>
      <c r="AO24" s="32" t="s">
        <v>462</v>
      </c>
      <c r="AP24" s="36" t="s">
        <v>772</v>
      </c>
      <c r="AQ24" s="5" t="s">
        <v>75</v>
      </c>
      <c r="AR24" s="11" t="s">
        <v>378</v>
      </c>
      <c r="AS24" s="13" t="s">
        <v>74</v>
      </c>
      <c r="AT24" s="14"/>
      <c r="AU24" s="44"/>
      <c r="AV24" s="1"/>
      <c r="AW24" s="1"/>
      <c r="BD24" s="1"/>
    </row>
    <row r="25" spans="1:56"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t="s">
        <v>103</v>
      </c>
      <c r="M25" s="36">
        <v>7</v>
      </c>
      <c r="N25" s="34">
        <v>486</v>
      </c>
      <c r="O25" s="6" t="s">
        <v>103</v>
      </c>
      <c r="P25" s="34" t="s">
        <v>103</v>
      </c>
      <c r="Q25" s="6" t="s">
        <v>103</v>
      </c>
      <c r="R25" s="12">
        <f>Tableau1[[#This Row],[Loyer €/m²]]*Tableau1[[#This Row],[Surface GLA]]</f>
        <v>72900</v>
      </c>
      <c r="S25" s="6">
        <f>IFERROR(Tableau1[[#This Row],[Loyer annuel]]/12,"")</f>
        <v>6075</v>
      </c>
      <c r="T25" s="12">
        <v>150</v>
      </c>
      <c r="U25" s="6" t="s">
        <v>103</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103</v>
      </c>
      <c r="AC25" s="12">
        <f>IFERROR(Tableau1[[#This Row],[Loyer annuel]]+Tableau1[[#This Row],[Charges annuelles]]+Tableau1[[#This Row],[Taxe foncière]]+Tableau1[[#This Row],[Marketing]],"")</f>
        <v>88938</v>
      </c>
      <c r="AD25" s="6" t="s">
        <v>103</v>
      </c>
      <c r="AE25" s="6" t="s">
        <v>103</v>
      </c>
      <c r="AF25" s="6" t="s">
        <v>103</v>
      </c>
      <c r="AG25" s="6" t="s">
        <v>363</v>
      </c>
      <c r="AH25" s="10" t="s">
        <v>377</v>
      </c>
      <c r="AI25" s="4" t="s">
        <v>370</v>
      </c>
      <c r="AJ25" s="4" t="s">
        <v>380</v>
      </c>
      <c r="AK25" s="11" t="s">
        <v>379</v>
      </c>
      <c r="AL25" s="5" t="s">
        <v>368</v>
      </c>
      <c r="AM25" s="11" t="s">
        <v>595</v>
      </c>
      <c r="AN25" s="11" t="s">
        <v>596</v>
      </c>
      <c r="AO25" s="32" t="s">
        <v>463</v>
      </c>
      <c r="AP25" s="36" t="s">
        <v>773</v>
      </c>
      <c r="AQ25" s="5" t="s">
        <v>75</v>
      </c>
      <c r="AR25" s="11" t="s">
        <v>378</v>
      </c>
      <c r="AS25" s="13" t="s">
        <v>74</v>
      </c>
      <c r="AT25" s="14"/>
      <c r="AU25" s="44"/>
      <c r="AV25" s="1"/>
      <c r="AW25" s="1"/>
      <c r="BD25" s="1"/>
    </row>
    <row r="26" spans="1:56"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t="s">
        <v>103</v>
      </c>
      <c r="M26" s="36">
        <v>8</v>
      </c>
      <c r="N26" s="34">
        <v>267</v>
      </c>
      <c r="O26" s="6" t="s">
        <v>103</v>
      </c>
      <c r="P26" s="34" t="s">
        <v>103</v>
      </c>
      <c r="Q26" s="6" t="s">
        <v>103</v>
      </c>
      <c r="R26" s="12">
        <f>Tableau1[[#This Row],[Loyer €/m²]]*Tableau1[[#This Row],[Surface GLA]]</f>
        <v>53400</v>
      </c>
      <c r="S26" s="6">
        <f>IFERROR(Tableau1[[#This Row],[Loyer annuel]]/12,"")</f>
        <v>4450</v>
      </c>
      <c r="T26" s="12">
        <v>200</v>
      </c>
      <c r="U26" s="6" t="s">
        <v>103</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103</v>
      </c>
      <c r="AC26" s="12">
        <f>IFERROR(Tableau1[[#This Row],[Loyer annuel]]+Tableau1[[#This Row],[Charges annuelles]]+Tableau1[[#This Row],[Taxe foncière]]+Tableau1[[#This Row],[Marketing]],"")</f>
        <v>62211</v>
      </c>
      <c r="AD26" s="6" t="s">
        <v>103</v>
      </c>
      <c r="AE26" s="6" t="s">
        <v>103</v>
      </c>
      <c r="AF26" s="6" t="s">
        <v>103</v>
      </c>
      <c r="AG26" s="6" t="s">
        <v>363</v>
      </c>
      <c r="AH26" s="10" t="s">
        <v>377</v>
      </c>
      <c r="AI26" s="4" t="s">
        <v>370</v>
      </c>
      <c r="AJ26" s="4" t="s">
        <v>380</v>
      </c>
      <c r="AK26" s="11" t="s">
        <v>379</v>
      </c>
      <c r="AL26" s="5" t="s">
        <v>368</v>
      </c>
      <c r="AM26" s="11" t="s">
        <v>597</v>
      </c>
      <c r="AN26" s="11" t="s">
        <v>598</v>
      </c>
      <c r="AO26" s="32" t="s">
        <v>464</v>
      </c>
      <c r="AP26" s="36" t="s">
        <v>774</v>
      </c>
      <c r="AQ26" s="5" t="s">
        <v>75</v>
      </c>
      <c r="AR26" s="11" t="s">
        <v>378</v>
      </c>
      <c r="AS26" s="13" t="s">
        <v>74</v>
      </c>
      <c r="AT26" s="14"/>
      <c r="AU26" s="44"/>
      <c r="AV26" s="1"/>
      <c r="AW26" s="1"/>
      <c r="BD26" s="1"/>
    </row>
    <row r="27" spans="1:56"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t="s">
        <v>103</v>
      </c>
      <c r="M27" s="36">
        <v>9</v>
      </c>
      <c r="N27" s="34">
        <v>321</v>
      </c>
      <c r="O27" s="6" t="s">
        <v>103</v>
      </c>
      <c r="P27" s="34" t="s">
        <v>103</v>
      </c>
      <c r="Q27" s="6" t="s">
        <v>103</v>
      </c>
      <c r="R27" s="12">
        <f>Tableau1[[#This Row],[Loyer €/m²]]*Tableau1[[#This Row],[Surface GLA]]</f>
        <v>48150</v>
      </c>
      <c r="S27" s="6">
        <f>IFERROR(Tableau1[[#This Row],[Loyer annuel]]/12,"")</f>
        <v>4012.5</v>
      </c>
      <c r="T27" s="12">
        <v>150</v>
      </c>
      <c r="U27" s="6" t="s">
        <v>103</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103</v>
      </c>
      <c r="AC27" s="12">
        <f>IFERROR(Tableau1[[#This Row],[Loyer annuel]]+Tableau1[[#This Row],[Charges annuelles]]+Tableau1[[#This Row],[Taxe foncière]]+Tableau1[[#This Row],[Marketing]],"")</f>
        <v>58743</v>
      </c>
      <c r="AD27" s="6" t="s">
        <v>103</v>
      </c>
      <c r="AE27" s="6" t="s">
        <v>103</v>
      </c>
      <c r="AF27" s="6" t="s">
        <v>103</v>
      </c>
      <c r="AG27" s="6" t="s">
        <v>363</v>
      </c>
      <c r="AH27" s="10" t="s">
        <v>377</v>
      </c>
      <c r="AI27" s="4" t="s">
        <v>370</v>
      </c>
      <c r="AJ27" s="4" t="s">
        <v>380</v>
      </c>
      <c r="AK27" s="11" t="s">
        <v>379</v>
      </c>
      <c r="AL27" s="5" t="s">
        <v>368</v>
      </c>
      <c r="AM27" s="11" t="s">
        <v>599</v>
      </c>
      <c r="AN27" s="11" t="s">
        <v>600</v>
      </c>
      <c r="AO27" s="32" t="s">
        <v>465</v>
      </c>
      <c r="AP27" s="36" t="s">
        <v>775</v>
      </c>
      <c r="AQ27" s="5" t="s">
        <v>75</v>
      </c>
      <c r="AR27" s="11" t="s">
        <v>378</v>
      </c>
      <c r="AS27" s="13" t="s">
        <v>74</v>
      </c>
      <c r="AT27" s="14"/>
      <c r="AU27" s="44"/>
      <c r="AV27" s="1"/>
      <c r="AW27" s="1"/>
      <c r="BD27" s="1"/>
    </row>
    <row r="28" spans="1:56"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t="s">
        <v>103</v>
      </c>
      <c r="M28" s="36">
        <v>10</v>
      </c>
      <c r="N28" s="34">
        <v>472</v>
      </c>
      <c r="O28" s="6" t="s">
        <v>103</v>
      </c>
      <c r="P28" s="34" t="s">
        <v>103</v>
      </c>
      <c r="Q28" s="6" t="s">
        <v>103</v>
      </c>
      <c r="R28" s="12">
        <f>Tableau1[[#This Row],[Loyer €/m²]]*Tableau1[[#This Row],[Surface GLA]]</f>
        <v>70800</v>
      </c>
      <c r="S28" s="6">
        <f>IFERROR(Tableau1[[#This Row],[Loyer annuel]]/12,"")</f>
        <v>5900</v>
      </c>
      <c r="T28" s="12">
        <v>150</v>
      </c>
      <c r="U28" s="6" t="s">
        <v>103</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103</v>
      </c>
      <c r="AC28" s="12">
        <f>IFERROR(Tableau1[[#This Row],[Loyer annuel]]+Tableau1[[#This Row],[Charges annuelles]]+Tableau1[[#This Row],[Taxe foncière]]+Tableau1[[#This Row],[Marketing]],"")</f>
        <v>86376</v>
      </c>
      <c r="AD28" s="6" t="s">
        <v>103</v>
      </c>
      <c r="AE28" s="6" t="s">
        <v>103</v>
      </c>
      <c r="AF28" s="6" t="s">
        <v>103</v>
      </c>
      <c r="AG28" s="6" t="s">
        <v>363</v>
      </c>
      <c r="AH28" s="10" t="s">
        <v>377</v>
      </c>
      <c r="AI28" s="4" t="s">
        <v>370</v>
      </c>
      <c r="AJ28" s="4" t="s">
        <v>380</v>
      </c>
      <c r="AK28" s="11" t="s">
        <v>379</v>
      </c>
      <c r="AL28" s="5" t="s">
        <v>368</v>
      </c>
      <c r="AM28" s="11" t="s">
        <v>601</v>
      </c>
      <c r="AN28" s="11" t="s">
        <v>602</v>
      </c>
      <c r="AO28" s="32" t="s">
        <v>466</v>
      </c>
      <c r="AP28" s="36" t="s">
        <v>776</v>
      </c>
      <c r="AQ28" s="5" t="s">
        <v>75</v>
      </c>
      <c r="AR28" s="11" t="s">
        <v>378</v>
      </c>
      <c r="AS28" s="13" t="s">
        <v>74</v>
      </c>
      <c r="AT28" s="14"/>
      <c r="AU28" s="44"/>
      <c r="AV28" s="1"/>
      <c r="AW28" s="1"/>
      <c r="BD28" s="1"/>
    </row>
    <row r="29" spans="1:56"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t="s">
        <v>103</v>
      </c>
      <c r="M29" s="36">
        <v>11</v>
      </c>
      <c r="N29" s="34">
        <v>1195</v>
      </c>
      <c r="O29" s="6" t="s">
        <v>103</v>
      </c>
      <c r="P29" s="34" t="s">
        <v>103</v>
      </c>
      <c r="Q29" s="6" t="s">
        <v>103</v>
      </c>
      <c r="R29" s="12">
        <f>Tableau1[[#This Row],[Loyer €/m²]]*Tableau1[[#This Row],[Surface GLA]]</f>
        <v>119500</v>
      </c>
      <c r="S29" s="6">
        <f>IFERROR(Tableau1[[#This Row],[Loyer annuel]]/12,"")</f>
        <v>9958.3333333333339</v>
      </c>
      <c r="T29" s="12">
        <v>100</v>
      </c>
      <c r="U29" s="6" t="s">
        <v>103</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103</v>
      </c>
      <c r="AC29" s="12">
        <f>IFERROR(Tableau1[[#This Row],[Loyer annuel]]+Tableau1[[#This Row],[Charges annuelles]]+Tableau1[[#This Row],[Taxe foncière]]+Tableau1[[#This Row],[Marketing]],"")</f>
        <v>158935</v>
      </c>
      <c r="AD29" s="6" t="s">
        <v>103</v>
      </c>
      <c r="AE29" s="6" t="s">
        <v>103</v>
      </c>
      <c r="AF29" s="6" t="s">
        <v>103</v>
      </c>
      <c r="AG29" s="6" t="s">
        <v>363</v>
      </c>
      <c r="AH29" s="10" t="s">
        <v>377</v>
      </c>
      <c r="AI29" s="4" t="s">
        <v>370</v>
      </c>
      <c r="AJ29" s="4" t="s">
        <v>380</v>
      </c>
      <c r="AK29" s="11" t="s">
        <v>379</v>
      </c>
      <c r="AL29" s="5" t="s">
        <v>368</v>
      </c>
      <c r="AM29" s="11" t="s">
        <v>603</v>
      </c>
      <c r="AN29" s="11" t="s">
        <v>604</v>
      </c>
      <c r="AO29" s="32" t="s">
        <v>467</v>
      </c>
      <c r="AP29" s="36" t="s">
        <v>777</v>
      </c>
      <c r="AQ29" s="5" t="s">
        <v>75</v>
      </c>
      <c r="AR29" s="11" t="s">
        <v>378</v>
      </c>
      <c r="AS29" s="13" t="s">
        <v>74</v>
      </c>
      <c r="AT29" s="14"/>
      <c r="AU29" s="44"/>
      <c r="AV29" s="1"/>
      <c r="AW29" s="1"/>
      <c r="BD29" s="1"/>
    </row>
    <row r="30" spans="1:56"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t="s">
        <v>103</v>
      </c>
      <c r="M30" s="36">
        <v>12</v>
      </c>
      <c r="N30" s="34">
        <v>170</v>
      </c>
      <c r="O30" s="6" t="s">
        <v>103</v>
      </c>
      <c r="P30" s="34" t="s">
        <v>103</v>
      </c>
      <c r="Q30" s="6" t="s">
        <v>103</v>
      </c>
      <c r="R30" s="12">
        <f>Tableau1[[#This Row],[Loyer €/m²]]*Tableau1[[#This Row],[Surface GLA]]</f>
        <v>34000</v>
      </c>
      <c r="S30" s="6">
        <f>IFERROR(Tableau1[[#This Row],[Loyer annuel]]/12,"")</f>
        <v>2833.3333333333335</v>
      </c>
      <c r="T30" s="12">
        <v>200</v>
      </c>
      <c r="U30" s="6" t="s">
        <v>103</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103</v>
      </c>
      <c r="AC30" s="12">
        <f>IFERROR(Tableau1[[#This Row],[Loyer annuel]]+Tableau1[[#This Row],[Charges annuelles]]+Tableau1[[#This Row],[Taxe foncière]]+Tableau1[[#This Row],[Marketing]],"")</f>
        <v>39610</v>
      </c>
      <c r="AD30" s="6" t="s">
        <v>103</v>
      </c>
      <c r="AE30" s="6" t="s">
        <v>103</v>
      </c>
      <c r="AF30" s="6" t="s">
        <v>103</v>
      </c>
      <c r="AG30" s="6" t="s">
        <v>363</v>
      </c>
      <c r="AH30" s="10" t="s">
        <v>377</v>
      </c>
      <c r="AI30" s="4" t="s">
        <v>370</v>
      </c>
      <c r="AJ30" s="4" t="s">
        <v>380</v>
      </c>
      <c r="AK30" s="11" t="s">
        <v>379</v>
      </c>
      <c r="AL30" s="5" t="s">
        <v>368</v>
      </c>
      <c r="AM30" s="11" t="s">
        <v>605</v>
      </c>
      <c r="AN30" s="11" t="s">
        <v>606</v>
      </c>
      <c r="AO30" s="32" t="s">
        <v>468</v>
      </c>
      <c r="AP30" s="36" t="s">
        <v>778</v>
      </c>
      <c r="AQ30" s="5" t="s">
        <v>75</v>
      </c>
      <c r="AR30" s="11" t="s">
        <v>378</v>
      </c>
      <c r="AS30" s="13" t="s">
        <v>74</v>
      </c>
      <c r="AT30" s="14"/>
      <c r="AU30" s="44"/>
      <c r="AV30" s="1"/>
      <c r="AW30" s="1"/>
      <c r="BD30" s="1"/>
    </row>
    <row r="31" spans="1:56"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t="s">
        <v>103</v>
      </c>
      <c r="M31" s="35" t="s">
        <v>308</v>
      </c>
      <c r="N31" s="34">
        <v>61</v>
      </c>
      <c r="O31" s="6" t="s">
        <v>103</v>
      </c>
      <c r="P31" s="34" t="s">
        <v>103</v>
      </c>
      <c r="Q31" s="6" t="s">
        <v>103</v>
      </c>
      <c r="R31" s="12">
        <f>Tableau1[[#This Row],[Loyer €/m²]]*Tableau1[[#This Row],[Surface GLA]]</f>
        <v>36600</v>
      </c>
      <c r="S31" s="6">
        <f>IFERROR(Tableau1[[#This Row],[Loyer annuel]]/12,"")</f>
        <v>3050</v>
      </c>
      <c r="T31" s="12">
        <v>600</v>
      </c>
      <c r="U31" s="6" t="s">
        <v>103</v>
      </c>
      <c r="V31" s="6">
        <f>Tableau1[[#This Row],[Charges €/m²]]*Tableau1[[#This Row],[Surface GLA]]</f>
        <v>13420</v>
      </c>
      <c r="W31" s="12">
        <f>Tableau1[[#This Row],[Charges annuelles]]/12</f>
        <v>1118.3333333333333</v>
      </c>
      <c r="X31" s="12">
        <v>220</v>
      </c>
      <c r="Y31" s="12">
        <f>IFERROR(Tableau1[[#This Row],[Taxe foncière €/m²]]*Tableau1[[#This Row],[Surface GLA]],)</f>
        <v>0</v>
      </c>
      <c r="Z31" s="6" t="s">
        <v>103</v>
      </c>
      <c r="AA31" s="6">
        <f>IFERROR(Tableau1[[#This Row],[Marketing €/m²]]*Tableau1[[#This Row],[Surface GLA]],)</f>
        <v>0</v>
      </c>
      <c r="AB31" s="6" t="s">
        <v>103</v>
      </c>
      <c r="AC31" s="12">
        <f>IFERROR(Tableau1[[#This Row],[Loyer annuel]]+Tableau1[[#This Row],[Charges annuelles]]+Tableau1[[#This Row],[Taxe foncière]]+Tableau1[[#This Row],[Marketing]],"")</f>
        <v>50020</v>
      </c>
      <c r="AD31" s="6" t="s">
        <v>103</v>
      </c>
      <c r="AE31" s="6" t="s">
        <v>103</v>
      </c>
      <c r="AF31" s="6" t="s">
        <v>103</v>
      </c>
      <c r="AG31" s="6" t="s">
        <v>363</v>
      </c>
      <c r="AH31" s="10" t="s">
        <v>53</v>
      </c>
      <c r="AI31" s="4" t="s">
        <v>369</v>
      </c>
      <c r="AJ31" s="4" t="s">
        <v>442</v>
      </c>
      <c r="AK31" s="11" t="s">
        <v>607</v>
      </c>
      <c r="AL31" s="5" t="s">
        <v>368</v>
      </c>
      <c r="AM31" s="11" t="s">
        <v>614</v>
      </c>
      <c r="AN31" s="11" t="s">
        <v>615</v>
      </c>
      <c r="AO31" s="32" t="s">
        <v>469</v>
      </c>
      <c r="AP31" s="35" t="s">
        <v>779</v>
      </c>
      <c r="AQ31" s="5" t="s">
        <v>75</v>
      </c>
      <c r="AR31" s="11" t="s">
        <v>54</v>
      </c>
      <c r="AS31" s="13" t="s">
        <v>39</v>
      </c>
      <c r="AT31" s="14"/>
      <c r="AU31" s="44"/>
      <c r="AV31" s="1"/>
      <c r="AW31" s="1"/>
      <c r="BD31" s="1"/>
    </row>
    <row r="32" spans="1:56" ht="25.5">
      <c r="A32" s="10" t="str">
        <f>VLOOKUP(Tableau1[[#This Row],[N° Département]],Feuil1!$C$6:$E$106,3)</f>
        <v>Pays de la Loire</v>
      </c>
      <c r="B32" s="4" t="str">
        <f>VLOOKUP(Tableau1[[#This Row],[N° Département]],Feuil1!$C$6:$E$106,2)</f>
        <v>Sarthe</v>
      </c>
      <c r="C32" s="10">
        <f>LEFT(Tableau1[[#This Row],[Code Postal]],2)*1</f>
        <v>72</v>
      </c>
      <c r="D32" s="10" t="s">
        <v>610</v>
      </c>
      <c r="E32" s="26">
        <v>72101</v>
      </c>
      <c r="F32" s="10" t="s">
        <v>88</v>
      </c>
      <c r="G32" s="5" t="str">
        <f>Tableau1[[#This Row],[Rue]]&amp;CHAR(10)&amp;Tableau1[[#This Row],[Code Postal]]&amp;" - "&amp;Tableau1[[#This Row],[Ville]]</f>
        <v>19 Avenue Pierre Mendès France
72101 - Le Mans</v>
      </c>
      <c r="H32" s="15" t="s">
        <v>611</v>
      </c>
      <c r="I32" s="6" t="s">
        <v>45</v>
      </c>
      <c r="J32" s="6" t="s">
        <v>49</v>
      </c>
      <c r="K32" s="12" t="s">
        <v>103</v>
      </c>
      <c r="L32" s="12" t="s">
        <v>103</v>
      </c>
      <c r="M32" s="36" t="s">
        <v>612</v>
      </c>
      <c r="N32" s="34">
        <v>10</v>
      </c>
      <c r="O32" s="6" t="s">
        <v>103</v>
      </c>
      <c r="P32" s="34" t="s">
        <v>103</v>
      </c>
      <c r="Q32" s="6" t="s">
        <v>103</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103</v>
      </c>
      <c r="AA32" s="12">
        <f>IFERROR(Tableau1[[#This Row],[Marketing €/m²]]*Tableau1[[#This Row],[Surface GLA]],)</f>
        <v>0</v>
      </c>
      <c r="AB32" s="6" t="s">
        <v>103</v>
      </c>
      <c r="AC32" s="12">
        <f>IFERROR(Tableau1[[#This Row],[Loyer annuel]]+Tableau1[[#This Row],[Charges annuelles]]+Tableau1[[#This Row],[Taxe foncière]]+Tableau1[[#This Row],[Marketing]],"")</f>
        <v>17200</v>
      </c>
      <c r="AD32" s="6" t="s">
        <v>103</v>
      </c>
      <c r="AE32" s="6" t="s">
        <v>103</v>
      </c>
      <c r="AF32" s="6" t="s">
        <v>103</v>
      </c>
      <c r="AG32" s="6" t="s">
        <v>363</v>
      </c>
      <c r="AH32" s="10" t="s">
        <v>53</v>
      </c>
      <c r="AI32" s="4" t="s">
        <v>369</v>
      </c>
      <c r="AJ32" s="4" t="s">
        <v>442</v>
      </c>
      <c r="AK32" s="11" t="s">
        <v>609</v>
      </c>
      <c r="AL32" s="5" t="s">
        <v>368</v>
      </c>
      <c r="AM32" s="11" t="s">
        <v>616</v>
      </c>
      <c r="AN32" s="11" t="s">
        <v>617</v>
      </c>
      <c r="AO32" s="11" t="s">
        <v>470</v>
      </c>
      <c r="AP32" s="35" t="s">
        <v>779</v>
      </c>
      <c r="AQ32" s="5" t="s">
        <v>75</v>
      </c>
      <c r="AR32" s="11" t="s">
        <v>54</v>
      </c>
      <c r="AS32" s="13" t="s">
        <v>39</v>
      </c>
      <c r="AT32" s="14"/>
      <c r="AU32" s="44"/>
      <c r="AV32" s="1"/>
      <c r="AW32" s="1"/>
      <c r="BD32" s="1"/>
    </row>
    <row r="33" spans="1:56"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t="s">
        <v>103</v>
      </c>
      <c r="M33" s="36" t="s">
        <v>309</v>
      </c>
      <c r="N33" s="34">
        <v>227</v>
      </c>
      <c r="O33" s="6" t="s">
        <v>103</v>
      </c>
      <c r="P33" s="34" t="s">
        <v>103</v>
      </c>
      <c r="Q33" s="6" t="s">
        <v>103</v>
      </c>
      <c r="R33" s="12">
        <f>Tableau1[[#This Row],[Loyer €/m²]]*Tableau1[[#This Row],[Surface GLA]]</f>
        <v>90800</v>
      </c>
      <c r="S33" s="6">
        <f>IFERROR(Tableau1[[#This Row],[Loyer annuel]]/12,"")</f>
        <v>7566.666666666667</v>
      </c>
      <c r="T33" s="12">
        <v>400</v>
      </c>
      <c r="U33" s="6" t="s">
        <v>103</v>
      </c>
      <c r="V33" s="6">
        <f>Tableau1[[#This Row],[Charges €/m²]]*Tableau1[[#This Row],[Surface GLA]]</f>
        <v>49940</v>
      </c>
      <c r="W33" s="12">
        <f>Tableau1[[#This Row],[Charges annuelles]]/12</f>
        <v>4161.666666666667</v>
      </c>
      <c r="X33" s="12">
        <v>220</v>
      </c>
      <c r="Y33" s="12">
        <f>IFERROR(Tableau1[[#This Row],[Taxe foncière €/m²]]*Tableau1[[#This Row],[Surface GLA]],)</f>
        <v>0</v>
      </c>
      <c r="Z33" s="6" t="s">
        <v>103</v>
      </c>
      <c r="AA33" s="6">
        <f>IFERROR(Tableau1[[#This Row],[Marketing €/m²]]*Tableau1[[#This Row],[Surface GLA]],)</f>
        <v>0</v>
      </c>
      <c r="AB33" s="6" t="s">
        <v>103</v>
      </c>
      <c r="AC33" s="12">
        <f>IFERROR(Tableau1[[#This Row],[Loyer annuel]]+Tableau1[[#This Row],[Charges annuelles]]+Tableau1[[#This Row],[Taxe foncière]]+Tableau1[[#This Row],[Marketing]],"")</f>
        <v>140740</v>
      </c>
      <c r="AD33" s="6" t="s">
        <v>103</v>
      </c>
      <c r="AE33" s="6" t="s">
        <v>103</v>
      </c>
      <c r="AF33" s="6" t="s">
        <v>103</v>
      </c>
      <c r="AG33" s="6" t="s">
        <v>363</v>
      </c>
      <c r="AH33" s="10" t="s">
        <v>53</v>
      </c>
      <c r="AI33" s="4" t="s">
        <v>369</v>
      </c>
      <c r="AJ33" s="4" t="s">
        <v>442</v>
      </c>
      <c r="AK33" s="11" t="s">
        <v>607</v>
      </c>
      <c r="AL33" s="5" t="s">
        <v>368</v>
      </c>
      <c r="AM33" s="11" t="s">
        <v>618</v>
      </c>
      <c r="AN33" s="11" t="s">
        <v>619</v>
      </c>
      <c r="AO33" s="32" t="s">
        <v>471</v>
      </c>
      <c r="AP33" s="35" t="s">
        <v>779</v>
      </c>
      <c r="AQ33" s="5" t="s">
        <v>75</v>
      </c>
      <c r="AR33" s="11" t="s">
        <v>54</v>
      </c>
      <c r="AS33" s="13" t="s">
        <v>39</v>
      </c>
      <c r="AT33" s="14"/>
      <c r="AU33" s="44"/>
      <c r="AV33" s="1"/>
      <c r="AW33" s="1"/>
      <c r="BD33" s="1"/>
    </row>
    <row r="34" spans="1:56"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t="s">
        <v>103</v>
      </c>
      <c r="M34" s="36" t="s">
        <v>310</v>
      </c>
      <c r="N34" s="34">
        <v>102</v>
      </c>
      <c r="O34" s="6" t="s">
        <v>103</v>
      </c>
      <c r="P34" s="34" t="s">
        <v>103</v>
      </c>
      <c r="Q34" s="6" t="s">
        <v>103</v>
      </c>
      <c r="R34" s="12">
        <f>Tableau1[[#This Row],[Loyer €/m²]]*Tableau1[[#This Row],[Surface GLA]]</f>
        <v>51000</v>
      </c>
      <c r="S34" s="6">
        <f>IFERROR(Tableau1[[#This Row],[Loyer annuel]]/12,"")</f>
        <v>4250</v>
      </c>
      <c r="T34" s="12">
        <v>500</v>
      </c>
      <c r="U34" s="6" t="s">
        <v>103</v>
      </c>
      <c r="V34" s="6">
        <f>Tableau1[[#This Row],[Charges €/m²]]*Tableau1[[#This Row],[Surface GLA]]</f>
        <v>22440</v>
      </c>
      <c r="W34" s="12">
        <f>Tableau1[[#This Row],[Charges annuelles]]/12</f>
        <v>1870</v>
      </c>
      <c r="X34" s="12">
        <v>220</v>
      </c>
      <c r="Y34" s="12">
        <f>IFERROR(Tableau1[[#This Row],[Taxe foncière €/m²]]*Tableau1[[#This Row],[Surface GLA]],)</f>
        <v>0</v>
      </c>
      <c r="Z34" s="6" t="s">
        <v>103</v>
      </c>
      <c r="AA34" s="6">
        <f>IFERROR(Tableau1[[#This Row],[Marketing €/m²]]*Tableau1[[#This Row],[Surface GLA]],)</f>
        <v>0</v>
      </c>
      <c r="AB34" s="6" t="s">
        <v>103</v>
      </c>
      <c r="AC34" s="12">
        <f>IFERROR(Tableau1[[#This Row],[Loyer annuel]]+Tableau1[[#This Row],[Charges annuelles]]+Tableau1[[#This Row],[Taxe foncière]]+Tableau1[[#This Row],[Marketing]],"")</f>
        <v>73440</v>
      </c>
      <c r="AD34" s="6" t="s">
        <v>103</v>
      </c>
      <c r="AE34" s="6" t="s">
        <v>103</v>
      </c>
      <c r="AF34" s="6" t="s">
        <v>103</v>
      </c>
      <c r="AG34" s="6" t="s">
        <v>363</v>
      </c>
      <c r="AH34" s="10" t="s">
        <v>53</v>
      </c>
      <c r="AI34" s="4" t="s">
        <v>369</v>
      </c>
      <c r="AJ34" s="4" t="s">
        <v>442</v>
      </c>
      <c r="AK34" s="11" t="s">
        <v>608</v>
      </c>
      <c r="AL34" s="5" t="s">
        <v>368</v>
      </c>
      <c r="AM34" s="11" t="s">
        <v>620</v>
      </c>
      <c r="AN34" s="11" t="s">
        <v>621</v>
      </c>
      <c r="AO34" s="11" t="s">
        <v>472</v>
      </c>
      <c r="AP34" s="35" t="s">
        <v>779</v>
      </c>
      <c r="AQ34" s="5" t="s">
        <v>75</v>
      </c>
      <c r="AR34" s="11" t="s">
        <v>54</v>
      </c>
      <c r="AS34" s="13" t="s">
        <v>39</v>
      </c>
      <c r="AT34" s="14"/>
      <c r="AU34" s="44"/>
      <c r="AV34" s="1"/>
      <c r="AW34" s="1"/>
      <c r="BD34" s="1"/>
    </row>
    <row r="35" spans="1:56"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t="s">
        <v>103</v>
      </c>
      <c r="M35" s="36" t="s">
        <v>311</v>
      </c>
      <c r="N35" s="34">
        <v>62</v>
      </c>
      <c r="O35" s="6" t="s">
        <v>103</v>
      </c>
      <c r="P35" s="34" t="s">
        <v>103</v>
      </c>
      <c r="Q35" s="6" t="s">
        <v>103</v>
      </c>
      <c r="R35" s="12">
        <f>Tableau1[[#This Row],[Loyer €/m²]]*Tableau1[[#This Row],[Surface GLA]]</f>
        <v>37200</v>
      </c>
      <c r="S35" s="6">
        <f>IFERROR(Tableau1[[#This Row],[Loyer annuel]]/12,"")</f>
        <v>3100</v>
      </c>
      <c r="T35" s="12">
        <v>600</v>
      </c>
      <c r="U35" s="6" t="s">
        <v>103</v>
      </c>
      <c r="V35" s="6">
        <f>Tableau1[[#This Row],[Charges €/m²]]*Tableau1[[#This Row],[Surface GLA]]</f>
        <v>13640</v>
      </c>
      <c r="W35" s="12">
        <f>Tableau1[[#This Row],[Charges annuelles]]/12</f>
        <v>1136.6666666666667</v>
      </c>
      <c r="X35" s="12">
        <v>220</v>
      </c>
      <c r="Y35" s="12">
        <f>IFERROR(Tableau1[[#This Row],[Taxe foncière €/m²]]*Tableau1[[#This Row],[Surface GLA]],)</f>
        <v>0</v>
      </c>
      <c r="Z35" s="6" t="s">
        <v>103</v>
      </c>
      <c r="AA35" s="6">
        <f>IFERROR(Tableau1[[#This Row],[Marketing €/m²]]*Tableau1[[#This Row],[Surface GLA]],)</f>
        <v>0</v>
      </c>
      <c r="AB35" s="6" t="s">
        <v>103</v>
      </c>
      <c r="AC35" s="12">
        <f>IFERROR(Tableau1[[#This Row],[Loyer annuel]]+Tableau1[[#This Row],[Charges annuelles]]+Tableau1[[#This Row],[Taxe foncière]]+Tableau1[[#This Row],[Marketing]],"")</f>
        <v>50840</v>
      </c>
      <c r="AD35" s="6" t="s">
        <v>103</v>
      </c>
      <c r="AE35" s="6" t="s">
        <v>103</v>
      </c>
      <c r="AF35" s="6" t="s">
        <v>103</v>
      </c>
      <c r="AG35" s="6" t="s">
        <v>363</v>
      </c>
      <c r="AH35" s="10" t="s">
        <v>53</v>
      </c>
      <c r="AI35" s="4" t="s">
        <v>369</v>
      </c>
      <c r="AJ35" s="4" t="s">
        <v>442</v>
      </c>
      <c r="AK35" s="11" t="s">
        <v>608</v>
      </c>
      <c r="AL35" s="5" t="s">
        <v>368</v>
      </c>
      <c r="AM35" s="11" t="s">
        <v>622</v>
      </c>
      <c r="AN35" s="11" t="s">
        <v>623</v>
      </c>
      <c r="AO35" s="32" t="s">
        <v>473</v>
      </c>
      <c r="AP35" s="35" t="s">
        <v>779</v>
      </c>
      <c r="AQ35" s="5" t="s">
        <v>75</v>
      </c>
      <c r="AR35" s="11" t="s">
        <v>54</v>
      </c>
      <c r="AS35" s="13" t="s">
        <v>39</v>
      </c>
      <c r="AT35" s="14"/>
      <c r="AU35" s="44"/>
      <c r="AV35" s="1"/>
      <c r="AW35" s="1"/>
      <c r="BD35" s="1"/>
    </row>
    <row r="36" spans="1:56"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t="s">
        <v>103</v>
      </c>
      <c r="M36" s="36" t="s">
        <v>312</v>
      </c>
      <c r="N36" s="34">
        <v>22</v>
      </c>
      <c r="O36" s="6" t="s">
        <v>103</v>
      </c>
      <c r="P36" s="34" t="s">
        <v>103</v>
      </c>
      <c r="Q36" s="6" t="s">
        <v>103</v>
      </c>
      <c r="R36" s="12">
        <f>Tableau1[[#This Row],[Loyer €/m²]]*Tableau1[[#This Row],[Surface GLA]]</f>
        <v>15400</v>
      </c>
      <c r="S36" s="6">
        <f>IFERROR(Tableau1[[#This Row],[Loyer annuel]]/12,"")</f>
        <v>1283.3333333333333</v>
      </c>
      <c r="T36" s="12">
        <v>700</v>
      </c>
      <c r="U36" s="6" t="s">
        <v>103</v>
      </c>
      <c r="V36" s="6">
        <f>Tableau1[[#This Row],[Charges €/m²]]*Tableau1[[#This Row],[Surface GLA]]</f>
        <v>4840</v>
      </c>
      <c r="W36" s="12">
        <f>Tableau1[[#This Row],[Charges annuelles]]/12</f>
        <v>403.33333333333331</v>
      </c>
      <c r="X36" s="12">
        <v>220</v>
      </c>
      <c r="Y36" s="12">
        <f>IFERROR(Tableau1[[#This Row],[Taxe foncière €/m²]]*Tableau1[[#This Row],[Surface GLA]],)</f>
        <v>0</v>
      </c>
      <c r="Z36" s="6" t="s">
        <v>103</v>
      </c>
      <c r="AA36" s="6">
        <f>IFERROR(Tableau1[[#This Row],[Marketing €/m²]]*Tableau1[[#This Row],[Surface GLA]],)</f>
        <v>0</v>
      </c>
      <c r="AB36" s="6" t="s">
        <v>103</v>
      </c>
      <c r="AC36" s="12">
        <f>IFERROR(Tableau1[[#This Row],[Loyer annuel]]+Tableau1[[#This Row],[Charges annuelles]]+Tableau1[[#This Row],[Taxe foncière]]+Tableau1[[#This Row],[Marketing]],"")</f>
        <v>20240</v>
      </c>
      <c r="AD36" s="6" t="s">
        <v>103</v>
      </c>
      <c r="AE36" s="6" t="s">
        <v>103</v>
      </c>
      <c r="AF36" s="6" t="s">
        <v>103</v>
      </c>
      <c r="AG36" s="6" t="s">
        <v>363</v>
      </c>
      <c r="AH36" s="10" t="s">
        <v>53</v>
      </c>
      <c r="AI36" s="4" t="s">
        <v>369</v>
      </c>
      <c r="AJ36" s="4" t="s">
        <v>442</v>
      </c>
      <c r="AK36" s="11" t="s">
        <v>608</v>
      </c>
      <c r="AL36" s="5" t="s">
        <v>368</v>
      </c>
      <c r="AM36" s="11" t="s">
        <v>624</v>
      </c>
      <c r="AN36" s="11" t="s">
        <v>625</v>
      </c>
      <c r="AO36" s="11" t="s">
        <v>474</v>
      </c>
      <c r="AP36" s="35" t="s">
        <v>779</v>
      </c>
      <c r="AQ36" s="5" t="s">
        <v>75</v>
      </c>
      <c r="AR36" s="11" t="s">
        <v>54</v>
      </c>
      <c r="AS36" s="13" t="s">
        <v>39</v>
      </c>
      <c r="AT36" s="14"/>
      <c r="AU36" s="44"/>
      <c r="AV36" s="1"/>
      <c r="AW36" s="1"/>
      <c r="BD36" s="1"/>
    </row>
    <row r="37" spans="1:56"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t="s">
        <v>103</v>
      </c>
      <c r="M37" s="36" t="s">
        <v>313</v>
      </c>
      <c r="N37" s="34">
        <v>9</v>
      </c>
      <c r="O37" s="6" t="s">
        <v>103</v>
      </c>
      <c r="P37" s="34" t="s">
        <v>103</v>
      </c>
      <c r="Q37" s="6" t="s">
        <v>103</v>
      </c>
      <c r="R37" s="12">
        <f>Tableau1[[#This Row],[Loyer €/m²]]*Tableau1[[#This Row],[Surface GLA]]</f>
        <v>7200</v>
      </c>
      <c r="S37" s="6">
        <f>IFERROR(Tableau1[[#This Row],[Loyer annuel]]/12,"")</f>
        <v>600</v>
      </c>
      <c r="T37" s="12">
        <v>800</v>
      </c>
      <c r="U37" s="6" t="s">
        <v>103</v>
      </c>
      <c r="V37" s="6">
        <f>Tableau1[[#This Row],[Charges €/m²]]*Tableau1[[#This Row],[Surface GLA]]</f>
        <v>1980</v>
      </c>
      <c r="W37" s="12">
        <f>Tableau1[[#This Row],[Charges annuelles]]/12</f>
        <v>165</v>
      </c>
      <c r="X37" s="12">
        <v>220</v>
      </c>
      <c r="Y37" s="12">
        <f>IFERROR(Tableau1[[#This Row],[Taxe foncière €/m²]]*Tableau1[[#This Row],[Surface GLA]],)</f>
        <v>0</v>
      </c>
      <c r="Z37" s="6" t="s">
        <v>103</v>
      </c>
      <c r="AA37" s="6">
        <f>IFERROR(Tableau1[[#This Row],[Marketing €/m²]]*Tableau1[[#This Row],[Surface GLA]],)</f>
        <v>0</v>
      </c>
      <c r="AB37" s="6" t="s">
        <v>103</v>
      </c>
      <c r="AC37" s="12">
        <f>IFERROR(Tableau1[[#This Row],[Loyer annuel]]+Tableau1[[#This Row],[Charges annuelles]]+Tableau1[[#This Row],[Taxe foncière]]+Tableau1[[#This Row],[Marketing]],"")</f>
        <v>9180</v>
      </c>
      <c r="AD37" s="6" t="s">
        <v>103</v>
      </c>
      <c r="AE37" s="6" t="s">
        <v>103</v>
      </c>
      <c r="AF37" s="6" t="s">
        <v>103</v>
      </c>
      <c r="AG37" s="6" t="s">
        <v>363</v>
      </c>
      <c r="AH37" s="10" t="s">
        <v>53</v>
      </c>
      <c r="AI37" s="4" t="s">
        <v>369</v>
      </c>
      <c r="AJ37" s="4" t="s">
        <v>442</v>
      </c>
      <c r="AK37" s="11" t="s">
        <v>608</v>
      </c>
      <c r="AL37" s="5" t="s">
        <v>368</v>
      </c>
      <c r="AM37" s="11" t="s">
        <v>626</v>
      </c>
      <c r="AN37" s="11" t="s">
        <v>627</v>
      </c>
      <c r="AO37" s="32" t="s">
        <v>475</v>
      </c>
      <c r="AP37" s="35" t="s">
        <v>779</v>
      </c>
      <c r="AQ37" s="5" t="s">
        <v>75</v>
      </c>
      <c r="AR37" s="11" t="s">
        <v>54</v>
      </c>
      <c r="AS37" s="13" t="s">
        <v>39</v>
      </c>
      <c r="AT37" s="14"/>
      <c r="AU37" s="44"/>
      <c r="AV37" s="1"/>
      <c r="AW37" s="1"/>
      <c r="BD37" s="1"/>
    </row>
    <row r="38" spans="1:56"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t="s">
        <v>103</v>
      </c>
      <c r="M38" s="36" t="s">
        <v>314</v>
      </c>
      <c r="N38" s="34">
        <v>71</v>
      </c>
      <c r="O38" s="6" t="s">
        <v>103</v>
      </c>
      <c r="P38" s="34" t="s">
        <v>103</v>
      </c>
      <c r="Q38" s="6" t="s">
        <v>103</v>
      </c>
      <c r="R38" s="12">
        <f>Tableau1[[#This Row],[Loyer €/m²]]*Tableau1[[#This Row],[Surface GLA]]</f>
        <v>42600</v>
      </c>
      <c r="S38" s="6">
        <f>IFERROR(Tableau1[[#This Row],[Loyer annuel]]/12,"")</f>
        <v>3550</v>
      </c>
      <c r="T38" s="12">
        <v>600</v>
      </c>
      <c r="U38" s="6" t="s">
        <v>103</v>
      </c>
      <c r="V38" s="6">
        <f>Tableau1[[#This Row],[Charges €/m²]]*Tableau1[[#This Row],[Surface GLA]]</f>
        <v>15620</v>
      </c>
      <c r="W38" s="12">
        <f>Tableau1[[#This Row],[Charges annuelles]]/12</f>
        <v>1301.6666666666667</v>
      </c>
      <c r="X38" s="12">
        <v>220</v>
      </c>
      <c r="Y38" s="12">
        <f>IFERROR(Tableau1[[#This Row],[Taxe foncière €/m²]]*Tableau1[[#This Row],[Surface GLA]],)</f>
        <v>0</v>
      </c>
      <c r="Z38" s="6" t="s">
        <v>103</v>
      </c>
      <c r="AA38" s="6">
        <f>IFERROR(Tableau1[[#This Row],[Marketing €/m²]]*Tableau1[[#This Row],[Surface GLA]],)</f>
        <v>0</v>
      </c>
      <c r="AB38" s="6" t="s">
        <v>103</v>
      </c>
      <c r="AC38" s="12">
        <f>IFERROR(Tableau1[[#This Row],[Loyer annuel]]+Tableau1[[#This Row],[Charges annuelles]]+Tableau1[[#This Row],[Taxe foncière]]+Tableau1[[#This Row],[Marketing]],"")</f>
        <v>58220</v>
      </c>
      <c r="AD38" s="6" t="s">
        <v>103</v>
      </c>
      <c r="AE38" s="6" t="s">
        <v>103</v>
      </c>
      <c r="AF38" s="6" t="s">
        <v>103</v>
      </c>
      <c r="AG38" s="6" t="s">
        <v>363</v>
      </c>
      <c r="AH38" s="10" t="s">
        <v>53</v>
      </c>
      <c r="AI38" s="4" t="s">
        <v>369</v>
      </c>
      <c r="AJ38" s="4" t="s">
        <v>442</v>
      </c>
      <c r="AK38" s="11" t="s">
        <v>608</v>
      </c>
      <c r="AL38" s="5" t="s">
        <v>368</v>
      </c>
      <c r="AM38" s="11" t="s">
        <v>628</v>
      </c>
      <c r="AN38" s="11" t="s">
        <v>629</v>
      </c>
      <c r="AO38" s="11" t="s">
        <v>476</v>
      </c>
      <c r="AP38" s="35" t="s">
        <v>779</v>
      </c>
      <c r="AQ38" s="5" t="s">
        <v>75</v>
      </c>
      <c r="AR38" s="11" t="s">
        <v>54</v>
      </c>
      <c r="AS38" s="13" t="s">
        <v>39</v>
      </c>
      <c r="AT38" s="14"/>
      <c r="AU38" s="44"/>
      <c r="AV38" s="1"/>
      <c r="AW38" s="1"/>
      <c r="BD38" s="1"/>
    </row>
    <row r="39" spans="1:56"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t="s">
        <v>103</v>
      </c>
      <c r="M39" s="36" t="s">
        <v>315</v>
      </c>
      <c r="N39" s="34">
        <v>45</v>
      </c>
      <c r="O39" s="6" t="s">
        <v>103</v>
      </c>
      <c r="P39" s="34" t="s">
        <v>103</v>
      </c>
      <c r="Q39" s="6" t="s">
        <v>103</v>
      </c>
      <c r="R39" s="12">
        <f>Tableau1[[#This Row],[Loyer €/m²]]*Tableau1[[#This Row],[Surface GLA]]</f>
        <v>31500</v>
      </c>
      <c r="S39" s="6">
        <f>IFERROR(Tableau1[[#This Row],[Loyer annuel]]/12,"")</f>
        <v>2625</v>
      </c>
      <c r="T39" s="12">
        <v>700</v>
      </c>
      <c r="U39" s="6" t="s">
        <v>103</v>
      </c>
      <c r="V39" s="6">
        <f>Tableau1[[#This Row],[Charges €/m²]]*Tableau1[[#This Row],[Surface GLA]]</f>
        <v>9900</v>
      </c>
      <c r="W39" s="12">
        <f>Tableau1[[#This Row],[Charges annuelles]]/12</f>
        <v>825</v>
      </c>
      <c r="X39" s="12">
        <v>220</v>
      </c>
      <c r="Y39" s="12">
        <f>IFERROR(Tableau1[[#This Row],[Taxe foncière €/m²]]*Tableau1[[#This Row],[Surface GLA]],)</f>
        <v>0</v>
      </c>
      <c r="Z39" s="6" t="s">
        <v>103</v>
      </c>
      <c r="AA39" s="6">
        <f>IFERROR(Tableau1[[#This Row],[Marketing €/m²]]*Tableau1[[#This Row],[Surface GLA]],)</f>
        <v>0</v>
      </c>
      <c r="AB39" s="6" t="s">
        <v>103</v>
      </c>
      <c r="AC39" s="12">
        <f>IFERROR(Tableau1[[#This Row],[Loyer annuel]]+Tableau1[[#This Row],[Charges annuelles]]+Tableau1[[#This Row],[Taxe foncière]]+Tableau1[[#This Row],[Marketing]],"")</f>
        <v>41400</v>
      </c>
      <c r="AD39" s="6" t="s">
        <v>103</v>
      </c>
      <c r="AE39" s="6" t="s">
        <v>103</v>
      </c>
      <c r="AF39" s="6" t="s">
        <v>103</v>
      </c>
      <c r="AG39" s="6" t="s">
        <v>363</v>
      </c>
      <c r="AH39" s="10" t="s">
        <v>53</v>
      </c>
      <c r="AI39" s="4" t="s">
        <v>369</v>
      </c>
      <c r="AJ39" s="4" t="s">
        <v>442</v>
      </c>
      <c r="AK39" s="11" t="s">
        <v>608</v>
      </c>
      <c r="AL39" s="5" t="s">
        <v>368</v>
      </c>
      <c r="AM39" s="11" t="s">
        <v>630</v>
      </c>
      <c r="AN39" s="11" t="s">
        <v>631</v>
      </c>
      <c r="AO39" s="32" t="s">
        <v>613</v>
      </c>
      <c r="AP39" s="35" t="s">
        <v>779</v>
      </c>
      <c r="AQ39" s="5" t="s">
        <v>75</v>
      </c>
      <c r="AR39" s="11" t="s">
        <v>54</v>
      </c>
      <c r="AS39" s="13" t="s">
        <v>39</v>
      </c>
      <c r="AT39" s="14"/>
      <c r="AU39" s="44"/>
      <c r="AV39" s="1"/>
      <c r="AW39" s="1"/>
      <c r="BD39" s="1"/>
    </row>
    <row r="40" spans="1:56"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t="s">
        <v>103</v>
      </c>
      <c r="M40" s="35" t="s">
        <v>103</v>
      </c>
      <c r="N40" s="34">
        <v>238</v>
      </c>
      <c r="O40" s="6" t="s">
        <v>103</v>
      </c>
      <c r="P40" s="34">
        <v>200</v>
      </c>
      <c r="Q40" s="6" t="s">
        <v>103</v>
      </c>
      <c r="R40" s="12">
        <f>Tableau1[[#This Row],[Loyer €/m²]]*Tableau1[[#This Row],[Surface GLA]]</f>
        <v>71400</v>
      </c>
      <c r="S40" s="6">
        <f>IFERROR(Tableau1[[#This Row],[Loyer annuel]]/12,"")</f>
        <v>5950</v>
      </c>
      <c r="T40" s="12">
        <v>300</v>
      </c>
      <c r="U40" s="6" t="s">
        <v>103</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103</v>
      </c>
      <c r="AC40" s="6">
        <f>IFERROR(Tableau1[[#This Row],[Loyer annuel]]+Tableau1[[#This Row],[Charges annuelles]]+Tableau1[[#This Row],[Taxe foncière]]+Tableau1[[#This Row],[Marketing]],"")</f>
        <v>97342</v>
      </c>
      <c r="AD40" s="6" t="s">
        <v>103</v>
      </c>
      <c r="AE40" s="6" t="s">
        <v>103</v>
      </c>
      <c r="AF40" s="6" t="s">
        <v>103</v>
      </c>
      <c r="AG40" s="6" t="s">
        <v>382</v>
      </c>
      <c r="AH40" s="10" t="s">
        <v>75</v>
      </c>
      <c r="AI40" s="4" t="s">
        <v>370</v>
      </c>
      <c r="AJ40" s="4" t="s">
        <v>384</v>
      </c>
      <c r="AK40" s="5" t="s">
        <v>383</v>
      </c>
      <c r="AL40" s="5" t="s">
        <v>368</v>
      </c>
      <c r="AM40" s="5" t="s">
        <v>632</v>
      </c>
      <c r="AN40" s="5" t="s">
        <v>633</v>
      </c>
      <c r="AO40" s="32" t="s">
        <v>477</v>
      </c>
      <c r="AP40" s="35" t="s">
        <v>780</v>
      </c>
      <c r="AQ40" s="5" t="s">
        <v>75</v>
      </c>
      <c r="AR40" s="11" t="s">
        <v>381</v>
      </c>
      <c r="AS40" s="13" t="s">
        <v>31</v>
      </c>
      <c r="AT40" s="14"/>
      <c r="AU40" s="44"/>
      <c r="AV40" s="1"/>
      <c r="AW40" s="1"/>
      <c r="BD40" s="1"/>
    </row>
    <row r="41" spans="1:56"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t="s">
        <v>103</v>
      </c>
      <c r="M41" s="35" t="s">
        <v>316</v>
      </c>
      <c r="N41" s="33">
        <v>168</v>
      </c>
      <c r="O41" s="6" t="s">
        <v>317</v>
      </c>
      <c r="P41" s="34">
        <v>156</v>
      </c>
      <c r="Q41" s="6" t="s">
        <v>318</v>
      </c>
      <c r="R41" s="12">
        <f>Tableau1[[#This Row],[Loyer €/m²]]*Tableau1[[#This Row],[Surface GLA]]</f>
        <v>42000</v>
      </c>
      <c r="S41" s="6">
        <f>IFERROR(Tableau1[[#This Row],[Loyer annuel]]/12,"")</f>
        <v>3500</v>
      </c>
      <c r="T41" s="6">
        <v>250</v>
      </c>
      <c r="U41" s="6" t="s">
        <v>103</v>
      </c>
      <c r="V41" s="6">
        <f>Tableau1[[#This Row],[Charges €/m²]]*Tableau1[[#This Row],[Surface GLA]]</f>
        <v>5880</v>
      </c>
      <c r="W41" s="6">
        <f>IFERROR(Tableau1[[#This Row],[Charges annuelles]]/12,"")</f>
        <v>490</v>
      </c>
      <c r="X41" s="6">
        <v>35</v>
      </c>
      <c r="Y41" s="6">
        <f>IFERROR(Tableau1[[#This Row],[Taxe foncière €/m²]]*Tableau1[[#This Row],[Surface GLA]],)</f>
        <v>0</v>
      </c>
      <c r="Z41" s="6" t="s">
        <v>103</v>
      </c>
      <c r="AA41" s="6">
        <f>IFERROR(Tableau1[[#This Row],[Marketing €/m²]]*Tableau1[[#This Row],[Surface GLA]],)</f>
        <v>0</v>
      </c>
      <c r="AB41" s="6" t="s">
        <v>103</v>
      </c>
      <c r="AC41" s="6">
        <f>IFERROR(Tableau1[[#This Row],[Loyer annuel]]+Tableau1[[#This Row],[Charges annuelles]]+Tableau1[[#This Row],[Taxe foncière]]+Tableau1[[#This Row],[Marketing]],"")</f>
        <v>47880</v>
      </c>
      <c r="AD41" s="6" t="s">
        <v>103</v>
      </c>
      <c r="AE41" s="6" t="s">
        <v>103</v>
      </c>
      <c r="AF41" s="6" t="s">
        <v>103</v>
      </c>
      <c r="AG41" s="6" t="s">
        <v>363</v>
      </c>
      <c r="AH41" s="10" t="s">
        <v>75</v>
      </c>
      <c r="AI41" s="4" t="s">
        <v>370</v>
      </c>
      <c r="AJ41" s="4" t="s">
        <v>385</v>
      </c>
      <c r="AK41" s="5" t="s">
        <v>386</v>
      </c>
      <c r="AL41" s="5" t="s">
        <v>368</v>
      </c>
      <c r="AM41" s="5" t="s">
        <v>634</v>
      </c>
      <c r="AN41" s="5" t="s">
        <v>635</v>
      </c>
      <c r="AO41" s="32" t="s">
        <v>478</v>
      </c>
      <c r="AP41" s="35" t="s">
        <v>781</v>
      </c>
      <c r="AQ41" s="5" t="s">
        <v>75</v>
      </c>
      <c r="AR41" s="5" t="s">
        <v>29</v>
      </c>
      <c r="AS41" s="7" t="s">
        <v>18</v>
      </c>
      <c r="AT41" s="9"/>
      <c r="AU41" s="44"/>
      <c r="AV41" s="1"/>
      <c r="AW41" s="1"/>
      <c r="BD41" s="1"/>
    </row>
    <row r="42" spans="1:56"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t="s">
        <v>103</v>
      </c>
      <c r="M42" s="36" t="s">
        <v>308</v>
      </c>
      <c r="N42" s="34">
        <v>87</v>
      </c>
      <c r="O42" s="12"/>
      <c r="P42" s="34">
        <v>82</v>
      </c>
      <c r="Q42" s="12"/>
      <c r="R42" s="12">
        <f>Tableau1[[#This Row],[Loyer €/m²]]*Tableau1[[#This Row],[Surface GLA]]</f>
        <v>17400</v>
      </c>
      <c r="S42" s="6">
        <f>IFERROR(Tableau1[[#This Row],[Loyer annuel]]/12,"")</f>
        <v>1450</v>
      </c>
      <c r="T42" s="6">
        <v>200</v>
      </c>
      <c r="U42" s="6" t="s">
        <v>103</v>
      </c>
      <c r="V42" s="6">
        <f>Tableau1[[#This Row],[Charges €/m²]]*Tableau1[[#This Row],[Surface GLA]]</f>
        <v>3045</v>
      </c>
      <c r="W42" s="6">
        <f>IFERROR(Tableau1[[#This Row],[Charges annuelles]]/12,"")</f>
        <v>253.75</v>
      </c>
      <c r="X42" s="6">
        <v>35</v>
      </c>
      <c r="Y42" s="12">
        <f>IFERROR(Tableau1[[#This Row],[Taxe foncière €/m²]]*Tableau1[[#This Row],[Surface GLA]],)</f>
        <v>0</v>
      </c>
      <c r="Z42" s="6" t="s">
        <v>103</v>
      </c>
      <c r="AA42" s="12">
        <f>IFERROR(Tableau1[[#This Row],[Marketing €/m²]]*Tableau1[[#This Row],[Surface GLA]],)</f>
        <v>0</v>
      </c>
      <c r="AB42" s="6" t="s">
        <v>103</v>
      </c>
      <c r="AC42" s="12">
        <f>IFERROR(Tableau1[[#This Row],[Loyer annuel]]+Tableau1[[#This Row],[Charges annuelles]]+Tableau1[[#This Row],[Taxe foncière]]+Tableau1[[#This Row],[Marketing]],"")</f>
        <v>20445</v>
      </c>
      <c r="AD42" s="6" t="s">
        <v>103</v>
      </c>
      <c r="AE42" s="6" t="s">
        <v>103</v>
      </c>
      <c r="AF42" s="6" t="s">
        <v>103</v>
      </c>
      <c r="AG42" s="6" t="s">
        <v>363</v>
      </c>
      <c r="AH42" s="10" t="s">
        <v>377</v>
      </c>
      <c r="AI42" s="4" t="s">
        <v>370</v>
      </c>
      <c r="AJ42" s="4" t="s">
        <v>385</v>
      </c>
      <c r="AK42" s="5" t="s">
        <v>386</v>
      </c>
      <c r="AL42" s="5" t="s">
        <v>368</v>
      </c>
      <c r="AM42" s="11" t="s">
        <v>636</v>
      </c>
      <c r="AN42" s="11" t="s">
        <v>637</v>
      </c>
      <c r="AO42" s="32" t="s">
        <v>479</v>
      </c>
      <c r="AP42" s="35" t="s">
        <v>782</v>
      </c>
      <c r="AQ42" s="5" t="s">
        <v>75</v>
      </c>
      <c r="AR42" s="5" t="s">
        <v>29</v>
      </c>
      <c r="AS42" s="7" t="s">
        <v>18</v>
      </c>
      <c r="AT42" s="14"/>
      <c r="AU42" s="44"/>
      <c r="AV42" s="1"/>
      <c r="AW42" s="1"/>
      <c r="BD42" s="1"/>
    </row>
    <row r="43" spans="1:56"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t="s">
        <v>103</v>
      </c>
      <c r="M43" s="36" t="s">
        <v>319</v>
      </c>
      <c r="N43" s="34">
        <v>197</v>
      </c>
      <c r="O43" s="12"/>
      <c r="P43" s="34">
        <v>182</v>
      </c>
      <c r="Q43" s="12"/>
      <c r="R43" s="12">
        <f>Tableau1[[#This Row],[Loyer €/m²]]*Tableau1[[#This Row],[Surface GLA]]</f>
        <v>39400</v>
      </c>
      <c r="S43" s="6">
        <f>IFERROR(Tableau1[[#This Row],[Loyer annuel]]/12,"")</f>
        <v>3283.3333333333335</v>
      </c>
      <c r="T43" s="6">
        <v>200</v>
      </c>
      <c r="U43" s="6" t="s">
        <v>103</v>
      </c>
      <c r="V43" s="6">
        <f>Tableau1[[#This Row],[Charges €/m²]]*Tableau1[[#This Row],[Surface GLA]]</f>
        <v>6895</v>
      </c>
      <c r="W43" s="6">
        <f>IFERROR(Tableau1[[#This Row],[Charges annuelles]]/12,"")</f>
        <v>574.58333333333337</v>
      </c>
      <c r="X43" s="6">
        <v>35</v>
      </c>
      <c r="Y43" s="12">
        <f>IFERROR(Tableau1[[#This Row],[Taxe foncière €/m²]]*Tableau1[[#This Row],[Surface GLA]],)</f>
        <v>0</v>
      </c>
      <c r="Z43" s="6" t="s">
        <v>103</v>
      </c>
      <c r="AA43" s="12">
        <f>IFERROR(Tableau1[[#This Row],[Marketing €/m²]]*Tableau1[[#This Row],[Surface GLA]],)</f>
        <v>0</v>
      </c>
      <c r="AB43" s="6" t="s">
        <v>103</v>
      </c>
      <c r="AC43" s="12">
        <f>IFERROR(Tableau1[[#This Row],[Loyer annuel]]+Tableau1[[#This Row],[Charges annuelles]]+Tableau1[[#This Row],[Taxe foncière]]+Tableau1[[#This Row],[Marketing]],"")</f>
        <v>46295</v>
      </c>
      <c r="AD43" s="6" t="s">
        <v>103</v>
      </c>
      <c r="AE43" s="6" t="s">
        <v>103</v>
      </c>
      <c r="AF43" s="6" t="s">
        <v>103</v>
      </c>
      <c r="AG43" s="6" t="s">
        <v>363</v>
      </c>
      <c r="AH43" s="10" t="s">
        <v>377</v>
      </c>
      <c r="AI43" s="4" t="s">
        <v>370</v>
      </c>
      <c r="AJ43" s="4" t="s">
        <v>385</v>
      </c>
      <c r="AK43" s="5" t="s">
        <v>386</v>
      </c>
      <c r="AL43" s="5" t="s">
        <v>368</v>
      </c>
      <c r="AM43" s="11" t="s">
        <v>638</v>
      </c>
      <c r="AN43" s="11" t="s">
        <v>639</v>
      </c>
      <c r="AO43" s="32" t="s">
        <v>480</v>
      </c>
      <c r="AP43" s="35" t="s">
        <v>783</v>
      </c>
      <c r="AQ43" s="5" t="s">
        <v>75</v>
      </c>
      <c r="AR43" s="5" t="s">
        <v>29</v>
      </c>
      <c r="AS43" s="7" t="s">
        <v>18</v>
      </c>
      <c r="AT43" s="14"/>
      <c r="AU43" s="44"/>
      <c r="AV43" s="1"/>
      <c r="AW43" s="1"/>
      <c r="BD43" s="1"/>
    </row>
    <row r="44" spans="1:56"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t="s">
        <v>103</v>
      </c>
      <c r="M44" s="36" t="s">
        <v>320</v>
      </c>
      <c r="N44" s="34">
        <v>576</v>
      </c>
      <c r="O44" s="12"/>
      <c r="P44" s="34">
        <v>543</v>
      </c>
      <c r="Q44" s="12"/>
      <c r="R44" s="12">
        <f>Tableau1[[#This Row],[Loyer €/m²]]*Tableau1[[#This Row],[Surface GLA]]</f>
        <v>115200</v>
      </c>
      <c r="S44" s="6">
        <f>IFERROR(Tableau1[[#This Row],[Loyer annuel]]/12,"")</f>
        <v>9600</v>
      </c>
      <c r="T44" s="6">
        <v>200</v>
      </c>
      <c r="U44" s="6" t="s">
        <v>103</v>
      </c>
      <c r="V44" s="6">
        <f>Tableau1[[#This Row],[Charges €/m²]]*Tableau1[[#This Row],[Surface GLA]]</f>
        <v>20160</v>
      </c>
      <c r="W44" s="6">
        <f>IFERROR(Tableau1[[#This Row],[Charges annuelles]]/12,"")</f>
        <v>1680</v>
      </c>
      <c r="X44" s="6">
        <v>35</v>
      </c>
      <c r="Y44" s="12">
        <f>IFERROR(Tableau1[[#This Row],[Taxe foncière €/m²]]*Tableau1[[#This Row],[Surface GLA]],)</f>
        <v>0</v>
      </c>
      <c r="Z44" s="6" t="s">
        <v>103</v>
      </c>
      <c r="AA44" s="12">
        <f>IFERROR(Tableau1[[#This Row],[Marketing €/m²]]*Tableau1[[#This Row],[Surface GLA]],)</f>
        <v>0</v>
      </c>
      <c r="AB44" s="6" t="s">
        <v>103</v>
      </c>
      <c r="AC44" s="12">
        <f>IFERROR(Tableau1[[#This Row],[Loyer annuel]]+Tableau1[[#This Row],[Charges annuelles]]+Tableau1[[#This Row],[Taxe foncière]]+Tableau1[[#This Row],[Marketing]],"")</f>
        <v>135360</v>
      </c>
      <c r="AD44" s="6" t="s">
        <v>103</v>
      </c>
      <c r="AE44" s="6" t="s">
        <v>103</v>
      </c>
      <c r="AF44" s="6" t="s">
        <v>103</v>
      </c>
      <c r="AG44" s="6" t="s">
        <v>363</v>
      </c>
      <c r="AH44" s="10" t="s">
        <v>75</v>
      </c>
      <c r="AI44" s="4" t="s">
        <v>370</v>
      </c>
      <c r="AJ44" s="4" t="s">
        <v>385</v>
      </c>
      <c r="AK44" s="5" t="s">
        <v>386</v>
      </c>
      <c r="AL44" s="5" t="s">
        <v>368</v>
      </c>
      <c r="AM44" s="11" t="s">
        <v>640</v>
      </c>
      <c r="AN44" s="11" t="s">
        <v>641</v>
      </c>
      <c r="AO44" s="32" t="s">
        <v>481</v>
      </c>
      <c r="AP44" s="35" t="s">
        <v>784</v>
      </c>
      <c r="AQ44" s="5" t="s">
        <v>75</v>
      </c>
      <c r="AR44" s="5" t="s">
        <v>29</v>
      </c>
      <c r="AS44" s="7" t="s">
        <v>18</v>
      </c>
      <c r="AT44" s="14"/>
      <c r="AU44" s="44"/>
      <c r="AV44" s="1"/>
      <c r="AW44" s="1"/>
      <c r="BD44" s="1"/>
    </row>
    <row r="45" spans="1:56"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t="s">
        <v>103</v>
      </c>
      <c r="M45" s="36" t="s">
        <v>321</v>
      </c>
      <c r="N45" s="34">
        <v>237</v>
      </c>
      <c r="O45" s="12" t="s">
        <v>323</v>
      </c>
      <c r="P45" s="34">
        <v>221</v>
      </c>
      <c r="Q45" s="12" t="s">
        <v>324</v>
      </c>
      <c r="R45" s="12">
        <f>Tableau1[[#This Row],[Loyer €/m²]]*Tableau1[[#This Row],[Surface GLA]]</f>
        <v>47400</v>
      </c>
      <c r="S45" s="6">
        <f>IFERROR(Tableau1[[#This Row],[Loyer annuel]]/12,"")</f>
        <v>3950</v>
      </c>
      <c r="T45" s="6">
        <v>200</v>
      </c>
      <c r="U45" s="6" t="s">
        <v>103</v>
      </c>
      <c r="V45" s="6">
        <f>Tableau1[[#This Row],[Charges €/m²]]*Tableau1[[#This Row],[Surface GLA]]</f>
        <v>8295</v>
      </c>
      <c r="W45" s="6">
        <f>IFERROR(Tableau1[[#This Row],[Charges annuelles]]/12,"")</f>
        <v>691.25</v>
      </c>
      <c r="X45" s="6">
        <v>35</v>
      </c>
      <c r="Y45" s="12">
        <f>IFERROR(Tableau1[[#This Row],[Taxe foncière €/m²]]*Tableau1[[#This Row],[Surface GLA]],)</f>
        <v>0</v>
      </c>
      <c r="Z45" s="6" t="s">
        <v>103</v>
      </c>
      <c r="AA45" s="12">
        <f>IFERROR(Tableau1[[#This Row],[Marketing €/m²]]*Tableau1[[#This Row],[Surface GLA]],)</f>
        <v>0</v>
      </c>
      <c r="AB45" s="6" t="s">
        <v>103</v>
      </c>
      <c r="AC45" s="12">
        <f>IFERROR(Tableau1[[#This Row],[Loyer annuel]]+Tableau1[[#This Row],[Charges annuelles]]+Tableau1[[#This Row],[Taxe foncière]]+Tableau1[[#This Row],[Marketing]],"")</f>
        <v>55695</v>
      </c>
      <c r="AD45" s="6" t="s">
        <v>103</v>
      </c>
      <c r="AE45" s="6" t="s">
        <v>103</v>
      </c>
      <c r="AF45" s="6" t="s">
        <v>103</v>
      </c>
      <c r="AG45" s="6" t="s">
        <v>363</v>
      </c>
      <c r="AH45" s="10" t="s">
        <v>75</v>
      </c>
      <c r="AI45" s="4" t="s">
        <v>370</v>
      </c>
      <c r="AJ45" s="4" t="s">
        <v>385</v>
      </c>
      <c r="AK45" s="5" t="s">
        <v>386</v>
      </c>
      <c r="AL45" s="5" t="s">
        <v>368</v>
      </c>
      <c r="AM45" s="11" t="s">
        <v>642</v>
      </c>
      <c r="AN45" s="11" t="s">
        <v>643</v>
      </c>
      <c r="AO45" s="32" t="s">
        <v>482</v>
      </c>
      <c r="AP45" s="35" t="s">
        <v>785</v>
      </c>
      <c r="AQ45" s="5" t="s">
        <v>75</v>
      </c>
      <c r="AR45" s="5" t="s">
        <v>29</v>
      </c>
      <c r="AS45" s="7" t="s">
        <v>18</v>
      </c>
      <c r="AT45" s="14"/>
      <c r="AU45" s="44"/>
      <c r="AV45" s="1"/>
      <c r="AW45" s="1"/>
      <c r="BD45" s="1"/>
    </row>
    <row r="46" spans="1:56"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t="s">
        <v>103</v>
      </c>
      <c r="M46" s="36" t="s">
        <v>322</v>
      </c>
      <c r="N46" s="34">
        <v>236</v>
      </c>
      <c r="O46" s="12" t="s">
        <v>325</v>
      </c>
      <c r="P46" s="34">
        <v>218</v>
      </c>
      <c r="Q46" s="12" t="s">
        <v>326</v>
      </c>
      <c r="R46" s="12">
        <f>Tableau1[[#This Row],[Loyer €/m²]]*Tableau1[[#This Row],[Surface GLA]]</f>
        <v>47200</v>
      </c>
      <c r="S46" s="6">
        <f>IFERROR(Tableau1[[#This Row],[Loyer annuel]]/12,"")</f>
        <v>3933.3333333333335</v>
      </c>
      <c r="T46" s="6">
        <v>200</v>
      </c>
      <c r="U46" s="6" t="s">
        <v>103</v>
      </c>
      <c r="V46" s="6">
        <f>Tableau1[[#This Row],[Charges €/m²]]*Tableau1[[#This Row],[Surface GLA]]</f>
        <v>8260</v>
      </c>
      <c r="W46" s="6">
        <f>IFERROR(Tableau1[[#This Row],[Charges annuelles]]/12,"")</f>
        <v>688.33333333333337</v>
      </c>
      <c r="X46" s="6">
        <v>35</v>
      </c>
      <c r="Y46" s="12">
        <f>IFERROR(Tableau1[[#This Row],[Taxe foncière €/m²]]*Tableau1[[#This Row],[Surface GLA]],)</f>
        <v>0</v>
      </c>
      <c r="Z46" s="6" t="s">
        <v>103</v>
      </c>
      <c r="AA46" s="12">
        <f>IFERROR(Tableau1[[#This Row],[Marketing €/m²]]*Tableau1[[#This Row],[Surface GLA]],)</f>
        <v>0</v>
      </c>
      <c r="AB46" s="6" t="s">
        <v>103</v>
      </c>
      <c r="AC46" s="12">
        <f>IFERROR(Tableau1[[#This Row],[Loyer annuel]]+Tableau1[[#This Row],[Charges annuelles]]+Tableau1[[#This Row],[Taxe foncière]]+Tableau1[[#This Row],[Marketing]],"")</f>
        <v>55460</v>
      </c>
      <c r="AD46" s="6" t="s">
        <v>103</v>
      </c>
      <c r="AE46" s="6" t="s">
        <v>103</v>
      </c>
      <c r="AF46" s="6" t="s">
        <v>103</v>
      </c>
      <c r="AG46" s="6" t="s">
        <v>363</v>
      </c>
      <c r="AH46" s="10" t="s">
        <v>75</v>
      </c>
      <c r="AI46" s="4" t="s">
        <v>370</v>
      </c>
      <c r="AJ46" s="4" t="s">
        <v>385</v>
      </c>
      <c r="AK46" s="5" t="s">
        <v>386</v>
      </c>
      <c r="AL46" s="5" t="s">
        <v>368</v>
      </c>
      <c r="AM46" s="11" t="s">
        <v>644</v>
      </c>
      <c r="AN46" s="11" t="s">
        <v>645</v>
      </c>
      <c r="AO46" s="32" t="s">
        <v>483</v>
      </c>
      <c r="AP46" s="35" t="s">
        <v>786</v>
      </c>
      <c r="AQ46" s="11" t="s">
        <v>53</v>
      </c>
      <c r="AR46" s="5" t="s">
        <v>29</v>
      </c>
      <c r="AS46" s="7" t="s">
        <v>18</v>
      </c>
      <c r="AT46" s="14"/>
      <c r="AU46" s="44"/>
      <c r="AV46" s="1"/>
      <c r="AW46" s="1"/>
      <c r="BD46" s="1"/>
    </row>
    <row r="47" spans="1:56"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t="s">
        <v>103</v>
      </c>
      <c r="M47" s="35" t="s">
        <v>103</v>
      </c>
      <c r="N47" s="33">
        <v>370</v>
      </c>
      <c r="O47" s="4" t="s">
        <v>265</v>
      </c>
      <c r="P47" s="34" t="s">
        <v>103</v>
      </c>
      <c r="Q47" s="6" t="s">
        <v>103</v>
      </c>
      <c r="R47" s="12">
        <f>Tableau1[[#This Row],[Loyer €/m²]]*Tableau1[[#This Row],[Surface GLA]]</f>
        <v>74000</v>
      </c>
      <c r="S47" s="6">
        <f>IFERROR(Tableau1[[#This Row],[Loyer annuel]]/12,"")</f>
        <v>6166.666666666667</v>
      </c>
      <c r="T47" s="6">
        <v>200</v>
      </c>
      <c r="U47" s="6" t="s">
        <v>103</v>
      </c>
      <c r="V47" s="6">
        <f>Tableau1[[#This Row],[Charges €/m²]]*Tableau1[[#This Row],[Surface GLA]]</f>
        <v>22200</v>
      </c>
      <c r="W47" s="6">
        <f>IFERROR(Tableau1[[#This Row],[Charges annuelles]]/12,"")</f>
        <v>1850</v>
      </c>
      <c r="X47" s="6">
        <v>60</v>
      </c>
      <c r="Y47" s="6">
        <f>IFERROR(Tableau1[[#This Row],[Taxe foncière €/m²]]*Tableau1[[#This Row],[Surface GLA]],)</f>
        <v>0</v>
      </c>
      <c r="Z47" s="6" t="s">
        <v>103</v>
      </c>
      <c r="AA47" s="6">
        <f>IFERROR(Tableau1[[#This Row],[Marketing €/m²]]*Tableau1[[#This Row],[Surface GLA]],)</f>
        <v>0</v>
      </c>
      <c r="AB47" s="6" t="s">
        <v>103</v>
      </c>
      <c r="AC47" s="6">
        <f>IFERROR(Tableau1[[#This Row],[Loyer annuel]]+Tableau1[[#This Row],[Charges annuelles]]+Tableau1[[#This Row],[Taxe foncière]]+Tableau1[[#This Row],[Marketing]],"")</f>
        <v>96200</v>
      </c>
      <c r="AD47" s="6" t="s">
        <v>103</v>
      </c>
      <c r="AE47" s="6" t="s">
        <v>103</v>
      </c>
      <c r="AF47" s="6" t="s">
        <v>103</v>
      </c>
      <c r="AG47" s="6" t="s">
        <v>363</v>
      </c>
      <c r="AH47" s="10" t="s">
        <v>53</v>
      </c>
      <c r="AI47" s="4" t="s">
        <v>369</v>
      </c>
      <c r="AJ47" s="4" t="s">
        <v>389</v>
      </c>
      <c r="AK47" s="5" t="s">
        <v>387</v>
      </c>
      <c r="AL47" s="5" t="s">
        <v>368</v>
      </c>
      <c r="AM47" s="5" t="s">
        <v>646</v>
      </c>
      <c r="AN47" s="5" t="s">
        <v>647</v>
      </c>
      <c r="AO47" s="32" t="s">
        <v>484</v>
      </c>
      <c r="AP47" s="35" t="s">
        <v>787</v>
      </c>
      <c r="AQ47" s="5" t="s">
        <v>75</v>
      </c>
      <c r="AR47" s="5" t="s">
        <v>26</v>
      </c>
      <c r="AS47" s="7" t="s">
        <v>18</v>
      </c>
      <c r="AT47" s="8"/>
      <c r="AU47" s="44"/>
      <c r="AV47" s="1"/>
      <c r="AW47" s="1"/>
      <c r="BD47" s="1"/>
    </row>
    <row r="48" spans="1:56"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t="s">
        <v>103</v>
      </c>
      <c r="M48" s="35" t="s">
        <v>103</v>
      </c>
      <c r="N48" s="33">
        <v>486</v>
      </c>
      <c r="O48" s="10" t="s">
        <v>266</v>
      </c>
      <c r="P48" s="34" t="s">
        <v>103</v>
      </c>
      <c r="Q48" s="6" t="s">
        <v>103</v>
      </c>
      <c r="R48" s="12">
        <f>Tableau1[[#This Row],[Loyer €/m²]]*Tableau1[[#This Row],[Surface GLA]]</f>
        <v>97200</v>
      </c>
      <c r="S48" s="6">
        <f>IFERROR(Tableau1[[#This Row],[Loyer annuel]]/12,"")</f>
        <v>8100</v>
      </c>
      <c r="T48" s="12">
        <v>200</v>
      </c>
      <c r="U48" s="6" t="s">
        <v>103</v>
      </c>
      <c r="V48" s="6">
        <f>Tableau1[[#This Row],[Charges €/m²]]*Tableau1[[#This Row],[Surface GLA]]</f>
        <v>29646</v>
      </c>
      <c r="W48" s="6">
        <f>IFERROR(Tableau1[[#This Row],[Charges annuelles]]/12,"")</f>
        <v>2470.5</v>
      </c>
      <c r="X48" s="12">
        <v>61</v>
      </c>
      <c r="Y48" s="12">
        <f>IFERROR(Tableau1[[#This Row],[Taxe foncière €/m²]]*Tableau1[[#This Row],[Surface GLA]],)</f>
        <v>0</v>
      </c>
      <c r="Z48" s="6" t="s">
        <v>103</v>
      </c>
      <c r="AA48" s="6">
        <f>IFERROR(Tableau1[[#This Row],[Marketing €/m²]]*Tableau1[[#This Row],[Surface GLA]],)</f>
        <v>0</v>
      </c>
      <c r="AB48" s="6" t="s">
        <v>103</v>
      </c>
      <c r="AC48" s="6">
        <f>IFERROR(Tableau1[[#This Row],[Loyer annuel]]+Tableau1[[#This Row],[Charges annuelles]]+Tableau1[[#This Row],[Taxe foncière]]+Tableau1[[#This Row],[Marketing]],"")</f>
        <v>126846</v>
      </c>
      <c r="AD48" s="6" t="s">
        <v>103</v>
      </c>
      <c r="AE48" s="6" t="s">
        <v>103</v>
      </c>
      <c r="AF48" s="6" t="s">
        <v>103</v>
      </c>
      <c r="AG48" s="6" t="s">
        <v>363</v>
      </c>
      <c r="AH48" s="10" t="s">
        <v>53</v>
      </c>
      <c r="AI48" s="4" t="s">
        <v>369</v>
      </c>
      <c r="AJ48" s="4" t="s">
        <v>389</v>
      </c>
      <c r="AK48" s="11" t="s">
        <v>388</v>
      </c>
      <c r="AL48" s="5" t="s">
        <v>368</v>
      </c>
      <c r="AM48" s="11" t="s">
        <v>648</v>
      </c>
      <c r="AN48" s="11" t="s">
        <v>649</v>
      </c>
      <c r="AO48" s="32" t="s">
        <v>485</v>
      </c>
      <c r="AP48" s="35" t="s">
        <v>788</v>
      </c>
      <c r="AQ48" s="5" t="s">
        <v>75</v>
      </c>
      <c r="AR48" s="11" t="s">
        <v>27</v>
      </c>
      <c r="AS48" s="7" t="s">
        <v>18</v>
      </c>
      <c r="AT48" s="14"/>
      <c r="AU48" s="44"/>
      <c r="AV48" s="1"/>
      <c r="AW48" s="1"/>
      <c r="BD48" s="1"/>
    </row>
    <row r="49" spans="1:56"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t="s">
        <v>103</v>
      </c>
      <c r="M49" s="35" t="s">
        <v>103</v>
      </c>
      <c r="N49" s="33">
        <v>681</v>
      </c>
      <c r="O49" s="10" t="s">
        <v>267</v>
      </c>
      <c r="P49" s="34" t="s">
        <v>103</v>
      </c>
      <c r="Q49" s="6" t="s">
        <v>103</v>
      </c>
      <c r="R49" s="12">
        <f>Tableau1[[#This Row],[Loyer €/m²]]*Tableau1[[#This Row],[Surface GLA]]</f>
        <v>633330</v>
      </c>
      <c r="S49" s="6">
        <f>IFERROR(Tableau1[[#This Row],[Loyer annuel]]/12,"")</f>
        <v>52777.5</v>
      </c>
      <c r="T49" s="12">
        <v>930</v>
      </c>
      <c r="U49" s="6" t="s">
        <v>103</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103</v>
      </c>
      <c r="AC49" s="6">
        <f>IFERROR(Tableau1[[#This Row],[Loyer annuel]]+Tableau1[[#This Row],[Charges annuelles]]+Tableau1[[#This Row],[Taxe foncière]]+Tableau1[[#This Row],[Marketing]],"")</f>
        <v>724584</v>
      </c>
      <c r="AD49" s="6" t="s">
        <v>103</v>
      </c>
      <c r="AE49" s="6" t="s">
        <v>103</v>
      </c>
      <c r="AF49" s="6" t="s">
        <v>103</v>
      </c>
      <c r="AG49" s="6" t="s">
        <v>382</v>
      </c>
      <c r="AH49" s="10" t="s">
        <v>53</v>
      </c>
      <c r="AI49" s="4" t="s">
        <v>103</v>
      </c>
      <c r="AJ49" s="4" t="s">
        <v>390</v>
      </c>
      <c r="AK49" s="11" t="s">
        <v>391</v>
      </c>
      <c r="AL49" s="5" t="s">
        <v>368</v>
      </c>
      <c r="AM49" s="11" t="s">
        <v>650</v>
      </c>
      <c r="AN49" s="11" t="s">
        <v>651</v>
      </c>
      <c r="AO49" s="32" t="s">
        <v>486</v>
      </c>
      <c r="AP49" s="35" t="s">
        <v>789</v>
      </c>
      <c r="AQ49" s="5" t="s">
        <v>75</v>
      </c>
      <c r="AR49" s="11" t="s">
        <v>378</v>
      </c>
      <c r="AS49" s="13" t="s">
        <v>31</v>
      </c>
      <c r="AT49" s="14"/>
      <c r="AU49" s="44"/>
      <c r="AV49" s="1"/>
      <c r="AW49" s="1"/>
      <c r="BD49" s="1"/>
    </row>
    <row r="50" spans="1:56"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t="s">
        <v>103</v>
      </c>
      <c r="M50" s="35" t="s">
        <v>103</v>
      </c>
      <c r="N50" s="34">
        <v>672</v>
      </c>
      <c r="O50" s="6" t="s">
        <v>66</v>
      </c>
      <c r="P50" s="34" t="s">
        <v>103</v>
      </c>
      <c r="Q50" s="6" t="s">
        <v>103</v>
      </c>
      <c r="R50" s="12">
        <f>Tableau1[[#This Row],[Loyer €/m²]]*Tableau1[[#This Row],[Surface GLA]]</f>
        <v>201600</v>
      </c>
      <c r="S50" s="6">
        <f>IFERROR(Tableau1[[#This Row],[Loyer annuel]]/12,"")</f>
        <v>16800</v>
      </c>
      <c r="T50" s="12">
        <v>300</v>
      </c>
      <c r="U50" s="6" t="s">
        <v>103</v>
      </c>
      <c r="V50" s="12" t="s">
        <v>392</v>
      </c>
      <c r="W50" s="12" t="s">
        <v>392</v>
      </c>
      <c r="X50" s="12" t="s">
        <v>392</v>
      </c>
      <c r="Y50" s="12" t="s">
        <v>392</v>
      </c>
      <c r="Z50" s="6" t="s">
        <v>392</v>
      </c>
      <c r="AA50" s="6">
        <f>IFERROR(Tableau1[[#This Row],[Marketing €/m²]]*Tableau1[[#This Row],[Surface GLA]],)</f>
        <v>0</v>
      </c>
      <c r="AB50" s="6" t="s">
        <v>103</v>
      </c>
      <c r="AC50" s="6" t="str">
        <f>IFERROR(Tableau1[[#This Row],[Loyer annuel]]+Tableau1[[#This Row],[Charges annuelles]]+Tableau1[[#This Row],[Taxe foncière]]+Tableau1[[#This Row],[Marketing]],"")</f>
        <v/>
      </c>
      <c r="AD50" s="6" t="s">
        <v>103</v>
      </c>
      <c r="AE50" s="6" t="s">
        <v>103</v>
      </c>
      <c r="AF50" s="6" t="s">
        <v>103</v>
      </c>
      <c r="AG50" s="6" t="s">
        <v>363</v>
      </c>
      <c r="AH50" s="10" t="s">
        <v>75</v>
      </c>
      <c r="AI50" s="4" t="s">
        <v>370</v>
      </c>
      <c r="AJ50" s="4" t="s">
        <v>393</v>
      </c>
      <c r="AK50" s="11" t="s">
        <v>394</v>
      </c>
      <c r="AL50" s="5" t="s">
        <v>368</v>
      </c>
      <c r="AM50" s="11" t="s">
        <v>652</v>
      </c>
      <c r="AN50" s="11" t="s">
        <v>653</v>
      </c>
      <c r="AO50" s="32" t="s">
        <v>308</v>
      </c>
      <c r="AP50" s="35" t="s">
        <v>1266</v>
      </c>
      <c r="AQ50" s="5" t="s">
        <v>75</v>
      </c>
      <c r="AR50" s="11" t="s">
        <v>70</v>
      </c>
      <c r="AS50" s="13" t="s">
        <v>31</v>
      </c>
      <c r="AT50" s="14"/>
      <c r="AU50" s="44"/>
      <c r="AV50" s="1"/>
      <c r="AW50" s="1"/>
      <c r="BD50" s="1"/>
    </row>
    <row r="51" spans="1:56"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t="s">
        <v>103</v>
      </c>
      <c r="M51" s="35" t="s">
        <v>103</v>
      </c>
      <c r="N51" s="33">
        <v>115</v>
      </c>
      <c r="O51" s="10" t="s">
        <v>268</v>
      </c>
      <c r="P51" s="34" t="s">
        <v>103</v>
      </c>
      <c r="Q51" s="6" t="s">
        <v>103</v>
      </c>
      <c r="R51" s="12">
        <f>Tableau1[[#This Row],[Loyer €/m²]]*Tableau1[[#This Row],[Surface GLA]]</f>
        <v>115000</v>
      </c>
      <c r="S51" s="6">
        <f>IFERROR(Tableau1[[#This Row],[Loyer annuel]]/12,"")</f>
        <v>9583.3333333333339</v>
      </c>
      <c r="T51" s="12">
        <v>1000</v>
      </c>
      <c r="U51" s="6" t="s">
        <v>103</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103</v>
      </c>
      <c r="AC51" s="6">
        <f>IFERROR(Tableau1[[#This Row],[Loyer annuel]]+Tableau1[[#This Row],[Charges annuelles]]+Tableau1[[#This Row],[Taxe foncière]]+Tableau1[[#This Row],[Marketing]],"")</f>
        <v>130525</v>
      </c>
      <c r="AD51" s="6" t="s">
        <v>103</v>
      </c>
      <c r="AE51" s="6" t="s">
        <v>103</v>
      </c>
      <c r="AF51" s="6" t="s">
        <v>103</v>
      </c>
      <c r="AG51" s="6" t="s">
        <v>363</v>
      </c>
      <c r="AH51" s="10" t="s">
        <v>53</v>
      </c>
      <c r="AI51" s="4" t="s">
        <v>103</v>
      </c>
      <c r="AJ51" s="4" t="s">
        <v>103</v>
      </c>
      <c r="AK51" s="11" t="s">
        <v>58</v>
      </c>
      <c r="AL51" s="5" t="s">
        <v>368</v>
      </c>
      <c r="AM51" s="11" t="s">
        <v>654</v>
      </c>
      <c r="AN51" s="11" t="s">
        <v>655</v>
      </c>
      <c r="AO51" s="32" t="s">
        <v>487</v>
      </c>
      <c r="AP51" s="35"/>
      <c r="AQ51" s="5" t="s">
        <v>53</v>
      </c>
      <c r="AR51" s="11" t="s">
        <v>57</v>
      </c>
      <c r="AS51" s="13" t="s">
        <v>31</v>
      </c>
      <c r="AT51" s="14"/>
      <c r="AU51" s="44"/>
      <c r="AV51" s="1"/>
      <c r="AW51" s="1"/>
      <c r="BD51" s="1"/>
    </row>
    <row r="52" spans="1:56"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t="s">
        <v>103</v>
      </c>
      <c r="M52" s="35" t="s">
        <v>103</v>
      </c>
      <c r="N52" s="33">
        <v>189</v>
      </c>
      <c r="O52" s="10" t="s">
        <v>269</v>
      </c>
      <c r="P52" s="34" t="s">
        <v>103</v>
      </c>
      <c r="Q52" s="6" t="s">
        <v>103</v>
      </c>
      <c r="R52" s="12">
        <f>Tableau1[[#This Row],[Loyer €/m²]]*Tableau1[[#This Row],[Surface GLA]]</f>
        <v>75600</v>
      </c>
      <c r="S52" s="6">
        <f>IFERROR(Tableau1[[#This Row],[Loyer annuel]]/12,"")</f>
        <v>6300</v>
      </c>
      <c r="T52" s="12">
        <v>400</v>
      </c>
      <c r="U52" s="6" t="s">
        <v>103</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103</v>
      </c>
      <c r="AC52" s="6">
        <f>IFERROR(Tableau1[[#This Row],[Loyer annuel]]+Tableau1[[#This Row],[Charges annuelles]]+Tableau1[[#This Row],[Taxe foncière]]+Tableau1[[#This Row],[Marketing]],"")</f>
        <v>89208</v>
      </c>
      <c r="AD52" s="6" t="s">
        <v>103</v>
      </c>
      <c r="AE52" s="6" t="s">
        <v>103</v>
      </c>
      <c r="AF52" s="6" t="s">
        <v>103</v>
      </c>
      <c r="AG52" s="6" t="s">
        <v>363</v>
      </c>
      <c r="AH52" s="10" t="s">
        <v>53</v>
      </c>
      <c r="AI52" s="4" t="s">
        <v>369</v>
      </c>
      <c r="AJ52" s="4" t="s">
        <v>396</v>
      </c>
      <c r="AK52" s="11" t="s">
        <v>397</v>
      </c>
      <c r="AL52" s="5" t="s">
        <v>368</v>
      </c>
      <c r="AM52" s="11" t="s">
        <v>656</v>
      </c>
      <c r="AN52" s="11" t="s">
        <v>657</v>
      </c>
      <c r="AO52" s="32" t="s">
        <v>488</v>
      </c>
      <c r="AP52" s="35" t="s">
        <v>790</v>
      </c>
      <c r="AQ52" s="5" t="s">
        <v>75</v>
      </c>
      <c r="AR52" s="11" t="s">
        <v>395</v>
      </c>
      <c r="AS52" s="13" t="s">
        <v>31</v>
      </c>
      <c r="AT52" s="14"/>
      <c r="AU52" s="44"/>
      <c r="AV52" s="1"/>
      <c r="AW52" s="1"/>
      <c r="BD52" s="1"/>
    </row>
    <row r="53" spans="1:56"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t="s">
        <v>103</v>
      </c>
      <c r="M53" s="35" t="s">
        <v>103</v>
      </c>
      <c r="N53" s="33">
        <v>177</v>
      </c>
      <c r="O53" s="10" t="s">
        <v>270</v>
      </c>
      <c r="P53" s="34" t="s">
        <v>103</v>
      </c>
      <c r="Q53" s="6" t="s">
        <v>103</v>
      </c>
      <c r="R53" s="12">
        <f>Tableau1[[#This Row],[Loyer €/m²]]*Tableau1[[#This Row],[Surface GLA]]</f>
        <v>97350</v>
      </c>
      <c r="S53" s="6">
        <f>IFERROR(Tableau1[[#This Row],[Loyer annuel]]/12,"")</f>
        <v>8112.5</v>
      </c>
      <c r="T53" s="12">
        <v>550</v>
      </c>
      <c r="U53" s="6" t="s">
        <v>103</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103</v>
      </c>
      <c r="AC53" s="6">
        <f>IFERROR(Tableau1[[#This Row],[Loyer annuel]]+Tableau1[[#This Row],[Charges annuelles]]+Tableau1[[#This Row],[Taxe foncière]]+Tableau1[[#This Row],[Marketing]],"")</f>
        <v>108855</v>
      </c>
      <c r="AD53" s="6" t="s">
        <v>103</v>
      </c>
      <c r="AE53" s="6" t="s">
        <v>103</v>
      </c>
      <c r="AF53" s="6" t="s">
        <v>103</v>
      </c>
      <c r="AG53" s="6" t="s">
        <v>363</v>
      </c>
      <c r="AH53" s="10" t="s">
        <v>53</v>
      </c>
      <c r="AI53" s="4" t="s">
        <v>369</v>
      </c>
      <c r="AJ53" s="4" t="s">
        <v>398</v>
      </c>
      <c r="AK53" s="11" t="s">
        <v>63</v>
      </c>
      <c r="AL53" s="5" t="s">
        <v>368</v>
      </c>
      <c r="AM53" s="11" t="s">
        <v>658</v>
      </c>
      <c r="AN53" s="11" t="s">
        <v>659</v>
      </c>
      <c r="AO53" s="32" t="s">
        <v>489</v>
      </c>
      <c r="AP53" s="35" t="s">
        <v>791</v>
      </c>
      <c r="AQ53" s="5" t="s">
        <v>75</v>
      </c>
      <c r="AR53" s="11" t="s">
        <v>64</v>
      </c>
      <c r="AS53" s="13" t="s">
        <v>31</v>
      </c>
      <c r="AT53" s="14"/>
      <c r="AU53" s="44"/>
      <c r="AV53" s="1"/>
      <c r="AW53" s="1"/>
      <c r="BD53" s="1"/>
    </row>
    <row r="54" spans="1:56"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t="s">
        <v>103</v>
      </c>
      <c r="M54" s="35" t="s">
        <v>103</v>
      </c>
      <c r="N54" s="34">
        <v>85</v>
      </c>
      <c r="O54" s="6" t="s">
        <v>103</v>
      </c>
      <c r="P54" s="34" t="s">
        <v>103</v>
      </c>
      <c r="Q54" s="6" t="s">
        <v>103</v>
      </c>
      <c r="R54" s="12">
        <f>Tableau1[[#This Row],[Loyer €/m²]]*Tableau1[[#This Row],[Surface GLA]]</f>
        <v>59500</v>
      </c>
      <c r="S54" s="6">
        <f>IFERROR(Tableau1[[#This Row],[Loyer annuel]]/12,"")</f>
        <v>4958.333333333333</v>
      </c>
      <c r="T54" s="12">
        <v>700</v>
      </c>
      <c r="U54" s="6" t="s">
        <v>103</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103</v>
      </c>
      <c r="AC54" s="6">
        <f>IFERROR(Tableau1[[#This Row],[Loyer annuel]]+Tableau1[[#This Row],[Charges annuelles]]+Tableau1[[#This Row],[Taxe foncière]]+Tableau1[[#This Row],[Marketing]],"")</f>
        <v>67490</v>
      </c>
      <c r="AD54" s="6" t="s">
        <v>103</v>
      </c>
      <c r="AE54" s="6" t="s">
        <v>103</v>
      </c>
      <c r="AF54" s="6" t="s">
        <v>103</v>
      </c>
      <c r="AG54" s="6" t="s">
        <v>363</v>
      </c>
      <c r="AH54" s="10" t="s">
        <v>377</v>
      </c>
      <c r="AI54" s="4" t="s">
        <v>370</v>
      </c>
      <c r="AJ54" s="4" t="s">
        <v>399</v>
      </c>
      <c r="AK54" s="11" t="s">
        <v>52</v>
      </c>
      <c r="AL54" s="5" t="s">
        <v>368</v>
      </c>
      <c r="AM54" s="11" t="s">
        <v>660</v>
      </c>
      <c r="AN54" s="11" t="s">
        <v>661</v>
      </c>
      <c r="AO54" s="32" t="s">
        <v>490</v>
      </c>
      <c r="AP54" s="35" t="s">
        <v>792</v>
      </c>
      <c r="AQ54" s="5" t="s">
        <v>75</v>
      </c>
      <c r="AR54" s="11" t="s">
        <v>32</v>
      </c>
      <c r="AS54" s="13" t="s">
        <v>31</v>
      </c>
      <c r="AT54" s="14"/>
      <c r="AU54" s="44"/>
      <c r="AV54" s="1"/>
      <c r="AW54" s="1"/>
      <c r="BD54" s="1"/>
    </row>
    <row r="55" spans="1:56"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t="s">
        <v>103</v>
      </c>
      <c r="M55" s="35" t="s">
        <v>103</v>
      </c>
      <c r="N55" s="33">
        <v>26</v>
      </c>
      <c r="O55" s="10" t="s">
        <v>271</v>
      </c>
      <c r="P55" s="34" t="s">
        <v>103</v>
      </c>
      <c r="Q55" s="6" t="s">
        <v>103</v>
      </c>
      <c r="R55" s="12">
        <f>Tableau1[[#This Row],[Loyer €/m²]]*Tableau1[[#This Row],[Surface GLA]]</f>
        <v>39000</v>
      </c>
      <c r="S55" s="6">
        <f>IFERROR(Tableau1[[#This Row],[Loyer annuel]]/12,"")</f>
        <v>3250</v>
      </c>
      <c r="T55" s="12">
        <v>1500</v>
      </c>
      <c r="U55" s="6" t="s">
        <v>103</v>
      </c>
      <c r="V55" s="6">
        <f>Tableau1[[#This Row],[Charges €/m²]]*Tableau1[[#This Row],[Surface GLA]]</f>
        <v>1300</v>
      </c>
      <c r="W55" s="12">
        <f>Tableau1[[#This Row],[Charges annuelles]]/12</f>
        <v>108.33333333333333</v>
      </c>
      <c r="X55" s="12">
        <v>50</v>
      </c>
      <c r="Y55" s="12">
        <f>IFERROR(Tableau1[[#This Row],[Taxe foncière €/m²]]*Tableau1[[#This Row],[Surface GLA]],)</f>
        <v>0</v>
      </c>
      <c r="Z55" s="6" t="s">
        <v>103</v>
      </c>
      <c r="AA55" s="6">
        <f>IFERROR(Tableau1[[#This Row],[Marketing €/m²]]*Tableau1[[#This Row],[Surface GLA]],)</f>
        <v>0</v>
      </c>
      <c r="AB55" s="6" t="s">
        <v>103</v>
      </c>
      <c r="AC55" s="6">
        <f>IFERROR(Tableau1[[#This Row],[Loyer annuel]]+Tableau1[[#This Row],[Charges annuelles]]+Tableau1[[#This Row],[Taxe foncière]]+Tableau1[[#This Row],[Marketing]],"")</f>
        <v>40300</v>
      </c>
      <c r="AD55" s="6" t="s">
        <v>103</v>
      </c>
      <c r="AE55" s="6" t="s">
        <v>103</v>
      </c>
      <c r="AF55" s="6" t="s">
        <v>103</v>
      </c>
      <c r="AG55" s="6" t="s">
        <v>363</v>
      </c>
      <c r="AH55" s="10" t="s">
        <v>53</v>
      </c>
      <c r="AI55" s="4" t="s">
        <v>369</v>
      </c>
      <c r="AJ55" s="4" t="s">
        <v>400</v>
      </c>
      <c r="AK55" s="11" t="s">
        <v>72</v>
      </c>
      <c r="AL55" s="5" t="s">
        <v>368</v>
      </c>
      <c r="AM55" s="11" t="s">
        <v>662</v>
      </c>
      <c r="AN55" s="11" t="s">
        <v>663</v>
      </c>
      <c r="AO55" s="32" t="s">
        <v>491</v>
      </c>
      <c r="AP55" s="35" t="s">
        <v>793</v>
      </c>
      <c r="AQ55" s="5" t="s">
        <v>75</v>
      </c>
      <c r="AR55" s="11" t="s">
        <v>71</v>
      </c>
      <c r="AS55" s="13" t="s">
        <v>68</v>
      </c>
      <c r="AT55" s="14"/>
      <c r="AU55" s="44"/>
      <c r="AV55" s="1"/>
      <c r="AW55" s="1"/>
      <c r="BD55" s="1"/>
    </row>
    <row r="56" spans="1:56"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t="s">
        <v>103</v>
      </c>
      <c r="M56" s="35" t="s">
        <v>103</v>
      </c>
      <c r="N56" s="33">
        <v>87</v>
      </c>
      <c r="O56" s="10" t="s">
        <v>1306</v>
      </c>
      <c r="P56" s="34" t="s">
        <v>103</v>
      </c>
      <c r="Q56" s="6" t="s">
        <v>103</v>
      </c>
      <c r="R56" s="12">
        <f>Tableau1[[#This Row],[Loyer €/m²]]*Tableau1[[#This Row],[Surface GLA]]</f>
        <v>47850</v>
      </c>
      <c r="S56" s="6">
        <f>IFERROR(Tableau1[[#This Row],[Loyer annuel]]/12,"")</f>
        <v>3987.5</v>
      </c>
      <c r="T56" s="12">
        <v>550</v>
      </c>
      <c r="U56" s="6" t="s">
        <v>103</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103</v>
      </c>
      <c r="AC56" s="6">
        <f>IFERROR(Tableau1[[#This Row],[Loyer annuel]]+Tableau1[[#This Row],[Charges annuelles]]+Tableau1[[#This Row],[Taxe foncière]]+Tableau1[[#This Row],[Marketing]],"")</f>
        <v>52026</v>
      </c>
      <c r="AD56" s="6" t="s">
        <v>103</v>
      </c>
      <c r="AE56" s="6" t="s">
        <v>103</v>
      </c>
      <c r="AF56" s="6" t="s">
        <v>103</v>
      </c>
      <c r="AG56" s="6" t="s">
        <v>363</v>
      </c>
      <c r="AH56" s="10" t="s">
        <v>53</v>
      </c>
      <c r="AI56" s="4" t="s">
        <v>369</v>
      </c>
      <c r="AJ56" s="4" t="s">
        <v>401</v>
      </c>
      <c r="AK56" s="11" t="s">
        <v>61</v>
      </c>
      <c r="AL56" s="5" t="s">
        <v>368</v>
      </c>
      <c r="AM56" s="11" t="s">
        <v>664</v>
      </c>
      <c r="AN56" s="11" t="s">
        <v>665</v>
      </c>
      <c r="AO56" s="32" t="s">
        <v>492</v>
      </c>
      <c r="AP56" s="35" t="s">
        <v>794</v>
      </c>
      <c r="AQ56" s="5" t="s">
        <v>75</v>
      </c>
      <c r="AR56" s="11" t="s">
        <v>60</v>
      </c>
      <c r="AS56" s="13" t="s">
        <v>31</v>
      </c>
      <c r="AT56" s="14"/>
      <c r="AU56" s="44"/>
      <c r="AV56" s="1"/>
      <c r="AW56" s="1"/>
      <c r="BD56" s="1"/>
    </row>
    <row r="57" spans="1:56"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t="s">
        <v>103</v>
      </c>
      <c r="M57" s="35" t="s">
        <v>327</v>
      </c>
      <c r="N57" s="34">
        <v>110</v>
      </c>
      <c r="O57" s="6" t="s">
        <v>103</v>
      </c>
      <c r="P57" s="34" t="s">
        <v>103</v>
      </c>
      <c r="Q57" s="6" t="s">
        <v>103</v>
      </c>
      <c r="R57" s="12">
        <f>Tableau1[[#This Row],[Loyer €/m²]]*Tableau1[[#This Row],[Surface GLA]]</f>
        <v>60500</v>
      </c>
      <c r="S57" s="6">
        <f>IFERROR(Tableau1[[#This Row],[Loyer annuel]]/12,"")</f>
        <v>5041.666666666667</v>
      </c>
      <c r="T57" s="12">
        <v>550</v>
      </c>
      <c r="U57" s="6" t="s">
        <v>103</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103</v>
      </c>
      <c r="AC57" s="6">
        <f>IFERROR(Tableau1[[#This Row],[Loyer annuel]]+Tableau1[[#This Row],[Charges annuelles]]+Tableau1[[#This Row],[Taxe foncière]]+Tableau1[[#This Row],[Marketing]],"")</f>
        <v>62700</v>
      </c>
      <c r="AD57" s="12" t="str">
        <f t="shared" ref="AD57:AD64" si="0">"3 mois = "&amp;TEXT(ROUND(3/12*R57,0),"### ### ##0 €")</f>
        <v>3 mois = 15 125 €</v>
      </c>
      <c r="AE57" s="6" t="s">
        <v>103</v>
      </c>
      <c r="AF57" s="6" t="s">
        <v>103</v>
      </c>
      <c r="AG57" s="6" t="s">
        <v>382</v>
      </c>
      <c r="AH57" s="10" t="s">
        <v>377</v>
      </c>
      <c r="AI57" s="4" t="s">
        <v>370</v>
      </c>
      <c r="AJ57" s="4" t="s">
        <v>103</v>
      </c>
      <c r="AK57" s="5" t="s">
        <v>402</v>
      </c>
      <c r="AL57" s="5" t="s">
        <v>368</v>
      </c>
      <c r="AM57" s="5" t="s">
        <v>666</v>
      </c>
      <c r="AN57" s="5" t="s">
        <v>667</v>
      </c>
      <c r="AO57" s="32" t="s">
        <v>493</v>
      </c>
      <c r="AP57" s="35" t="s">
        <v>795</v>
      </c>
      <c r="AQ57" s="5" t="s">
        <v>75</v>
      </c>
      <c r="AR57" s="11" t="s">
        <v>378</v>
      </c>
      <c r="AS57" s="13" t="s">
        <v>37</v>
      </c>
      <c r="AT57" s="14"/>
      <c r="AU57" s="44"/>
      <c r="AV57" s="1"/>
      <c r="AW57" s="1"/>
      <c r="BD57" s="1"/>
    </row>
    <row r="58" spans="1:56"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t="s">
        <v>103</v>
      </c>
      <c r="M58" s="36" t="s">
        <v>328</v>
      </c>
      <c r="N58" s="34">
        <v>66</v>
      </c>
      <c r="O58" s="6" t="s">
        <v>103</v>
      </c>
      <c r="P58" s="34" t="s">
        <v>103</v>
      </c>
      <c r="Q58" s="6" t="s">
        <v>103</v>
      </c>
      <c r="R58" s="12">
        <f>Tableau1[[#This Row],[Loyer €/m²]]*Tableau1[[#This Row],[Surface GLA]]</f>
        <v>29700</v>
      </c>
      <c r="S58" s="6">
        <f>IFERROR(Tableau1[[#This Row],[Loyer annuel]]/12,"")</f>
        <v>2475</v>
      </c>
      <c r="T58" s="12">
        <v>450</v>
      </c>
      <c r="U58" s="6" t="s">
        <v>103</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103</v>
      </c>
      <c r="AC58" s="12">
        <f>IFERROR(Tableau1[[#This Row],[Loyer annuel]]+Tableau1[[#This Row],[Charges annuelles]]+Tableau1[[#This Row],[Taxe foncière]]+Tableau1[[#This Row],[Marketing]],"")</f>
        <v>31020</v>
      </c>
      <c r="AD58" s="12" t="str">
        <f t="shared" si="0"/>
        <v>3 mois = 7 425 €</v>
      </c>
      <c r="AE58" s="6" t="s">
        <v>103</v>
      </c>
      <c r="AF58" s="6" t="s">
        <v>103</v>
      </c>
      <c r="AG58" s="6" t="s">
        <v>382</v>
      </c>
      <c r="AH58" s="10" t="s">
        <v>377</v>
      </c>
      <c r="AI58" s="4" t="s">
        <v>370</v>
      </c>
      <c r="AJ58" s="4" t="s">
        <v>103</v>
      </c>
      <c r="AK58" s="5" t="s">
        <v>402</v>
      </c>
      <c r="AL58" s="5" t="s">
        <v>368</v>
      </c>
      <c r="AM58" s="11" t="s">
        <v>668</v>
      </c>
      <c r="AN58" s="11" t="s">
        <v>669</v>
      </c>
      <c r="AO58" s="32" t="s">
        <v>494</v>
      </c>
      <c r="AP58" s="35" t="s">
        <v>796</v>
      </c>
      <c r="AQ58" s="5" t="s">
        <v>75</v>
      </c>
      <c r="AR58" s="11" t="s">
        <v>378</v>
      </c>
      <c r="AS58" s="13" t="s">
        <v>37</v>
      </c>
      <c r="AT58" s="14"/>
      <c r="AU58" s="44"/>
      <c r="AV58" s="1"/>
      <c r="AW58" s="1"/>
      <c r="BD58" s="1"/>
    </row>
    <row r="59" spans="1:56"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t="s">
        <v>103</v>
      </c>
      <c r="M59" s="36" t="s">
        <v>329</v>
      </c>
      <c r="N59" s="34">
        <v>79</v>
      </c>
      <c r="O59" s="6" t="s">
        <v>103</v>
      </c>
      <c r="P59" s="34" t="s">
        <v>103</v>
      </c>
      <c r="Q59" s="6" t="s">
        <v>103</v>
      </c>
      <c r="R59" s="12">
        <f>Tableau1[[#This Row],[Loyer €/m²]]*Tableau1[[#This Row],[Surface GLA]]</f>
        <v>35550</v>
      </c>
      <c r="S59" s="6">
        <f>IFERROR(Tableau1[[#This Row],[Loyer annuel]]/12,"")</f>
        <v>2962.5</v>
      </c>
      <c r="T59" s="12">
        <v>450</v>
      </c>
      <c r="U59" s="6" t="s">
        <v>103</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103</v>
      </c>
      <c r="AC59" s="12">
        <f>IFERROR(Tableau1[[#This Row],[Loyer annuel]]+Tableau1[[#This Row],[Charges annuelles]]+Tableau1[[#This Row],[Taxe foncière]]+Tableau1[[#This Row],[Marketing]],"")</f>
        <v>37130</v>
      </c>
      <c r="AD59" s="12" t="str">
        <f t="shared" si="0"/>
        <v>3 mois = 8 888 €</v>
      </c>
      <c r="AE59" s="6" t="s">
        <v>103</v>
      </c>
      <c r="AF59" s="6" t="s">
        <v>103</v>
      </c>
      <c r="AG59" s="6" t="s">
        <v>382</v>
      </c>
      <c r="AH59" s="10" t="s">
        <v>377</v>
      </c>
      <c r="AI59" s="4" t="s">
        <v>370</v>
      </c>
      <c r="AJ59" s="4" t="s">
        <v>103</v>
      </c>
      <c r="AK59" s="5" t="s">
        <v>402</v>
      </c>
      <c r="AL59" s="5" t="s">
        <v>368</v>
      </c>
      <c r="AM59" s="11" t="s">
        <v>670</v>
      </c>
      <c r="AN59" s="11" t="s">
        <v>671</v>
      </c>
      <c r="AO59" s="32" t="s">
        <v>495</v>
      </c>
      <c r="AP59" s="35" t="s">
        <v>797</v>
      </c>
      <c r="AQ59" s="5" t="s">
        <v>75</v>
      </c>
      <c r="AR59" s="11" t="s">
        <v>378</v>
      </c>
      <c r="AS59" s="13" t="s">
        <v>37</v>
      </c>
      <c r="AT59" s="14"/>
      <c r="AU59" s="44"/>
      <c r="AV59" s="1"/>
      <c r="AW59" s="1"/>
      <c r="BD59" s="1"/>
    </row>
    <row r="60" spans="1:56"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t="s">
        <v>103</v>
      </c>
      <c r="M60" s="36" t="s">
        <v>330</v>
      </c>
      <c r="N60" s="34">
        <v>47</v>
      </c>
      <c r="O60" s="6" t="s">
        <v>103</v>
      </c>
      <c r="P60" s="34" t="s">
        <v>103</v>
      </c>
      <c r="Q60" s="6" t="s">
        <v>103</v>
      </c>
      <c r="R60" s="12">
        <f>Tableau1[[#This Row],[Loyer €/m²]]*Tableau1[[#This Row],[Surface GLA]]</f>
        <v>25850</v>
      </c>
      <c r="S60" s="6">
        <f>IFERROR(Tableau1[[#This Row],[Loyer annuel]]/12,"")</f>
        <v>2154.1666666666665</v>
      </c>
      <c r="T60" s="12">
        <v>550</v>
      </c>
      <c r="U60" s="6" t="s">
        <v>103</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103</v>
      </c>
      <c r="AC60" s="12">
        <f>IFERROR(Tableau1[[#This Row],[Loyer annuel]]+Tableau1[[#This Row],[Charges annuelles]]+Tableau1[[#This Row],[Taxe foncière]]+Tableau1[[#This Row],[Marketing]],"")</f>
        <v>26790</v>
      </c>
      <c r="AD60" s="12" t="str">
        <f t="shared" si="0"/>
        <v>3 mois = 6 463 €</v>
      </c>
      <c r="AE60" s="6" t="s">
        <v>103</v>
      </c>
      <c r="AF60" s="6" t="s">
        <v>103</v>
      </c>
      <c r="AG60" s="6" t="s">
        <v>382</v>
      </c>
      <c r="AH60" s="10" t="s">
        <v>377</v>
      </c>
      <c r="AI60" s="4" t="s">
        <v>370</v>
      </c>
      <c r="AJ60" s="4" t="s">
        <v>103</v>
      </c>
      <c r="AK60" s="5" t="s">
        <v>402</v>
      </c>
      <c r="AL60" s="5" t="s">
        <v>368</v>
      </c>
      <c r="AM60" s="11" t="s">
        <v>672</v>
      </c>
      <c r="AN60" s="11" t="s">
        <v>673</v>
      </c>
      <c r="AO60" s="32" t="s">
        <v>496</v>
      </c>
      <c r="AP60" s="35" t="s">
        <v>798</v>
      </c>
      <c r="AQ60" s="5" t="s">
        <v>75</v>
      </c>
      <c r="AR60" s="11" t="s">
        <v>378</v>
      </c>
      <c r="AS60" s="13" t="s">
        <v>37</v>
      </c>
      <c r="AT60" s="14"/>
      <c r="AU60" s="44"/>
      <c r="AV60" s="1"/>
      <c r="AW60" s="1"/>
      <c r="BD60" s="1"/>
    </row>
    <row r="61" spans="1:56"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t="s">
        <v>103</v>
      </c>
      <c r="M61" s="36" t="s">
        <v>331</v>
      </c>
      <c r="N61" s="34">
        <v>60</v>
      </c>
      <c r="O61" s="6" t="s">
        <v>103</v>
      </c>
      <c r="P61" s="34" t="s">
        <v>103</v>
      </c>
      <c r="Q61" s="6" t="s">
        <v>103</v>
      </c>
      <c r="R61" s="12">
        <f>Tableau1[[#This Row],[Loyer €/m²]]*Tableau1[[#This Row],[Surface GLA]]</f>
        <v>33000</v>
      </c>
      <c r="S61" s="6">
        <f>IFERROR(Tableau1[[#This Row],[Loyer annuel]]/12,"")</f>
        <v>2750</v>
      </c>
      <c r="T61" s="12">
        <v>550</v>
      </c>
      <c r="U61" s="6" t="s">
        <v>103</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103</v>
      </c>
      <c r="AC61" s="12">
        <f>IFERROR(Tableau1[[#This Row],[Loyer annuel]]+Tableau1[[#This Row],[Charges annuelles]]+Tableau1[[#This Row],[Taxe foncière]]+Tableau1[[#This Row],[Marketing]],"")</f>
        <v>34200</v>
      </c>
      <c r="AD61" s="12" t="str">
        <f t="shared" si="0"/>
        <v>3 mois = 8 250 €</v>
      </c>
      <c r="AE61" s="6" t="s">
        <v>103</v>
      </c>
      <c r="AF61" s="6" t="s">
        <v>103</v>
      </c>
      <c r="AG61" s="6" t="s">
        <v>382</v>
      </c>
      <c r="AH61" s="10" t="s">
        <v>377</v>
      </c>
      <c r="AI61" s="4" t="s">
        <v>370</v>
      </c>
      <c r="AJ61" s="4" t="s">
        <v>103</v>
      </c>
      <c r="AK61" s="5" t="s">
        <v>402</v>
      </c>
      <c r="AL61" s="5" t="s">
        <v>368</v>
      </c>
      <c r="AM61" s="11" t="s">
        <v>674</v>
      </c>
      <c r="AN61" s="11" t="s">
        <v>675</v>
      </c>
      <c r="AO61" s="32" t="s">
        <v>497</v>
      </c>
      <c r="AP61" s="35" t="s">
        <v>799</v>
      </c>
      <c r="AQ61" s="5" t="s">
        <v>75</v>
      </c>
      <c r="AR61" s="11" t="s">
        <v>378</v>
      </c>
      <c r="AS61" s="13" t="s">
        <v>37</v>
      </c>
      <c r="AT61" s="14"/>
      <c r="AU61" s="44"/>
      <c r="AV61" s="1"/>
      <c r="AW61" s="1"/>
      <c r="BD61" s="1"/>
    </row>
    <row r="62" spans="1:56"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t="s">
        <v>103</v>
      </c>
      <c r="M62" s="36" t="s">
        <v>332</v>
      </c>
      <c r="N62" s="34">
        <v>81</v>
      </c>
      <c r="O62" s="6" t="s">
        <v>103</v>
      </c>
      <c r="P62" s="34" t="s">
        <v>103</v>
      </c>
      <c r="Q62" s="6" t="s">
        <v>103</v>
      </c>
      <c r="R62" s="12">
        <f>Tableau1[[#This Row],[Loyer €/m²]]*Tableau1[[#This Row],[Surface GLA]]</f>
        <v>44550</v>
      </c>
      <c r="S62" s="6">
        <f>IFERROR(Tableau1[[#This Row],[Loyer annuel]]/12,"")</f>
        <v>3712.5</v>
      </c>
      <c r="T62" s="12">
        <v>550</v>
      </c>
      <c r="U62" s="6" t="s">
        <v>103</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103</v>
      </c>
      <c r="AC62" s="12">
        <f>IFERROR(Tableau1[[#This Row],[Loyer annuel]]+Tableau1[[#This Row],[Charges annuelles]]+Tableau1[[#This Row],[Taxe foncière]]+Tableau1[[#This Row],[Marketing]],"")</f>
        <v>46170</v>
      </c>
      <c r="AD62" s="12" t="str">
        <f t="shared" si="0"/>
        <v>3 mois = 11 138 €</v>
      </c>
      <c r="AE62" s="6" t="s">
        <v>103</v>
      </c>
      <c r="AF62" s="6" t="s">
        <v>103</v>
      </c>
      <c r="AG62" s="6" t="s">
        <v>382</v>
      </c>
      <c r="AH62" s="10" t="s">
        <v>377</v>
      </c>
      <c r="AI62" s="4" t="s">
        <v>370</v>
      </c>
      <c r="AJ62" s="4" t="s">
        <v>103</v>
      </c>
      <c r="AK62" s="5" t="s">
        <v>402</v>
      </c>
      <c r="AL62" s="5" t="s">
        <v>368</v>
      </c>
      <c r="AM62" s="11" t="s">
        <v>676</v>
      </c>
      <c r="AN62" s="11" t="s">
        <v>675</v>
      </c>
      <c r="AO62" s="32" t="s">
        <v>498</v>
      </c>
      <c r="AP62" s="35" t="s">
        <v>800</v>
      </c>
      <c r="AQ62" s="5" t="s">
        <v>75</v>
      </c>
      <c r="AR62" s="11" t="s">
        <v>378</v>
      </c>
      <c r="AS62" s="13" t="s">
        <v>37</v>
      </c>
      <c r="AT62" s="14"/>
      <c r="AU62" s="44"/>
      <c r="AV62" s="1"/>
      <c r="AW62" s="1"/>
      <c r="BD62" s="1"/>
    </row>
    <row r="63" spans="1:56"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t="s">
        <v>103</v>
      </c>
      <c r="M63" s="36" t="s">
        <v>333</v>
      </c>
      <c r="N63" s="34">
        <v>45</v>
      </c>
      <c r="O63" s="6" t="s">
        <v>103</v>
      </c>
      <c r="P63" s="34" t="s">
        <v>103</v>
      </c>
      <c r="Q63" s="6" t="s">
        <v>103</v>
      </c>
      <c r="R63" s="12">
        <f>Tableau1[[#This Row],[Loyer €/m²]]*Tableau1[[#This Row],[Surface GLA]]</f>
        <v>24750</v>
      </c>
      <c r="S63" s="6">
        <f>IFERROR(Tableau1[[#This Row],[Loyer annuel]]/12,"")</f>
        <v>2062.5</v>
      </c>
      <c r="T63" s="12">
        <v>550</v>
      </c>
      <c r="U63" s="6" t="s">
        <v>103</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103</v>
      </c>
      <c r="AC63" s="12">
        <f>IFERROR(Tableau1[[#This Row],[Loyer annuel]]+Tableau1[[#This Row],[Charges annuelles]]+Tableau1[[#This Row],[Taxe foncière]]+Tableau1[[#This Row],[Marketing]],"")</f>
        <v>25650</v>
      </c>
      <c r="AD63" s="12" t="str">
        <f t="shared" si="0"/>
        <v>3 mois = 6 188 €</v>
      </c>
      <c r="AE63" s="6" t="s">
        <v>103</v>
      </c>
      <c r="AF63" s="6" t="s">
        <v>103</v>
      </c>
      <c r="AG63" s="6" t="s">
        <v>382</v>
      </c>
      <c r="AH63" s="10" t="s">
        <v>377</v>
      </c>
      <c r="AI63" s="4" t="s">
        <v>370</v>
      </c>
      <c r="AJ63" s="4" t="s">
        <v>103</v>
      </c>
      <c r="AK63" s="5" t="s">
        <v>402</v>
      </c>
      <c r="AL63" s="5" t="s">
        <v>368</v>
      </c>
      <c r="AM63" s="11" t="s">
        <v>677</v>
      </c>
      <c r="AN63" s="11" t="s">
        <v>678</v>
      </c>
      <c r="AO63" s="32" t="s">
        <v>499</v>
      </c>
      <c r="AP63" s="35" t="s">
        <v>801</v>
      </c>
      <c r="AQ63" s="5" t="s">
        <v>75</v>
      </c>
      <c r="AR63" s="11" t="s">
        <v>378</v>
      </c>
      <c r="AS63" s="13" t="s">
        <v>37</v>
      </c>
      <c r="AT63" s="14"/>
      <c r="AU63" s="44"/>
      <c r="AV63" s="1"/>
      <c r="AW63" s="1"/>
      <c r="BD63" s="1"/>
    </row>
    <row r="64" spans="1:56"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t="s">
        <v>103</v>
      </c>
      <c r="M64" s="36" t="s">
        <v>334</v>
      </c>
      <c r="N64" s="34">
        <v>73</v>
      </c>
      <c r="O64" s="6" t="s">
        <v>103</v>
      </c>
      <c r="P64" s="34" t="s">
        <v>103</v>
      </c>
      <c r="Q64" s="6" t="s">
        <v>103</v>
      </c>
      <c r="R64" s="12">
        <f>Tableau1[[#This Row],[Loyer €/m²]]*Tableau1[[#This Row],[Surface GLA]]</f>
        <v>32850</v>
      </c>
      <c r="S64" s="6">
        <f>IFERROR(Tableau1[[#This Row],[Loyer annuel]]/12,"")</f>
        <v>2737.5</v>
      </c>
      <c r="T64" s="12">
        <v>450</v>
      </c>
      <c r="U64" s="6" t="s">
        <v>103</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103</v>
      </c>
      <c r="AC64" s="12">
        <f>IFERROR(Tableau1[[#This Row],[Loyer annuel]]+Tableau1[[#This Row],[Charges annuelles]]+Tableau1[[#This Row],[Taxe foncière]]+Tableau1[[#This Row],[Marketing]],"")</f>
        <v>34310</v>
      </c>
      <c r="AD64" s="12" t="str">
        <f t="shared" si="0"/>
        <v>3 mois = 8 213 €</v>
      </c>
      <c r="AE64" s="6" t="s">
        <v>103</v>
      </c>
      <c r="AF64" s="6" t="s">
        <v>103</v>
      </c>
      <c r="AG64" s="6" t="s">
        <v>382</v>
      </c>
      <c r="AH64" s="10" t="s">
        <v>377</v>
      </c>
      <c r="AI64" s="4" t="s">
        <v>370</v>
      </c>
      <c r="AJ64" s="4" t="s">
        <v>103</v>
      </c>
      <c r="AK64" s="5" t="s">
        <v>402</v>
      </c>
      <c r="AL64" s="5" t="s">
        <v>368</v>
      </c>
      <c r="AM64" s="11" t="s">
        <v>679</v>
      </c>
      <c r="AN64" s="11" t="s">
        <v>680</v>
      </c>
      <c r="AO64" s="32" t="s">
        <v>500</v>
      </c>
      <c r="AP64" s="35" t="s">
        <v>802</v>
      </c>
      <c r="AQ64" s="5" t="s">
        <v>75</v>
      </c>
      <c r="AR64" s="11" t="s">
        <v>378</v>
      </c>
      <c r="AS64" s="13" t="s">
        <v>37</v>
      </c>
      <c r="AT64" s="14"/>
      <c r="AU64" s="44"/>
      <c r="AV64" s="1"/>
      <c r="AW64" s="1"/>
      <c r="BD64" s="1"/>
    </row>
    <row r="65" spans="1:56"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t="s">
        <v>103</v>
      </c>
      <c r="M65" s="35" t="s">
        <v>335</v>
      </c>
      <c r="N65" s="34">
        <v>80</v>
      </c>
      <c r="O65" s="6" t="s">
        <v>103</v>
      </c>
      <c r="P65" s="34" t="s">
        <v>103</v>
      </c>
      <c r="Q65" s="6" t="s">
        <v>103</v>
      </c>
      <c r="R65" s="12">
        <f>Tableau1[[#This Row],[Loyer €/m²]]*Tableau1[[#This Row],[Surface GLA]]</f>
        <v>36000</v>
      </c>
      <c r="S65" s="6">
        <f>IFERROR(Tableau1[[#This Row],[Loyer annuel]]/12,"")</f>
        <v>3000</v>
      </c>
      <c r="T65" s="12">
        <v>450</v>
      </c>
      <c r="U65" s="6" t="s">
        <v>103</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103</v>
      </c>
      <c r="AC65" s="12">
        <f>IFERROR(Tableau1[[#This Row],[Loyer annuel]]+Tableau1[[#This Row],[Charges annuelles]]+Tableau1[[#This Row],[Taxe foncière]]+Tableau1[[#This Row],[Marketing]],"")</f>
        <v>37840</v>
      </c>
      <c r="AD65" s="6" t="s">
        <v>103</v>
      </c>
      <c r="AE65" s="6" t="s">
        <v>103</v>
      </c>
      <c r="AF65" s="6" t="s">
        <v>103</v>
      </c>
      <c r="AG65" s="6" t="s">
        <v>382</v>
      </c>
      <c r="AH65" s="10" t="s">
        <v>53</v>
      </c>
      <c r="AI65" s="4" t="s">
        <v>369</v>
      </c>
      <c r="AJ65" s="4" t="s">
        <v>406</v>
      </c>
      <c r="AK65" s="5" t="s">
        <v>403</v>
      </c>
      <c r="AL65" s="5" t="s">
        <v>368</v>
      </c>
      <c r="AM65" s="5" t="s">
        <v>681</v>
      </c>
      <c r="AN65" s="5" t="s">
        <v>682</v>
      </c>
      <c r="AO65" s="32" t="s">
        <v>501</v>
      </c>
      <c r="AP65" s="35" t="s">
        <v>803</v>
      </c>
      <c r="AQ65" s="5" t="s">
        <v>75</v>
      </c>
      <c r="AR65" s="11" t="s">
        <v>404</v>
      </c>
      <c r="AS65" s="13" t="s">
        <v>31</v>
      </c>
      <c r="AT65" s="14"/>
      <c r="AU65" s="44"/>
      <c r="AV65" s="1"/>
      <c r="AW65" s="1"/>
      <c r="BD65" s="1"/>
    </row>
    <row r="66" spans="1:56"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t="s">
        <v>103</v>
      </c>
      <c r="M66" s="36" t="s">
        <v>336</v>
      </c>
      <c r="N66" s="34">
        <v>110</v>
      </c>
      <c r="O66" s="6" t="s">
        <v>103</v>
      </c>
      <c r="P66" s="34" t="s">
        <v>103</v>
      </c>
      <c r="Q66" s="6" t="s">
        <v>103</v>
      </c>
      <c r="R66" s="12">
        <f>Tableau1[[#This Row],[Loyer €/m²]]*Tableau1[[#This Row],[Surface GLA]]</f>
        <v>49500</v>
      </c>
      <c r="S66" s="6">
        <f>IFERROR(Tableau1[[#This Row],[Loyer annuel]]/12,"")</f>
        <v>4125</v>
      </c>
      <c r="T66" s="12">
        <v>450</v>
      </c>
      <c r="U66" s="6" t="s">
        <v>103</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103</v>
      </c>
      <c r="AC66" s="12">
        <f>IFERROR(Tableau1[[#This Row],[Loyer annuel]]+Tableau1[[#This Row],[Charges annuelles]]+Tableau1[[#This Row],[Taxe foncière]]+Tableau1[[#This Row],[Marketing]],"")</f>
        <v>52030</v>
      </c>
      <c r="AD66" s="6" t="s">
        <v>103</v>
      </c>
      <c r="AE66" s="6" t="s">
        <v>103</v>
      </c>
      <c r="AF66" s="6" t="s">
        <v>103</v>
      </c>
      <c r="AG66" s="12" t="s">
        <v>382</v>
      </c>
      <c r="AH66" s="10" t="s">
        <v>75</v>
      </c>
      <c r="AI66" s="10" t="s">
        <v>370</v>
      </c>
      <c r="AJ66" s="4" t="s">
        <v>406</v>
      </c>
      <c r="AK66" s="5" t="s">
        <v>403</v>
      </c>
      <c r="AL66" s="5" t="s">
        <v>368</v>
      </c>
      <c r="AM66" s="11" t="s">
        <v>683</v>
      </c>
      <c r="AN66" s="11" t="s">
        <v>684</v>
      </c>
      <c r="AO66" s="32" t="s">
        <v>502</v>
      </c>
      <c r="AP66" s="36" t="s">
        <v>804</v>
      </c>
      <c r="AQ66" s="5" t="s">
        <v>75</v>
      </c>
      <c r="AR66" s="11" t="s">
        <v>405</v>
      </c>
      <c r="AS66" s="13" t="s">
        <v>31</v>
      </c>
      <c r="AT66" s="14"/>
      <c r="AU66" s="44"/>
      <c r="AV66" s="1"/>
      <c r="AW66" s="1"/>
      <c r="BD66" s="1"/>
    </row>
    <row r="67" spans="1:56"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870</v>
      </c>
      <c r="I67" s="6" t="s">
        <v>45</v>
      </c>
      <c r="J67" s="6" t="s">
        <v>44</v>
      </c>
      <c r="K67" s="12" t="s">
        <v>103</v>
      </c>
      <c r="L67" s="12" t="s">
        <v>103</v>
      </c>
      <c r="M67" s="35" t="s">
        <v>857</v>
      </c>
      <c r="N67" s="34">
        <v>321</v>
      </c>
      <c r="O67" s="6" t="s">
        <v>103</v>
      </c>
      <c r="P67" s="34" t="s">
        <v>103</v>
      </c>
      <c r="Q67" s="6" t="s">
        <v>103</v>
      </c>
      <c r="R67" s="12">
        <f>Tableau1[[#This Row],[Loyer €/m²]]*Tableau1[[#This Row],[Surface GLA]]</f>
        <v>104325</v>
      </c>
      <c r="S67" s="6">
        <f>IFERROR(Tableau1[[#This Row],[Loyer annuel]]/12,"")</f>
        <v>8693.75</v>
      </c>
      <c r="T67" s="12">
        <v>325</v>
      </c>
      <c r="U67" s="6" t="s">
        <v>103</v>
      </c>
      <c r="V67" s="6">
        <f>Tableau1[[#This Row],[Charges €/m²]]*Tableau1[[#This Row],[Surface GLA]]</f>
        <v>9630</v>
      </c>
      <c r="W67" s="12">
        <f>Tableau1[[#This Row],[Charges annuelles]]/12</f>
        <v>802.5</v>
      </c>
      <c r="X67" s="12">
        <v>30</v>
      </c>
      <c r="Y67" s="12">
        <f>IFERROR(Tableau1[[#This Row],[Taxe foncière €/m²]]*Tableau1[[#This Row],[Surface GLA]],)</f>
        <v>0</v>
      </c>
      <c r="Z67" s="6" t="s">
        <v>103</v>
      </c>
      <c r="AA67" s="6">
        <f>IFERROR(Tableau1[[#This Row],[Marketing €/m²]]*Tableau1[[#This Row],[Surface GLA]],)</f>
        <v>0</v>
      </c>
      <c r="AB67" s="6" t="s">
        <v>103</v>
      </c>
      <c r="AC67" s="6">
        <f>IFERROR(Tableau1[[#This Row],[Loyer annuel]]+Tableau1[[#This Row],[Charges annuelles]]+Tableau1[[#This Row],[Taxe foncière]]+Tableau1[[#This Row],[Marketing]],"")</f>
        <v>113955</v>
      </c>
      <c r="AD67" s="12" t="str">
        <f t="shared" ref="AD67:AD89" si="1">"3 mois = "&amp;TEXT(ROUND(3/12*R67,0),"### ### ##0 €")</f>
        <v>3 mois = 26 081 €</v>
      </c>
      <c r="AE67" s="6" t="s">
        <v>103</v>
      </c>
      <c r="AF67" s="6" t="s">
        <v>103</v>
      </c>
      <c r="AG67" s="12" t="s">
        <v>382</v>
      </c>
      <c r="AH67" s="10" t="s">
        <v>75</v>
      </c>
      <c r="AI67" s="10" t="s">
        <v>370</v>
      </c>
      <c r="AJ67" s="4" t="s">
        <v>869</v>
      </c>
      <c r="AK67" s="5" t="s">
        <v>356</v>
      </c>
      <c r="AL67" s="5" t="s">
        <v>368</v>
      </c>
      <c r="AM67" s="5" t="s">
        <v>861</v>
      </c>
      <c r="AN67" s="5" t="s">
        <v>862</v>
      </c>
      <c r="AO67" s="32" t="s">
        <v>503</v>
      </c>
      <c r="AP67" s="35" t="s">
        <v>1072</v>
      </c>
      <c r="AQ67" s="5" t="s">
        <v>75</v>
      </c>
      <c r="AR67" s="11" t="s">
        <v>378</v>
      </c>
      <c r="AS67" s="13" t="s">
        <v>37</v>
      </c>
      <c r="AT67" s="14"/>
      <c r="AU67" s="44"/>
      <c r="AV67" s="1"/>
      <c r="AW67" s="1"/>
      <c r="BD67" s="1"/>
    </row>
    <row r="68" spans="1:56"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871</v>
      </c>
      <c r="I68" s="6" t="s">
        <v>45</v>
      </c>
      <c r="J68" s="6" t="s">
        <v>44</v>
      </c>
      <c r="K68" s="12" t="s">
        <v>103</v>
      </c>
      <c r="L68" s="12" t="s">
        <v>103</v>
      </c>
      <c r="M68" s="36" t="s">
        <v>858</v>
      </c>
      <c r="N68" s="34">
        <v>159</v>
      </c>
      <c r="O68" s="6" t="s">
        <v>103</v>
      </c>
      <c r="P68" s="34" t="s">
        <v>103</v>
      </c>
      <c r="Q68" s="6" t="s">
        <v>103</v>
      </c>
      <c r="R68" s="12">
        <f>Tableau1[[#This Row],[Loyer €/m²]]*Tableau1[[#This Row],[Surface GLA]]</f>
        <v>51675</v>
      </c>
      <c r="S68" s="6">
        <f>IFERROR(Tableau1[[#This Row],[Loyer annuel]]/12,"")</f>
        <v>4306.25</v>
      </c>
      <c r="T68" s="12">
        <v>325</v>
      </c>
      <c r="U68" s="6" t="s">
        <v>103</v>
      </c>
      <c r="V68" s="6">
        <f>Tableau1[[#This Row],[Charges €/m²]]*Tableau1[[#This Row],[Surface GLA]]</f>
        <v>4770</v>
      </c>
      <c r="W68" s="12">
        <f>Tableau1[[#This Row],[Charges annuelles]]/12</f>
        <v>397.5</v>
      </c>
      <c r="X68" s="12">
        <v>30</v>
      </c>
      <c r="Y68" s="12">
        <f>IFERROR(Tableau1[[#This Row],[Taxe foncière €/m²]]*Tableau1[[#This Row],[Surface GLA]],)</f>
        <v>0</v>
      </c>
      <c r="Z68" s="6" t="s">
        <v>103</v>
      </c>
      <c r="AA68" s="12">
        <f>IFERROR(Tableau1[[#This Row],[Marketing €/m²]]*Tableau1[[#This Row],[Surface GLA]],)</f>
        <v>0</v>
      </c>
      <c r="AB68" s="6" t="s">
        <v>103</v>
      </c>
      <c r="AC68" s="12">
        <f>IFERROR(Tableau1[[#This Row],[Loyer annuel]]+Tableau1[[#This Row],[Charges annuelles]]+Tableau1[[#This Row],[Taxe foncière]]+Tableau1[[#This Row],[Marketing]],"")</f>
        <v>56445</v>
      </c>
      <c r="AD68" s="12" t="str">
        <f t="shared" si="1"/>
        <v>3 mois = 12 919 €</v>
      </c>
      <c r="AE68" s="6" t="s">
        <v>103</v>
      </c>
      <c r="AF68" s="6" t="s">
        <v>103</v>
      </c>
      <c r="AG68" s="12" t="s">
        <v>382</v>
      </c>
      <c r="AH68" s="10" t="s">
        <v>75</v>
      </c>
      <c r="AI68" s="10" t="s">
        <v>370</v>
      </c>
      <c r="AJ68" s="4" t="s">
        <v>869</v>
      </c>
      <c r="AK68" s="5" t="s">
        <v>356</v>
      </c>
      <c r="AL68" s="5" t="s">
        <v>368</v>
      </c>
      <c r="AM68" s="11" t="s">
        <v>863</v>
      </c>
      <c r="AN68" s="11" t="s">
        <v>864</v>
      </c>
      <c r="AO68" s="32" t="s">
        <v>504</v>
      </c>
      <c r="AP68" s="35" t="s">
        <v>1073</v>
      </c>
      <c r="AQ68" s="5" t="s">
        <v>75</v>
      </c>
      <c r="AR68" s="11" t="s">
        <v>378</v>
      </c>
      <c r="AS68" s="13" t="s">
        <v>37</v>
      </c>
      <c r="AT68" s="14"/>
      <c r="AU68" s="44"/>
      <c r="AV68" s="1"/>
      <c r="AW68" s="1"/>
      <c r="BD68" s="1"/>
    </row>
    <row r="69" spans="1:56"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872</v>
      </c>
      <c r="I69" s="6" t="s">
        <v>45</v>
      </c>
      <c r="J69" s="6" t="s">
        <v>44</v>
      </c>
      <c r="K69" s="12" t="s">
        <v>103</v>
      </c>
      <c r="L69" s="12" t="s">
        <v>103</v>
      </c>
      <c r="M69" s="36" t="s">
        <v>859</v>
      </c>
      <c r="N69" s="34">
        <v>281</v>
      </c>
      <c r="O69" s="6" t="s">
        <v>103</v>
      </c>
      <c r="P69" s="34" t="s">
        <v>103</v>
      </c>
      <c r="Q69" s="6" t="s">
        <v>103</v>
      </c>
      <c r="R69" s="12">
        <f>Tableau1[[#This Row],[Loyer €/m²]]*Tableau1[[#This Row],[Surface GLA]]</f>
        <v>91325</v>
      </c>
      <c r="S69" s="6">
        <f>IFERROR(Tableau1[[#This Row],[Loyer annuel]]/12,"")</f>
        <v>7610.416666666667</v>
      </c>
      <c r="T69" s="12">
        <v>325</v>
      </c>
      <c r="U69" s="6" t="s">
        <v>103</v>
      </c>
      <c r="V69" s="6">
        <f>Tableau1[[#This Row],[Charges €/m²]]*Tableau1[[#This Row],[Surface GLA]]</f>
        <v>8430</v>
      </c>
      <c r="W69" s="12">
        <f>Tableau1[[#This Row],[Charges annuelles]]/12</f>
        <v>702.5</v>
      </c>
      <c r="X69" s="12">
        <v>30</v>
      </c>
      <c r="Y69" s="12">
        <f>IFERROR(Tableau1[[#This Row],[Taxe foncière €/m²]]*Tableau1[[#This Row],[Surface GLA]],)</f>
        <v>0</v>
      </c>
      <c r="Z69" s="6" t="s">
        <v>103</v>
      </c>
      <c r="AA69" s="12">
        <f>IFERROR(Tableau1[[#This Row],[Marketing €/m²]]*Tableau1[[#This Row],[Surface GLA]],)</f>
        <v>0</v>
      </c>
      <c r="AB69" s="6" t="s">
        <v>103</v>
      </c>
      <c r="AC69" s="12">
        <f>IFERROR(Tableau1[[#This Row],[Loyer annuel]]+Tableau1[[#This Row],[Charges annuelles]]+Tableau1[[#This Row],[Taxe foncière]]+Tableau1[[#This Row],[Marketing]],"")</f>
        <v>99755</v>
      </c>
      <c r="AD69" s="12" t="str">
        <f t="shared" si="1"/>
        <v>3 mois = 22 831 €</v>
      </c>
      <c r="AE69" s="6" t="s">
        <v>103</v>
      </c>
      <c r="AF69" s="6" t="s">
        <v>103</v>
      </c>
      <c r="AG69" s="12" t="s">
        <v>382</v>
      </c>
      <c r="AH69" s="10" t="s">
        <v>75</v>
      </c>
      <c r="AI69" s="10" t="s">
        <v>370</v>
      </c>
      <c r="AJ69" s="4" t="s">
        <v>869</v>
      </c>
      <c r="AK69" s="5" t="s">
        <v>356</v>
      </c>
      <c r="AL69" s="5" t="s">
        <v>368</v>
      </c>
      <c r="AM69" s="11" t="s">
        <v>865</v>
      </c>
      <c r="AN69" s="11" t="s">
        <v>866</v>
      </c>
      <c r="AO69" s="32" t="s">
        <v>505</v>
      </c>
      <c r="AP69" s="35" t="s">
        <v>1074</v>
      </c>
      <c r="AQ69" s="5" t="s">
        <v>75</v>
      </c>
      <c r="AR69" s="11" t="s">
        <v>378</v>
      </c>
      <c r="AS69" s="13" t="s">
        <v>37</v>
      </c>
      <c r="AT69" s="14"/>
      <c r="AU69" s="44"/>
      <c r="AV69" s="1"/>
      <c r="AW69" s="1"/>
      <c r="BD69" s="1"/>
    </row>
    <row r="70" spans="1:56"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873</v>
      </c>
      <c r="I70" s="6" t="s">
        <v>45</v>
      </c>
      <c r="J70" s="6" t="s">
        <v>44</v>
      </c>
      <c r="K70" s="12" t="s">
        <v>103</v>
      </c>
      <c r="L70" s="12" t="s">
        <v>103</v>
      </c>
      <c r="M70" s="36" t="s">
        <v>860</v>
      </c>
      <c r="N70" s="34">
        <v>168</v>
      </c>
      <c r="O70" s="6" t="s">
        <v>103</v>
      </c>
      <c r="P70" s="34" t="s">
        <v>103</v>
      </c>
      <c r="Q70" s="6" t="s">
        <v>103</v>
      </c>
      <c r="R70" s="12">
        <f>Tableau1[[#This Row],[Loyer €/m²]]*Tableau1[[#This Row],[Surface GLA]]</f>
        <v>54600</v>
      </c>
      <c r="S70" s="6">
        <f>IFERROR(Tableau1[[#This Row],[Loyer annuel]]/12,"")</f>
        <v>4550</v>
      </c>
      <c r="T70" s="12">
        <v>325</v>
      </c>
      <c r="U70" s="6" t="s">
        <v>103</v>
      </c>
      <c r="V70" s="6">
        <f>Tableau1[[#This Row],[Charges €/m²]]*Tableau1[[#This Row],[Surface GLA]]</f>
        <v>5040</v>
      </c>
      <c r="W70" s="12">
        <f>Tableau1[[#This Row],[Charges annuelles]]/12</f>
        <v>420</v>
      </c>
      <c r="X70" s="12">
        <v>30</v>
      </c>
      <c r="Y70" s="12">
        <f>IFERROR(Tableau1[[#This Row],[Taxe foncière €/m²]]*Tableau1[[#This Row],[Surface GLA]],)</f>
        <v>0</v>
      </c>
      <c r="Z70" s="6" t="s">
        <v>103</v>
      </c>
      <c r="AA70" s="12">
        <f>IFERROR(Tableau1[[#This Row],[Marketing €/m²]]*Tableau1[[#This Row],[Surface GLA]],)</f>
        <v>0</v>
      </c>
      <c r="AB70" s="6" t="s">
        <v>103</v>
      </c>
      <c r="AC70" s="12">
        <f>IFERROR(Tableau1[[#This Row],[Loyer annuel]]+Tableau1[[#This Row],[Charges annuelles]]+Tableau1[[#This Row],[Taxe foncière]]+Tableau1[[#This Row],[Marketing]],"")</f>
        <v>59640</v>
      </c>
      <c r="AD70" s="12" t="str">
        <f t="shared" si="1"/>
        <v>3 mois = 13 650 €</v>
      </c>
      <c r="AE70" s="6" t="s">
        <v>103</v>
      </c>
      <c r="AF70" s="6" t="s">
        <v>103</v>
      </c>
      <c r="AG70" s="12" t="s">
        <v>382</v>
      </c>
      <c r="AH70" s="10" t="s">
        <v>75</v>
      </c>
      <c r="AI70" s="10" t="s">
        <v>370</v>
      </c>
      <c r="AJ70" s="4" t="s">
        <v>869</v>
      </c>
      <c r="AK70" s="5" t="s">
        <v>356</v>
      </c>
      <c r="AL70" s="5" t="s">
        <v>368</v>
      </c>
      <c r="AM70" s="11" t="s">
        <v>867</v>
      </c>
      <c r="AN70" s="11" t="s">
        <v>868</v>
      </c>
      <c r="AO70" s="32" t="s">
        <v>506</v>
      </c>
      <c r="AP70" s="35" t="s">
        <v>1075</v>
      </c>
      <c r="AQ70" s="5" t="s">
        <v>75</v>
      </c>
      <c r="AR70" s="11" t="s">
        <v>378</v>
      </c>
      <c r="AS70" s="13" t="s">
        <v>37</v>
      </c>
      <c r="AT70" s="14"/>
      <c r="AU70" s="44"/>
      <c r="AV70" s="1"/>
      <c r="AW70" s="1"/>
      <c r="BD70" s="1"/>
    </row>
    <row r="71" spans="1:56"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874</v>
      </c>
      <c r="I71" s="6" t="s">
        <v>45</v>
      </c>
      <c r="J71" s="6" t="s">
        <v>44</v>
      </c>
      <c r="K71" s="12" t="s">
        <v>103</v>
      </c>
      <c r="L71" s="12" t="s">
        <v>103</v>
      </c>
      <c r="M71" s="36" t="s">
        <v>337</v>
      </c>
      <c r="N71" s="34">
        <v>228</v>
      </c>
      <c r="O71" s="6" t="s">
        <v>103</v>
      </c>
      <c r="P71" s="34" t="s">
        <v>103</v>
      </c>
      <c r="Q71" s="6" t="s">
        <v>103</v>
      </c>
      <c r="R71" s="12">
        <f>Tableau1[[#This Row],[Loyer €/m²]]*Tableau1[[#This Row],[Surface GLA]]</f>
        <v>74100</v>
      </c>
      <c r="S71" s="6">
        <f>IFERROR(Tableau1[[#This Row],[Loyer annuel]]/12,"")</f>
        <v>6175</v>
      </c>
      <c r="T71" s="12">
        <v>325</v>
      </c>
      <c r="U71" s="6" t="s">
        <v>103</v>
      </c>
      <c r="V71" s="6">
        <f>Tableau1[[#This Row],[Charges €/m²]]*Tableau1[[#This Row],[Surface GLA]]</f>
        <v>6840</v>
      </c>
      <c r="W71" s="12">
        <f>Tableau1[[#This Row],[Charges annuelles]]/12</f>
        <v>570</v>
      </c>
      <c r="X71" s="12">
        <v>30</v>
      </c>
      <c r="Y71" s="12">
        <f>IFERROR(Tableau1[[#This Row],[Taxe foncière €/m²]]*Tableau1[[#This Row],[Surface GLA]],)</f>
        <v>0</v>
      </c>
      <c r="Z71" s="6" t="s">
        <v>103</v>
      </c>
      <c r="AA71" s="12">
        <f>IFERROR(Tableau1[[#This Row],[Marketing €/m²]]*Tableau1[[#This Row],[Surface GLA]],)</f>
        <v>0</v>
      </c>
      <c r="AB71" s="6" t="s">
        <v>103</v>
      </c>
      <c r="AC71" s="12">
        <f>IFERROR(Tableau1[[#This Row],[Loyer annuel]]+Tableau1[[#This Row],[Charges annuelles]]+Tableau1[[#This Row],[Taxe foncière]]+Tableau1[[#This Row],[Marketing]],"")</f>
        <v>80940</v>
      </c>
      <c r="AD71" s="12" t="str">
        <f t="shared" si="1"/>
        <v>3 mois = 18 525 €</v>
      </c>
      <c r="AE71" s="6" t="s">
        <v>103</v>
      </c>
      <c r="AF71" s="6" t="s">
        <v>103</v>
      </c>
      <c r="AG71" s="12" t="s">
        <v>382</v>
      </c>
      <c r="AH71" s="10" t="s">
        <v>75</v>
      </c>
      <c r="AI71" s="10" t="s">
        <v>370</v>
      </c>
      <c r="AJ71" s="4" t="s">
        <v>869</v>
      </c>
      <c r="AK71" s="5" t="s">
        <v>356</v>
      </c>
      <c r="AL71" s="5" t="s">
        <v>368</v>
      </c>
      <c r="AM71" s="11" t="s">
        <v>845</v>
      </c>
      <c r="AN71" s="11" t="s">
        <v>846</v>
      </c>
      <c r="AO71" s="32" t="s">
        <v>507</v>
      </c>
      <c r="AP71" s="35" t="s">
        <v>1076</v>
      </c>
      <c r="AQ71" s="5" t="s">
        <v>75</v>
      </c>
      <c r="AR71" s="11" t="s">
        <v>378</v>
      </c>
      <c r="AS71" s="13" t="s">
        <v>37</v>
      </c>
      <c r="AT71" s="14"/>
      <c r="AU71" s="44"/>
      <c r="AV71" s="1"/>
      <c r="AW71" s="1"/>
      <c r="BD71" s="1"/>
    </row>
    <row r="72" spans="1:56"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874</v>
      </c>
      <c r="I72" s="6" t="s">
        <v>45</v>
      </c>
      <c r="J72" s="6" t="s">
        <v>44</v>
      </c>
      <c r="K72" s="12" t="s">
        <v>103</v>
      </c>
      <c r="L72" s="12" t="s">
        <v>103</v>
      </c>
      <c r="M72" s="36" t="s">
        <v>338</v>
      </c>
      <c r="N72" s="34">
        <v>133</v>
      </c>
      <c r="O72" s="6" t="s">
        <v>103</v>
      </c>
      <c r="P72" s="34" t="s">
        <v>103</v>
      </c>
      <c r="Q72" s="6" t="s">
        <v>103</v>
      </c>
      <c r="R72" s="12">
        <f>Tableau1[[#This Row],[Loyer €/m²]]*Tableau1[[#This Row],[Surface GLA]]</f>
        <v>43225</v>
      </c>
      <c r="S72" s="6">
        <f>IFERROR(Tableau1[[#This Row],[Loyer annuel]]/12,"")</f>
        <v>3602.0833333333335</v>
      </c>
      <c r="T72" s="12">
        <v>325</v>
      </c>
      <c r="U72" s="6" t="s">
        <v>103</v>
      </c>
      <c r="V72" s="6">
        <f>Tableau1[[#This Row],[Charges €/m²]]*Tableau1[[#This Row],[Surface GLA]]</f>
        <v>3990</v>
      </c>
      <c r="W72" s="12">
        <f>Tableau1[[#This Row],[Charges annuelles]]/12</f>
        <v>332.5</v>
      </c>
      <c r="X72" s="12">
        <v>30</v>
      </c>
      <c r="Y72" s="12">
        <f>IFERROR(Tableau1[[#This Row],[Taxe foncière €/m²]]*Tableau1[[#This Row],[Surface GLA]],)</f>
        <v>0</v>
      </c>
      <c r="Z72" s="6" t="s">
        <v>103</v>
      </c>
      <c r="AA72" s="12">
        <f>IFERROR(Tableau1[[#This Row],[Marketing €/m²]]*Tableau1[[#This Row],[Surface GLA]],)</f>
        <v>0</v>
      </c>
      <c r="AB72" s="6" t="s">
        <v>103</v>
      </c>
      <c r="AC72" s="12">
        <f>IFERROR(Tableau1[[#This Row],[Loyer annuel]]+Tableau1[[#This Row],[Charges annuelles]]+Tableau1[[#This Row],[Taxe foncière]]+Tableau1[[#This Row],[Marketing]],"")</f>
        <v>47215</v>
      </c>
      <c r="AD72" s="12" t="str">
        <f t="shared" si="1"/>
        <v>3 mois = 10 806 €</v>
      </c>
      <c r="AE72" s="6" t="s">
        <v>103</v>
      </c>
      <c r="AF72" s="6" t="s">
        <v>103</v>
      </c>
      <c r="AG72" s="12" t="s">
        <v>382</v>
      </c>
      <c r="AH72" s="10" t="s">
        <v>75</v>
      </c>
      <c r="AI72" s="10" t="s">
        <v>370</v>
      </c>
      <c r="AJ72" s="4" t="s">
        <v>869</v>
      </c>
      <c r="AK72" s="5" t="s">
        <v>356</v>
      </c>
      <c r="AL72" s="5" t="s">
        <v>368</v>
      </c>
      <c r="AM72" s="11" t="s">
        <v>847</v>
      </c>
      <c r="AN72" s="11" t="s">
        <v>848</v>
      </c>
      <c r="AO72" s="32" t="s">
        <v>508</v>
      </c>
      <c r="AP72" s="35" t="s">
        <v>1077</v>
      </c>
      <c r="AQ72" s="5" t="s">
        <v>75</v>
      </c>
      <c r="AR72" s="11" t="s">
        <v>378</v>
      </c>
      <c r="AS72" s="13" t="s">
        <v>37</v>
      </c>
      <c r="AT72" s="14"/>
      <c r="AU72" s="44"/>
      <c r="AV72" s="1"/>
      <c r="AW72" s="1"/>
      <c r="BD72" s="1"/>
    </row>
    <row r="73" spans="1:56"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875</v>
      </c>
      <c r="I73" s="6" t="s">
        <v>45</v>
      </c>
      <c r="J73" s="6" t="s">
        <v>44</v>
      </c>
      <c r="K73" s="12" t="s">
        <v>103</v>
      </c>
      <c r="L73" s="12" t="s">
        <v>103</v>
      </c>
      <c r="M73" s="36" t="s">
        <v>339</v>
      </c>
      <c r="N73" s="34">
        <v>341</v>
      </c>
      <c r="O73" s="6" t="s">
        <v>103</v>
      </c>
      <c r="P73" s="34" t="s">
        <v>103</v>
      </c>
      <c r="Q73" s="6" t="s">
        <v>103</v>
      </c>
      <c r="R73" s="12">
        <f>Tableau1[[#This Row],[Loyer €/m²]]*Tableau1[[#This Row],[Surface GLA]]</f>
        <v>119350</v>
      </c>
      <c r="S73" s="6">
        <f>IFERROR(Tableau1[[#This Row],[Loyer annuel]]/12,"")</f>
        <v>9945.8333333333339</v>
      </c>
      <c r="T73" s="12">
        <v>350</v>
      </c>
      <c r="U73" s="6" t="s">
        <v>103</v>
      </c>
      <c r="V73" s="6">
        <f>Tableau1[[#This Row],[Charges €/m²]]*Tableau1[[#This Row],[Surface GLA]]</f>
        <v>10230</v>
      </c>
      <c r="W73" s="12">
        <f>Tableau1[[#This Row],[Charges annuelles]]/12</f>
        <v>852.5</v>
      </c>
      <c r="X73" s="12">
        <v>30</v>
      </c>
      <c r="Y73" s="12">
        <f>IFERROR(Tableau1[[#This Row],[Taxe foncière €/m²]]*Tableau1[[#This Row],[Surface GLA]],)</f>
        <v>0</v>
      </c>
      <c r="Z73" s="6" t="s">
        <v>103</v>
      </c>
      <c r="AA73" s="12">
        <f>IFERROR(Tableau1[[#This Row],[Marketing €/m²]]*Tableau1[[#This Row],[Surface GLA]],)</f>
        <v>0</v>
      </c>
      <c r="AB73" s="6" t="s">
        <v>103</v>
      </c>
      <c r="AC73" s="12">
        <f>IFERROR(Tableau1[[#This Row],[Loyer annuel]]+Tableau1[[#This Row],[Charges annuelles]]+Tableau1[[#This Row],[Taxe foncière]]+Tableau1[[#This Row],[Marketing]],"")</f>
        <v>129580</v>
      </c>
      <c r="AD73" s="12" t="str">
        <f t="shared" si="1"/>
        <v>3 mois = 29 838 €</v>
      </c>
      <c r="AE73" s="6" t="s">
        <v>103</v>
      </c>
      <c r="AF73" s="6" t="s">
        <v>103</v>
      </c>
      <c r="AG73" s="12" t="s">
        <v>382</v>
      </c>
      <c r="AH73" s="10" t="s">
        <v>75</v>
      </c>
      <c r="AI73" s="10" t="s">
        <v>370</v>
      </c>
      <c r="AJ73" s="4" t="s">
        <v>869</v>
      </c>
      <c r="AK73" s="5" t="s">
        <v>356</v>
      </c>
      <c r="AL73" s="5" t="s">
        <v>368</v>
      </c>
      <c r="AM73" s="11" t="s">
        <v>843</v>
      </c>
      <c r="AN73" s="11" t="s">
        <v>844</v>
      </c>
      <c r="AO73" s="32" t="s">
        <v>509</v>
      </c>
      <c r="AP73" s="35" t="s">
        <v>1078</v>
      </c>
      <c r="AQ73" s="5" t="s">
        <v>75</v>
      </c>
      <c r="AR73" s="11" t="s">
        <v>378</v>
      </c>
      <c r="AS73" s="13" t="s">
        <v>37</v>
      </c>
      <c r="AT73" s="14"/>
      <c r="AU73" s="44"/>
      <c r="AV73" s="1"/>
      <c r="AW73" s="1"/>
      <c r="BD73" s="1"/>
    </row>
    <row r="74" spans="1:56"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876</v>
      </c>
      <c r="I74" s="6" t="s">
        <v>45</v>
      </c>
      <c r="J74" s="6" t="s">
        <v>44</v>
      </c>
      <c r="K74" s="12" t="s">
        <v>103</v>
      </c>
      <c r="L74" s="12" t="s">
        <v>103</v>
      </c>
      <c r="M74" s="36" t="s">
        <v>340</v>
      </c>
      <c r="N74" s="34">
        <v>444</v>
      </c>
      <c r="O74" s="6" t="s">
        <v>103</v>
      </c>
      <c r="P74" s="34" t="s">
        <v>103</v>
      </c>
      <c r="Q74" s="6" t="s">
        <v>103</v>
      </c>
      <c r="R74" s="12">
        <f>Tableau1[[#This Row],[Loyer €/m²]]*Tableau1[[#This Row],[Surface GLA]]</f>
        <v>155400</v>
      </c>
      <c r="S74" s="6">
        <f>IFERROR(Tableau1[[#This Row],[Loyer annuel]]/12,"")</f>
        <v>12950</v>
      </c>
      <c r="T74" s="12">
        <v>350</v>
      </c>
      <c r="U74" s="6" t="s">
        <v>103</v>
      </c>
      <c r="V74" s="6">
        <f>Tableau1[[#This Row],[Charges €/m²]]*Tableau1[[#This Row],[Surface GLA]]</f>
        <v>13320</v>
      </c>
      <c r="W74" s="12">
        <f>Tableau1[[#This Row],[Charges annuelles]]/12</f>
        <v>1110</v>
      </c>
      <c r="X74" s="12">
        <v>30</v>
      </c>
      <c r="Y74" s="12">
        <f>IFERROR(Tableau1[[#This Row],[Taxe foncière €/m²]]*Tableau1[[#This Row],[Surface GLA]],)</f>
        <v>0</v>
      </c>
      <c r="Z74" s="6" t="s">
        <v>103</v>
      </c>
      <c r="AA74" s="12">
        <f>IFERROR(Tableau1[[#This Row],[Marketing €/m²]]*Tableau1[[#This Row],[Surface GLA]],)</f>
        <v>0</v>
      </c>
      <c r="AB74" s="6" t="s">
        <v>103</v>
      </c>
      <c r="AC74" s="12">
        <f>IFERROR(Tableau1[[#This Row],[Loyer annuel]]+Tableau1[[#This Row],[Charges annuelles]]+Tableau1[[#This Row],[Taxe foncière]]+Tableau1[[#This Row],[Marketing]],"")</f>
        <v>168720</v>
      </c>
      <c r="AD74" s="12" t="str">
        <f t="shared" si="1"/>
        <v>3 mois = 38 850 €</v>
      </c>
      <c r="AE74" s="6" t="s">
        <v>103</v>
      </c>
      <c r="AF74" s="6" t="s">
        <v>103</v>
      </c>
      <c r="AG74" s="12" t="s">
        <v>382</v>
      </c>
      <c r="AH74" s="10" t="s">
        <v>75</v>
      </c>
      <c r="AI74" s="10" t="s">
        <v>370</v>
      </c>
      <c r="AJ74" s="4" t="s">
        <v>869</v>
      </c>
      <c r="AK74" s="5" t="s">
        <v>356</v>
      </c>
      <c r="AL74" s="5" t="s">
        <v>368</v>
      </c>
      <c r="AM74" s="11" t="s">
        <v>849</v>
      </c>
      <c r="AN74" s="11" t="s">
        <v>850</v>
      </c>
      <c r="AO74" s="32" t="s">
        <v>510</v>
      </c>
      <c r="AP74" s="35" t="s">
        <v>1079</v>
      </c>
      <c r="AQ74" s="5" t="s">
        <v>75</v>
      </c>
      <c r="AR74" s="11" t="s">
        <v>378</v>
      </c>
      <c r="AS74" s="13" t="s">
        <v>37</v>
      </c>
      <c r="AT74" s="14"/>
      <c r="AU74" s="44"/>
      <c r="AV74" s="1"/>
      <c r="AW74" s="1"/>
      <c r="BD74" s="1"/>
    </row>
    <row r="75" spans="1:56"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877</v>
      </c>
      <c r="I75" s="6" t="s">
        <v>45</v>
      </c>
      <c r="J75" s="6" t="s">
        <v>44</v>
      </c>
      <c r="K75" s="12" t="s">
        <v>103</v>
      </c>
      <c r="L75" s="12" t="s">
        <v>103</v>
      </c>
      <c r="M75" s="36" t="s">
        <v>341</v>
      </c>
      <c r="N75" s="34">
        <v>206</v>
      </c>
      <c r="O75" s="6" t="s">
        <v>103</v>
      </c>
      <c r="P75" s="34" t="s">
        <v>103</v>
      </c>
      <c r="Q75" s="6" t="s">
        <v>103</v>
      </c>
      <c r="R75" s="12">
        <f>Tableau1[[#This Row],[Loyer €/m²]]*Tableau1[[#This Row],[Surface GLA]]</f>
        <v>72100</v>
      </c>
      <c r="S75" s="6">
        <f>IFERROR(Tableau1[[#This Row],[Loyer annuel]]/12,"")</f>
        <v>6008.333333333333</v>
      </c>
      <c r="T75" s="12">
        <v>350</v>
      </c>
      <c r="U75" s="6" t="s">
        <v>103</v>
      </c>
      <c r="V75" s="6">
        <f>Tableau1[[#This Row],[Charges €/m²]]*Tableau1[[#This Row],[Surface GLA]]</f>
        <v>6180</v>
      </c>
      <c r="W75" s="12">
        <f>Tableau1[[#This Row],[Charges annuelles]]/12</f>
        <v>515</v>
      </c>
      <c r="X75" s="12">
        <v>30</v>
      </c>
      <c r="Y75" s="12">
        <f>IFERROR(Tableau1[[#This Row],[Taxe foncière €/m²]]*Tableau1[[#This Row],[Surface GLA]],)</f>
        <v>0</v>
      </c>
      <c r="Z75" s="6" t="s">
        <v>103</v>
      </c>
      <c r="AA75" s="12">
        <f>IFERROR(Tableau1[[#This Row],[Marketing €/m²]]*Tableau1[[#This Row],[Surface GLA]],)</f>
        <v>0</v>
      </c>
      <c r="AB75" s="6" t="s">
        <v>103</v>
      </c>
      <c r="AC75" s="12">
        <f>IFERROR(Tableau1[[#This Row],[Loyer annuel]]+Tableau1[[#This Row],[Charges annuelles]]+Tableau1[[#This Row],[Taxe foncière]]+Tableau1[[#This Row],[Marketing]],"")</f>
        <v>78280</v>
      </c>
      <c r="AD75" s="12" t="str">
        <f t="shared" si="1"/>
        <v>3 mois = 18 025 €</v>
      </c>
      <c r="AE75" s="6" t="s">
        <v>103</v>
      </c>
      <c r="AF75" s="6" t="s">
        <v>103</v>
      </c>
      <c r="AG75" s="12" t="s">
        <v>382</v>
      </c>
      <c r="AH75" s="10" t="s">
        <v>75</v>
      </c>
      <c r="AI75" s="10" t="s">
        <v>370</v>
      </c>
      <c r="AJ75" s="4" t="s">
        <v>869</v>
      </c>
      <c r="AK75" s="5" t="s">
        <v>356</v>
      </c>
      <c r="AL75" s="5" t="s">
        <v>368</v>
      </c>
      <c r="AM75" s="11" t="s">
        <v>851</v>
      </c>
      <c r="AN75" s="11" t="s">
        <v>852</v>
      </c>
      <c r="AO75" s="32" t="s">
        <v>511</v>
      </c>
      <c r="AP75" s="35" t="s">
        <v>1080</v>
      </c>
      <c r="AQ75" s="5" t="s">
        <v>75</v>
      </c>
      <c r="AR75" s="11" t="s">
        <v>378</v>
      </c>
      <c r="AS75" s="13" t="s">
        <v>37</v>
      </c>
      <c r="AT75" s="14"/>
      <c r="AU75" s="44"/>
      <c r="AV75" s="1"/>
      <c r="AW75" s="1"/>
      <c r="BD75" s="1"/>
    </row>
    <row r="76" spans="1:56"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879</v>
      </c>
      <c r="I76" s="6" t="s">
        <v>45</v>
      </c>
      <c r="J76" s="6" t="s">
        <v>44</v>
      </c>
      <c r="K76" s="12" t="s">
        <v>103</v>
      </c>
      <c r="L76" s="12" t="s">
        <v>103</v>
      </c>
      <c r="M76" s="36" t="s">
        <v>342</v>
      </c>
      <c r="N76" s="34">
        <v>231</v>
      </c>
      <c r="O76" s="6" t="s">
        <v>103</v>
      </c>
      <c r="P76" s="34" t="s">
        <v>103</v>
      </c>
      <c r="Q76" s="6" t="s">
        <v>103</v>
      </c>
      <c r="R76" s="12">
        <f>Tableau1[[#This Row],[Loyer €/m²]]*Tableau1[[#This Row],[Surface GLA]]</f>
        <v>92400</v>
      </c>
      <c r="S76" s="6">
        <f>IFERROR(Tableau1[[#This Row],[Loyer annuel]]/12,"")</f>
        <v>7700</v>
      </c>
      <c r="T76" s="12">
        <v>400</v>
      </c>
      <c r="U76" s="6" t="s">
        <v>103</v>
      </c>
      <c r="V76" s="6">
        <f>Tableau1[[#This Row],[Charges €/m²]]*Tableau1[[#This Row],[Surface GLA]]</f>
        <v>6930</v>
      </c>
      <c r="W76" s="12">
        <f>Tableau1[[#This Row],[Charges annuelles]]/12</f>
        <v>577.5</v>
      </c>
      <c r="X76" s="12">
        <v>30</v>
      </c>
      <c r="Y76" s="12">
        <f>IFERROR(Tableau1[[#This Row],[Taxe foncière €/m²]]*Tableau1[[#This Row],[Surface GLA]],)</f>
        <v>0</v>
      </c>
      <c r="Z76" s="6" t="s">
        <v>103</v>
      </c>
      <c r="AA76" s="12">
        <f>IFERROR(Tableau1[[#This Row],[Marketing €/m²]]*Tableau1[[#This Row],[Surface GLA]],)</f>
        <v>0</v>
      </c>
      <c r="AB76" s="6" t="s">
        <v>103</v>
      </c>
      <c r="AC76" s="12">
        <f>IFERROR(Tableau1[[#This Row],[Loyer annuel]]+Tableau1[[#This Row],[Charges annuelles]]+Tableau1[[#This Row],[Taxe foncière]]+Tableau1[[#This Row],[Marketing]],"")</f>
        <v>99330</v>
      </c>
      <c r="AD76" s="12" t="str">
        <f t="shared" si="1"/>
        <v>3 mois = 23 100 €</v>
      </c>
      <c r="AE76" s="6" t="s">
        <v>103</v>
      </c>
      <c r="AF76" s="6" t="s">
        <v>103</v>
      </c>
      <c r="AG76" s="12" t="s">
        <v>382</v>
      </c>
      <c r="AH76" s="10" t="s">
        <v>75</v>
      </c>
      <c r="AI76" s="10" t="s">
        <v>370</v>
      </c>
      <c r="AJ76" s="4" t="s">
        <v>869</v>
      </c>
      <c r="AK76" s="5" t="s">
        <v>356</v>
      </c>
      <c r="AL76" s="5" t="s">
        <v>368</v>
      </c>
      <c r="AM76" s="11" t="s">
        <v>853</v>
      </c>
      <c r="AN76" s="11" t="s">
        <v>854</v>
      </c>
      <c r="AO76" s="32" t="s">
        <v>512</v>
      </c>
      <c r="AP76" s="35" t="s">
        <v>1081</v>
      </c>
      <c r="AQ76" s="5" t="s">
        <v>75</v>
      </c>
      <c r="AR76" s="11" t="s">
        <v>378</v>
      </c>
      <c r="AS76" s="13" t="s">
        <v>37</v>
      </c>
      <c r="AT76" s="14"/>
      <c r="AU76" s="44"/>
      <c r="AV76" s="1"/>
      <c r="AW76" s="1"/>
      <c r="BD76" s="1"/>
    </row>
    <row r="77" spans="1:56"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878</v>
      </c>
      <c r="I77" s="6" t="s">
        <v>45</v>
      </c>
      <c r="J77" s="6" t="s">
        <v>44</v>
      </c>
      <c r="K77" s="12" t="s">
        <v>103</v>
      </c>
      <c r="L77" s="12" t="s">
        <v>103</v>
      </c>
      <c r="M77" s="36" t="s">
        <v>343</v>
      </c>
      <c r="N77" s="34">
        <v>235</v>
      </c>
      <c r="O77" s="6" t="s">
        <v>103</v>
      </c>
      <c r="P77" s="34" t="s">
        <v>103</v>
      </c>
      <c r="Q77" s="6" t="s">
        <v>103</v>
      </c>
      <c r="R77" s="12">
        <f>Tableau1[[#This Row],[Loyer €/m²]]*Tableau1[[#This Row],[Surface GLA]]</f>
        <v>82250</v>
      </c>
      <c r="S77" s="6">
        <f>IFERROR(Tableau1[[#This Row],[Loyer annuel]]/12,"")</f>
        <v>6854.166666666667</v>
      </c>
      <c r="T77" s="12">
        <v>350</v>
      </c>
      <c r="U77" s="6" t="s">
        <v>103</v>
      </c>
      <c r="V77" s="6">
        <f>Tableau1[[#This Row],[Charges €/m²]]*Tableau1[[#This Row],[Surface GLA]]</f>
        <v>7050</v>
      </c>
      <c r="W77" s="12">
        <f>Tableau1[[#This Row],[Charges annuelles]]/12</f>
        <v>587.5</v>
      </c>
      <c r="X77" s="12">
        <v>30</v>
      </c>
      <c r="Y77" s="12">
        <f>IFERROR(Tableau1[[#This Row],[Taxe foncière €/m²]]*Tableau1[[#This Row],[Surface GLA]],)</f>
        <v>0</v>
      </c>
      <c r="Z77" s="6" t="s">
        <v>103</v>
      </c>
      <c r="AA77" s="12">
        <f>IFERROR(Tableau1[[#This Row],[Marketing €/m²]]*Tableau1[[#This Row],[Surface GLA]],)</f>
        <v>0</v>
      </c>
      <c r="AB77" s="6" t="s">
        <v>103</v>
      </c>
      <c r="AC77" s="12">
        <f>IFERROR(Tableau1[[#This Row],[Loyer annuel]]+Tableau1[[#This Row],[Charges annuelles]]+Tableau1[[#This Row],[Taxe foncière]]+Tableau1[[#This Row],[Marketing]],"")</f>
        <v>89300</v>
      </c>
      <c r="AD77" s="12" t="str">
        <f t="shared" si="1"/>
        <v>3 mois = 20 563 €</v>
      </c>
      <c r="AE77" s="6" t="s">
        <v>103</v>
      </c>
      <c r="AF77" s="6" t="s">
        <v>103</v>
      </c>
      <c r="AG77" s="12" t="s">
        <v>382</v>
      </c>
      <c r="AH77" s="10" t="s">
        <v>75</v>
      </c>
      <c r="AI77" s="10" t="s">
        <v>370</v>
      </c>
      <c r="AJ77" s="4" t="s">
        <v>869</v>
      </c>
      <c r="AK77" s="5" t="s">
        <v>356</v>
      </c>
      <c r="AL77" s="5" t="s">
        <v>368</v>
      </c>
      <c r="AM77" s="11" t="s">
        <v>855</v>
      </c>
      <c r="AN77" s="11" t="s">
        <v>856</v>
      </c>
      <c r="AO77" s="32" t="s">
        <v>513</v>
      </c>
      <c r="AP77" s="35" t="s">
        <v>1082</v>
      </c>
      <c r="AQ77" s="5" t="s">
        <v>75</v>
      </c>
      <c r="AR77" s="11" t="s">
        <v>378</v>
      </c>
      <c r="AS77" s="13" t="s">
        <v>37</v>
      </c>
      <c r="AT77" s="14"/>
      <c r="AU77" s="44"/>
      <c r="AV77" s="1"/>
      <c r="AW77" s="1"/>
      <c r="BD77" s="1"/>
    </row>
    <row r="78" spans="1:56"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880</v>
      </c>
      <c r="I78" s="6" t="s">
        <v>45</v>
      </c>
      <c r="J78" s="6" t="s">
        <v>44</v>
      </c>
      <c r="K78" s="12" t="s">
        <v>103</v>
      </c>
      <c r="L78" s="12" t="s">
        <v>103</v>
      </c>
      <c r="M78" s="36" t="s">
        <v>344</v>
      </c>
      <c r="N78" s="34">
        <v>333</v>
      </c>
      <c r="O78" s="6" t="s">
        <v>103</v>
      </c>
      <c r="P78" s="34" t="s">
        <v>103</v>
      </c>
      <c r="Q78" s="6" t="s">
        <v>103</v>
      </c>
      <c r="R78" s="12">
        <f>Tableau1[[#This Row],[Loyer €/m²]]*Tableau1[[#This Row],[Surface GLA]]</f>
        <v>108225</v>
      </c>
      <c r="S78" s="6">
        <f>IFERROR(Tableau1[[#This Row],[Loyer annuel]]/12,"")</f>
        <v>9018.75</v>
      </c>
      <c r="T78" s="12">
        <v>325</v>
      </c>
      <c r="U78" s="6" t="s">
        <v>103</v>
      </c>
      <c r="V78" s="6">
        <f>Tableau1[[#This Row],[Charges €/m²]]*Tableau1[[#This Row],[Surface GLA]]</f>
        <v>9990</v>
      </c>
      <c r="W78" s="12">
        <f>Tableau1[[#This Row],[Charges annuelles]]/12</f>
        <v>832.5</v>
      </c>
      <c r="X78" s="12">
        <v>30</v>
      </c>
      <c r="Y78" s="12">
        <f>IFERROR(Tableau1[[#This Row],[Taxe foncière €/m²]]*Tableau1[[#This Row],[Surface GLA]],)</f>
        <v>0</v>
      </c>
      <c r="Z78" s="6" t="s">
        <v>103</v>
      </c>
      <c r="AA78" s="12">
        <f>IFERROR(Tableau1[[#This Row],[Marketing €/m²]]*Tableau1[[#This Row],[Surface GLA]],)</f>
        <v>0</v>
      </c>
      <c r="AB78" s="6" t="s">
        <v>103</v>
      </c>
      <c r="AC78" s="12">
        <f>IFERROR(Tableau1[[#This Row],[Loyer annuel]]+Tableau1[[#This Row],[Charges annuelles]]+Tableau1[[#This Row],[Taxe foncière]]+Tableau1[[#This Row],[Marketing]],"")</f>
        <v>118215</v>
      </c>
      <c r="AD78" s="12" t="str">
        <f t="shared" si="1"/>
        <v>3 mois = 27 056 €</v>
      </c>
      <c r="AE78" s="6" t="s">
        <v>103</v>
      </c>
      <c r="AF78" s="6" t="s">
        <v>103</v>
      </c>
      <c r="AG78" s="12" t="s">
        <v>382</v>
      </c>
      <c r="AH78" s="10" t="s">
        <v>75</v>
      </c>
      <c r="AI78" s="10" t="s">
        <v>370</v>
      </c>
      <c r="AJ78" s="4" t="s">
        <v>869</v>
      </c>
      <c r="AK78" s="5" t="s">
        <v>356</v>
      </c>
      <c r="AL78" s="5" t="s">
        <v>368</v>
      </c>
      <c r="AM78" s="11" t="s">
        <v>819</v>
      </c>
      <c r="AN78" s="11" t="s">
        <v>820</v>
      </c>
      <c r="AO78" s="32" t="s">
        <v>514</v>
      </c>
      <c r="AP78" s="35" t="s">
        <v>1083</v>
      </c>
      <c r="AQ78" s="5" t="s">
        <v>75</v>
      </c>
      <c r="AR78" s="11" t="s">
        <v>378</v>
      </c>
      <c r="AS78" s="13" t="s">
        <v>37</v>
      </c>
      <c r="AT78" s="14"/>
      <c r="AU78" s="44"/>
      <c r="AV78" s="1"/>
      <c r="AW78" s="1"/>
      <c r="BD78" s="1"/>
    </row>
    <row r="79" spans="1:56"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881</v>
      </c>
      <c r="I79" s="6" t="s">
        <v>45</v>
      </c>
      <c r="J79" s="6" t="s">
        <v>44</v>
      </c>
      <c r="K79" s="12" t="s">
        <v>103</v>
      </c>
      <c r="L79" s="12" t="s">
        <v>103</v>
      </c>
      <c r="M79" s="36" t="s">
        <v>345</v>
      </c>
      <c r="N79" s="34">
        <v>177</v>
      </c>
      <c r="O79" s="6" t="s">
        <v>103</v>
      </c>
      <c r="P79" s="34" t="s">
        <v>103</v>
      </c>
      <c r="Q79" s="6" t="s">
        <v>103</v>
      </c>
      <c r="R79" s="12">
        <f>Tableau1[[#This Row],[Loyer €/m²]]*Tableau1[[#This Row],[Surface GLA]]</f>
        <v>61950</v>
      </c>
      <c r="S79" s="6">
        <f>IFERROR(Tableau1[[#This Row],[Loyer annuel]]/12,"")</f>
        <v>5162.5</v>
      </c>
      <c r="T79" s="12">
        <v>350</v>
      </c>
      <c r="U79" s="6" t="s">
        <v>103</v>
      </c>
      <c r="V79" s="6">
        <f>Tableau1[[#This Row],[Charges €/m²]]*Tableau1[[#This Row],[Surface GLA]]</f>
        <v>5310</v>
      </c>
      <c r="W79" s="12">
        <f>Tableau1[[#This Row],[Charges annuelles]]/12</f>
        <v>442.5</v>
      </c>
      <c r="X79" s="12">
        <v>30</v>
      </c>
      <c r="Y79" s="12">
        <f>IFERROR(Tableau1[[#This Row],[Taxe foncière €/m²]]*Tableau1[[#This Row],[Surface GLA]],)</f>
        <v>0</v>
      </c>
      <c r="Z79" s="6" t="s">
        <v>103</v>
      </c>
      <c r="AA79" s="12">
        <f>IFERROR(Tableau1[[#This Row],[Marketing €/m²]]*Tableau1[[#This Row],[Surface GLA]],)</f>
        <v>0</v>
      </c>
      <c r="AB79" s="6" t="s">
        <v>103</v>
      </c>
      <c r="AC79" s="12">
        <f>IFERROR(Tableau1[[#This Row],[Loyer annuel]]+Tableau1[[#This Row],[Charges annuelles]]+Tableau1[[#This Row],[Taxe foncière]]+Tableau1[[#This Row],[Marketing]],"")</f>
        <v>67260</v>
      </c>
      <c r="AD79" s="12" t="str">
        <f t="shared" si="1"/>
        <v>3 mois = 15 488 €</v>
      </c>
      <c r="AE79" s="6" t="s">
        <v>103</v>
      </c>
      <c r="AF79" s="6" t="s">
        <v>103</v>
      </c>
      <c r="AG79" s="12" t="s">
        <v>382</v>
      </c>
      <c r="AH79" s="10" t="s">
        <v>75</v>
      </c>
      <c r="AI79" s="10" t="s">
        <v>370</v>
      </c>
      <c r="AJ79" s="4" t="s">
        <v>869</v>
      </c>
      <c r="AK79" s="5" t="s">
        <v>356</v>
      </c>
      <c r="AL79" s="5" t="s">
        <v>368</v>
      </c>
      <c r="AM79" s="11" t="s">
        <v>821</v>
      </c>
      <c r="AN79" s="11" t="s">
        <v>822</v>
      </c>
      <c r="AO79" s="32" t="s">
        <v>515</v>
      </c>
      <c r="AP79" s="35" t="s">
        <v>1084</v>
      </c>
      <c r="AQ79" s="5" t="s">
        <v>75</v>
      </c>
      <c r="AR79" s="11" t="s">
        <v>378</v>
      </c>
      <c r="AS79" s="13" t="s">
        <v>37</v>
      </c>
      <c r="AT79" s="14"/>
      <c r="AU79" s="44"/>
      <c r="AV79" s="1"/>
      <c r="AW79" s="1"/>
      <c r="BD79" s="1"/>
    </row>
    <row r="80" spans="1:56"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882</v>
      </c>
      <c r="I80" s="6" t="s">
        <v>45</v>
      </c>
      <c r="J80" s="6" t="s">
        <v>44</v>
      </c>
      <c r="K80" s="12" t="s">
        <v>103</v>
      </c>
      <c r="L80" s="12" t="s">
        <v>103</v>
      </c>
      <c r="M80" s="36" t="s">
        <v>346</v>
      </c>
      <c r="N80" s="34">
        <v>99</v>
      </c>
      <c r="O80" s="6" t="s">
        <v>103</v>
      </c>
      <c r="P80" s="34" t="s">
        <v>103</v>
      </c>
      <c r="Q80" s="6" t="s">
        <v>103</v>
      </c>
      <c r="R80" s="12">
        <f>Tableau1[[#This Row],[Loyer €/m²]]*Tableau1[[#This Row],[Surface GLA]]</f>
        <v>34650</v>
      </c>
      <c r="S80" s="6">
        <f>IFERROR(Tableau1[[#This Row],[Loyer annuel]]/12,"")</f>
        <v>2887.5</v>
      </c>
      <c r="T80" s="12">
        <v>350</v>
      </c>
      <c r="U80" s="6" t="s">
        <v>103</v>
      </c>
      <c r="V80" s="6">
        <f>Tableau1[[#This Row],[Charges €/m²]]*Tableau1[[#This Row],[Surface GLA]]</f>
        <v>2970</v>
      </c>
      <c r="W80" s="12">
        <f>Tableau1[[#This Row],[Charges annuelles]]/12</f>
        <v>247.5</v>
      </c>
      <c r="X80" s="12">
        <v>30</v>
      </c>
      <c r="Y80" s="12">
        <f>IFERROR(Tableau1[[#This Row],[Taxe foncière €/m²]]*Tableau1[[#This Row],[Surface GLA]],)</f>
        <v>0</v>
      </c>
      <c r="Z80" s="6" t="s">
        <v>103</v>
      </c>
      <c r="AA80" s="12">
        <f>IFERROR(Tableau1[[#This Row],[Marketing €/m²]]*Tableau1[[#This Row],[Surface GLA]],)</f>
        <v>0</v>
      </c>
      <c r="AB80" s="6" t="s">
        <v>103</v>
      </c>
      <c r="AC80" s="12">
        <f>IFERROR(Tableau1[[#This Row],[Loyer annuel]]+Tableau1[[#This Row],[Charges annuelles]]+Tableau1[[#This Row],[Taxe foncière]]+Tableau1[[#This Row],[Marketing]],"")</f>
        <v>37620</v>
      </c>
      <c r="AD80" s="12" t="str">
        <f t="shared" si="1"/>
        <v>3 mois = 8 663 €</v>
      </c>
      <c r="AE80" s="6" t="s">
        <v>103</v>
      </c>
      <c r="AF80" s="6" t="s">
        <v>103</v>
      </c>
      <c r="AG80" s="12" t="s">
        <v>382</v>
      </c>
      <c r="AH80" s="10" t="s">
        <v>75</v>
      </c>
      <c r="AI80" s="10" t="s">
        <v>370</v>
      </c>
      <c r="AJ80" s="4" t="s">
        <v>869</v>
      </c>
      <c r="AK80" s="5" t="s">
        <v>356</v>
      </c>
      <c r="AL80" s="5" t="s">
        <v>368</v>
      </c>
      <c r="AM80" s="11" t="s">
        <v>823</v>
      </c>
      <c r="AN80" s="11" t="s">
        <v>824</v>
      </c>
      <c r="AO80" s="32" t="s">
        <v>516</v>
      </c>
      <c r="AP80" s="35" t="s">
        <v>1085</v>
      </c>
      <c r="AQ80" s="5" t="s">
        <v>75</v>
      </c>
      <c r="AR80" s="11" t="s">
        <v>378</v>
      </c>
      <c r="AS80" s="13" t="s">
        <v>37</v>
      </c>
      <c r="AT80" s="14"/>
      <c r="AU80" s="44"/>
      <c r="AV80" s="1"/>
      <c r="AW80" s="1"/>
      <c r="BD80" s="1"/>
    </row>
    <row r="81" spans="1:56"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883</v>
      </c>
      <c r="I81" s="6" t="s">
        <v>45</v>
      </c>
      <c r="J81" s="6" t="s">
        <v>44</v>
      </c>
      <c r="K81" s="12" t="s">
        <v>103</v>
      </c>
      <c r="L81" s="12" t="s">
        <v>103</v>
      </c>
      <c r="M81" s="36" t="s">
        <v>347</v>
      </c>
      <c r="N81" s="34">
        <v>169</v>
      </c>
      <c r="O81" s="6" t="s">
        <v>103</v>
      </c>
      <c r="P81" s="34" t="s">
        <v>103</v>
      </c>
      <c r="Q81" s="6" t="s">
        <v>103</v>
      </c>
      <c r="R81" s="12">
        <f>Tableau1[[#This Row],[Loyer €/m²]]*Tableau1[[#This Row],[Surface GLA]]</f>
        <v>54925</v>
      </c>
      <c r="S81" s="6">
        <f>IFERROR(Tableau1[[#This Row],[Loyer annuel]]/12,"")</f>
        <v>4577.083333333333</v>
      </c>
      <c r="T81" s="12">
        <v>325</v>
      </c>
      <c r="U81" s="6" t="s">
        <v>103</v>
      </c>
      <c r="V81" s="6">
        <f>Tableau1[[#This Row],[Charges €/m²]]*Tableau1[[#This Row],[Surface GLA]]</f>
        <v>5070</v>
      </c>
      <c r="W81" s="12">
        <f>Tableau1[[#This Row],[Charges annuelles]]/12</f>
        <v>422.5</v>
      </c>
      <c r="X81" s="12">
        <v>30</v>
      </c>
      <c r="Y81" s="12">
        <f>IFERROR(Tableau1[[#This Row],[Taxe foncière €/m²]]*Tableau1[[#This Row],[Surface GLA]],)</f>
        <v>0</v>
      </c>
      <c r="Z81" s="6" t="s">
        <v>103</v>
      </c>
      <c r="AA81" s="12">
        <f>IFERROR(Tableau1[[#This Row],[Marketing €/m²]]*Tableau1[[#This Row],[Surface GLA]],)</f>
        <v>0</v>
      </c>
      <c r="AB81" s="6" t="s">
        <v>103</v>
      </c>
      <c r="AC81" s="12">
        <f>IFERROR(Tableau1[[#This Row],[Loyer annuel]]+Tableau1[[#This Row],[Charges annuelles]]+Tableau1[[#This Row],[Taxe foncière]]+Tableau1[[#This Row],[Marketing]],"")</f>
        <v>59995</v>
      </c>
      <c r="AD81" s="12" t="str">
        <f t="shared" si="1"/>
        <v>3 mois = 13 731 €</v>
      </c>
      <c r="AE81" s="6" t="s">
        <v>103</v>
      </c>
      <c r="AF81" s="6" t="s">
        <v>103</v>
      </c>
      <c r="AG81" s="12" t="s">
        <v>382</v>
      </c>
      <c r="AH81" s="10" t="s">
        <v>75</v>
      </c>
      <c r="AI81" s="10" t="s">
        <v>370</v>
      </c>
      <c r="AJ81" s="4" t="s">
        <v>869</v>
      </c>
      <c r="AK81" s="5" t="s">
        <v>356</v>
      </c>
      <c r="AL81" s="5" t="s">
        <v>368</v>
      </c>
      <c r="AM81" s="11" t="s">
        <v>825</v>
      </c>
      <c r="AN81" s="11" t="s">
        <v>826</v>
      </c>
      <c r="AO81" s="32" t="s">
        <v>517</v>
      </c>
      <c r="AP81" s="35" t="s">
        <v>1086</v>
      </c>
      <c r="AQ81" s="5" t="s">
        <v>75</v>
      </c>
      <c r="AR81" s="11" t="s">
        <v>378</v>
      </c>
      <c r="AS81" s="13" t="s">
        <v>37</v>
      </c>
      <c r="AT81" s="14"/>
      <c r="AU81" s="44"/>
      <c r="AV81" s="1"/>
      <c r="AW81" s="1"/>
      <c r="BD81" s="1"/>
    </row>
    <row r="82" spans="1:56"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884</v>
      </c>
      <c r="I82" s="6" t="s">
        <v>45</v>
      </c>
      <c r="J82" s="6" t="s">
        <v>44</v>
      </c>
      <c r="K82" s="12" t="s">
        <v>103</v>
      </c>
      <c r="L82" s="12" t="s">
        <v>103</v>
      </c>
      <c r="M82" s="36" t="s">
        <v>348</v>
      </c>
      <c r="N82" s="34">
        <v>196</v>
      </c>
      <c r="O82" s="6" t="s">
        <v>103</v>
      </c>
      <c r="P82" s="34" t="s">
        <v>103</v>
      </c>
      <c r="Q82" s="6" t="s">
        <v>103</v>
      </c>
      <c r="R82" s="12">
        <f>Tableau1[[#This Row],[Loyer €/m²]]*Tableau1[[#This Row],[Surface GLA]]</f>
        <v>68600</v>
      </c>
      <c r="S82" s="6">
        <f>IFERROR(Tableau1[[#This Row],[Loyer annuel]]/12,"")</f>
        <v>5716.666666666667</v>
      </c>
      <c r="T82" s="12">
        <v>350</v>
      </c>
      <c r="U82" s="6" t="s">
        <v>103</v>
      </c>
      <c r="V82" s="6">
        <f>Tableau1[[#This Row],[Charges €/m²]]*Tableau1[[#This Row],[Surface GLA]]</f>
        <v>5880</v>
      </c>
      <c r="W82" s="12">
        <f>Tableau1[[#This Row],[Charges annuelles]]/12</f>
        <v>490</v>
      </c>
      <c r="X82" s="12">
        <v>30</v>
      </c>
      <c r="Y82" s="12">
        <f>IFERROR(Tableau1[[#This Row],[Taxe foncière €/m²]]*Tableau1[[#This Row],[Surface GLA]],)</f>
        <v>0</v>
      </c>
      <c r="Z82" s="6" t="s">
        <v>103</v>
      </c>
      <c r="AA82" s="12">
        <f>IFERROR(Tableau1[[#This Row],[Marketing €/m²]]*Tableau1[[#This Row],[Surface GLA]],)</f>
        <v>0</v>
      </c>
      <c r="AB82" s="6" t="s">
        <v>103</v>
      </c>
      <c r="AC82" s="12">
        <f>IFERROR(Tableau1[[#This Row],[Loyer annuel]]+Tableau1[[#This Row],[Charges annuelles]]+Tableau1[[#This Row],[Taxe foncière]]+Tableau1[[#This Row],[Marketing]],"")</f>
        <v>74480</v>
      </c>
      <c r="AD82" s="12" t="str">
        <f t="shared" si="1"/>
        <v>3 mois = 17 150 €</v>
      </c>
      <c r="AE82" s="6" t="s">
        <v>103</v>
      </c>
      <c r="AF82" s="6" t="s">
        <v>103</v>
      </c>
      <c r="AG82" s="12" t="s">
        <v>382</v>
      </c>
      <c r="AH82" s="10" t="s">
        <v>75</v>
      </c>
      <c r="AI82" s="10" t="s">
        <v>370</v>
      </c>
      <c r="AJ82" s="4" t="s">
        <v>869</v>
      </c>
      <c r="AK82" s="5" t="s">
        <v>356</v>
      </c>
      <c r="AL82" s="5" t="s">
        <v>368</v>
      </c>
      <c r="AM82" s="11" t="s">
        <v>827</v>
      </c>
      <c r="AN82" s="11" t="s">
        <v>828</v>
      </c>
      <c r="AO82" s="32" t="s">
        <v>518</v>
      </c>
      <c r="AP82" s="35" t="s">
        <v>1087</v>
      </c>
      <c r="AQ82" s="5" t="s">
        <v>75</v>
      </c>
      <c r="AR82" s="11" t="s">
        <v>378</v>
      </c>
      <c r="AS82" s="13" t="s">
        <v>37</v>
      </c>
      <c r="AT82" s="14"/>
      <c r="AU82" s="44"/>
      <c r="AV82" s="1"/>
      <c r="AW82" s="1"/>
      <c r="BD82" s="1"/>
    </row>
    <row r="83" spans="1:56"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885</v>
      </c>
      <c r="I83" s="6" t="s">
        <v>45</v>
      </c>
      <c r="J83" s="6" t="s">
        <v>44</v>
      </c>
      <c r="K83" s="12" t="s">
        <v>103</v>
      </c>
      <c r="L83" s="12" t="s">
        <v>103</v>
      </c>
      <c r="M83" s="36" t="s">
        <v>349</v>
      </c>
      <c r="N83" s="34">
        <v>195</v>
      </c>
      <c r="O83" s="6" t="s">
        <v>103</v>
      </c>
      <c r="P83" s="34" t="s">
        <v>103</v>
      </c>
      <c r="Q83" s="6" t="s">
        <v>103</v>
      </c>
      <c r="R83" s="12">
        <f>Tableau1[[#This Row],[Loyer €/m²]]*Tableau1[[#This Row],[Surface GLA]]</f>
        <v>68250</v>
      </c>
      <c r="S83" s="6">
        <f>IFERROR(Tableau1[[#This Row],[Loyer annuel]]/12,"")</f>
        <v>5687.5</v>
      </c>
      <c r="T83" s="12">
        <v>350</v>
      </c>
      <c r="U83" s="6" t="s">
        <v>103</v>
      </c>
      <c r="V83" s="6">
        <f>Tableau1[[#This Row],[Charges €/m²]]*Tableau1[[#This Row],[Surface GLA]]</f>
        <v>5850</v>
      </c>
      <c r="W83" s="12">
        <f>Tableau1[[#This Row],[Charges annuelles]]/12</f>
        <v>487.5</v>
      </c>
      <c r="X83" s="12">
        <v>30</v>
      </c>
      <c r="Y83" s="12">
        <f>IFERROR(Tableau1[[#This Row],[Taxe foncière €/m²]]*Tableau1[[#This Row],[Surface GLA]],)</f>
        <v>0</v>
      </c>
      <c r="Z83" s="6" t="s">
        <v>103</v>
      </c>
      <c r="AA83" s="12">
        <f>IFERROR(Tableau1[[#This Row],[Marketing €/m²]]*Tableau1[[#This Row],[Surface GLA]],)</f>
        <v>0</v>
      </c>
      <c r="AB83" s="6" t="s">
        <v>103</v>
      </c>
      <c r="AC83" s="12">
        <f>IFERROR(Tableau1[[#This Row],[Loyer annuel]]+Tableau1[[#This Row],[Charges annuelles]]+Tableau1[[#This Row],[Taxe foncière]]+Tableau1[[#This Row],[Marketing]],"")</f>
        <v>74100</v>
      </c>
      <c r="AD83" s="12" t="str">
        <f t="shared" si="1"/>
        <v>3 mois = 17 063 €</v>
      </c>
      <c r="AE83" s="6" t="s">
        <v>103</v>
      </c>
      <c r="AF83" s="6" t="s">
        <v>103</v>
      </c>
      <c r="AG83" s="12" t="s">
        <v>382</v>
      </c>
      <c r="AH83" s="10" t="s">
        <v>75</v>
      </c>
      <c r="AI83" s="10" t="s">
        <v>370</v>
      </c>
      <c r="AJ83" s="4" t="s">
        <v>869</v>
      </c>
      <c r="AK83" s="5" t="s">
        <v>356</v>
      </c>
      <c r="AL83" s="5" t="s">
        <v>368</v>
      </c>
      <c r="AM83" s="11" t="s">
        <v>829</v>
      </c>
      <c r="AN83" s="11" t="s">
        <v>830</v>
      </c>
      <c r="AO83" s="32" t="s">
        <v>519</v>
      </c>
      <c r="AP83" s="35" t="s">
        <v>1088</v>
      </c>
      <c r="AQ83" s="5" t="s">
        <v>75</v>
      </c>
      <c r="AR83" s="11" t="s">
        <v>378</v>
      </c>
      <c r="AS83" s="13" t="s">
        <v>37</v>
      </c>
      <c r="AT83" s="14"/>
      <c r="AU83" s="44"/>
      <c r="AV83" s="1"/>
      <c r="AW83" s="1"/>
      <c r="BD83" s="1"/>
    </row>
    <row r="84" spans="1:56"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886</v>
      </c>
      <c r="I84" s="6" t="s">
        <v>45</v>
      </c>
      <c r="J84" s="6" t="s">
        <v>44</v>
      </c>
      <c r="K84" s="12" t="s">
        <v>103</v>
      </c>
      <c r="L84" s="12" t="s">
        <v>103</v>
      </c>
      <c r="M84" s="36" t="s">
        <v>350</v>
      </c>
      <c r="N84" s="34">
        <v>181</v>
      </c>
      <c r="O84" s="6" t="s">
        <v>103</v>
      </c>
      <c r="P84" s="34" t="s">
        <v>103</v>
      </c>
      <c r="Q84" s="6" t="s">
        <v>103</v>
      </c>
      <c r="R84" s="12">
        <f>Tableau1[[#This Row],[Loyer €/m²]]*Tableau1[[#This Row],[Surface GLA]]</f>
        <v>63350</v>
      </c>
      <c r="S84" s="6">
        <f>IFERROR(Tableau1[[#This Row],[Loyer annuel]]/12,"")</f>
        <v>5279.166666666667</v>
      </c>
      <c r="T84" s="12">
        <v>350</v>
      </c>
      <c r="U84" s="6" t="s">
        <v>103</v>
      </c>
      <c r="V84" s="6">
        <f>Tableau1[[#This Row],[Charges €/m²]]*Tableau1[[#This Row],[Surface GLA]]</f>
        <v>5430</v>
      </c>
      <c r="W84" s="12">
        <f>Tableau1[[#This Row],[Charges annuelles]]/12</f>
        <v>452.5</v>
      </c>
      <c r="X84" s="12">
        <v>30</v>
      </c>
      <c r="Y84" s="12">
        <f>IFERROR(Tableau1[[#This Row],[Taxe foncière €/m²]]*Tableau1[[#This Row],[Surface GLA]],)</f>
        <v>0</v>
      </c>
      <c r="Z84" s="6" t="s">
        <v>103</v>
      </c>
      <c r="AA84" s="12">
        <f>IFERROR(Tableau1[[#This Row],[Marketing €/m²]]*Tableau1[[#This Row],[Surface GLA]],)</f>
        <v>0</v>
      </c>
      <c r="AB84" s="6" t="s">
        <v>103</v>
      </c>
      <c r="AC84" s="12">
        <f>IFERROR(Tableau1[[#This Row],[Loyer annuel]]+Tableau1[[#This Row],[Charges annuelles]]+Tableau1[[#This Row],[Taxe foncière]]+Tableau1[[#This Row],[Marketing]],"")</f>
        <v>68780</v>
      </c>
      <c r="AD84" s="12" t="str">
        <f t="shared" si="1"/>
        <v>3 mois = 15 838 €</v>
      </c>
      <c r="AE84" s="6" t="s">
        <v>103</v>
      </c>
      <c r="AF84" s="6" t="s">
        <v>103</v>
      </c>
      <c r="AG84" s="12" t="s">
        <v>382</v>
      </c>
      <c r="AH84" s="10" t="s">
        <v>75</v>
      </c>
      <c r="AI84" s="10" t="s">
        <v>370</v>
      </c>
      <c r="AJ84" s="4" t="s">
        <v>869</v>
      </c>
      <c r="AK84" s="5" t="s">
        <v>356</v>
      </c>
      <c r="AL84" s="5" t="s">
        <v>368</v>
      </c>
      <c r="AM84" s="11" t="s">
        <v>831</v>
      </c>
      <c r="AN84" s="11" t="s">
        <v>832</v>
      </c>
      <c r="AO84" s="32" t="s">
        <v>520</v>
      </c>
      <c r="AP84" s="35" t="s">
        <v>1089</v>
      </c>
      <c r="AQ84" s="5" t="s">
        <v>75</v>
      </c>
      <c r="AR84" s="11" t="s">
        <v>378</v>
      </c>
      <c r="AS84" s="13" t="s">
        <v>37</v>
      </c>
      <c r="AT84" s="14"/>
      <c r="AU84" s="44"/>
      <c r="AV84" s="1"/>
      <c r="AW84" s="1"/>
      <c r="BD84" s="1"/>
    </row>
    <row r="85" spans="1:56"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887</v>
      </c>
      <c r="I85" s="6" t="s">
        <v>45</v>
      </c>
      <c r="J85" s="6" t="s">
        <v>44</v>
      </c>
      <c r="K85" s="12" t="s">
        <v>103</v>
      </c>
      <c r="L85" s="12" t="s">
        <v>103</v>
      </c>
      <c r="M85" s="36" t="s">
        <v>351</v>
      </c>
      <c r="N85" s="34">
        <v>277</v>
      </c>
      <c r="O85" s="6" t="s">
        <v>103</v>
      </c>
      <c r="P85" s="34" t="s">
        <v>103</v>
      </c>
      <c r="Q85" s="6" t="s">
        <v>103</v>
      </c>
      <c r="R85" s="12">
        <f>Tableau1[[#This Row],[Loyer €/m²]]*Tableau1[[#This Row],[Surface GLA]]</f>
        <v>96950</v>
      </c>
      <c r="S85" s="6">
        <f>IFERROR(Tableau1[[#This Row],[Loyer annuel]]/12,"")</f>
        <v>8079.166666666667</v>
      </c>
      <c r="T85" s="12">
        <v>350</v>
      </c>
      <c r="U85" s="6" t="s">
        <v>103</v>
      </c>
      <c r="V85" s="6">
        <f>Tableau1[[#This Row],[Charges €/m²]]*Tableau1[[#This Row],[Surface GLA]]</f>
        <v>8310</v>
      </c>
      <c r="W85" s="12">
        <f>Tableau1[[#This Row],[Charges annuelles]]/12</f>
        <v>692.5</v>
      </c>
      <c r="X85" s="12">
        <v>30</v>
      </c>
      <c r="Y85" s="12">
        <f>IFERROR(Tableau1[[#This Row],[Taxe foncière €/m²]]*Tableau1[[#This Row],[Surface GLA]],)</f>
        <v>0</v>
      </c>
      <c r="Z85" s="6" t="s">
        <v>103</v>
      </c>
      <c r="AA85" s="12">
        <f>IFERROR(Tableau1[[#This Row],[Marketing €/m²]]*Tableau1[[#This Row],[Surface GLA]],)</f>
        <v>0</v>
      </c>
      <c r="AB85" s="6" t="s">
        <v>103</v>
      </c>
      <c r="AC85" s="12">
        <f>IFERROR(Tableau1[[#This Row],[Loyer annuel]]+Tableau1[[#This Row],[Charges annuelles]]+Tableau1[[#This Row],[Taxe foncière]]+Tableau1[[#This Row],[Marketing]],"")</f>
        <v>105260</v>
      </c>
      <c r="AD85" s="12" t="str">
        <f t="shared" si="1"/>
        <v>3 mois = 24 238 €</v>
      </c>
      <c r="AE85" s="6" t="s">
        <v>103</v>
      </c>
      <c r="AF85" s="6" t="s">
        <v>103</v>
      </c>
      <c r="AG85" s="12" t="s">
        <v>382</v>
      </c>
      <c r="AH85" s="10" t="s">
        <v>75</v>
      </c>
      <c r="AI85" s="10" t="s">
        <v>370</v>
      </c>
      <c r="AJ85" s="4" t="s">
        <v>869</v>
      </c>
      <c r="AK85" s="5" t="s">
        <v>356</v>
      </c>
      <c r="AL85" s="5" t="s">
        <v>368</v>
      </c>
      <c r="AM85" s="11" t="s">
        <v>833</v>
      </c>
      <c r="AN85" s="11" t="s">
        <v>834</v>
      </c>
      <c r="AO85" s="32" t="s">
        <v>521</v>
      </c>
      <c r="AP85" s="35" t="s">
        <v>1090</v>
      </c>
      <c r="AQ85" s="5" t="s">
        <v>75</v>
      </c>
      <c r="AR85" s="11" t="s">
        <v>378</v>
      </c>
      <c r="AS85" s="13" t="s">
        <v>37</v>
      </c>
      <c r="AT85" s="14"/>
      <c r="AU85" s="44"/>
      <c r="AV85" s="1"/>
      <c r="AW85" s="1"/>
      <c r="BD85" s="1"/>
    </row>
    <row r="86" spans="1:56"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888</v>
      </c>
      <c r="I86" s="6" t="s">
        <v>45</v>
      </c>
      <c r="J86" s="6" t="s">
        <v>44</v>
      </c>
      <c r="K86" s="12" t="s">
        <v>103</v>
      </c>
      <c r="L86" s="12" t="s">
        <v>103</v>
      </c>
      <c r="M86" s="36" t="s">
        <v>352</v>
      </c>
      <c r="N86" s="34">
        <v>142</v>
      </c>
      <c r="O86" s="6" t="s">
        <v>103</v>
      </c>
      <c r="P86" s="34" t="s">
        <v>103</v>
      </c>
      <c r="Q86" s="6" t="s">
        <v>103</v>
      </c>
      <c r="R86" s="12">
        <f>Tableau1[[#This Row],[Loyer €/m²]]*Tableau1[[#This Row],[Surface GLA]]</f>
        <v>46150</v>
      </c>
      <c r="S86" s="6">
        <f>IFERROR(Tableau1[[#This Row],[Loyer annuel]]/12,"")</f>
        <v>3845.8333333333335</v>
      </c>
      <c r="T86" s="12">
        <v>325</v>
      </c>
      <c r="U86" s="6" t="s">
        <v>103</v>
      </c>
      <c r="V86" s="6">
        <f>Tableau1[[#This Row],[Charges €/m²]]*Tableau1[[#This Row],[Surface GLA]]</f>
        <v>4260</v>
      </c>
      <c r="W86" s="12">
        <f>Tableau1[[#This Row],[Charges annuelles]]/12</f>
        <v>355</v>
      </c>
      <c r="X86" s="12">
        <v>30</v>
      </c>
      <c r="Y86" s="12">
        <f>IFERROR(Tableau1[[#This Row],[Taxe foncière €/m²]]*Tableau1[[#This Row],[Surface GLA]],)</f>
        <v>0</v>
      </c>
      <c r="Z86" s="6" t="s">
        <v>103</v>
      </c>
      <c r="AA86" s="12">
        <f>IFERROR(Tableau1[[#This Row],[Marketing €/m²]]*Tableau1[[#This Row],[Surface GLA]],)</f>
        <v>0</v>
      </c>
      <c r="AB86" s="6" t="s">
        <v>103</v>
      </c>
      <c r="AC86" s="12">
        <f>IFERROR(Tableau1[[#This Row],[Loyer annuel]]+Tableau1[[#This Row],[Charges annuelles]]+Tableau1[[#This Row],[Taxe foncière]]+Tableau1[[#This Row],[Marketing]],"")</f>
        <v>50410</v>
      </c>
      <c r="AD86" s="12" t="str">
        <f t="shared" si="1"/>
        <v>3 mois = 11 538 €</v>
      </c>
      <c r="AE86" s="6" t="s">
        <v>103</v>
      </c>
      <c r="AF86" s="6" t="s">
        <v>103</v>
      </c>
      <c r="AG86" s="12" t="s">
        <v>382</v>
      </c>
      <c r="AH86" s="10" t="s">
        <v>75</v>
      </c>
      <c r="AI86" s="10" t="s">
        <v>370</v>
      </c>
      <c r="AJ86" s="4" t="s">
        <v>869</v>
      </c>
      <c r="AK86" s="5" t="s">
        <v>356</v>
      </c>
      <c r="AL86" s="5" t="s">
        <v>368</v>
      </c>
      <c r="AM86" s="11" t="s">
        <v>835</v>
      </c>
      <c r="AN86" s="11" t="s">
        <v>836</v>
      </c>
      <c r="AO86" s="32" t="s">
        <v>522</v>
      </c>
      <c r="AP86" s="35" t="s">
        <v>1091</v>
      </c>
      <c r="AQ86" s="5" t="s">
        <v>75</v>
      </c>
      <c r="AR86" s="11" t="s">
        <v>378</v>
      </c>
      <c r="AS86" s="13" t="s">
        <v>37</v>
      </c>
      <c r="AT86" s="14"/>
      <c r="AU86" s="44"/>
      <c r="AV86" s="1"/>
      <c r="AW86" s="1"/>
      <c r="BD86" s="1"/>
    </row>
    <row r="87" spans="1:56"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888</v>
      </c>
      <c r="I87" s="6" t="s">
        <v>45</v>
      </c>
      <c r="J87" s="6" t="s">
        <v>44</v>
      </c>
      <c r="K87" s="12" t="s">
        <v>103</v>
      </c>
      <c r="L87" s="12" t="s">
        <v>103</v>
      </c>
      <c r="M87" s="36" t="s">
        <v>353</v>
      </c>
      <c r="N87" s="34">
        <v>114</v>
      </c>
      <c r="O87" s="6" t="s">
        <v>103</v>
      </c>
      <c r="P87" s="34" t="s">
        <v>103</v>
      </c>
      <c r="Q87" s="6" t="s">
        <v>103</v>
      </c>
      <c r="R87" s="12">
        <f>Tableau1[[#This Row],[Loyer €/m²]]*Tableau1[[#This Row],[Surface GLA]]</f>
        <v>37050</v>
      </c>
      <c r="S87" s="6">
        <f>IFERROR(Tableau1[[#This Row],[Loyer annuel]]/12,"")</f>
        <v>3087.5</v>
      </c>
      <c r="T87" s="12">
        <v>325</v>
      </c>
      <c r="U87" s="6" t="s">
        <v>103</v>
      </c>
      <c r="V87" s="6">
        <f>Tableau1[[#This Row],[Charges €/m²]]*Tableau1[[#This Row],[Surface GLA]]</f>
        <v>3420</v>
      </c>
      <c r="W87" s="12">
        <f>Tableau1[[#This Row],[Charges annuelles]]/12</f>
        <v>285</v>
      </c>
      <c r="X87" s="12">
        <v>30</v>
      </c>
      <c r="Y87" s="12">
        <f>IFERROR(Tableau1[[#This Row],[Taxe foncière €/m²]]*Tableau1[[#This Row],[Surface GLA]],)</f>
        <v>0</v>
      </c>
      <c r="Z87" s="6" t="s">
        <v>103</v>
      </c>
      <c r="AA87" s="12">
        <f>IFERROR(Tableau1[[#This Row],[Marketing €/m²]]*Tableau1[[#This Row],[Surface GLA]],)</f>
        <v>0</v>
      </c>
      <c r="AB87" s="6" t="s">
        <v>103</v>
      </c>
      <c r="AC87" s="12">
        <f>IFERROR(Tableau1[[#This Row],[Loyer annuel]]+Tableau1[[#This Row],[Charges annuelles]]+Tableau1[[#This Row],[Taxe foncière]]+Tableau1[[#This Row],[Marketing]],"")</f>
        <v>40470</v>
      </c>
      <c r="AD87" s="12" t="str">
        <f t="shared" si="1"/>
        <v>3 mois = 9 263 €</v>
      </c>
      <c r="AE87" s="6" t="s">
        <v>103</v>
      </c>
      <c r="AF87" s="6" t="s">
        <v>103</v>
      </c>
      <c r="AG87" s="12" t="s">
        <v>382</v>
      </c>
      <c r="AH87" s="10" t="s">
        <v>75</v>
      </c>
      <c r="AI87" s="10" t="s">
        <v>370</v>
      </c>
      <c r="AJ87" s="4" t="s">
        <v>869</v>
      </c>
      <c r="AK87" s="5" t="s">
        <v>356</v>
      </c>
      <c r="AL87" s="5" t="s">
        <v>368</v>
      </c>
      <c r="AM87" s="11" t="s">
        <v>837</v>
      </c>
      <c r="AN87" s="11" t="s">
        <v>838</v>
      </c>
      <c r="AO87" s="32" t="s">
        <v>523</v>
      </c>
      <c r="AP87" s="35" t="s">
        <v>1092</v>
      </c>
      <c r="AQ87" s="5" t="s">
        <v>75</v>
      </c>
      <c r="AR87" s="11" t="s">
        <v>378</v>
      </c>
      <c r="AS87" s="13" t="s">
        <v>37</v>
      </c>
      <c r="AT87" s="14"/>
      <c r="AU87" s="44"/>
      <c r="AV87" s="1"/>
      <c r="AW87" s="1"/>
      <c r="BD87" s="1"/>
    </row>
    <row r="88" spans="1:56"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889</v>
      </c>
      <c r="I88" s="6" t="s">
        <v>45</v>
      </c>
      <c r="J88" s="6" t="s">
        <v>44</v>
      </c>
      <c r="K88" s="12" t="s">
        <v>103</v>
      </c>
      <c r="L88" s="12" t="s">
        <v>103</v>
      </c>
      <c r="M88" s="36" t="s">
        <v>354</v>
      </c>
      <c r="N88" s="34">
        <v>167</v>
      </c>
      <c r="O88" s="6" t="s">
        <v>103</v>
      </c>
      <c r="P88" s="34" t="s">
        <v>103</v>
      </c>
      <c r="Q88" s="6" t="s">
        <v>103</v>
      </c>
      <c r="R88" s="12">
        <f>Tableau1[[#This Row],[Loyer €/m²]]*Tableau1[[#This Row],[Surface GLA]]</f>
        <v>54275</v>
      </c>
      <c r="S88" s="6">
        <f>IFERROR(Tableau1[[#This Row],[Loyer annuel]]/12,"")</f>
        <v>4522.916666666667</v>
      </c>
      <c r="T88" s="12">
        <v>325</v>
      </c>
      <c r="U88" s="6" t="s">
        <v>103</v>
      </c>
      <c r="V88" s="6">
        <f>Tableau1[[#This Row],[Charges €/m²]]*Tableau1[[#This Row],[Surface GLA]]</f>
        <v>5010</v>
      </c>
      <c r="W88" s="12">
        <f>Tableau1[[#This Row],[Charges annuelles]]/12</f>
        <v>417.5</v>
      </c>
      <c r="X88" s="12">
        <v>30</v>
      </c>
      <c r="Y88" s="12">
        <f>IFERROR(Tableau1[[#This Row],[Taxe foncière €/m²]]*Tableau1[[#This Row],[Surface GLA]],)</f>
        <v>0</v>
      </c>
      <c r="Z88" s="6" t="s">
        <v>103</v>
      </c>
      <c r="AA88" s="12">
        <f>IFERROR(Tableau1[[#This Row],[Marketing €/m²]]*Tableau1[[#This Row],[Surface GLA]],)</f>
        <v>0</v>
      </c>
      <c r="AB88" s="6" t="s">
        <v>103</v>
      </c>
      <c r="AC88" s="12">
        <f>IFERROR(Tableau1[[#This Row],[Loyer annuel]]+Tableau1[[#This Row],[Charges annuelles]]+Tableau1[[#This Row],[Taxe foncière]]+Tableau1[[#This Row],[Marketing]],"")</f>
        <v>59285</v>
      </c>
      <c r="AD88" s="12" t="str">
        <f t="shared" si="1"/>
        <v>3 mois = 13 569 €</v>
      </c>
      <c r="AE88" s="6" t="s">
        <v>103</v>
      </c>
      <c r="AF88" s="6" t="s">
        <v>103</v>
      </c>
      <c r="AG88" s="12" t="s">
        <v>382</v>
      </c>
      <c r="AH88" s="10" t="s">
        <v>75</v>
      </c>
      <c r="AI88" s="10" t="s">
        <v>370</v>
      </c>
      <c r="AJ88" s="4" t="s">
        <v>869</v>
      </c>
      <c r="AK88" s="5" t="s">
        <v>356</v>
      </c>
      <c r="AL88" s="5" t="s">
        <v>368</v>
      </c>
      <c r="AM88" s="11" t="s">
        <v>839</v>
      </c>
      <c r="AN88" s="11" t="s">
        <v>840</v>
      </c>
      <c r="AO88" s="32" t="s">
        <v>524</v>
      </c>
      <c r="AP88" s="35" t="s">
        <v>1093</v>
      </c>
      <c r="AQ88" s="5" t="s">
        <v>75</v>
      </c>
      <c r="AR88" s="11" t="s">
        <v>378</v>
      </c>
      <c r="AS88" s="13" t="s">
        <v>37</v>
      </c>
      <c r="AT88" s="14"/>
      <c r="AU88" s="44"/>
      <c r="AV88" s="1"/>
      <c r="AW88" s="1"/>
      <c r="BD88" s="1"/>
    </row>
    <row r="89" spans="1:56"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890</v>
      </c>
      <c r="I89" s="6" t="s">
        <v>45</v>
      </c>
      <c r="J89" s="6" t="s">
        <v>44</v>
      </c>
      <c r="K89" s="12" t="s">
        <v>103</v>
      </c>
      <c r="L89" s="12" t="s">
        <v>103</v>
      </c>
      <c r="M89" s="36" t="s">
        <v>355</v>
      </c>
      <c r="N89" s="34">
        <v>88</v>
      </c>
      <c r="O89" s="6" t="s">
        <v>103</v>
      </c>
      <c r="P89" s="34" t="s">
        <v>103</v>
      </c>
      <c r="Q89" s="6" t="s">
        <v>103</v>
      </c>
      <c r="R89" s="12">
        <f>Tableau1[[#This Row],[Loyer €/m²]]*Tableau1[[#This Row],[Surface GLA]]</f>
        <v>28600</v>
      </c>
      <c r="S89" s="6">
        <f>IFERROR(Tableau1[[#This Row],[Loyer annuel]]/12,"")</f>
        <v>2383.3333333333335</v>
      </c>
      <c r="T89" s="12">
        <v>325</v>
      </c>
      <c r="U89" s="6" t="s">
        <v>103</v>
      </c>
      <c r="V89" s="6">
        <f>Tableau1[[#This Row],[Charges €/m²]]*Tableau1[[#This Row],[Surface GLA]]</f>
        <v>2640</v>
      </c>
      <c r="W89" s="12">
        <f>Tableau1[[#This Row],[Charges annuelles]]/12</f>
        <v>220</v>
      </c>
      <c r="X89" s="12">
        <v>30</v>
      </c>
      <c r="Y89" s="12">
        <f>IFERROR(Tableau1[[#This Row],[Taxe foncière €/m²]]*Tableau1[[#This Row],[Surface GLA]],)</f>
        <v>0</v>
      </c>
      <c r="Z89" s="6" t="s">
        <v>103</v>
      </c>
      <c r="AA89" s="12">
        <f>IFERROR(Tableau1[[#This Row],[Marketing €/m²]]*Tableau1[[#This Row],[Surface GLA]],)</f>
        <v>0</v>
      </c>
      <c r="AB89" s="6" t="s">
        <v>103</v>
      </c>
      <c r="AC89" s="12">
        <f>IFERROR(Tableau1[[#This Row],[Loyer annuel]]+Tableau1[[#This Row],[Charges annuelles]]+Tableau1[[#This Row],[Taxe foncière]]+Tableau1[[#This Row],[Marketing]],"")</f>
        <v>31240</v>
      </c>
      <c r="AD89" s="12" t="str">
        <f t="shared" si="1"/>
        <v>3 mois = 7 150 €</v>
      </c>
      <c r="AE89" s="6" t="s">
        <v>103</v>
      </c>
      <c r="AF89" s="6" t="s">
        <v>103</v>
      </c>
      <c r="AG89" s="12" t="s">
        <v>382</v>
      </c>
      <c r="AH89" s="10" t="s">
        <v>75</v>
      </c>
      <c r="AI89" s="10" t="s">
        <v>370</v>
      </c>
      <c r="AJ89" s="4" t="s">
        <v>869</v>
      </c>
      <c r="AK89" s="5" t="s">
        <v>356</v>
      </c>
      <c r="AL89" s="5" t="s">
        <v>368</v>
      </c>
      <c r="AM89" s="11" t="s">
        <v>841</v>
      </c>
      <c r="AN89" s="11" t="s">
        <v>842</v>
      </c>
      <c r="AO89" s="32" t="s">
        <v>525</v>
      </c>
      <c r="AP89" s="35" t="s">
        <v>1094</v>
      </c>
      <c r="AQ89" s="5" t="s">
        <v>75</v>
      </c>
      <c r="AR89" s="11" t="s">
        <v>378</v>
      </c>
      <c r="AS89" s="13" t="s">
        <v>37</v>
      </c>
      <c r="AT89" s="14"/>
      <c r="AU89" s="44"/>
      <c r="AV89" s="1"/>
      <c r="AW89" s="1"/>
      <c r="BD89" s="1"/>
    </row>
    <row r="90" spans="1:56"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t="s">
        <v>103</v>
      </c>
      <c r="M90" s="35" t="s">
        <v>335</v>
      </c>
      <c r="N90" s="34">
        <v>372</v>
      </c>
      <c r="O90" s="6" t="s">
        <v>103</v>
      </c>
      <c r="P90" s="34" t="s">
        <v>103</v>
      </c>
      <c r="Q90" s="6" t="s">
        <v>103</v>
      </c>
      <c r="R90" s="12">
        <f>Tableau1[[#This Row],[Loyer €/m²]]*Tableau1[[#This Row],[Surface GLA]]</f>
        <v>93000</v>
      </c>
      <c r="S90" s="6">
        <f>IFERROR(Tableau1[[#This Row],[Loyer annuel]]/12,"")</f>
        <v>7750</v>
      </c>
      <c r="T90" s="12">
        <v>250</v>
      </c>
      <c r="U90" s="6" t="s">
        <v>103</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103</v>
      </c>
      <c r="AC90" s="6">
        <f>IFERROR(Tableau1[[#This Row],[Loyer annuel]]+Tableau1[[#This Row],[Charges annuelles]]+Tableau1[[#This Row],[Taxe foncière]]+Tableau1[[#This Row],[Marketing]],"")</f>
        <v>102672</v>
      </c>
      <c r="AD90" s="6" t="s">
        <v>103</v>
      </c>
      <c r="AE90" s="6" t="s">
        <v>103</v>
      </c>
      <c r="AF90" s="6" t="s">
        <v>103</v>
      </c>
      <c r="AG90" s="6" t="s">
        <v>382</v>
      </c>
      <c r="AH90" s="10" t="s">
        <v>75</v>
      </c>
      <c r="AI90" s="4" t="s">
        <v>370</v>
      </c>
      <c r="AJ90" s="4" t="s">
        <v>686</v>
      </c>
      <c r="AK90" s="5" t="s">
        <v>687</v>
      </c>
      <c r="AL90" s="5" t="s">
        <v>368</v>
      </c>
      <c r="AM90" s="5" t="s">
        <v>695</v>
      </c>
      <c r="AN90" s="5" t="s">
        <v>696</v>
      </c>
      <c r="AO90" s="32" t="s">
        <v>526</v>
      </c>
      <c r="AP90" s="35" t="s">
        <v>805</v>
      </c>
      <c r="AQ90" s="5" t="s">
        <v>75</v>
      </c>
      <c r="AR90" s="11" t="s">
        <v>407</v>
      </c>
      <c r="AS90" s="13" t="s">
        <v>31</v>
      </c>
      <c r="AT90" s="14"/>
      <c r="AU90" s="44"/>
      <c r="AV90" s="1"/>
      <c r="AW90" s="1"/>
      <c r="BD90" s="1"/>
    </row>
    <row r="91" spans="1:56"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t="s">
        <v>103</v>
      </c>
      <c r="M91" s="36" t="s">
        <v>336</v>
      </c>
      <c r="N91" s="34">
        <v>106</v>
      </c>
      <c r="O91" s="6" t="s">
        <v>103</v>
      </c>
      <c r="P91" s="34" t="s">
        <v>103</v>
      </c>
      <c r="Q91" s="6" t="s">
        <v>103</v>
      </c>
      <c r="R91" s="12">
        <f>Tableau1[[#This Row],[Loyer €/m²]]*Tableau1[[#This Row],[Surface GLA]]</f>
        <v>37100</v>
      </c>
      <c r="S91" s="6">
        <f>IFERROR(Tableau1[[#This Row],[Loyer annuel]]/12,"")</f>
        <v>3091.6666666666665</v>
      </c>
      <c r="T91" s="12">
        <v>350</v>
      </c>
      <c r="U91" s="6" t="s">
        <v>103</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103</v>
      </c>
      <c r="AC91" s="12">
        <f>IFERROR(Tableau1[[#This Row],[Loyer annuel]]+Tableau1[[#This Row],[Charges annuelles]]+Tableau1[[#This Row],[Taxe foncière]]+Tableau1[[#This Row],[Marketing]],"")</f>
        <v>39856</v>
      </c>
      <c r="AD91" s="6" t="s">
        <v>103</v>
      </c>
      <c r="AE91" s="6" t="s">
        <v>103</v>
      </c>
      <c r="AF91" s="6" t="s">
        <v>103</v>
      </c>
      <c r="AG91" s="6" t="s">
        <v>382</v>
      </c>
      <c r="AH91" s="10" t="s">
        <v>53</v>
      </c>
      <c r="AI91" s="10" t="s">
        <v>369</v>
      </c>
      <c r="AJ91" s="4" t="s">
        <v>686</v>
      </c>
      <c r="AK91" s="5" t="s">
        <v>688</v>
      </c>
      <c r="AL91" s="5" t="s">
        <v>368</v>
      </c>
      <c r="AM91" s="11" t="s">
        <v>697</v>
      </c>
      <c r="AN91" s="11" t="s">
        <v>698</v>
      </c>
      <c r="AO91" s="32" t="s">
        <v>527</v>
      </c>
      <c r="AP91" s="35" t="s">
        <v>806</v>
      </c>
      <c r="AQ91" s="5" t="s">
        <v>75</v>
      </c>
      <c r="AR91" s="11" t="s">
        <v>408</v>
      </c>
      <c r="AS91" s="13" t="s">
        <v>31</v>
      </c>
      <c r="AT91" s="14"/>
      <c r="AU91" s="44"/>
      <c r="AV91" s="1"/>
      <c r="AW91" s="1"/>
      <c r="BD91" s="1"/>
    </row>
    <row r="92" spans="1:56"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t="s">
        <v>103</v>
      </c>
      <c r="M92" s="36" t="s">
        <v>357</v>
      </c>
      <c r="N92" s="34">
        <v>108</v>
      </c>
      <c r="O92" s="6" t="s">
        <v>103</v>
      </c>
      <c r="P92" s="34" t="s">
        <v>103</v>
      </c>
      <c r="Q92" s="6" t="s">
        <v>103</v>
      </c>
      <c r="R92" s="12">
        <f>Tableau1[[#This Row],[Loyer €/m²]]*Tableau1[[#This Row],[Surface GLA]]</f>
        <v>37800</v>
      </c>
      <c r="S92" s="6">
        <f>IFERROR(Tableau1[[#This Row],[Loyer annuel]]/12,"")</f>
        <v>3150</v>
      </c>
      <c r="T92" s="12">
        <v>350</v>
      </c>
      <c r="U92" s="6" t="s">
        <v>103</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103</v>
      </c>
      <c r="AC92" s="12">
        <f>IFERROR(Tableau1[[#This Row],[Loyer annuel]]+Tableau1[[#This Row],[Charges annuelles]]+Tableau1[[#This Row],[Taxe foncière]]+Tableau1[[#This Row],[Marketing]],"")</f>
        <v>40608</v>
      </c>
      <c r="AD92" s="6" t="s">
        <v>103</v>
      </c>
      <c r="AE92" s="6" t="s">
        <v>103</v>
      </c>
      <c r="AF92" s="6" t="s">
        <v>103</v>
      </c>
      <c r="AG92" s="6" t="s">
        <v>382</v>
      </c>
      <c r="AH92" s="10" t="s">
        <v>53</v>
      </c>
      <c r="AI92" s="10" t="s">
        <v>369</v>
      </c>
      <c r="AJ92" s="4" t="s">
        <v>686</v>
      </c>
      <c r="AK92" s="5" t="s">
        <v>689</v>
      </c>
      <c r="AL92" s="5" t="s">
        <v>368</v>
      </c>
      <c r="AM92" s="11" t="s">
        <v>699</v>
      </c>
      <c r="AN92" s="11" t="s">
        <v>700</v>
      </c>
      <c r="AO92" s="32" t="s">
        <v>528</v>
      </c>
      <c r="AP92" s="35" t="s">
        <v>807</v>
      </c>
      <c r="AQ92" s="5" t="s">
        <v>75</v>
      </c>
      <c r="AR92" s="11" t="s">
        <v>409</v>
      </c>
      <c r="AS92" s="13" t="s">
        <v>31</v>
      </c>
      <c r="AT92" s="14"/>
      <c r="AU92" s="44"/>
      <c r="AV92" s="1"/>
      <c r="AW92" s="1"/>
      <c r="BD92" s="1"/>
    </row>
    <row r="93" spans="1:56"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t="s">
        <v>103</v>
      </c>
      <c r="M93" s="36" t="s">
        <v>358</v>
      </c>
      <c r="N93" s="34">
        <v>424</v>
      </c>
      <c r="O93" s="6" t="s">
        <v>103</v>
      </c>
      <c r="P93" s="34" t="s">
        <v>103</v>
      </c>
      <c r="Q93" s="6" t="s">
        <v>103</v>
      </c>
      <c r="R93" s="12">
        <f>Tableau1[[#This Row],[Loyer €/m²]]*Tableau1[[#This Row],[Surface GLA]]</f>
        <v>106000</v>
      </c>
      <c r="S93" s="6">
        <f>IFERROR(Tableau1[[#This Row],[Loyer annuel]]/12,"")</f>
        <v>8833.3333333333339</v>
      </c>
      <c r="T93" s="12">
        <v>250</v>
      </c>
      <c r="U93" s="6" t="s">
        <v>103</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103</v>
      </c>
      <c r="AC93" s="12">
        <f>IFERROR(Tableau1[[#This Row],[Loyer annuel]]+Tableau1[[#This Row],[Charges annuelles]]+Tableau1[[#This Row],[Taxe foncière]]+Tableau1[[#This Row],[Marketing]],"")</f>
        <v>117024</v>
      </c>
      <c r="AD93" s="6" t="s">
        <v>103</v>
      </c>
      <c r="AE93" s="6" t="s">
        <v>103</v>
      </c>
      <c r="AF93" s="6" t="s">
        <v>103</v>
      </c>
      <c r="AG93" s="6" t="s">
        <v>382</v>
      </c>
      <c r="AH93" s="10" t="s">
        <v>53</v>
      </c>
      <c r="AI93" s="10" t="s">
        <v>369</v>
      </c>
      <c r="AJ93" s="4" t="s">
        <v>686</v>
      </c>
      <c r="AK93" s="5" t="s">
        <v>690</v>
      </c>
      <c r="AL93" s="5" t="s">
        <v>368</v>
      </c>
      <c r="AM93" s="11" t="s">
        <v>697</v>
      </c>
      <c r="AN93" s="11" t="s">
        <v>701</v>
      </c>
      <c r="AO93" s="32" t="s">
        <v>529</v>
      </c>
      <c r="AP93" s="36" t="s">
        <v>808</v>
      </c>
      <c r="AQ93" s="5" t="s">
        <v>75</v>
      </c>
      <c r="AR93" s="11" t="s">
        <v>410</v>
      </c>
      <c r="AS93" s="13" t="s">
        <v>31</v>
      </c>
      <c r="AT93" s="14"/>
      <c r="AU93" s="44"/>
      <c r="AV93" s="1"/>
      <c r="AW93" s="1"/>
      <c r="BD93" s="1"/>
    </row>
    <row r="94" spans="1:56"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t="s">
        <v>103</v>
      </c>
      <c r="M94" s="36" t="s">
        <v>359</v>
      </c>
      <c r="N94" s="34">
        <v>258</v>
      </c>
      <c r="O94" s="6" t="s">
        <v>103</v>
      </c>
      <c r="P94" s="34" t="s">
        <v>103</v>
      </c>
      <c r="Q94" s="6" t="s">
        <v>103</v>
      </c>
      <c r="R94" s="12">
        <f>Tableau1[[#This Row],[Loyer €/m²]]*Tableau1[[#This Row],[Surface GLA]]</f>
        <v>70950</v>
      </c>
      <c r="S94" s="6">
        <f>IFERROR(Tableau1[[#This Row],[Loyer annuel]]/12,"")</f>
        <v>5912.5</v>
      </c>
      <c r="T94" s="12">
        <v>275</v>
      </c>
      <c r="U94" s="6" t="s">
        <v>103</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103</v>
      </c>
      <c r="AC94" s="12">
        <f>IFERROR(Tableau1[[#This Row],[Loyer annuel]]+Tableau1[[#This Row],[Charges annuelles]]+Tableau1[[#This Row],[Taxe foncière]]+Tableau1[[#This Row],[Marketing]],"")</f>
        <v>77658</v>
      </c>
      <c r="AD94" s="6" t="s">
        <v>103</v>
      </c>
      <c r="AE94" s="6" t="s">
        <v>103</v>
      </c>
      <c r="AF94" s="6" t="s">
        <v>103</v>
      </c>
      <c r="AG94" s="6" t="s">
        <v>382</v>
      </c>
      <c r="AH94" s="10" t="s">
        <v>53</v>
      </c>
      <c r="AI94" s="10" t="s">
        <v>369</v>
      </c>
      <c r="AJ94" s="4" t="s">
        <v>686</v>
      </c>
      <c r="AK94" s="5" t="s">
        <v>691</v>
      </c>
      <c r="AL94" s="5" t="s">
        <v>368</v>
      </c>
      <c r="AM94" s="11" t="s">
        <v>702</v>
      </c>
      <c r="AN94" s="11" t="s">
        <v>703</v>
      </c>
      <c r="AO94" s="32" t="s">
        <v>530</v>
      </c>
      <c r="AP94" s="36" t="s">
        <v>809</v>
      </c>
      <c r="AQ94" s="5" t="s">
        <v>75</v>
      </c>
      <c r="AR94" s="11" t="s">
        <v>411</v>
      </c>
      <c r="AS94" s="13" t="s">
        <v>31</v>
      </c>
      <c r="AT94" s="14"/>
      <c r="AU94" s="44"/>
      <c r="AV94" s="1"/>
      <c r="AW94" s="1"/>
      <c r="BD94" s="1"/>
    </row>
    <row r="95" spans="1:56"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t="s">
        <v>103</v>
      </c>
      <c r="M95" s="36" t="s">
        <v>360</v>
      </c>
      <c r="N95" s="34">
        <v>152</v>
      </c>
      <c r="O95" s="6" t="s">
        <v>103</v>
      </c>
      <c r="P95" s="34" t="s">
        <v>103</v>
      </c>
      <c r="Q95" s="6" t="s">
        <v>103</v>
      </c>
      <c r="R95" s="12">
        <f>Tableau1[[#This Row],[Loyer €/m²]]*Tableau1[[#This Row],[Surface GLA]]</f>
        <v>45600</v>
      </c>
      <c r="S95" s="6">
        <f>IFERROR(Tableau1[[#This Row],[Loyer annuel]]/12,"")</f>
        <v>3800</v>
      </c>
      <c r="T95" s="12">
        <v>300</v>
      </c>
      <c r="U95" s="6" t="s">
        <v>103</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103</v>
      </c>
      <c r="AC95" s="12">
        <f>IFERROR(Tableau1[[#This Row],[Loyer annuel]]+Tableau1[[#This Row],[Charges annuelles]]+Tableau1[[#This Row],[Taxe foncière]]+Tableau1[[#This Row],[Marketing]],"")</f>
        <v>49552</v>
      </c>
      <c r="AD95" s="6" t="s">
        <v>103</v>
      </c>
      <c r="AE95" s="6" t="s">
        <v>103</v>
      </c>
      <c r="AF95" s="6" t="s">
        <v>103</v>
      </c>
      <c r="AG95" s="6" t="s">
        <v>382</v>
      </c>
      <c r="AH95" s="10" t="s">
        <v>53</v>
      </c>
      <c r="AI95" s="10" t="s">
        <v>369</v>
      </c>
      <c r="AJ95" s="4" t="s">
        <v>686</v>
      </c>
      <c r="AK95" s="5" t="s">
        <v>692</v>
      </c>
      <c r="AL95" s="5" t="s">
        <v>368</v>
      </c>
      <c r="AM95" s="11" t="s">
        <v>704</v>
      </c>
      <c r="AN95" s="11" t="s">
        <v>705</v>
      </c>
      <c r="AO95" s="32" t="s">
        <v>531</v>
      </c>
      <c r="AP95" s="36" t="s">
        <v>810</v>
      </c>
      <c r="AQ95" s="5" t="s">
        <v>75</v>
      </c>
      <c r="AR95" s="11" t="s">
        <v>412</v>
      </c>
      <c r="AS95" s="13" t="s">
        <v>31</v>
      </c>
      <c r="AT95" s="14"/>
      <c r="AU95" s="44"/>
      <c r="AV95" s="1"/>
      <c r="AW95" s="1"/>
      <c r="BD95" s="1"/>
    </row>
    <row r="96" spans="1:56"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t="s">
        <v>103</v>
      </c>
      <c r="M96" s="36" t="s">
        <v>361</v>
      </c>
      <c r="N96" s="34">
        <v>105</v>
      </c>
      <c r="O96" s="6" t="s">
        <v>103</v>
      </c>
      <c r="P96" s="34" t="s">
        <v>103</v>
      </c>
      <c r="Q96" s="6" t="s">
        <v>103</v>
      </c>
      <c r="R96" s="12">
        <f>Tableau1[[#This Row],[Loyer €/m²]]*Tableau1[[#This Row],[Surface GLA]]</f>
        <v>36750</v>
      </c>
      <c r="S96" s="6">
        <f>IFERROR(Tableau1[[#This Row],[Loyer annuel]]/12,"")</f>
        <v>3062.5</v>
      </c>
      <c r="T96" s="12">
        <v>350</v>
      </c>
      <c r="U96" s="6" t="s">
        <v>103</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103</v>
      </c>
      <c r="AC96" s="12">
        <f>IFERROR(Tableau1[[#This Row],[Loyer annuel]]+Tableau1[[#This Row],[Charges annuelles]]+Tableau1[[#This Row],[Taxe foncière]]+Tableau1[[#This Row],[Marketing]],"")</f>
        <v>39480</v>
      </c>
      <c r="AD96" s="6" t="s">
        <v>103</v>
      </c>
      <c r="AE96" s="6" t="s">
        <v>103</v>
      </c>
      <c r="AF96" s="6" t="s">
        <v>103</v>
      </c>
      <c r="AG96" s="6" t="s">
        <v>382</v>
      </c>
      <c r="AH96" s="10" t="s">
        <v>53</v>
      </c>
      <c r="AI96" s="10" t="s">
        <v>369</v>
      </c>
      <c r="AJ96" s="4" t="s">
        <v>686</v>
      </c>
      <c r="AK96" s="5" t="s">
        <v>693</v>
      </c>
      <c r="AL96" s="5" t="s">
        <v>368</v>
      </c>
      <c r="AM96" s="11" t="s">
        <v>706</v>
      </c>
      <c r="AN96" s="11" t="s">
        <v>707</v>
      </c>
      <c r="AO96" s="32" t="s">
        <v>532</v>
      </c>
      <c r="AP96" s="36" t="s">
        <v>811</v>
      </c>
      <c r="AQ96" s="5" t="s">
        <v>75</v>
      </c>
      <c r="AR96" s="11" t="s">
        <v>413</v>
      </c>
      <c r="AS96" s="13" t="s">
        <v>31</v>
      </c>
      <c r="AT96" s="14"/>
      <c r="AU96" s="44"/>
      <c r="AV96" s="1"/>
      <c r="AW96" s="1"/>
      <c r="BD96" s="1"/>
    </row>
    <row r="97" spans="1:56"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t="s">
        <v>103</v>
      </c>
      <c r="M97" s="36" t="s">
        <v>685</v>
      </c>
      <c r="N97" s="34">
        <v>547</v>
      </c>
      <c r="O97" s="6" t="s">
        <v>103</v>
      </c>
      <c r="P97" s="34" t="s">
        <v>103</v>
      </c>
      <c r="Q97" s="6" t="s">
        <v>103</v>
      </c>
      <c r="R97" s="12">
        <f>Tableau1[[#This Row],[Loyer €/m²]]*Tableau1[[#This Row],[Surface GLA]]</f>
        <v>123075</v>
      </c>
      <c r="S97" s="12">
        <f>IFERROR(Tableau1[[#This Row],[Loyer annuel]]/12,"")</f>
        <v>10256.25</v>
      </c>
      <c r="T97" s="12">
        <v>225</v>
      </c>
      <c r="U97" s="6" t="s">
        <v>103</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103</v>
      </c>
      <c r="AC97" s="12">
        <f>IFERROR(Tableau1[[#This Row],[Loyer annuel]]+Tableau1[[#This Row],[Charges annuelles]]+Tableau1[[#This Row],[Taxe foncière]]+Tableau1[[#This Row],[Marketing]],"")</f>
        <v>137297</v>
      </c>
      <c r="AD97" s="6" t="s">
        <v>103</v>
      </c>
      <c r="AE97" s="6" t="s">
        <v>103</v>
      </c>
      <c r="AF97" s="6" t="s">
        <v>103</v>
      </c>
      <c r="AG97" s="6" t="s">
        <v>382</v>
      </c>
      <c r="AH97" s="10" t="s">
        <v>53</v>
      </c>
      <c r="AI97" s="10" t="s">
        <v>369</v>
      </c>
      <c r="AJ97" s="4" t="s">
        <v>686</v>
      </c>
      <c r="AK97" s="5" t="s">
        <v>694</v>
      </c>
      <c r="AL97" s="5" t="s">
        <v>368</v>
      </c>
      <c r="AM97" s="11" t="s">
        <v>708</v>
      </c>
      <c r="AN97" s="11" t="s">
        <v>709</v>
      </c>
      <c r="AO97" s="32" t="s">
        <v>710</v>
      </c>
      <c r="AP97" s="36" t="s">
        <v>812</v>
      </c>
      <c r="AQ97" s="5" t="s">
        <v>75</v>
      </c>
      <c r="AR97" s="11" t="s">
        <v>711</v>
      </c>
      <c r="AS97" s="13" t="s">
        <v>31</v>
      </c>
      <c r="AT97" s="14"/>
      <c r="AU97" s="44"/>
      <c r="AV97" s="1"/>
      <c r="AW97" s="1"/>
      <c r="BD97" s="1"/>
    </row>
    <row r="98" spans="1:56"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429</v>
      </c>
      <c r="I98" s="6" t="s">
        <v>45</v>
      </c>
      <c r="J98" s="6" t="s">
        <v>44</v>
      </c>
      <c r="K98" s="12" t="s">
        <v>103</v>
      </c>
      <c r="L98" s="12" t="s">
        <v>103</v>
      </c>
      <c r="M98" s="35" t="s">
        <v>414</v>
      </c>
      <c r="N98" s="34">
        <v>286</v>
      </c>
      <c r="O98" s="6" t="s">
        <v>103</v>
      </c>
      <c r="P98" s="34" t="s">
        <v>103</v>
      </c>
      <c r="Q98" s="6" t="s">
        <v>103</v>
      </c>
      <c r="R98" s="12">
        <f>Tableau1[[#This Row],[Loyer €/m²]]*Tableau1[[#This Row],[Surface GLA]]</f>
        <v>92950</v>
      </c>
      <c r="S98" s="6">
        <f>IFERROR(Tableau1[[#This Row],[Loyer annuel]]/12,"")</f>
        <v>7745.833333333333</v>
      </c>
      <c r="T98" s="12">
        <v>325</v>
      </c>
      <c r="U98" s="6" t="s">
        <v>103</v>
      </c>
      <c r="V98" s="6">
        <f>Tableau1[[#This Row],[Charges €/m²]]*Tableau1[[#This Row],[Surface GLA]]</f>
        <v>8866</v>
      </c>
      <c r="W98" s="12">
        <f>Tableau1[[#This Row],[Charges annuelles]]/12</f>
        <v>738.83333333333337</v>
      </c>
      <c r="X98" s="12">
        <v>31</v>
      </c>
      <c r="Y98" s="12">
        <f>IFERROR(Tableau1[[#This Row],[Taxe foncière €/m²]]*Tableau1[[#This Row],[Surface GLA]],)</f>
        <v>0</v>
      </c>
      <c r="Z98" s="6" t="s">
        <v>103</v>
      </c>
      <c r="AA98" s="6">
        <f>IFERROR(Tableau1[[#This Row],[Marketing €/m²]]*Tableau1[[#This Row],[Surface GLA]],)</f>
        <v>0</v>
      </c>
      <c r="AB98" s="6" t="s">
        <v>103</v>
      </c>
      <c r="AC98" s="6">
        <f>IFERROR(Tableau1[[#This Row],[Loyer annuel]]+Tableau1[[#This Row],[Charges annuelles]]+Tableau1[[#This Row],[Taxe foncière]]+Tableau1[[#This Row],[Marketing]],"")</f>
        <v>101816</v>
      </c>
      <c r="AD98" s="12" t="str">
        <f t="shared" ref="AD98:AD102" si="2">"3 mois = "&amp;TEXT(ROUND(3/12*R98,0),"### ### ##0 €")</f>
        <v>3 mois = 23 238 €</v>
      </c>
      <c r="AE98" s="6" t="s">
        <v>103</v>
      </c>
      <c r="AF98" s="6" t="s">
        <v>103</v>
      </c>
      <c r="AG98" s="6" t="s">
        <v>382</v>
      </c>
      <c r="AH98" s="10" t="s">
        <v>377</v>
      </c>
      <c r="AI98" s="4" t="s">
        <v>370</v>
      </c>
      <c r="AJ98" s="4" t="s">
        <v>423</v>
      </c>
      <c r="AK98" s="5" t="s">
        <v>422</v>
      </c>
      <c r="AL98" s="5" t="s">
        <v>368</v>
      </c>
      <c r="AM98" s="5" t="s">
        <v>714</v>
      </c>
      <c r="AN98" s="5" t="s">
        <v>715</v>
      </c>
      <c r="AO98" s="32" t="s">
        <v>533</v>
      </c>
      <c r="AP98" s="35" t="s">
        <v>813</v>
      </c>
      <c r="AQ98" s="5" t="s">
        <v>75</v>
      </c>
      <c r="AR98" s="11" t="s">
        <v>419</v>
      </c>
      <c r="AS98" s="13" t="s">
        <v>37</v>
      </c>
      <c r="AT98" s="14"/>
      <c r="AU98" s="44"/>
      <c r="AV98" s="1"/>
      <c r="AW98" s="1"/>
      <c r="BD98" s="1"/>
    </row>
    <row r="99" spans="1:56"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427</v>
      </c>
      <c r="I99" s="6" t="s">
        <v>45</v>
      </c>
      <c r="J99" s="6" t="s">
        <v>44</v>
      </c>
      <c r="K99" s="12" t="s">
        <v>103</v>
      </c>
      <c r="L99" s="12" t="s">
        <v>103</v>
      </c>
      <c r="M99" s="36" t="s">
        <v>416</v>
      </c>
      <c r="N99" s="34">
        <v>84</v>
      </c>
      <c r="O99" s="6" t="s">
        <v>103</v>
      </c>
      <c r="P99" s="34" t="s">
        <v>103</v>
      </c>
      <c r="Q99" s="6" t="s">
        <v>103</v>
      </c>
      <c r="R99" s="12">
        <f>Tableau1[[#This Row],[Loyer €/m²]]*Tableau1[[#This Row],[Surface GLA]]</f>
        <v>29400</v>
      </c>
      <c r="S99" s="12">
        <f>IFERROR(Tableau1[[#This Row],[Loyer annuel]]/12,"")</f>
        <v>2450</v>
      </c>
      <c r="T99" s="12">
        <v>350</v>
      </c>
      <c r="U99" s="6" t="s">
        <v>103</v>
      </c>
      <c r="V99" s="6">
        <f>Tableau1[[#This Row],[Charges €/m²]]*Tableau1[[#This Row],[Surface GLA]]</f>
        <v>1680</v>
      </c>
      <c r="W99" s="12">
        <f>Tableau1[[#This Row],[Charges annuelles]]/12</f>
        <v>140</v>
      </c>
      <c r="X99" s="12">
        <v>20</v>
      </c>
      <c r="Y99" s="12">
        <f>IFERROR(Tableau1[[#This Row],[Taxe foncière €/m²]]*Tableau1[[#This Row],[Surface GLA]],)</f>
        <v>0</v>
      </c>
      <c r="Z99" s="6" t="s">
        <v>103</v>
      </c>
      <c r="AA99" s="12">
        <f>IFERROR(Tableau1[[#This Row],[Marketing €/m²]]*Tableau1[[#This Row],[Surface GLA]],)</f>
        <v>0</v>
      </c>
      <c r="AB99" s="6" t="s">
        <v>103</v>
      </c>
      <c r="AC99" s="12">
        <f>IFERROR(Tableau1[[#This Row],[Loyer annuel]]+Tableau1[[#This Row],[Charges annuelles]]+Tableau1[[#This Row],[Taxe foncière]]+Tableau1[[#This Row],[Marketing]],"")</f>
        <v>31080</v>
      </c>
      <c r="AD99" s="12" t="str">
        <f t="shared" si="2"/>
        <v>3 mois = 7 350 €</v>
      </c>
      <c r="AE99" s="6" t="s">
        <v>103</v>
      </c>
      <c r="AF99" s="6" t="s">
        <v>103</v>
      </c>
      <c r="AG99" s="6" t="s">
        <v>382</v>
      </c>
      <c r="AH99" s="10" t="s">
        <v>377</v>
      </c>
      <c r="AI99" s="4" t="s">
        <v>370</v>
      </c>
      <c r="AJ99" s="4" t="s">
        <v>423</v>
      </c>
      <c r="AK99" s="5" t="s">
        <v>422</v>
      </c>
      <c r="AL99" s="5" t="s">
        <v>368</v>
      </c>
      <c r="AM99" s="11" t="s">
        <v>716</v>
      </c>
      <c r="AN99" s="11" t="s">
        <v>717</v>
      </c>
      <c r="AO99" s="32" t="s">
        <v>534</v>
      </c>
      <c r="AP99" s="35" t="s">
        <v>814</v>
      </c>
      <c r="AQ99" s="5" t="s">
        <v>75</v>
      </c>
      <c r="AR99" s="11" t="s">
        <v>420</v>
      </c>
      <c r="AS99" s="13" t="s">
        <v>37</v>
      </c>
      <c r="AT99" s="14"/>
      <c r="AU99" s="44"/>
      <c r="AV99" s="1"/>
      <c r="AW99" s="1"/>
      <c r="BD99" s="1"/>
    </row>
    <row r="100" spans="1:56"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425</v>
      </c>
      <c r="I100" s="6" t="s">
        <v>45</v>
      </c>
      <c r="J100" s="6" t="s">
        <v>44</v>
      </c>
      <c r="K100" s="12" t="s">
        <v>103</v>
      </c>
      <c r="L100" s="12" t="s">
        <v>103</v>
      </c>
      <c r="M100" s="36" t="s">
        <v>415</v>
      </c>
      <c r="N100" s="34">
        <v>272</v>
      </c>
      <c r="O100" s="6" t="s">
        <v>103</v>
      </c>
      <c r="P100" s="34" t="s">
        <v>103</v>
      </c>
      <c r="Q100" s="6" t="s">
        <v>103</v>
      </c>
      <c r="R100" s="12">
        <f>Tableau1[[#This Row],[Loyer €/m²]]*Tableau1[[#This Row],[Surface GLA]]</f>
        <v>74800</v>
      </c>
      <c r="S100" s="12">
        <f>IFERROR(Tableau1[[#This Row],[Loyer annuel]]/12,"")</f>
        <v>6233.333333333333</v>
      </c>
      <c r="T100" s="12">
        <v>275</v>
      </c>
      <c r="U100" s="6" t="s">
        <v>103</v>
      </c>
      <c r="V100" s="6">
        <f>Tableau1[[#This Row],[Charges €/m²]]*Tableau1[[#This Row],[Surface GLA]]</f>
        <v>5440</v>
      </c>
      <c r="W100" s="12">
        <f>Tableau1[[#This Row],[Charges annuelles]]/12</f>
        <v>453.33333333333331</v>
      </c>
      <c r="X100" s="12">
        <v>20</v>
      </c>
      <c r="Y100" s="12">
        <f>IFERROR(Tableau1[[#This Row],[Taxe foncière €/m²]]*Tableau1[[#This Row],[Surface GLA]],)</f>
        <v>0</v>
      </c>
      <c r="Z100" s="6" t="s">
        <v>103</v>
      </c>
      <c r="AA100" s="12">
        <f>IFERROR(Tableau1[[#This Row],[Marketing €/m²]]*Tableau1[[#This Row],[Surface GLA]],)</f>
        <v>0</v>
      </c>
      <c r="AB100" s="6" t="s">
        <v>103</v>
      </c>
      <c r="AC100" s="12">
        <f>IFERROR(Tableau1[[#This Row],[Loyer annuel]]+Tableau1[[#This Row],[Charges annuelles]]+Tableau1[[#This Row],[Taxe foncière]]+Tableau1[[#This Row],[Marketing]],"")</f>
        <v>80240</v>
      </c>
      <c r="AD100" s="12" t="str">
        <f t="shared" si="2"/>
        <v>3 mois = 18 700 €</v>
      </c>
      <c r="AE100" s="6" t="s">
        <v>103</v>
      </c>
      <c r="AF100" s="6" t="s">
        <v>103</v>
      </c>
      <c r="AG100" s="6" t="s">
        <v>382</v>
      </c>
      <c r="AH100" s="10" t="s">
        <v>377</v>
      </c>
      <c r="AI100" s="4" t="s">
        <v>370</v>
      </c>
      <c r="AJ100" s="4" t="s">
        <v>423</v>
      </c>
      <c r="AK100" s="5" t="s">
        <v>424</v>
      </c>
      <c r="AL100" s="5" t="s">
        <v>368</v>
      </c>
      <c r="AM100" s="11" t="s">
        <v>712</v>
      </c>
      <c r="AN100" s="11" t="s">
        <v>713</v>
      </c>
      <c r="AO100" s="32" t="s">
        <v>535</v>
      </c>
      <c r="AP100" s="35" t="s">
        <v>815</v>
      </c>
      <c r="AQ100" s="5" t="s">
        <v>75</v>
      </c>
      <c r="AR100" s="11" t="s">
        <v>421</v>
      </c>
      <c r="AS100" s="13" t="s">
        <v>37</v>
      </c>
      <c r="AT100" s="14"/>
      <c r="AU100" s="44"/>
      <c r="AV100" s="1"/>
      <c r="AW100" s="1"/>
      <c r="BD100" s="1"/>
    </row>
    <row r="101" spans="1:56"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426</v>
      </c>
      <c r="I101" s="6" t="s">
        <v>45</v>
      </c>
      <c r="J101" s="6" t="s">
        <v>44</v>
      </c>
      <c r="K101" s="12" t="s">
        <v>103</v>
      </c>
      <c r="L101" s="12" t="s">
        <v>103</v>
      </c>
      <c r="M101" s="36" t="s">
        <v>417</v>
      </c>
      <c r="N101" s="34">
        <v>162</v>
      </c>
      <c r="O101" s="6" t="s">
        <v>103</v>
      </c>
      <c r="P101" s="34" t="s">
        <v>103</v>
      </c>
      <c r="Q101" s="6" t="s">
        <v>103</v>
      </c>
      <c r="R101" s="12">
        <f>Tableau1[[#This Row],[Loyer €/m²]]*Tableau1[[#This Row],[Surface GLA]]</f>
        <v>52650</v>
      </c>
      <c r="S101" s="12">
        <f>IFERROR(Tableau1[[#This Row],[Loyer annuel]]/12,"")</f>
        <v>4387.5</v>
      </c>
      <c r="T101" s="12">
        <v>325</v>
      </c>
      <c r="U101" s="6" t="s">
        <v>103</v>
      </c>
      <c r="V101" s="6">
        <f>Tableau1[[#This Row],[Charges €/m²]]*Tableau1[[#This Row],[Surface GLA]]</f>
        <v>8910</v>
      </c>
      <c r="W101" s="12">
        <f>Tableau1[[#This Row],[Charges annuelles]]/12</f>
        <v>742.5</v>
      </c>
      <c r="X101" s="12">
        <v>55</v>
      </c>
      <c r="Y101" s="12">
        <f>IFERROR(Tableau1[[#This Row],[Taxe foncière €/m²]]*Tableau1[[#This Row],[Surface GLA]],)</f>
        <v>0</v>
      </c>
      <c r="Z101" s="6" t="s">
        <v>103</v>
      </c>
      <c r="AA101" s="12">
        <f>IFERROR(Tableau1[[#This Row],[Marketing €/m²]]*Tableau1[[#This Row],[Surface GLA]],)</f>
        <v>0</v>
      </c>
      <c r="AB101" s="6" t="s">
        <v>103</v>
      </c>
      <c r="AC101" s="12">
        <f>IFERROR(Tableau1[[#This Row],[Loyer annuel]]+Tableau1[[#This Row],[Charges annuelles]]+Tableau1[[#This Row],[Taxe foncière]]+Tableau1[[#This Row],[Marketing]],"")</f>
        <v>61560</v>
      </c>
      <c r="AD101" s="12" t="str">
        <f t="shared" si="2"/>
        <v>3 mois = 13 163 €</v>
      </c>
      <c r="AE101" s="6" t="s">
        <v>103</v>
      </c>
      <c r="AF101" s="6" t="s">
        <v>103</v>
      </c>
      <c r="AG101" s="6" t="s">
        <v>382</v>
      </c>
      <c r="AH101" s="10" t="s">
        <v>377</v>
      </c>
      <c r="AI101" s="4" t="s">
        <v>370</v>
      </c>
      <c r="AJ101" s="4" t="s">
        <v>423</v>
      </c>
      <c r="AK101" s="5" t="s">
        <v>422</v>
      </c>
      <c r="AL101" s="5" t="s">
        <v>368</v>
      </c>
      <c r="AM101" s="11" t="s">
        <v>718</v>
      </c>
      <c r="AN101" s="11" t="s">
        <v>719</v>
      </c>
      <c r="AO101" s="32" t="s">
        <v>536</v>
      </c>
      <c r="AP101" s="35" t="s">
        <v>816</v>
      </c>
      <c r="AQ101" s="5" t="s">
        <v>75</v>
      </c>
      <c r="AR101" s="11" t="s">
        <v>419</v>
      </c>
      <c r="AS101" s="13" t="s">
        <v>37</v>
      </c>
      <c r="AT101" s="14"/>
      <c r="AU101" s="44"/>
      <c r="AV101" s="1"/>
      <c r="AW101" s="1"/>
      <c r="BD101" s="1"/>
    </row>
    <row r="102" spans="1:56"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428</v>
      </c>
      <c r="I102" s="6" t="s">
        <v>45</v>
      </c>
      <c r="J102" s="6" t="s">
        <v>44</v>
      </c>
      <c r="K102" s="12" t="s">
        <v>103</v>
      </c>
      <c r="L102" s="12" t="s">
        <v>103</v>
      </c>
      <c r="M102" s="36" t="s">
        <v>418</v>
      </c>
      <c r="N102" s="34">
        <v>271</v>
      </c>
      <c r="O102" s="6" t="s">
        <v>103</v>
      </c>
      <c r="P102" s="34" t="s">
        <v>103</v>
      </c>
      <c r="Q102" s="6" t="s">
        <v>103</v>
      </c>
      <c r="R102" s="12">
        <f>Tableau1[[#This Row],[Loyer €/m²]]*Tableau1[[#This Row],[Surface GLA]]</f>
        <v>88075</v>
      </c>
      <c r="S102" s="12">
        <f>IFERROR(Tableau1[[#This Row],[Loyer annuel]]/12,"")</f>
        <v>7339.583333333333</v>
      </c>
      <c r="T102" s="12">
        <v>325</v>
      </c>
      <c r="U102" s="6" t="s">
        <v>103</v>
      </c>
      <c r="V102" s="6">
        <f>Tableau1[[#This Row],[Charges €/m²]]*Tableau1[[#This Row],[Surface GLA]]</f>
        <v>5420</v>
      </c>
      <c r="W102" s="12">
        <f>Tableau1[[#This Row],[Charges annuelles]]/12</f>
        <v>451.66666666666669</v>
      </c>
      <c r="X102" s="12">
        <v>20</v>
      </c>
      <c r="Y102" s="12">
        <f>IFERROR(Tableau1[[#This Row],[Taxe foncière €/m²]]*Tableau1[[#This Row],[Surface GLA]],)</f>
        <v>0</v>
      </c>
      <c r="Z102" s="6" t="s">
        <v>103</v>
      </c>
      <c r="AA102" s="12">
        <f>IFERROR(Tableau1[[#This Row],[Marketing €/m²]]*Tableau1[[#This Row],[Surface GLA]],)</f>
        <v>0</v>
      </c>
      <c r="AB102" s="6" t="s">
        <v>103</v>
      </c>
      <c r="AC102" s="12">
        <f>IFERROR(Tableau1[[#This Row],[Loyer annuel]]+Tableau1[[#This Row],[Charges annuelles]]+Tableau1[[#This Row],[Taxe foncière]]+Tableau1[[#This Row],[Marketing]],"")</f>
        <v>93495</v>
      </c>
      <c r="AD102" s="12" t="str">
        <f t="shared" si="2"/>
        <v>3 mois = 22 019 €</v>
      </c>
      <c r="AE102" s="6" t="s">
        <v>103</v>
      </c>
      <c r="AF102" s="6" t="s">
        <v>103</v>
      </c>
      <c r="AG102" s="6" t="s">
        <v>382</v>
      </c>
      <c r="AH102" s="10" t="s">
        <v>377</v>
      </c>
      <c r="AI102" s="4" t="s">
        <v>370</v>
      </c>
      <c r="AJ102" s="4" t="s">
        <v>423</v>
      </c>
      <c r="AK102" s="5" t="s">
        <v>422</v>
      </c>
      <c r="AL102" s="5" t="s">
        <v>368</v>
      </c>
      <c r="AM102" s="11" t="s">
        <v>720</v>
      </c>
      <c r="AN102" s="11" t="s">
        <v>721</v>
      </c>
      <c r="AO102" s="32" t="s">
        <v>537</v>
      </c>
      <c r="AP102" s="35" t="s">
        <v>817</v>
      </c>
      <c r="AQ102" s="5" t="s">
        <v>75</v>
      </c>
      <c r="AR102" s="11" t="s">
        <v>419</v>
      </c>
      <c r="AS102" s="13" t="s">
        <v>37</v>
      </c>
      <c r="AT102" s="14"/>
      <c r="AU102" s="44"/>
      <c r="AV102" s="1"/>
      <c r="AW102" s="1"/>
      <c r="BD102" s="1"/>
    </row>
    <row r="103" spans="1:56"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t="s">
        <v>103</v>
      </c>
      <c r="M103" s="35" t="s">
        <v>430</v>
      </c>
      <c r="N103" s="34">
        <v>144</v>
      </c>
      <c r="O103" s="6" t="s">
        <v>103</v>
      </c>
      <c r="P103" s="34" t="s">
        <v>103</v>
      </c>
      <c r="Q103" s="6" t="s">
        <v>103</v>
      </c>
      <c r="R103" s="12">
        <f>Tableau1[[#This Row],[Loyer €/m²]]*Tableau1[[#This Row],[Surface GLA]]</f>
        <v>28800</v>
      </c>
      <c r="S103" s="6">
        <f>IFERROR(Tableau1[[#This Row],[Loyer annuel]]/12,"")</f>
        <v>2400</v>
      </c>
      <c r="T103" s="12">
        <v>200</v>
      </c>
      <c r="U103" s="6" t="s">
        <v>103</v>
      </c>
      <c r="V103" s="6">
        <f>Tableau1[[#This Row],[Charges €/m²]]*Tableau1[[#This Row],[Surface GLA]]</f>
        <v>17280</v>
      </c>
      <c r="W103" s="12">
        <f>Tableau1[[#This Row],[Charges annuelles]]/12</f>
        <v>1440</v>
      </c>
      <c r="X103" s="12">
        <v>120</v>
      </c>
      <c r="Y103" s="12">
        <f>IFERROR(Tableau1[[#This Row],[Taxe foncière €/m²]]*Tableau1[[#This Row],[Surface GLA]],)</f>
        <v>0</v>
      </c>
      <c r="Z103" s="6" t="s">
        <v>103</v>
      </c>
      <c r="AA103" s="6">
        <f>IFERROR(Tableau1[[#This Row],[Marketing €/m²]]*Tableau1[[#This Row],[Surface GLA]],)</f>
        <v>0</v>
      </c>
      <c r="AB103" s="6" t="s">
        <v>103</v>
      </c>
      <c r="AC103" s="6">
        <f>IFERROR(Tableau1[[#This Row],[Loyer annuel]]+Tableau1[[#This Row],[Charges annuelles]]+Tableau1[[#This Row],[Taxe foncière]]+Tableau1[[#This Row],[Marketing]],"")</f>
        <v>46080</v>
      </c>
      <c r="AD103" s="6" t="s">
        <v>103</v>
      </c>
      <c r="AE103" s="6" t="s">
        <v>103</v>
      </c>
      <c r="AF103" s="6" t="s">
        <v>103</v>
      </c>
      <c r="AG103" s="6" t="s">
        <v>363</v>
      </c>
      <c r="AH103" s="10" t="s">
        <v>377</v>
      </c>
      <c r="AI103" s="10" t="s">
        <v>370</v>
      </c>
      <c r="AJ103" s="4" t="s">
        <v>440</v>
      </c>
      <c r="AK103" s="11" t="s">
        <v>441</v>
      </c>
      <c r="AL103" s="5" t="s">
        <v>368</v>
      </c>
      <c r="AM103" s="11" t="s">
        <v>722</v>
      </c>
      <c r="AN103" s="11" t="s">
        <v>723</v>
      </c>
      <c r="AO103" s="32" t="s">
        <v>538</v>
      </c>
      <c r="AP103" s="35" t="s">
        <v>818</v>
      </c>
      <c r="AQ103" s="5" t="s">
        <v>75</v>
      </c>
      <c r="AR103" s="11" t="s">
        <v>28</v>
      </c>
      <c r="AS103" s="7" t="s">
        <v>18</v>
      </c>
      <c r="AT103" s="16"/>
      <c r="AU103" s="44"/>
      <c r="AV103" s="1"/>
      <c r="AW103" s="1"/>
      <c r="BD103" s="1"/>
    </row>
    <row r="104" spans="1:56"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t="s">
        <v>103</v>
      </c>
      <c r="M104" s="36" t="s">
        <v>431</v>
      </c>
      <c r="N104" s="34">
        <v>133</v>
      </c>
      <c r="O104" s="6" t="s">
        <v>103</v>
      </c>
      <c r="P104" s="34" t="s">
        <v>103</v>
      </c>
      <c r="Q104" s="6" t="s">
        <v>103</v>
      </c>
      <c r="R104" s="12">
        <f>Tableau1[[#This Row],[Loyer €/m²]]*Tableau1[[#This Row],[Surface GLA]]</f>
        <v>39900</v>
      </c>
      <c r="S104" s="12">
        <f>IFERROR(Tableau1[[#This Row],[Loyer annuel]]/12,"")</f>
        <v>3325</v>
      </c>
      <c r="T104" s="12">
        <v>300</v>
      </c>
      <c r="U104" s="6" t="s">
        <v>103</v>
      </c>
      <c r="V104" s="6">
        <f>Tableau1[[#This Row],[Charges €/m²]]*Tableau1[[#This Row],[Surface GLA]]</f>
        <v>15960</v>
      </c>
      <c r="W104" s="12">
        <f>Tableau1[[#This Row],[Charges annuelles]]/12</f>
        <v>1330</v>
      </c>
      <c r="X104" s="12">
        <v>120</v>
      </c>
      <c r="Y104" s="12">
        <f>IFERROR(Tableau1[[#This Row],[Taxe foncière €/m²]]*Tableau1[[#This Row],[Surface GLA]],)</f>
        <v>0</v>
      </c>
      <c r="Z104" s="6" t="s">
        <v>103</v>
      </c>
      <c r="AA104" s="12">
        <f>IFERROR(Tableau1[[#This Row],[Marketing €/m²]]*Tableau1[[#This Row],[Surface GLA]],)</f>
        <v>0</v>
      </c>
      <c r="AB104" s="6" t="s">
        <v>103</v>
      </c>
      <c r="AC104" s="12">
        <f>IFERROR(Tableau1[[#This Row],[Loyer annuel]]+Tableau1[[#This Row],[Charges annuelles]]+Tableau1[[#This Row],[Taxe foncière]]+Tableau1[[#This Row],[Marketing]],"")</f>
        <v>55860</v>
      </c>
      <c r="AD104" s="6" t="s">
        <v>103</v>
      </c>
      <c r="AE104" s="6" t="s">
        <v>103</v>
      </c>
      <c r="AF104" s="6" t="s">
        <v>103</v>
      </c>
      <c r="AG104" s="6" t="s">
        <v>363</v>
      </c>
      <c r="AH104" s="10" t="s">
        <v>53</v>
      </c>
      <c r="AI104" s="10" t="s">
        <v>369</v>
      </c>
      <c r="AJ104" s="4" t="s">
        <v>440</v>
      </c>
      <c r="AK104" s="11" t="s">
        <v>441</v>
      </c>
      <c r="AL104" s="5" t="s">
        <v>368</v>
      </c>
      <c r="AM104" s="11" t="s">
        <v>724</v>
      </c>
      <c r="AN104" s="11" t="s">
        <v>725</v>
      </c>
      <c r="AO104" s="32" t="s">
        <v>539</v>
      </c>
      <c r="AP104" s="35" t="s">
        <v>818</v>
      </c>
      <c r="AQ104" s="5" t="s">
        <v>75</v>
      </c>
      <c r="AR104" s="11" t="s">
        <v>28</v>
      </c>
      <c r="AS104" s="7" t="s">
        <v>18</v>
      </c>
      <c r="AT104" s="14"/>
      <c r="AU104" s="44"/>
      <c r="AX104" s="10"/>
      <c r="AY104" s="10"/>
      <c r="AZ104" s="11"/>
      <c r="BA104" s="11"/>
      <c r="BB104" s="13"/>
      <c r="BC104" s="16"/>
    </row>
    <row r="105" spans="1:56"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t="s">
        <v>103</v>
      </c>
      <c r="M105" s="36" t="s">
        <v>432</v>
      </c>
      <c r="N105" s="34">
        <v>114</v>
      </c>
      <c r="O105" s="6" t="s">
        <v>103</v>
      </c>
      <c r="P105" s="34" t="s">
        <v>103</v>
      </c>
      <c r="Q105" s="6" t="s">
        <v>103</v>
      </c>
      <c r="R105" s="12">
        <f>Tableau1[[#This Row],[Loyer €/m²]]*Tableau1[[#This Row],[Surface GLA]]</f>
        <v>34200</v>
      </c>
      <c r="S105" s="12">
        <f>IFERROR(Tableau1[[#This Row],[Loyer annuel]]/12,"")</f>
        <v>2850</v>
      </c>
      <c r="T105" s="12">
        <v>300</v>
      </c>
      <c r="U105" s="6" t="s">
        <v>103</v>
      </c>
      <c r="V105" s="6">
        <f>Tableau1[[#This Row],[Charges €/m²]]*Tableau1[[#This Row],[Surface GLA]]</f>
        <v>13680</v>
      </c>
      <c r="W105" s="12">
        <f>Tableau1[[#This Row],[Charges annuelles]]/12</f>
        <v>1140</v>
      </c>
      <c r="X105" s="12">
        <v>120</v>
      </c>
      <c r="Y105" s="12">
        <f>IFERROR(Tableau1[[#This Row],[Taxe foncière €/m²]]*Tableau1[[#This Row],[Surface GLA]],)</f>
        <v>0</v>
      </c>
      <c r="Z105" s="6" t="s">
        <v>103</v>
      </c>
      <c r="AA105" s="12">
        <f>IFERROR(Tableau1[[#This Row],[Marketing €/m²]]*Tableau1[[#This Row],[Surface GLA]],)</f>
        <v>0</v>
      </c>
      <c r="AB105" s="6" t="s">
        <v>103</v>
      </c>
      <c r="AC105" s="12">
        <f>IFERROR(Tableau1[[#This Row],[Loyer annuel]]+Tableau1[[#This Row],[Charges annuelles]]+Tableau1[[#This Row],[Taxe foncière]]+Tableau1[[#This Row],[Marketing]],"")</f>
        <v>47880</v>
      </c>
      <c r="AD105" s="6" t="s">
        <v>103</v>
      </c>
      <c r="AE105" s="6" t="s">
        <v>103</v>
      </c>
      <c r="AF105" s="6" t="s">
        <v>103</v>
      </c>
      <c r="AG105" s="6" t="s">
        <v>363</v>
      </c>
      <c r="AH105" s="10" t="s">
        <v>53</v>
      </c>
      <c r="AI105" s="10" t="s">
        <v>369</v>
      </c>
      <c r="AJ105" s="4" t="s">
        <v>440</v>
      </c>
      <c r="AK105" s="11" t="s">
        <v>441</v>
      </c>
      <c r="AL105" s="5" t="s">
        <v>368</v>
      </c>
      <c r="AM105" s="11" t="s">
        <v>726</v>
      </c>
      <c r="AN105" s="11" t="s">
        <v>727</v>
      </c>
      <c r="AO105" s="32" t="s">
        <v>540</v>
      </c>
      <c r="AP105" s="35" t="s">
        <v>818</v>
      </c>
      <c r="AQ105" s="5" t="s">
        <v>75</v>
      </c>
      <c r="AR105" s="11" t="s">
        <v>28</v>
      </c>
      <c r="AS105" s="7" t="s">
        <v>18</v>
      </c>
      <c r="AT105" s="14"/>
      <c r="AU105" s="44"/>
    </row>
    <row r="106" spans="1:56"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t="s">
        <v>103</v>
      </c>
      <c r="M106" s="36"/>
      <c r="N106" s="34">
        <v>36</v>
      </c>
      <c r="O106" s="6" t="s">
        <v>103</v>
      </c>
      <c r="P106" s="34" t="s">
        <v>103</v>
      </c>
      <c r="Q106" s="6" t="s">
        <v>103</v>
      </c>
      <c r="R106" s="12">
        <f>Tableau1[[#This Row],[Loyer €/m²]]*Tableau1[[#This Row],[Surface GLA]]</f>
        <v>14400</v>
      </c>
      <c r="S106" s="12">
        <f>IFERROR(Tableau1[[#This Row],[Loyer annuel]]/12,"")</f>
        <v>1200</v>
      </c>
      <c r="T106" s="12">
        <v>400</v>
      </c>
      <c r="U106" s="6" t="s">
        <v>103</v>
      </c>
      <c r="V106" s="6">
        <f>Tableau1[[#This Row],[Charges €/m²]]*Tableau1[[#This Row],[Surface GLA]]</f>
        <v>4320</v>
      </c>
      <c r="W106" s="12">
        <f>Tableau1[[#This Row],[Charges annuelles]]/12</f>
        <v>360</v>
      </c>
      <c r="X106" s="12">
        <v>120</v>
      </c>
      <c r="Y106" s="12">
        <f>IFERROR(Tableau1[[#This Row],[Taxe foncière €/m²]]*Tableau1[[#This Row],[Surface GLA]],)</f>
        <v>0</v>
      </c>
      <c r="Z106" s="6" t="s">
        <v>103</v>
      </c>
      <c r="AA106" s="12">
        <f>IFERROR(Tableau1[[#This Row],[Marketing €/m²]]*Tableau1[[#This Row],[Surface GLA]],)</f>
        <v>0</v>
      </c>
      <c r="AB106" s="6" t="s">
        <v>103</v>
      </c>
      <c r="AC106" s="12">
        <f>IFERROR(Tableau1[[#This Row],[Loyer annuel]]+Tableau1[[#This Row],[Charges annuelles]]+Tableau1[[#This Row],[Taxe foncière]]+Tableau1[[#This Row],[Marketing]],"")</f>
        <v>18720</v>
      </c>
      <c r="AD106" s="6" t="s">
        <v>103</v>
      </c>
      <c r="AE106" s="6" t="s">
        <v>103</v>
      </c>
      <c r="AF106" s="6" t="s">
        <v>103</v>
      </c>
      <c r="AG106" s="6" t="s">
        <v>363</v>
      </c>
      <c r="AH106" s="10" t="s">
        <v>53</v>
      </c>
      <c r="AI106" s="10" t="s">
        <v>369</v>
      </c>
      <c r="AJ106" s="4" t="s">
        <v>440</v>
      </c>
      <c r="AK106" s="11" t="s">
        <v>441</v>
      </c>
      <c r="AL106" s="5" t="s">
        <v>368</v>
      </c>
      <c r="AM106" s="11" t="s">
        <v>728</v>
      </c>
      <c r="AN106" s="11" t="s">
        <v>729</v>
      </c>
      <c r="AO106" s="32" t="s">
        <v>541</v>
      </c>
      <c r="AP106" s="35" t="s">
        <v>818</v>
      </c>
      <c r="AQ106" s="5" t="s">
        <v>75</v>
      </c>
      <c r="AR106" s="11" t="s">
        <v>28</v>
      </c>
      <c r="AS106" s="7" t="s">
        <v>18</v>
      </c>
      <c r="AT106" s="14"/>
      <c r="AU106" s="44"/>
    </row>
    <row r="107" spans="1:56"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t="s">
        <v>103</v>
      </c>
      <c r="M107" s="36" t="s">
        <v>433</v>
      </c>
      <c r="N107" s="34">
        <v>60</v>
      </c>
      <c r="O107" s="6" t="s">
        <v>103</v>
      </c>
      <c r="P107" s="34" t="s">
        <v>103</v>
      </c>
      <c r="Q107" s="6" t="s">
        <v>103</v>
      </c>
      <c r="R107" s="12">
        <f>Tableau1[[#This Row],[Loyer €/m²]]*Tableau1[[#This Row],[Surface GLA]]</f>
        <v>24000</v>
      </c>
      <c r="S107" s="12">
        <f>IFERROR(Tableau1[[#This Row],[Loyer annuel]]/12,"")</f>
        <v>2000</v>
      </c>
      <c r="T107" s="12">
        <v>400</v>
      </c>
      <c r="U107" s="6" t="s">
        <v>103</v>
      </c>
      <c r="V107" s="6">
        <f>Tableau1[[#This Row],[Charges €/m²]]*Tableau1[[#This Row],[Surface GLA]]</f>
        <v>7200</v>
      </c>
      <c r="W107" s="12">
        <f>Tableau1[[#This Row],[Charges annuelles]]/12</f>
        <v>600</v>
      </c>
      <c r="X107" s="12">
        <v>120</v>
      </c>
      <c r="Y107" s="12">
        <f>IFERROR(Tableau1[[#This Row],[Taxe foncière €/m²]]*Tableau1[[#This Row],[Surface GLA]],)</f>
        <v>0</v>
      </c>
      <c r="Z107" s="6" t="s">
        <v>103</v>
      </c>
      <c r="AA107" s="12">
        <f>IFERROR(Tableau1[[#This Row],[Marketing €/m²]]*Tableau1[[#This Row],[Surface GLA]],)</f>
        <v>0</v>
      </c>
      <c r="AB107" s="6" t="s">
        <v>103</v>
      </c>
      <c r="AC107" s="12">
        <f>IFERROR(Tableau1[[#This Row],[Loyer annuel]]+Tableau1[[#This Row],[Charges annuelles]]+Tableau1[[#This Row],[Taxe foncière]]+Tableau1[[#This Row],[Marketing]],"")</f>
        <v>31200</v>
      </c>
      <c r="AD107" s="6" t="s">
        <v>103</v>
      </c>
      <c r="AE107" s="6" t="s">
        <v>103</v>
      </c>
      <c r="AF107" s="6" t="s">
        <v>103</v>
      </c>
      <c r="AG107" s="6" t="s">
        <v>363</v>
      </c>
      <c r="AH107" s="10" t="s">
        <v>53</v>
      </c>
      <c r="AI107" s="10" t="s">
        <v>369</v>
      </c>
      <c r="AJ107" s="4" t="s">
        <v>440</v>
      </c>
      <c r="AK107" s="11" t="s">
        <v>441</v>
      </c>
      <c r="AL107" s="5" t="s">
        <v>368</v>
      </c>
      <c r="AM107" s="11" t="s">
        <v>730</v>
      </c>
      <c r="AN107" s="11" t="s">
        <v>731</v>
      </c>
      <c r="AO107" s="32" t="s">
        <v>542</v>
      </c>
      <c r="AP107" s="35" t="s">
        <v>818</v>
      </c>
      <c r="AQ107" s="5" t="s">
        <v>75</v>
      </c>
      <c r="AR107" s="11" t="s">
        <v>28</v>
      </c>
      <c r="AS107" s="7" t="s">
        <v>18</v>
      </c>
      <c r="AT107" s="14"/>
      <c r="AU107" s="44"/>
    </row>
    <row r="108" spans="1:56"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t="s">
        <v>103</v>
      </c>
      <c r="M108" s="36" t="s">
        <v>434</v>
      </c>
      <c r="N108" s="34">
        <v>60</v>
      </c>
      <c r="O108" s="6" t="s">
        <v>103</v>
      </c>
      <c r="P108" s="34" t="s">
        <v>103</v>
      </c>
      <c r="Q108" s="6" t="s">
        <v>103</v>
      </c>
      <c r="R108" s="12">
        <f>Tableau1[[#This Row],[Loyer €/m²]]*Tableau1[[#This Row],[Surface GLA]]</f>
        <v>24000</v>
      </c>
      <c r="S108" s="12">
        <f>IFERROR(Tableau1[[#This Row],[Loyer annuel]]/12,"")</f>
        <v>2000</v>
      </c>
      <c r="T108" s="12">
        <v>400</v>
      </c>
      <c r="U108" s="6" t="s">
        <v>103</v>
      </c>
      <c r="V108" s="6">
        <f>Tableau1[[#This Row],[Charges €/m²]]*Tableau1[[#This Row],[Surface GLA]]</f>
        <v>7200</v>
      </c>
      <c r="W108" s="12">
        <f>Tableau1[[#This Row],[Charges annuelles]]/12</f>
        <v>600</v>
      </c>
      <c r="X108" s="12">
        <v>120</v>
      </c>
      <c r="Y108" s="12">
        <f>IFERROR(Tableau1[[#This Row],[Taxe foncière €/m²]]*Tableau1[[#This Row],[Surface GLA]],)</f>
        <v>0</v>
      </c>
      <c r="Z108" s="6" t="s">
        <v>103</v>
      </c>
      <c r="AA108" s="12">
        <f>IFERROR(Tableau1[[#This Row],[Marketing €/m²]]*Tableau1[[#This Row],[Surface GLA]],)</f>
        <v>0</v>
      </c>
      <c r="AB108" s="6" t="s">
        <v>103</v>
      </c>
      <c r="AC108" s="12">
        <f>IFERROR(Tableau1[[#This Row],[Loyer annuel]]+Tableau1[[#This Row],[Charges annuelles]]+Tableau1[[#This Row],[Taxe foncière]]+Tableau1[[#This Row],[Marketing]],"")</f>
        <v>31200</v>
      </c>
      <c r="AD108" s="6" t="s">
        <v>103</v>
      </c>
      <c r="AE108" s="6" t="s">
        <v>103</v>
      </c>
      <c r="AF108" s="6" t="s">
        <v>103</v>
      </c>
      <c r="AG108" s="6" t="s">
        <v>363</v>
      </c>
      <c r="AH108" s="10" t="s">
        <v>53</v>
      </c>
      <c r="AI108" s="10" t="s">
        <v>369</v>
      </c>
      <c r="AJ108" s="4" t="s">
        <v>440</v>
      </c>
      <c r="AK108" s="11" t="s">
        <v>441</v>
      </c>
      <c r="AL108" s="5" t="s">
        <v>368</v>
      </c>
      <c r="AM108" s="11" t="s">
        <v>732</v>
      </c>
      <c r="AN108" s="11" t="s">
        <v>733</v>
      </c>
      <c r="AO108" s="32" t="s">
        <v>543</v>
      </c>
      <c r="AP108" s="35" t="s">
        <v>818</v>
      </c>
      <c r="AQ108" s="5" t="s">
        <v>75</v>
      </c>
      <c r="AR108" s="11" t="s">
        <v>28</v>
      </c>
      <c r="AS108" s="7" t="s">
        <v>18</v>
      </c>
      <c r="AT108" s="14"/>
      <c r="AU108" s="44"/>
    </row>
    <row r="109" spans="1:56"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t="s">
        <v>103</v>
      </c>
      <c r="M109" s="36" t="s">
        <v>435</v>
      </c>
      <c r="N109" s="34">
        <v>96</v>
      </c>
      <c r="O109" s="6" t="s">
        <v>103</v>
      </c>
      <c r="P109" s="34" t="s">
        <v>103</v>
      </c>
      <c r="Q109" s="6" t="s">
        <v>103</v>
      </c>
      <c r="R109" s="12">
        <f>Tableau1[[#This Row],[Loyer €/m²]]*Tableau1[[#This Row],[Surface GLA]]</f>
        <v>38400</v>
      </c>
      <c r="S109" s="12">
        <f>IFERROR(Tableau1[[#This Row],[Loyer annuel]]/12,"")</f>
        <v>3200</v>
      </c>
      <c r="T109" s="12">
        <v>400</v>
      </c>
      <c r="U109" s="6" t="s">
        <v>103</v>
      </c>
      <c r="V109" s="6">
        <f>Tableau1[[#This Row],[Charges €/m²]]*Tableau1[[#This Row],[Surface GLA]]</f>
        <v>11520</v>
      </c>
      <c r="W109" s="12">
        <f>Tableau1[[#This Row],[Charges annuelles]]/12</f>
        <v>960</v>
      </c>
      <c r="X109" s="12">
        <v>120</v>
      </c>
      <c r="Y109" s="12">
        <f>IFERROR(Tableau1[[#This Row],[Taxe foncière €/m²]]*Tableau1[[#This Row],[Surface GLA]],)</f>
        <v>0</v>
      </c>
      <c r="Z109" s="6" t="s">
        <v>103</v>
      </c>
      <c r="AA109" s="12">
        <f>IFERROR(Tableau1[[#This Row],[Marketing €/m²]]*Tableau1[[#This Row],[Surface GLA]],)</f>
        <v>0</v>
      </c>
      <c r="AB109" s="6" t="s">
        <v>103</v>
      </c>
      <c r="AC109" s="12">
        <f>IFERROR(Tableau1[[#This Row],[Loyer annuel]]+Tableau1[[#This Row],[Charges annuelles]]+Tableau1[[#This Row],[Taxe foncière]]+Tableau1[[#This Row],[Marketing]],"")</f>
        <v>49920</v>
      </c>
      <c r="AD109" s="6" t="s">
        <v>103</v>
      </c>
      <c r="AE109" s="6" t="s">
        <v>103</v>
      </c>
      <c r="AF109" s="6" t="s">
        <v>103</v>
      </c>
      <c r="AG109" s="6" t="s">
        <v>363</v>
      </c>
      <c r="AH109" s="10" t="s">
        <v>53</v>
      </c>
      <c r="AI109" s="10" t="s">
        <v>369</v>
      </c>
      <c r="AJ109" s="4" t="s">
        <v>440</v>
      </c>
      <c r="AK109" s="11" t="s">
        <v>441</v>
      </c>
      <c r="AL109" s="5" t="s">
        <v>368</v>
      </c>
      <c r="AM109" s="11" t="s">
        <v>734</v>
      </c>
      <c r="AN109" s="11" t="s">
        <v>735</v>
      </c>
      <c r="AO109" s="32" t="s">
        <v>544</v>
      </c>
      <c r="AP109" s="35" t="s">
        <v>818</v>
      </c>
      <c r="AQ109" s="5" t="s">
        <v>75</v>
      </c>
      <c r="AR109" s="11" t="s">
        <v>28</v>
      </c>
      <c r="AS109" s="7" t="s">
        <v>18</v>
      </c>
      <c r="AT109" s="14"/>
      <c r="AU109" s="44"/>
    </row>
    <row r="110" spans="1:56"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t="s">
        <v>103</v>
      </c>
      <c r="M110" s="36" t="s">
        <v>335</v>
      </c>
      <c r="N110" s="34">
        <v>265</v>
      </c>
      <c r="O110" s="6" t="s">
        <v>103</v>
      </c>
      <c r="P110" s="34" t="s">
        <v>103</v>
      </c>
      <c r="Q110" s="6" t="s">
        <v>103</v>
      </c>
      <c r="R110" s="12">
        <f>Tableau1[[#This Row],[Loyer €/m²]]*Tableau1[[#This Row],[Surface GLA]]</f>
        <v>53000</v>
      </c>
      <c r="S110" s="12">
        <f>IFERROR(Tableau1[[#This Row],[Loyer annuel]]/12,"")</f>
        <v>4416.666666666667</v>
      </c>
      <c r="T110" s="12">
        <v>200</v>
      </c>
      <c r="U110" s="6" t="s">
        <v>103</v>
      </c>
      <c r="V110" s="6">
        <f>Tableau1[[#This Row],[Charges €/m²]]*Tableau1[[#This Row],[Surface GLA]]</f>
        <v>31800</v>
      </c>
      <c r="W110" s="12">
        <f>Tableau1[[#This Row],[Charges annuelles]]/12</f>
        <v>2650</v>
      </c>
      <c r="X110" s="12">
        <v>120</v>
      </c>
      <c r="Y110" s="12">
        <f>IFERROR(Tableau1[[#This Row],[Taxe foncière €/m²]]*Tableau1[[#This Row],[Surface GLA]],)</f>
        <v>0</v>
      </c>
      <c r="Z110" s="6" t="s">
        <v>103</v>
      </c>
      <c r="AA110" s="12">
        <f>IFERROR(Tableau1[[#This Row],[Marketing €/m²]]*Tableau1[[#This Row],[Surface GLA]],)</f>
        <v>0</v>
      </c>
      <c r="AB110" s="6" t="s">
        <v>103</v>
      </c>
      <c r="AC110" s="12">
        <f>IFERROR(Tableau1[[#This Row],[Loyer annuel]]+Tableau1[[#This Row],[Charges annuelles]]+Tableau1[[#This Row],[Taxe foncière]]+Tableau1[[#This Row],[Marketing]],"")</f>
        <v>84800</v>
      </c>
      <c r="AD110" s="6" t="s">
        <v>103</v>
      </c>
      <c r="AE110" s="6" t="s">
        <v>103</v>
      </c>
      <c r="AF110" s="6" t="s">
        <v>103</v>
      </c>
      <c r="AG110" s="6" t="s">
        <v>363</v>
      </c>
      <c r="AH110" s="10" t="s">
        <v>53</v>
      </c>
      <c r="AI110" s="10" t="s">
        <v>369</v>
      </c>
      <c r="AJ110" s="4" t="s">
        <v>440</v>
      </c>
      <c r="AK110" s="11" t="s">
        <v>441</v>
      </c>
      <c r="AL110" s="5" t="s">
        <v>368</v>
      </c>
      <c r="AM110" s="11" t="s">
        <v>736</v>
      </c>
      <c r="AN110" s="11" t="s">
        <v>737</v>
      </c>
      <c r="AO110" s="32" t="s">
        <v>545</v>
      </c>
      <c r="AP110" s="35" t="s">
        <v>818</v>
      </c>
      <c r="AQ110" s="5" t="s">
        <v>75</v>
      </c>
      <c r="AR110" s="11" t="s">
        <v>28</v>
      </c>
      <c r="AS110" s="7" t="s">
        <v>18</v>
      </c>
      <c r="AT110" s="14"/>
      <c r="AU110" s="44"/>
    </row>
    <row r="111" spans="1:56"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t="s">
        <v>103</v>
      </c>
      <c r="M111" s="36" t="s">
        <v>336</v>
      </c>
      <c r="N111" s="34">
        <v>63</v>
      </c>
      <c r="O111" s="6" t="s">
        <v>103</v>
      </c>
      <c r="P111" s="34" t="s">
        <v>103</v>
      </c>
      <c r="Q111" s="6" t="s">
        <v>103</v>
      </c>
      <c r="R111" s="12">
        <f>Tableau1[[#This Row],[Loyer €/m²]]*Tableau1[[#This Row],[Surface GLA]]</f>
        <v>25200</v>
      </c>
      <c r="S111" s="12">
        <f>IFERROR(Tableau1[[#This Row],[Loyer annuel]]/12,"")</f>
        <v>2100</v>
      </c>
      <c r="T111" s="12">
        <v>400</v>
      </c>
      <c r="U111" s="6" t="s">
        <v>103</v>
      </c>
      <c r="V111" s="6">
        <f>Tableau1[[#This Row],[Charges €/m²]]*Tableau1[[#This Row],[Surface GLA]]</f>
        <v>7560</v>
      </c>
      <c r="W111" s="12">
        <f>Tableau1[[#This Row],[Charges annuelles]]/12</f>
        <v>630</v>
      </c>
      <c r="X111" s="12">
        <v>120</v>
      </c>
      <c r="Y111" s="12">
        <f>IFERROR(Tableau1[[#This Row],[Taxe foncière €/m²]]*Tableau1[[#This Row],[Surface GLA]],)</f>
        <v>0</v>
      </c>
      <c r="Z111" s="6" t="s">
        <v>103</v>
      </c>
      <c r="AA111" s="12">
        <f>IFERROR(Tableau1[[#This Row],[Marketing €/m²]]*Tableau1[[#This Row],[Surface GLA]],)</f>
        <v>0</v>
      </c>
      <c r="AB111" s="6" t="s">
        <v>103</v>
      </c>
      <c r="AC111" s="12">
        <f>IFERROR(Tableau1[[#This Row],[Loyer annuel]]+Tableau1[[#This Row],[Charges annuelles]]+Tableau1[[#This Row],[Taxe foncière]]+Tableau1[[#This Row],[Marketing]],"")</f>
        <v>32760</v>
      </c>
      <c r="AD111" s="6" t="s">
        <v>103</v>
      </c>
      <c r="AE111" s="6" t="s">
        <v>103</v>
      </c>
      <c r="AF111" s="6" t="s">
        <v>103</v>
      </c>
      <c r="AG111" s="6" t="s">
        <v>363</v>
      </c>
      <c r="AH111" s="10" t="s">
        <v>53</v>
      </c>
      <c r="AI111" s="10" t="s">
        <v>369</v>
      </c>
      <c r="AJ111" s="4" t="s">
        <v>440</v>
      </c>
      <c r="AK111" s="11" t="s">
        <v>441</v>
      </c>
      <c r="AL111" s="5" t="s">
        <v>368</v>
      </c>
      <c r="AM111" s="11" t="s">
        <v>738</v>
      </c>
      <c r="AN111" s="11" t="s">
        <v>739</v>
      </c>
      <c r="AO111" s="32" t="s">
        <v>546</v>
      </c>
      <c r="AP111" s="35" t="s">
        <v>818</v>
      </c>
      <c r="AQ111" s="5" t="s">
        <v>75</v>
      </c>
      <c r="AR111" s="11" t="s">
        <v>28</v>
      </c>
      <c r="AS111" s="7" t="s">
        <v>18</v>
      </c>
      <c r="AT111" s="14"/>
      <c r="AU111" s="44"/>
    </row>
    <row r="112" spans="1:56"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t="s">
        <v>103</v>
      </c>
      <c r="M112" s="36" t="s">
        <v>359</v>
      </c>
      <c r="N112" s="34">
        <v>120</v>
      </c>
      <c r="O112" s="6" t="s">
        <v>103</v>
      </c>
      <c r="P112" s="34" t="s">
        <v>103</v>
      </c>
      <c r="Q112" s="6" t="s">
        <v>103</v>
      </c>
      <c r="R112" s="12">
        <f>Tableau1[[#This Row],[Loyer €/m²]]*Tableau1[[#This Row],[Surface GLA]]</f>
        <v>36000</v>
      </c>
      <c r="S112" s="12">
        <f>IFERROR(Tableau1[[#This Row],[Loyer annuel]]/12,"")</f>
        <v>3000</v>
      </c>
      <c r="T112" s="12">
        <v>300</v>
      </c>
      <c r="U112" s="6" t="s">
        <v>103</v>
      </c>
      <c r="V112" s="6">
        <f>Tableau1[[#This Row],[Charges €/m²]]*Tableau1[[#This Row],[Surface GLA]]</f>
        <v>14400</v>
      </c>
      <c r="W112" s="12">
        <f>Tableau1[[#This Row],[Charges annuelles]]/12</f>
        <v>1200</v>
      </c>
      <c r="X112" s="12">
        <v>120</v>
      </c>
      <c r="Y112" s="12">
        <f>IFERROR(Tableau1[[#This Row],[Taxe foncière €/m²]]*Tableau1[[#This Row],[Surface GLA]],)</f>
        <v>0</v>
      </c>
      <c r="Z112" s="6" t="s">
        <v>103</v>
      </c>
      <c r="AA112" s="12">
        <f>IFERROR(Tableau1[[#This Row],[Marketing €/m²]]*Tableau1[[#This Row],[Surface GLA]],)</f>
        <v>0</v>
      </c>
      <c r="AB112" s="6" t="s">
        <v>103</v>
      </c>
      <c r="AC112" s="12">
        <f>IFERROR(Tableau1[[#This Row],[Loyer annuel]]+Tableau1[[#This Row],[Charges annuelles]]+Tableau1[[#This Row],[Taxe foncière]]+Tableau1[[#This Row],[Marketing]],"")</f>
        <v>50400</v>
      </c>
      <c r="AD112" s="6" t="s">
        <v>103</v>
      </c>
      <c r="AE112" s="6" t="s">
        <v>103</v>
      </c>
      <c r="AF112" s="6" t="s">
        <v>103</v>
      </c>
      <c r="AG112" s="6" t="s">
        <v>363</v>
      </c>
      <c r="AH112" s="10" t="s">
        <v>53</v>
      </c>
      <c r="AI112" s="10" t="s">
        <v>369</v>
      </c>
      <c r="AJ112" s="4" t="s">
        <v>440</v>
      </c>
      <c r="AK112" s="11" t="s">
        <v>441</v>
      </c>
      <c r="AL112" s="5" t="s">
        <v>368</v>
      </c>
      <c r="AM112" s="11" t="s">
        <v>740</v>
      </c>
      <c r="AN112" s="11" t="s">
        <v>741</v>
      </c>
      <c r="AO112" s="32" t="s">
        <v>547</v>
      </c>
      <c r="AP112" s="35" t="s">
        <v>818</v>
      </c>
      <c r="AQ112" s="5" t="s">
        <v>75</v>
      </c>
      <c r="AR112" s="11" t="s">
        <v>28</v>
      </c>
      <c r="AS112" s="7" t="s">
        <v>18</v>
      </c>
      <c r="AT112" s="14"/>
      <c r="AU112" s="44"/>
      <c r="AW112" s="1"/>
      <c r="BC112"/>
      <c r="BD112" s="1"/>
    </row>
    <row r="113" spans="1:56"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t="s">
        <v>103</v>
      </c>
      <c r="M113" s="36" t="s">
        <v>436</v>
      </c>
      <c r="N113" s="34">
        <v>176</v>
      </c>
      <c r="O113" s="6" t="s">
        <v>103</v>
      </c>
      <c r="P113" s="34" t="s">
        <v>103</v>
      </c>
      <c r="Q113" s="6" t="s">
        <v>103</v>
      </c>
      <c r="R113" s="12">
        <f>Tableau1[[#This Row],[Loyer €/m²]]*Tableau1[[#This Row],[Surface GLA]]</f>
        <v>52800</v>
      </c>
      <c r="S113" s="12">
        <f>IFERROR(Tableau1[[#This Row],[Loyer annuel]]/12,"")</f>
        <v>4400</v>
      </c>
      <c r="T113" s="12">
        <v>300</v>
      </c>
      <c r="U113" s="6" t="s">
        <v>103</v>
      </c>
      <c r="V113" s="6">
        <f>Tableau1[[#This Row],[Charges €/m²]]*Tableau1[[#This Row],[Surface GLA]]</f>
        <v>21120</v>
      </c>
      <c r="W113" s="12">
        <f>Tableau1[[#This Row],[Charges annuelles]]/12</f>
        <v>1760</v>
      </c>
      <c r="X113" s="12">
        <v>120</v>
      </c>
      <c r="Y113" s="12">
        <f>IFERROR(Tableau1[[#This Row],[Taxe foncière €/m²]]*Tableau1[[#This Row],[Surface GLA]],)</f>
        <v>0</v>
      </c>
      <c r="Z113" s="6" t="s">
        <v>103</v>
      </c>
      <c r="AA113" s="12">
        <f>IFERROR(Tableau1[[#This Row],[Marketing €/m²]]*Tableau1[[#This Row],[Surface GLA]],)</f>
        <v>0</v>
      </c>
      <c r="AB113" s="6" t="s">
        <v>103</v>
      </c>
      <c r="AC113" s="12">
        <f>IFERROR(Tableau1[[#This Row],[Loyer annuel]]+Tableau1[[#This Row],[Charges annuelles]]+Tableau1[[#This Row],[Taxe foncière]]+Tableau1[[#This Row],[Marketing]],"")</f>
        <v>73920</v>
      </c>
      <c r="AD113" s="6" t="s">
        <v>103</v>
      </c>
      <c r="AE113" s="6" t="s">
        <v>103</v>
      </c>
      <c r="AF113" s="6" t="s">
        <v>103</v>
      </c>
      <c r="AG113" s="6" t="s">
        <v>363</v>
      </c>
      <c r="AH113" s="10" t="s">
        <v>53</v>
      </c>
      <c r="AI113" s="10" t="s">
        <v>369</v>
      </c>
      <c r="AJ113" s="4" t="s">
        <v>440</v>
      </c>
      <c r="AK113" s="11" t="s">
        <v>441</v>
      </c>
      <c r="AL113" s="5" t="s">
        <v>368</v>
      </c>
      <c r="AM113" s="11" t="s">
        <v>742</v>
      </c>
      <c r="AN113" s="11" t="s">
        <v>743</v>
      </c>
      <c r="AO113" s="32" t="s">
        <v>548</v>
      </c>
      <c r="AP113" s="35" t="s">
        <v>818</v>
      </c>
      <c r="AQ113" s="5" t="s">
        <v>75</v>
      </c>
      <c r="AR113" s="11" t="s">
        <v>28</v>
      </c>
      <c r="AS113" s="7" t="s">
        <v>18</v>
      </c>
      <c r="AT113" s="14"/>
      <c r="AU113" s="44"/>
      <c r="AW113" s="1"/>
      <c r="BC113"/>
      <c r="BD113" s="1"/>
    </row>
    <row r="114" spans="1:56"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t="s">
        <v>103</v>
      </c>
      <c r="M114" s="36" t="s">
        <v>437</v>
      </c>
      <c r="N114" s="34">
        <v>86</v>
      </c>
      <c r="O114" s="6" t="s">
        <v>103</v>
      </c>
      <c r="P114" s="34" t="s">
        <v>103</v>
      </c>
      <c r="Q114" s="6" t="s">
        <v>103</v>
      </c>
      <c r="R114" s="12">
        <f>Tableau1[[#This Row],[Loyer €/m²]]*Tableau1[[#This Row],[Surface GLA]]</f>
        <v>34400</v>
      </c>
      <c r="S114" s="12">
        <f>IFERROR(Tableau1[[#This Row],[Loyer annuel]]/12,"")</f>
        <v>2866.6666666666665</v>
      </c>
      <c r="T114" s="12">
        <v>400</v>
      </c>
      <c r="U114" s="6" t="s">
        <v>103</v>
      </c>
      <c r="V114" s="6">
        <f>Tableau1[[#This Row],[Charges €/m²]]*Tableau1[[#This Row],[Surface GLA]]</f>
        <v>10320</v>
      </c>
      <c r="W114" s="12">
        <f>Tableau1[[#This Row],[Charges annuelles]]/12</f>
        <v>860</v>
      </c>
      <c r="X114" s="12">
        <v>120</v>
      </c>
      <c r="Y114" s="12">
        <f>IFERROR(Tableau1[[#This Row],[Taxe foncière €/m²]]*Tableau1[[#This Row],[Surface GLA]],)</f>
        <v>0</v>
      </c>
      <c r="Z114" s="6" t="s">
        <v>103</v>
      </c>
      <c r="AA114" s="12">
        <f>IFERROR(Tableau1[[#This Row],[Marketing €/m²]]*Tableau1[[#This Row],[Surface GLA]],)</f>
        <v>0</v>
      </c>
      <c r="AB114" s="6" t="s">
        <v>103</v>
      </c>
      <c r="AC114" s="12">
        <f>IFERROR(Tableau1[[#This Row],[Loyer annuel]]+Tableau1[[#This Row],[Charges annuelles]]+Tableau1[[#This Row],[Taxe foncière]]+Tableau1[[#This Row],[Marketing]],"")</f>
        <v>44720</v>
      </c>
      <c r="AD114" s="6" t="s">
        <v>103</v>
      </c>
      <c r="AE114" s="6" t="s">
        <v>103</v>
      </c>
      <c r="AF114" s="6" t="s">
        <v>103</v>
      </c>
      <c r="AG114" s="6" t="s">
        <v>363</v>
      </c>
      <c r="AH114" s="10" t="s">
        <v>377</v>
      </c>
      <c r="AI114" s="10" t="s">
        <v>370</v>
      </c>
      <c r="AJ114" s="4" t="s">
        <v>440</v>
      </c>
      <c r="AK114" s="11" t="s">
        <v>441</v>
      </c>
      <c r="AL114" s="5" t="s">
        <v>368</v>
      </c>
      <c r="AM114" s="11" t="s">
        <v>744</v>
      </c>
      <c r="AN114" s="11" t="s">
        <v>745</v>
      </c>
      <c r="AO114" s="32" t="s">
        <v>549</v>
      </c>
      <c r="AP114" s="35" t="s">
        <v>818</v>
      </c>
      <c r="AQ114" s="5" t="s">
        <v>75</v>
      </c>
      <c r="AR114" s="11" t="s">
        <v>28</v>
      </c>
      <c r="AS114" s="7" t="s">
        <v>18</v>
      </c>
      <c r="AT114" s="14"/>
      <c r="AU114" s="44"/>
      <c r="AW114" s="1"/>
      <c r="BC114"/>
      <c r="BD114" s="1"/>
    </row>
    <row r="115" spans="1:56"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t="s">
        <v>103</v>
      </c>
      <c r="M115" s="36" t="s">
        <v>438</v>
      </c>
      <c r="N115" s="34">
        <v>86</v>
      </c>
      <c r="O115" s="6" t="s">
        <v>103</v>
      </c>
      <c r="P115" s="34" t="s">
        <v>103</v>
      </c>
      <c r="Q115" s="6" t="s">
        <v>103</v>
      </c>
      <c r="R115" s="12">
        <f>Tableau1[[#This Row],[Loyer €/m²]]*Tableau1[[#This Row],[Surface GLA]]</f>
        <v>34400</v>
      </c>
      <c r="S115" s="12">
        <f>IFERROR(Tableau1[[#This Row],[Loyer annuel]]/12,"")</f>
        <v>2866.6666666666665</v>
      </c>
      <c r="T115" s="12">
        <v>400</v>
      </c>
      <c r="U115" s="6" t="s">
        <v>103</v>
      </c>
      <c r="V115" s="6">
        <f>Tableau1[[#This Row],[Charges €/m²]]*Tableau1[[#This Row],[Surface GLA]]</f>
        <v>10320</v>
      </c>
      <c r="W115" s="12">
        <f>Tableau1[[#This Row],[Charges annuelles]]/12</f>
        <v>860</v>
      </c>
      <c r="X115" s="12">
        <v>120</v>
      </c>
      <c r="Y115" s="12">
        <f>IFERROR(Tableau1[[#This Row],[Taxe foncière €/m²]]*Tableau1[[#This Row],[Surface GLA]],)</f>
        <v>0</v>
      </c>
      <c r="Z115" s="6" t="s">
        <v>103</v>
      </c>
      <c r="AA115" s="12">
        <f>IFERROR(Tableau1[[#This Row],[Marketing €/m²]]*Tableau1[[#This Row],[Surface GLA]],)</f>
        <v>0</v>
      </c>
      <c r="AB115" s="6" t="s">
        <v>103</v>
      </c>
      <c r="AC115" s="12">
        <f>IFERROR(Tableau1[[#This Row],[Loyer annuel]]+Tableau1[[#This Row],[Charges annuelles]]+Tableau1[[#This Row],[Taxe foncière]]+Tableau1[[#This Row],[Marketing]],"")</f>
        <v>44720</v>
      </c>
      <c r="AD115" s="6" t="s">
        <v>103</v>
      </c>
      <c r="AE115" s="6" t="s">
        <v>103</v>
      </c>
      <c r="AF115" s="6" t="s">
        <v>103</v>
      </c>
      <c r="AG115" s="6" t="s">
        <v>363</v>
      </c>
      <c r="AH115" s="10" t="s">
        <v>377</v>
      </c>
      <c r="AI115" s="10" t="s">
        <v>370</v>
      </c>
      <c r="AJ115" s="4" t="s">
        <v>440</v>
      </c>
      <c r="AK115" s="11" t="s">
        <v>441</v>
      </c>
      <c r="AL115" s="5" t="s">
        <v>368</v>
      </c>
      <c r="AM115" s="11" t="s">
        <v>746</v>
      </c>
      <c r="AN115" s="11" t="s">
        <v>747</v>
      </c>
      <c r="AO115" s="32" t="s">
        <v>550</v>
      </c>
      <c r="AP115" s="35" t="s">
        <v>818</v>
      </c>
      <c r="AQ115" s="5" t="s">
        <v>75</v>
      </c>
      <c r="AR115" s="11" t="s">
        <v>28</v>
      </c>
      <c r="AS115" s="7" t="s">
        <v>18</v>
      </c>
      <c r="AT115" s="14"/>
      <c r="AU115" s="44"/>
      <c r="AW115" s="1"/>
      <c r="BC115"/>
      <c r="BD115" s="1"/>
    </row>
    <row r="116" spans="1:56"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t="s">
        <v>103</v>
      </c>
      <c r="M116" s="36" t="s">
        <v>439</v>
      </c>
      <c r="N116" s="34">
        <v>90</v>
      </c>
      <c r="O116" s="6" t="s">
        <v>103</v>
      </c>
      <c r="P116" s="34" t="s">
        <v>103</v>
      </c>
      <c r="Q116" s="6" t="s">
        <v>103</v>
      </c>
      <c r="R116" s="12">
        <f>Tableau1[[#This Row],[Loyer €/m²]]*Tableau1[[#This Row],[Surface GLA]]</f>
        <v>36000</v>
      </c>
      <c r="S116" s="12">
        <f>IFERROR(Tableau1[[#This Row],[Loyer annuel]]/12,"")</f>
        <v>3000</v>
      </c>
      <c r="T116" s="12">
        <v>400</v>
      </c>
      <c r="U116" s="6" t="s">
        <v>103</v>
      </c>
      <c r="V116" s="6">
        <f>Tableau1[[#This Row],[Charges €/m²]]*Tableau1[[#This Row],[Surface GLA]]</f>
        <v>10800</v>
      </c>
      <c r="W116" s="12">
        <f>Tableau1[[#This Row],[Charges annuelles]]/12</f>
        <v>900</v>
      </c>
      <c r="X116" s="12">
        <v>120</v>
      </c>
      <c r="Y116" s="12">
        <f>IFERROR(Tableau1[[#This Row],[Taxe foncière €/m²]]*Tableau1[[#This Row],[Surface GLA]],)</f>
        <v>0</v>
      </c>
      <c r="Z116" s="6" t="s">
        <v>103</v>
      </c>
      <c r="AA116" s="12">
        <f>IFERROR(Tableau1[[#This Row],[Marketing €/m²]]*Tableau1[[#This Row],[Surface GLA]],)</f>
        <v>0</v>
      </c>
      <c r="AB116" s="6" t="s">
        <v>103</v>
      </c>
      <c r="AC116" s="12">
        <f>IFERROR(Tableau1[[#This Row],[Loyer annuel]]+Tableau1[[#This Row],[Charges annuelles]]+Tableau1[[#This Row],[Taxe foncière]]+Tableau1[[#This Row],[Marketing]],"")</f>
        <v>46800</v>
      </c>
      <c r="AD116" s="6" t="s">
        <v>103</v>
      </c>
      <c r="AE116" s="6" t="s">
        <v>103</v>
      </c>
      <c r="AF116" s="6" t="s">
        <v>103</v>
      </c>
      <c r="AG116" s="6" t="s">
        <v>363</v>
      </c>
      <c r="AH116" s="10" t="s">
        <v>377</v>
      </c>
      <c r="AI116" s="10" t="s">
        <v>370</v>
      </c>
      <c r="AJ116" s="4" t="s">
        <v>440</v>
      </c>
      <c r="AK116" s="11" t="s">
        <v>441</v>
      </c>
      <c r="AL116" s="5" t="s">
        <v>368</v>
      </c>
      <c r="AM116" s="11" t="s">
        <v>748</v>
      </c>
      <c r="AN116" s="11" t="s">
        <v>749</v>
      </c>
      <c r="AO116" s="32" t="s">
        <v>551</v>
      </c>
      <c r="AP116" s="35" t="s">
        <v>818</v>
      </c>
      <c r="AQ116" s="5" t="s">
        <v>75</v>
      </c>
      <c r="AR116" s="11" t="s">
        <v>28</v>
      </c>
      <c r="AS116" s="7" t="s">
        <v>18</v>
      </c>
      <c r="AT116" s="14"/>
      <c r="AU116" s="44"/>
      <c r="AW116" s="1"/>
      <c r="BC116"/>
      <c r="BD116" s="1"/>
    </row>
    <row r="117" spans="1:56" ht="38.25">
      <c r="A117" s="38" t="str">
        <f>VLOOKUP(Tableau1[[#This Row],[N° Département]],Feuil1!$C$6:$E$106,3)</f>
        <v>Grand Est</v>
      </c>
      <c r="B117" s="38" t="str">
        <f>VLOOKUP(Tableau1[[#This Row],[N° Département]],Feuil1!$C$6:$E$106,2)</f>
        <v>Bas-Rhin</v>
      </c>
      <c r="C117" s="38">
        <f>LEFT(Tableau1[[#This Row],[Code Postal]],2)*1</f>
        <v>67</v>
      </c>
      <c r="D117" s="10" t="s">
        <v>904</v>
      </c>
      <c r="E117" s="26">
        <v>67600</v>
      </c>
      <c r="F117" s="10" t="s">
        <v>891</v>
      </c>
      <c r="G117" s="39" t="str">
        <f>Tableau1[[#This Row],[Rue]]&amp;CHAR(10)&amp;Tableau1[[#This Row],[Code Postal]]&amp;" - "&amp;Tableau1[[#This Row],[Ville]]</f>
        <v>Supermarché Leclerc Ouest Heyden, All. de la Lohmuhle
67600 - Sélestat</v>
      </c>
      <c r="H117" s="15" t="s">
        <v>892</v>
      </c>
      <c r="I117" s="12" t="s">
        <v>45</v>
      </c>
      <c r="J117" s="12" t="s">
        <v>51</v>
      </c>
      <c r="K117" s="12" t="s">
        <v>103</v>
      </c>
      <c r="L117" s="12">
        <v>7500</v>
      </c>
      <c r="M117" s="36" t="s">
        <v>893</v>
      </c>
      <c r="N117" s="34">
        <v>98</v>
      </c>
      <c r="O117" s="6" t="s">
        <v>103</v>
      </c>
      <c r="P117" s="34" t="s">
        <v>103</v>
      </c>
      <c r="Q117" s="6" t="s">
        <v>103</v>
      </c>
      <c r="R117" s="12">
        <f>Tableau1[[#This Row],[Loyer €/m²]]*Tableau1[[#This Row],[Surface GLA]]</f>
        <v>29400</v>
      </c>
      <c r="S117" s="12">
        <f>IFERROR(Tableau1[[#This Row],[Loyer annuel]]/12,"")</f>
        <v>2450</v>
      </c>
      <c r="T117" s="12">
        <v>300</v>
      </c>
      <c r="U117" s="6" t="s">
        <v>103</v>
      </c>
      <c r="V117" s="6">
        <f>Tableau1[[#This Row],[Charges €/m²]]*Tableau1[[#This Row],[Surface GLA]]</f>
        <v>3626</v>
      </c>
      <c r="W117" s="12">
        <f>Tableau1[[#This Row],[Charges annuelles]]/12</f>
        <v>302.16666666666669</v>
      </c>
      <c r="X117" s="12">
        <v>37</v>
      </c>
      <c r="Y117" s="12">
        <f>IFERROR(Tableau1[[#This Row],[Taxe foncière €/m²]]*Tableau1[[#This Row],[Surface GLA]],)</f>
        <v>0</v>
      </c>
      <c r="Z117" s="6" t="s">
        <v>103</v>
      </c>
      <c r="AA117" s="12">
        <f>IFERROR(Tableau1[[#This Row],[Marketing €/m²]]*Tableau1[[#This Row],[Surface GLA]],)</f>
        <v>0</v>
      </c>
      <c r="AB117" s="6" t="s">
        <v>103</v>
      </c>
      <c r="AC117" s="12">
        <f>IFERROR(Tableau1[[#This Row],[Loyer annuel]]+Tableau1[[#This Row],[Charges annuelles]]+Tableau1[[#This Row],[Taxe foncière]]+Tableau1[[#This Row],[Marketing]],"")</f>
        <v>33026</v>
      </c>
      <c r="AD117" s="12" t="str">
        <f>"2 mois = "&amp;TEXT(ROUND(2/12*R117,0),"### ### ##0 €")</f>
        <v>2 mois = 4 900 €</v>
      </c>
      <c r="AE117" s="6" t="s">
        <v>103</v>
      </c>
      <c r="AF117" s="6" t="s">
        <v>103</v>
      </c>
      <c r="AG117" s="6" t="s">
        <v>363</v>
      </c>
      <c r="AH117" s="10" t="s">
        <v>53</v>
      </c>
      <c r="AI117" s="10" t="s">
        <v>369</v>
      </c>
      <c r="AJ117" s="10" t="s">
        <v>898</v>
      </c>
      <c r="AK117" s="11" t="s">
        <v>894</v>
      </c>
      <c r="AL117" s="5" t="s">
        <v>368</v>
      </c>
      <c r="AM117" s="11" t="s">
        <v>895</v>
      </c>
      <c r="AN117" s="11" t="s">
        <v>896</v>
      </c>
      <c r="AO117" s="11">
        <v>25</v>
      </c>
      <c r="AP117" s="36" t="s">
        <v>899</v>
      </c>
      <c r="AQ117" s="11" t="s">
        <v>75</v>
      </c>
      <c r="AR117" s="11" t="s">
        <v>378</v>
      </c>
      <c r="AS117" s="13" t="s">
        <v>897</v>
      </c>
      <c r="AT117" s="14"/>
      <c r="AU117" s="44"/>
      <c r="AW117" s="1"/>
      <c r="BC117"/>
      <c r="BD117" s="1"/>
    </row>
    <row r="118" spans="1:56" ht="38.25">
      <c r="A118" s="38" t="str">
        <f>VLOOKUP(Tableau1[[#This Row],[N° Département]],Feuil1!$C$6:$E$106,3)</f>
        <v>Provence-Alpes-Côte d'Azur</v>
      </c>
      <c r="B118" s="38" t="str">
        <f>VLOOKUP(Tableau1[[#This Row],[N° Département]],Feuil1!$C$6:$E$106,2)</f>
        <v>Vaucluse</v>
      </c>
      <c r="C118" s="38">
        <f>LEFT(Tableau1[[#This Row],[Code Postal]],2)*1</f>
        <v>84</v>
      </c>
      <c r="D118" s="10" t="s">
        <v>905</v>
      </c>
      <c r="E118" s="26">
        <v>84507</v>
      </c>
      <c r="F118" s="10" t="s">
        <v>902</v>
      </c>
      <c r="G118" s="39" t="str">
        <f>Tableau1[[#This Row],[Rue]]&amp;CHAR(10)&amp;Tableau1[[#This Row],[Code Postal]]&amp;" - "&amp;Tableau1[[#This Row],[Ville]]</f>
        <v>Hypermarché Leclerc Bollène, 1 Route de Saint-Paul-trois-Châteaux
84507 - Bollène</v>
      </c>
      <c r="H118" s="15" t="s">
        <v>903</v>
      </c>
      <c r="I118" s="12" t="s">
        <v>47</v>
      </c>
      <c r="J118" s="12" t="s">
        <v>51</v>
      </c>
      <c r="K118" s="12" t="s">
        <v>103</v>
      </c>
      <c r="L118" s="12" t="s">
        <v>103</v>
      </c>
      <c r="M118" s="36" t="s">
        <v>491</v>
      </c>
      <c r="N118" s="34">
        <v>1118</v>
      </c>
      <c r="O118" s="6" t="s">
        <v>103</v>
      </c>
      <c r="P118" s="34" t="s">
        <v>103</v>
      </c>
      <c r="Q118" s="6" t="s">
        <v>103</v>
      </c>
      <c r="R118" s="12">
        <f>Tableau1[[#This Row],[Loyer €/m²]]*Tableau1[[#This Row],[Surface GLA]]</f>
        <v>167700</v>
      </c>
      <c r="S118" s="12">
        <f>IFERROR(Tableau1[[#This Row],[Loyer annuel]]/12,"")</f>
        <v>13975</v>
      </c>
      <c r="T118" s="12">
        <v>150</v>
      </c>
      <c r="U118" s="6" t="s">
        <v>103</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103</v>
      </c>
      <c r="AC118" s="12">
        <f>IFERROR(Tableau1[[#This Row],[Loyer annuel]]+Tableau1[[#This Row],[Charges annuelles]]+Tableau1[[#This Row],[Taxe foncière]]+Tableau1[[#This Row],[Marketing]],"")</f>
        <v>212755.4</v>
      </c>
      <c r="AD118" s="12" t="str">
        <f>"2 mois = "&amp;TEXT(ROUND(2/12*R118,0),"### ### ##0 €")</f>
        <v>2 mois = 27 950 €</v>
      </c>
      <c r="AE118" s="6" t="s">
        <v>103</v>
      </c>
      <c r="AF118" s="6" t="s">
        <v>103</v>
      </c>
      <c r="AG118" s="6" t="s">
        <v>363</v>
      </c>
      <c r="AH118" s="10" t="s">
        <v>75</v>
      </c>
      <c r="AI118" s="10" t="s">
        <v>370</v>
      </c>
      <c r="AJ118" s="10" t="s">
        <v>906</v>
      </c>
      <c r="AK118" s="11" t="s">
        <v>907</v>
      </c>
      <c r="AL118" s="5" t="s">
        <v>368</v>
      </c>
      <c r="AM118" s="11" t="s">
        <v>908</v>
      </c>
      <c r="AN118" s="11" t="s">
        <v>909</v>
      </c>
      <c r="AO118" s="11">
        <v>26</v>
      </c>
      <c r="AP118" s="36" t="s">
        <v>911</v>
      </c>
      <c r="AQ118" s="11" t="s">
        <v>75</v>
      </c>
      <c r="AR118" s="11" t="s">
        <v>910</v>
      </c>
      <c r="AS118" s="13" t="s">
        <v>897</v>
      </c>
      <c r="AT118" s="14"/>
      <c r="AU118" s="44"/>
      <c r="AW118" s="1"/>
      <c r="BC118"/>
      <c r="BD118" s="1"/>
    </row>
    <row r="119" spans="1:56" ht="25.5">
      <c r="A119" s="38" t="str">
        <f>VLOOKUP(Tableau1[[#This Row],[N° Département]],Feuil1!$C$6:$E$106,3)</f>
        <v>Ile-de-France</v>
      </c>
      <c r="B119" s="38" t="str">
        <f>VLOOKUP(Tableau1[[#This Row],[N° Département]],Feuil1!$C$6:$E$106,2)</f>
        <v>Hauts-de-Seine</v>
      </c>
      <c r="C119" s="38">
        <f>LEFT(Tableau1[[#This Row],[Code Postal]],2)*1</f>
        <v>92</v>
      </c>
      <c r="D119" s="10" t="s">
        <v>915</v>
      </c>
      <c r="E119" s="26">
        <v>92100</v>
      </c>
      <c r="F119" s="10" t="s">
        <v>93</v>
      </c>
      <c r="G119" s="39" t="str">
        <f>Tableau1[[#This Row],[Rue]]&amp;CHAR(10)&amp;Tableau1[[#This Row],[Code Postal]]&amp;" - "&amp;Tableau1[[#This Row],[Ville]]</f>
        <v>30 Cours de l'Île Seguin
92100 - Boulogne-Billancourt</v>
      </c>
      <c r="H119" s="15" t="s">
        <v>912</v>
      </c>
      <c r="I119" s="12" t="s">
        <v>45</v>
      </c>
      <c r="J119" s="12" t="s">
        <v>44</v>
      </c>
      <c r="K119" s="12" t="s">
        <v>103</v>
      </c>
      <c r="L119" s="12" t="s">
        <v>103</v>
      </c>
      <c r="M119" s="36" t="s">
        <v>913</v>
      </c>
      <c r="N119" s="34">
        <v>254</v>
      </c>
      <c r="O119" s="6" t="s">
        <v>103</v>
      </c>
      <c r="P119" s="34" t="s">
        <v>103</v>
      </c>
      <c r="Q119" s="6" t="s">
        <v>103</v>
      </c>
      <c r="R119" s="12">
        <f>Tableau1[[#This Row],[Loyer €/m²]]*Tableau1[[#This Row],[Surface GLA]]</f>
        <v>120650</v>
      </c>
      <c r="S119" s="12">
        <f>IFERROR(Tableau1[[#This Row],[Loyer annuel]]/12,"")</f>
        <v>10054.166666666666</v>
      </c>
      <c r="T119" s="12">
        <v>475</v>
      </c>
      <c r="U119" s="6" t="s">
        <v>103</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103</v>
      </c>
      <c r="AC119" s="12">
        <f>IFERROR(Tableau1[[#This Row],[Loyer annuel]]+Tableau1[[#This Row],[Charges annuelles]]+Tableau1[[#This Row],[Taxe foncière]]+Tableau1[[#This Row],[Marketing]],"")</f>
        <v>132334</v>
      </c>
      <c r="AD119" s="6" t="s">
        <v>103</v>
      </c>
      <c r="AE119" s="6" t="s">
        <v>103</v>
      </c>
      <c r="AF119" s="6" t="s">
        <v>103</v>
      </c>
      <c r="AG119" s="6" t="s">
        <v>363</v>
      </c>
      <c r="AH119" s="10" t="s">
        <v>53</v>
      </c>
      <c r="AI119" s="10" t="s">
        <v>369</v>
      </c>
      <c r="AJ119" s="10"/>
      <c r="AK119" s="11" t="s">
        <v>914</v>
      </c>
      <c r="AL119" s="5" t="s">
        <v>368</v>
      </c>
      <c r="AM119" s="11" t="s">
        <v>916</v>
      </c>
      <c r="AN119" s="11" t="s">
        <v>917</v>
      </c>
      <c r="AO119" s="11">
        <v>27</v>
      </c>
      <c r="AP119" s="36" t="s">
        <v>924</v>
      </c>
      <c r="AQ119" s="11" t="s">
        <v>75</v>
      </c>
      <c r="AR119" s="11" t="s">
        <v>378</v>
      </c>
      <c r="AS119" s="13" t="s">
        <v>31</v>
      </c>
      <c r="AT119" s="14"/>
      <c r="AU119" s="44"/>
      <c r="AW119" s="1"/>
      <c r="BC119"/>
      <c r="BD119" s="1"/>
    </row>
    <row r="120" spans="1:56" ht="25.5">
      <c r="A120" s="38" t="str">
        <f>VLOOKUP(Tableau1[[#This Row],[N° Département]],Feuil1!$C$6:$E$106,3)</f>
        <v>Ile-de-France</v>
      </c>
      <c r="B120" s="38" t="str">
        <f>VLOOKUP(Tableau1[[#This Row],[N° Département]],Feuil1!$C$6:$E$106,2)</f>
        <v>Paris</v>
      </c>
      <c r="C120" s="38">
        <f>LEFT(Tableau1[[#This Row],[Code Postal]],2)*1</f>
        <v>75</v>
      </c>
      <c r="D120" s="10" t="s">
        <v>918</v>
      </c>
      <c r="E120" s="26">
        <v>75020</v>
      </c>
      <c r="F120" s="10" t="s">
        <v>92</v>
      </c>
      <c r="G120" s="39" t="str">
        <f>Tableau1[[#This Row],[Rue]]&amp;CHAR(10)&amp;Tableau1[[#This Row],[Code Postal]]&amp;" - "&amp;Tableau1[[#This Row],[Ville]]</f>
        <v>61 rue de Bagnolet
75020 - Paris</v>
      </c>
      <c r="H120" s="15" t="s">
        <v>919</v>
      </c>
      <c r="I120" s="12" t="s">
        <v>45</v>
      </c>
      <c r="J120" s="12" t="s">
        <v>44</v>
      </c>
      <c r="K120" s="12" t="s">
        <v>103</v>
      </c>
      <c r="L120" s="12" t="s">
        <v>103</v>
      </c>
      <c r="M120" s="36" t="s">
        <v>103</v>
      </c>
      <c r="N120" s="34">
        <v>99</v>
      </c>
      <c r="O120" s="6" t="s">
        <v>103</v>
      </c>
      <c r="P120" s="34" t="s">
        <v>103</v>
      </c>
      <c r="Q120" s="6" t="s">
        <v>103</v>
      </c>
      <c r="R120" s="12">
        <f>Tableau1[[#This Row],[Loyer €/m²]]*Tableau1[[#This Row],[Surface GLA]]</f>
        <v>44550</v>
      </c>
      <c r="S120" s="12">
        <f>IFERROR(Tableau1[[#This Row],[Loyer annuel]]/12,"")</f>
        <v>3712.5</v>
      </c>
      <c r="T120" s="12">
        <v>450</v>
      </c>
      <c r="U120" s="6" t="s">
        <v>103</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103</v>
      </c>
      <c r="AC120" s="12">
        <f>IFERROR(Tableau1[[#This Row],[Loyer annuel]]+Tableau1[[#This Row],[Charges annuelles]]+Tableau1[[#This Row],[Taxe foncière]]+Tableau1[[#This Row],[Marketing]],"")</f>
        <v>49401</v>
      </c>
      <c r="AD120" s="6" t="s">
        <v>103</v>
      </c>
      <c r="AE120" s="6" t="s">
        <v>103</v>
      </c>
      <c r="AF120" s="6" t="s">
        <v>103</v>
      </c>
      <c r="AG120" s="6" t="s">
        <v>363</v>
      </c>
      <c r="AH120" s="10" t="s">
        <v>53</v>
      </c>
      <c r="AI120" s="10" t="s">
        <v>369</v>
      </c>
      <c r="AJ120" s="10" t="s">
        <v>920</v>
      </c>
      <c r="AK120" s="11" t="s">
        <v>926</v>
      </c>
      <c r="AL120" s="5" t="s">
        <v>368</v>
      </c>
      <c r="AM120" s="11" t="s">
        <v>921</v>
      </c>
      <c r="AN120" s="11" t="s">
        <v>922</v>
      </c>
      <c r="AO120" s="11">
        <v>28</v>
      </c>
      <c r="AP120" s="36" t="s">
        <v>925</v>
      </c>
      <c r="AQ120" s="11" t="s">
        <v>75</v>
      </c>
      <c r="AR120" s="11" t="s">
        <v>923</v>
      </c>
      <c r="AS120" s="13" t="s">
        <v>31</v>
      </c>
      <c r="AT120" s="14"/>
      <c r="AU120" s="44"/>
      <c r="AW120" s="1"/>
      <c r="BC120"/>
      <c r="BD120" s="1"/>
    </row>
    <row r="121" spans="1:56" ht="25.5">
      <c r="A121" s="38" t="str">
        <f>VLOOKUP(Tableau1[[#This Row],[N° Département]],Feuil1!$C$6:$E$106,3)</f>
        <v>Ile-de-France</v>
      </c>
      <c r="B121" s="38" t="str">
        <f>VLOOKUP(Tableau1[[#This Row],[N° Département]],Feuil1!$C$6:$E$106,2)</f>
        <v>Seine-Saint-Denis</v>
      </c>
      <c r="C121" s="38">
        <f>LEFT(Tableau1[[#This Row],[Code Postal]],2)*1</f>
        <v>93</v>
      </c>
      <c r="D121" s="10" t="s">
        <v>928</v>
      </c>
      <c r="E121" s="26">
        <v>93430</v>
      </c>
      <c r="F121" s="10" t="s">
        <v>927</v>
      </c>
      <c r="G121" s="39" t="str">
        <f>Tableau1[[#This Row],[Rue]]&amp;CHAR(10)&amp;Tableau1[[#This Row],[Code Postal]]&amp;" - "&amp;Tableau1[[#This Row],[Ville]]</f>
        <v>8 Route de Saint-Leu
93430 - Villetaneuse</v>
      </c>
      <c r="H121" s="15" t="s">
        <v>929</v>
      </c>
      <c r="I121" s="12" t="s">
        <v>45</v>
      </c>
      <c r="J121" s="12" t="s">
        <v>49</v>
      </c>
      <c r="K121" s="12" t="s">
        <v>103</v>
      </c>
      <c r="L121" s="12" t="s">
        <v>103</v>
      </c>
      <c r="M121" s="36" t="s">
        <v>930</v>
      </c>
      <c r="N121" s="34">
        <v>163</v>
      </c>
      <c r="O121" s="6" t="s">
        <v>103</v>
      </c>
      <c r="P121" s="34" t="s">
        <v>103</v>
      </c>
      <c r="Q121" s="6" t="s">
        <v>103</v>
      </c>
      <c r="R121" s="12">
        <f>Tableau1[[#This Row],[Loyer €/m²]]*Tableau1[[#This Row],[Surface GLA]]</f>
        <v>57050</v>
      </c>
      <c r="S121" s="12">
        <f>IFERROR(Tableau1[[#This Row],[Loyer annuel]]/12,"")</f>
        <v>4754.166666666667</v>
      </c>
      <c r="T121" s="12">
        <v>350</v>
      </c>
      <c r="U121" s="6" t="s">
        <v>103</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103</v>
      </c>
      <c r="AA121" s="12">
        <f>IFERROR(Tableau1[[#This Row],[Marketing €/m²]]*Tableau1[[#This Row],[Surface GLA]],)</f>
        <v>0</v>
      </c>
      <c r="AB121" s="6" t="s">
        <v>103</v>
      </c>
      <c r="AC121" s="12">
        <f>IFERROR(Tableau1[[#This Row],[Loyer annuel]]+Tableau1[[#This Row],[Charges annuelles]]+Tableau1[[#This Row],[Taxe foncière]]+Tableau1[[#This Row],[Marketing]],"")</f>
        <v>78240</v>
      </c>
      <c r="AD121" s="12" t="str">
        <f t="shared" ref="AD121:AD133" si="3">"3 mois = "&amp;TEXT(ROUND(3/12*R121,0),"### ### ##0 €")</f>
        <v>3 mois = 14 263 €</v>
      </c>
      <c r="AE121" s="6" t="s">
        <v>103</v>
      </c>
      <c r="AF121" s="6" t="s">
        <v>103</v>
      </c>
      <c r="AG121" s="6" t="s">
        <v>363</v>
      </c>
      <c r="AH121" s="10" t="s">
        <v>75</v>
      </c>
      <c r="AI121" s="10" t="s">
        <v>370</v>
      </c>
      <c r="AJ121" s="10" t="s">
        <v>952</v>
      </c>
      <c r="AK121" s="11" t="s">
        <v>989</v>
      </c>
      <c r="AL121" s="5" t="s">
        <v>368</v>
      </c>
      <c r="AM121" s="11" t="s">
        <v>955</v>
      </c>
      <c r="AN121" s="11" t="s">
        <v>956</v>
      </c>
      <c r="AO121" s="11" t="s">
        <v>935</v>
      </c>
      <c r="AP121" s="36" t="s">
        <v>1399</v>
      </c>
      <c r="AQ121" s="11" t="s">
        <v>75</v>
      </c>
      <c r="AR121" s="11" t="s">
        <v>953</v>
      </c>
      <c r="AS121" s="13" t="s">
        <v>954</v>
      </c>
      <c r="AT121" s="14"/>
      <c r="AU121" s="44"/>
      <c r="AW121" s="1"/>
      <c r="BC121"/>
      <c r="BD121" s="1"/>
    </row>
    <row r="122" spans="1:56" ht="25.5">
      <c r="A122" s="38" t="str">
        <f>VLOOKUP(Tableau1[[#This Row],[N° Département]],Feuil1!$C$6:$E$106,3)</f>
        <v>Ile-de-France</v>
      </c>
      <c r="B122" s="38" t="str">
        <f>VLOOKUP(Tableau1[[#This Row],[N° Département]],Feuil1!$C$6:$E$106,2)</f>
        <v>Seine-Saint-Denis</v>
      </c>
      <c r="C122" s="38">
        <f>LEFT(Tableau1[[#This Row],[Code Postal]],2)*1</f>
        <v>93</v>
      </c>
      <c r="D122" s="10" t="s">
        <v>928</v>
      </c>
      <c r="E122" s="26">
        <v>93430</v>
      </c>
      <c r="F122" s="10" t="s">
        <v>927</v>
      </c>
      <c r="G122" s="39" t="str">
        <f>Tableau1[[#This Row],[Rue]]&amp;CHAR(10)&amp;Tableau1[[#This Row],[Code Postal]]&amp;" - "&amp;Tableau1[[#This Row],[Ville]]</f>
        <v>8 Route de Saint-Leu
93430 - Villetaneuse</v>
      </c>
      <c r="H122" s="15" t="s">
        <v>929</v>
      </c>
      <c r="I122" s="12" t="s">
        <v>45</v>
      </c>
      <c r="J122" s="12" t="s">
        <v>49</v>
      </c>
      <c r="K122" s="12" t="s">
        <v>103</v>
      </c>
      <c r="L122" s="12" t="s">
        <v>103</v>
      </c>
      <c r="M122" s="36">
        <v>9</v>
      </c>
      <c r="N122" s="34">
        <v>102</v>
      </c>
      <c r="O122" s="6" t="s">
        <v>103</v>
      </c>
      <c r="P122" s="34" t="s">
        <v>103</v>
      </c>
      <c r="Q122" s="6" t="s">
        <v>103</v>
      </c>
      <c r="R122" s="12">
        <f>Tableau1[[#This Row],[Loyer €/m²]]*Tableau1[[#This Row],[Surface GLA]]</f>
        <v>35700</v>
      </c>
      <c r="S122" s="12">
        <f>IFERROR(Tableau1[[#This Row],[Loyer annuel]]/12,"")</f>
        <v>2975</v>
      </c>
      <c r="T122" s="12">
        <v>350</v>
      </c>
      <c r="U122" s="6" t="s">
        <v>103</v>
      </c>
      <c r="V122" s="6">
        <f>Tableau1[[#This Row],[Charges €/m²]]*Tableau1[[#This Row],[Surface GLA]]</f>
        <v>13260</v>
      </c>
      <c r="W122" s="12">
        <f>Tableau1[[#This Row],[Charges annuelles]]/12</f>
        <v>1105</v>
      </c>
      <c r="X122" s="12">
        <v>130</v>
      </c>
      <c r="Y122" s="12">
        <f>IFERROR(Tableau1[[#This Row],[Taxe foncière €/m²]]*Tableau1[[#This Row],[Surface GLA]],)</f>
        <v>0</v>
      </c>
      <c r="Z122" s="6" t="s">
        <v>103</v>
      </c>
      <c r="AA122" s="12">
        <f>IFERROR(Tableau1[[#This Row],[Marketing €/m²]]*Tableau1[[#This Row],[Surface GLA]],)</f>
        <v>0</v>
      </c>
      <c r="AB122" s="6" t="s">
        <v>103</v>
      </c>
      <c r="AC122" s="12">
        <f>IFERROR(Tableau1[[#This Row],[Loyer annuel]]+Tableau1[[#This Row],[Charges annuelles]]+Tableau1[[#This Row],[Taxe foncière]]+Tableau1[[#This Row],[Marketing]],"")</f>
        <v>48960</v>
      </c>
      <c r="AD122" s="12" t="str">
        <f t="shared" si="3"/>
        <v>3 mois = 8 925 €</v>
      </c>
      <c r="AE122" s="6" t="s">
        <v>103</v>
      </c>
      <c r="AF122" s="6" t="s">
        <v>103</v>
      </c>
      <c r="AG122" s="6" t="s">
        <v>363</v>
      </c>
      <c r="AH122" s="10" t="s">
        <v>53</v>
      </c>
      <c r="AI122" s="10" t="s">
        <v>369</v>
      </c>
      <c r="AJ122" s="10" t="s">
        <v>952</v>
      </c>
      <c r="AK122" s="11" t="s">
        <v>989</v>
      </c>
      <c r="AL122" s="5" t="s">
        <v>368</v>
      </c>
      <c r="AM122" s="11" t="s">
        <v>957</v>
      </c>
      <c r="AN122" s="11" t="s">
        <v>958</v>
      </c>
      <c r="AO122" s="11" t="s">
        <v>936</v>
      </c>
      <c r="AP122" s="36" t="s">
        <v>1399</v>
      </c>
      <c r="AQ122" s="11" t="s">
        <v>75</v>
      </c>
      <c r="AR122" s="11" t="s">
        <v>953</v>
      </c>
      <c r="AS122" s="13" t="s">
        <v>954</v>
      </c>
      <c r="AT122" s="14"/>
      <c r="AU122" s="44"/>
      <c r="AW122" s="1"/>
      <c r="BC122"/>
      <c r="BD122" s="1"/>
    </row>
    <row r="123" spans="1:56" ht="25.5">
      <c r="A123" s="38" t="str">
        <f>VLOOKUP(Tableau1[[#This Row],[N° Département]],Feuil1!$C$6:$E$106,3)</f>
        <v>Ile-de-France</v>
      </c>
      <c r="B123" s="38" t="str">
        <f>VLOOKUP(Tableau1[[#This Row],[N° Département]],Feuil1!$C$6:$E$106,2)</f>
        <v>Seine-Saint-Denis</v>
      </c>
      <c r="C123" s="38">
        <f>LEFT(Tableau1[[#This Row],[Code Postal]],2)*1</f>
        <v>93</v>
      </c>
      <c r="D123" s="10" t="s">
        <v>928</v>
      </c>
      <c r="E123" s="26">
        <v>93430</v>
      </c>
      <c r="F123" s="10" t="s">
        <v>927</v>
      </c>
      <c r="G123" s="39" t="str">
        <f>Tableau1[[#This Row],[Rue]]&amp;CHAR(10)&amp;Tableau1[[#This Row],[Code Postal]]&amp;" - "&amp;Tableau1[[#This Row],[Ville]]</f>
        <v>8 Route de Saint-Leu
93430 - Villetaneuse</v>
      </c>
      <c r="H123" s="15" t="s">
        <v>929</v>
      </c>
      <c r="I123" s="12" t="s">
        <v>45</v>
      </c>
      <c r="J123" s="12" t="s">
        <v>49</v>
      </c>
      <c r="K123" s="12" t="s">
        <v>103</v>
      </c>
      <c r="L123" s="12" t="s">
        <v>103</v>
      </c>
      <c r="M123" s="36">
        <v>10</v>
      </c>
      <c r="N123" s="34">
        <v>87</v>
      </c>
      <c r="O123" s="6" t="s">
        <v>103</v>
      </c>
      <c r="P123" s="34" t="s">
        <v>103</v>
      </c>
      <c r="Q123" s="6" t="s">
        <v>103</v>
      </c>
      <c r="R123" s="12">
        <f>Tableau1[[#This Row],[Loyer €/m²]]*Tableau1[[#This Row],[Surface GLA]]</f>
        <v>30450</v>
      </c>
      <c r="S123" s="12">
        <f>IFERROR(Tableau1[[#This Row],[Loyer annuel]]/12,"")</f>
        <v>2537.5</v>
      </c>
      <c r="T123" s="12">
        <v>350</v>
      </c>
      <c r="U123" s="6" t="s">
        <v>103</v>
      </c>
      <c r="V123" s="6">
        <f>Tableau1[[#This Row],[Charges €/m²]]*Tableau1[[#This Row],[Surface GLA]]</f>
        <v>11310</v>
      </c>
      <c r="W123" s="12">
        <f>Tableau1[[#This Row],[Charges annuelles]]/12</f>
        <v>942.5</v>
      </c>
      <c r="X123" s="12">
        <v>130</v>
      </c>
      <c r="Y123" s="12">
        <f>IFERROR(Tableau1[[#This Row],[Taxe foncière €/m²]]*Tableau1[[#This Row],[Surface GLA]],)</f>
        <v>0</v>
      </c>
      <c r="Z123" s="6" t="s">
        <v>103</v>
      </c>
      <c r="AA123" s="12">
        <f>IFERROR(Tableau1[[#This Row],[Marketing €/m²]]*Tableau1[[#This Row],[Surface GLA]],)</f>
        <v>0</v>
      </c>
      <c r="AB123" s="6" t="s">
        <v>103</v>
      </c>
      <c r="AC123" s="12">
        <f>IFERROR(Tableau1[[#This Row],[Loyer annuel]]+Tableau1[[#This Row],[Charges annuelles]]+Tableau1[[#This Row],[Taxe foncière]]+Tableau1[[#This Row],[Marketing]],"")</f>
        <v>41760</v>
      </c>
      <c r="AD123" s="12" t="str">
        <f t="shared" si="3"/>
        <v>3 mois = 7 613 €</v>
      </c>
      <c r="AE123" s="6" t="s">
        <v>103</v>
      </c>
      <c r="AF123" s="6" t="s">
        <v>103</v>
      </c>
      <c r="AG123" s="6" t="s">
        <v>363</v>
      </c>
      <c r="AH123" s="10" t="s">
        <v>53</v>
      </c>
      <c r="AI123" s="10" t="s">
        <v>369</v>
      </c>
      <c r="AJ123" s="10" t="s">
        <v>952</v>
      </c>
      <c r="AK123" s="11" t="s">
        <v>989</v>
      </c>
      <c r="AL123" s="5" t="s">
        <v>368</v>
      </c>
      <c r="AM123" s="11" t="s">
        <v>959</v>
      </c>
      <c r="AN123" s="11" t="s">
        <v>960</v>
      </c>
      <c r="AO123" s="11" t="s">
        <v>937</v>
      </c>
      <c r="AP123" s="36" t="s">
        <v>1399</v>
      </c>
      <c r="AQ123" s="11" t="s">
        <v>75</v>
      </c>
      <c r="AR123" s="11" t="s">
        <v>953</v>
      </c>
      <c r="AS123" s="13" t="s">
        <v>954</v>
      </c>
      <c r="AT123" s="14"/>
      <c r="AU123" s="44"/>
      <c r="AW123" s="1"/>
      <c r="BC123"/>
      <c r="BD123" s="1"/>
    </row>
    <row r="124" spans="1:56" ht="38.25">
      <c r="A124" s="38" t="str">
        <f>VLOOKUP(Tableau1[[#This Row],[N° Département]],Feuil1!$C$6:$E$106,3)</f>
        <v>Ile-de-France</v>
      </c>
      <c r="B124" s="38" t="str">
        <f>VLOOKUP(Tableau1[[#This Row],[N° Département]],Feuil1!$C$6:$E$106,2)</f>
        <v>Seine-Saint-Denis</v>
      </c>
      <c r="C124" s="38">
        <f>LEFT(Tableau1[[#This Row],[Code Postal]],2)*1</f>
        <v>93</v>
      </c>
      <c r="D124" s="10" t="s">
        <v>928</v>
      </c>
      <c r="E124" s="26">
        <v>93430</v>
      </c>
      <c r="F124" s="10" t="s">
        <v>927</v>
      </c>
      <c r="G124" s="39" t="str">
        <f>Tableau1[[#This Row],[Rue]]&amp;CHAR(10)&amp;Tableau1[[#This Row],[Code Postal]]&amp;" - "&amp;Tableau1[[#This Row],[Ville]]</f>
        <v>8 Route de Saint-Leu
93430 - Villetaneuse</v>
      </c>
      <c r="H124" s="15" t="s">
        <v>929</v>
      </c>
      <c r="I124" s="12" t="s">
        <v>45</v>
      </c>
      <c r="J124" s="12" t="s">
        <v>49</v>
      </c>
      <c r="K124" s="12" t="s">
        <v>103</v>
      </c>
      <c r="L124" s="12" t="s">
        <v>103</v>
      </c>
      <c r="M124" s="36" t="s">
        <v>931</v>
      </c>
      <c r="N124" s="34">
        <v>438</v>
      </c>
      <c r="O124" s="6" t="s">
        <v>103</v>
      </c>
      <c r="P124" s="34" t="s">
        <v>103</v>
      </c>
      <c r="Q124" s="6" t="s">
        <v>103</v>
      </c>
      <c r="R124" s="12">
        <f>Tableau1[[#This Row],[Loyer €/m²]]*Tableau1[[#This Row],[Surface GLA]]</f>
        <v>153300</v>
      </c>
      <c r="S124" s="12">
        <f>IFERROR(Tableau1[[#This Row],[Loyer annuel]]/12,"")</f>
        <v>12775</v>
      </c>
      <c r="T124" s="12">
        <v>350</v>
      </c>
      <c r="U124" s="6" t="s">
        <v>103</v>
      </c>
      <c r="V124" s="6">
        <f>Tableau1[[#This Row],[Charges €/m²]]*Tableau1[[#This Row],[Surface GLA]]</f>
        <v>56940</v>
      </c>
      <c r="W124" s="12">
        <f>Tableau1[[#This Row],[Charges annuelles]]/12</f>
        <v>4745</v>
      </c>
      <c r="X124" s="12">
        <v>130</v>
      </c>
      <c r="Y124" s="12">
        <f>IFERROR(Tableau1[[#This Row],[Taxe foncière €/m²]]*Tableau1[[#This Row],[Surface GLA]],)</f>
        <v>0</v>
      </c>
      <c r="Z124" s="6" t="s">
        <v>103</v>
      </c>
      <c r="AA124" s="12">
        <f>IFERROR(Tableau1[[#This Row],[Marketing €/m²]]*Tableau1[[#This Row],[Surface GLA]],)</f>
        <v>0</v>
      </c>
      <c r="AB124" s="6" t="s">
        <v>103</v>
      </c>
      <c r="AC124" s="12">
        <f>IFERROR(Tableau1[[#This Row],[Loyer annuel]]+Tableau1[[#This Row],[Charges annuelles]]+Tableau1[[#This Row],[Taxe foncière]]+Tableau1[[#This Row],[Marketing]],"")</f>
        <v>210240</v>
      </c>
      <c r="AD124" s="12" t="str">
        <f t="shared" si="3"/>
        <v>3 mois = 38 325 €</v>
      </c>
      <c r="AE124" s="6" t="s">
        <v>103</v>
      </c>
      <c r="AF124" s="6" t="s">
        <v>103</v>
      </c>
      <c r="AG124" s="6" t="s">
        <v>363</v>
      </c>
      <c r="AH124" s="10" t="s">
        <v>75</v>
      </c>
      <c r="AI124" s="10" t="s">
        <v>370</v>
      </c>
      <c r="AJ124" s="10" t="s">
        <v>952</v>
      </c>
      <c r="AK124" s="11" t="s">
        <v>990</v>
      </c>
      <c r="AL124" s="5" t="s">
        <v>368</v>
      </c>
      <c r="AM124" s="11" t="s">
        <v>961</v>
      </c>
      <c r="AN124" s="11" t="s">
        <v>962</v>
      </c>
      <c r="AO124" s="11" t="s">
        <v>938</v>
      </c>
      <c r="AP124" s="36" t="s">
        <v>1399</v>
      </c>
      <c r="AQ124" s="11" t="s">
        <v>75</v>
      </c>
      <c r="AR124" s="11" t="s">
        <v>953</v>
      </c>
      <c r="AS124" s="13" t="s">
        <v>954</v>
      </c>
      <c r="AT124" s="14"/>
      <c r="AU124" s="44"/>
      <c r="AW124" s="1"/>
      <c r="BC124"/>
      <c r="BD124" s="1"/>
    </row>
    <row r="125" spans="1:56" ht="25.5">
      <c r="A125" s="38" t="str">
        <f>VLOOKUP(Tableau1[[#This Row],[N° Département]],Feuil1!$C$6:$E$106,3)</f>
        <v>Ile-de-France</v>
      </c>
      <c r="B125" s="38" t="str">
        <f>VLOOKUP(Tableau1[[#This Row],[N° Département]],Feuil1!$C$6:$E$106,2)</f>
        <v>Seine-Saint-Denis</v>
      </c>
      <c r="C125" s="38">
        <f>LEFT(Tableau1[[#This Row],[Code Postal]],2)*1</f>
        <v>93</v>
      </c>
      <c r="D125" s="10" t="s">
        <v>928</v>
      </c>
      <c r="E125" s="26">
        <v>93430</v>
      </c>
      <c r="F125" s="10" t="s">
        <v>927</v>
      </c>
      <c r="G125" s="39" t="str">
        <f>Tableau1[[#This Row],[Rue]]&amp;CHAR(10)&amp;Tableau1[[#This Row],[Code Postal]]&amp;" - "&amp;Tableau1[[#This Row],[Ville]]</f>
        <v>8 Route de Saint-Leu
93430 - Villetaneuse</v>
      </c>
      <c r="H125" s="15" t="s">
        <v>929</v>
      </c>
      <c r="I125" s="12" t="s">
        <v>45</v>
      </c>
      <c r="J125" s="12" t="s">
        <v>49</v>
      </c>
      <c r="K125" s="12" t="s">
        <v>103</v>
      </c>
      <c r="L125" s="12" t="s">
        <v>103</v>
      </c>
      <c r="M125" s="36" t="s">
        <v>932</v>
      </c>
      <c r="N125" s="34">
        <v>97</v>
      </c>
      <c r="O125" s="6" t="s">
        <v>103</v>
      </c>
      <c r="P125" s="34" t="s">
        <v>103</v>
      </c>
      <c r="Q125" s="6" t="s">
        <v>103</v>
      </c>
      <c r="R125" s="12">
        <f>Tableau1[[#This Row],[Loyer €/m²]]*Tableau1[[#This Row],[Surface GLA]]</f>
        <v>33950</v>
      </c>
      <c r="S125" s="12">
        <f>IFERROR(Tableau1[[#This Row],[Loyer annuel]]/12,"")</f>
        <v>2829.1666666666665</v>
      </c>
      <c r="T125" s="12">
        <v>350</v>
      </c>
      <c r="U125" s="6" t="s">
        <v>103</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103</v>
      </c>
      <c r="AA125" s="12">
        <f>IFERROR(Tableau1[[#This Row],[Marketing €/m²]]*Tableau1[[#This Row],[Surface GLA]],)</f>
        <v>0</v>
      </c>
      <c r="AB125" s="6" t="s">
        <v>103</v>
      </c>
      <c r="AC125" s="12">
        <f>IFERROR(Tableau1[[#This Row],[Loyer annuel]]+Tableau1[[#This Row],[Charges annuelles]]+Tableau1[[#This Row],[Taxe foncière]]+Tableau1[[#This Row],[Marketing]],"")</f>
        <v>46560</v>
      </c>
      <c r="AD125" s="12" t="str">
        <f t="shared" si="3"/>
        <v>3 mois = 8 488 €</v>
      </c>
      <c r="AE125" s="6" t="s">
        <v>103</v>
      </c>
      <c r="AF125" s="6" t="s">
        <v>103</v>
      </c>
      <c r="AG125" s="6" t="s">
        <v>363</v>
      </c>
      <c r="AH125" s="10" t="s">
        <v>53</v>
      </c>
      <c r="AI125" s="10" t="s">
        <v>369</v>
      </c>
      <c r="AJ125" s="10" t="s">
        <v>952</v>
      </c>
      <c r="AK125" s="11" t="s">
        <v>989</v>
      </c>
      <c r="AL125" s="5" t="s">
        <v>368</v>
      </c>
      <c r="AM125" s="11" t="s">
        <v>963</v>
      </c>
      <c r="AN125" s="11" t="s">
        <v>964</v>
      </c>
      <c r="AO125" s="11" t="s">
        <v>939</v>
      </c>
      <c r="AP125" s="36" t="s">
        <v>1399</v>
      </c>
      <c r="AQ125" s="11" t="s">
        <v>75</v>
      </c>
      <c r="AR125" s="11" t="s">
        <v>953</v>
      </c>
      <c r="AS125" s="13" t="s">
        <v>954</v>
      </c>
      <c r="AT125" s="14"/>
      <c r="AU125" s="44"/>
      <c r="AW125" s="1"/>
      <c r="BC125"/>
      <c r="BD125" s="1"/>
    </row>
    <row r="126" spans="1:56" ht="25.5">
      <c r="A126" s="38" t="str">
        <f>VLOOKUP(Tableau1[[#This Row],[N° Département]],Feuil1!$C$6:$E$106,3)</f>
        <v>Ile-de-France</v>
      </c>
      <c r="B126" s="38" t="str">
        <f>VLOOKUP(Tableau1[[#This Row],[N° Département]],Feuil1!$C$6:$E$106,2)</f>
        <v>Seine-Saint-Denis</v>
      </c>
      <c r="C126" s="38">
        <f>LEFT(Tableau1[[#This Row],[Code Postal]],2)*1</f>
        <v>93</v>
      </c>
      <c r="D126" s="10" t="s">
        <v>928</v>
      </c>
      <c r="E126" s="26">
        <v>93430</v>
      </c>
      <c r="F126" s="10" t="s">
        <v>927</v>
      </c>
      <c r="G126" s="39" t="str">
        <f>Tableau1[[#This Row],[Rue]]&amp;CHAR(10)&amp;Tableau1[[#This Row],[Code Postal]]&amp;" - "&amp;Tableau1[[#This Row],[Ville]]</f>
        <v>8 Route de Saint-Leu
93430 - Villetaneuse</v>
      </c>
      <c r="H126" s="15" t="s">
        <v>929</v>
      </c>
      <c r="I126" s="12" t="s">
        <v>45</v>
      </c>
      <c r="J126" s="12" t="s">
        <v>49</v>
      </c>
      <c r="K126" s="12" t="s">
        <v>103</v>
      </c>
      <c r="L126" s="12" t="s">
        <v>103</v>
      </c>
      <c r="M126" s="36">
        <v>29</v>
      </c>
      <c r="N126" s="34">
        <v>75</v>
      </c>
      <c r="O126" s="6" t="s">
        <v>103</v>
      </c>
      <c r="P126" s="34" t="s">
        <v>103</v>
      </c>
      <c r="Q126" s="6" t="s">
        <v>103</v>
      </c>
      <c r="R126" s="12">
        <f>Tableau1[[#This Row],[Loyer €/m²]]*Tableau1[[#This Row],[Surface GLA]]</f>
        <v>26250</v>
      </c>
      <c r="S126" s="12">
        <f>IFERROR(Tableau1[[#This Row],[Loyer annuel]]/12,"")</f>
        <v>2187.5</v>
      </c>
      <c r="T126" s="12">
        <v>350</v>
      </c>
      <c r="U126" s="6" t="s">
        <v>103</v>
      </c>
      <c r="V126" s="6">
        <f>Tableau1[[#This Row],[Charges €/m²]]*Tableau1[[#This Row],[Surface GLA]]</f>
        <v>9750</v>
      </c>
      <c r="W126" s="12">
        <f>Tableau1[[#This Row],[Charges annuelles]]/12</f>
        <v>812.5</v>
      </c>
      <c r="X126" s="12">
        <v>130</v>
      </c>
      <c r="Y126" s="12">
        <f>IFERROR(Tableau1[[#This Row],[Taxe foncière €/m²]]*Tableau1[[#This Row],[Surface GLA]],)</f>
        <v>0</v>
      </c>
      <c r="Z126" s="6" t="s">
        <v>103</v>
      </c>
      <c r="AA126" s="12">
        <f>IFERROR(Tableau1[[#This Row],[Marketing €/m²]]*Tableau1[[#This Row],[Surface GLA]],)</f>
        <v>0</v>
      </c>
      <c r="AB126" s="6" t="s">
        <v>103</v>
      </c>
      <c r="AC126" s="12">
        <f>IFERROR(Tableau1[[#This Row],[Loyer annuel]]+Tableau1[[#This Row],[Charges annuelles]]+Tableau1[[#This Row],[Taxe foncière]]+Tableau1[[#This Row],[Marketing]],"")</f>
        <v>36000</v>
      </c>
      <c r="AD126" s="12" t="str">
        <f t="shared" si="3"/>
        <v>3 mois = 6 563 €</v>
      </c>
      <c r="AE126" s="6" t="s">
        <v>103</v>
      </c>
      <c r="AF126" s="6" t="s">
        <v>103</v>
      </c>
      <c r="AG126" s="6" t="s">
        <v>363</v>
      </c>
      <c r="AH126" s="10" t="s">
        <v>53</v>
      </c>
      <c r="AI126" s="10" t="s">
        <v>369</v>
      </c>
      <c r="AJ126" s="10" t="s">
        <v>952</v>
      </c>
      <c r="AK126" s="11" t="s">
        <v>989</v>
      </c>
      <c r="AL126" s="5" t="s">
        <v>368</v>
      </c>
      <c r="AM126" s="11" t="s">
        <v>971</v>
      </c>
      <c r="AN126" s="11" t="s">
        <v>972</v>
      </c>
      <c r="AO126" s="11" t="s">
        <v>940</v>
      </c>
      <c r="AP126" s="36" t="s">
        <v>1399</v>
      </c>
      <c r="AQ126" s="11" t="s">
        <v>75</v>
      </c>
      <c r="AR126" s="11" t="s">
        <v>953</v>
      </c>
      <c r="AS126" s="13" t="s">
        <v>954</v>
      </c>
      <c r="AT126" s="14"/>
      <c r="AU126" s="44"/>
    </row>
    <row r="127" spans="1:56" ht="25.5">
      <c r="A127" s="38" t="str">
        <f>VLOOKUP(Tableau1[[#This Row],[N° Département]],Feuil1!$C$6:$E$106,3)</f>
        <v>Ile-de-France</v>
      </c>
      <c r="B127" s="38" t="str">
        <f>VLOOKUP(Tableau1[[#This Row],[N° Département]],Feuil1!$C$6:$E$106,2)</f>
        <v>Seine-Saint-Denis</v>
      </c>
      <c r="C127" s="38">
        <f>LEFT(Tableau1[[#This Row],[Code Postal]],2)*1</f>
        <v>93</v>
      </c>
      <c r="D127" s="10" t="s">
        <v>928</v>
      </c>
      <c r="E127" s="26">
        <v>93430</v>
      </c>
      <c r="F127" s="10" t="s">
        <v>927</v>
      </c>
      <c r="G127" s="39" t="str">
        <f>Tableau1[[#This Row],[Rue]]&amp;CHAR(10)&amp;Tableau1[[#This Row],[Code Postal]]&amp;" - "&amp;Tableau1[[#This Row],[Ville]]</f>
        <v>8 Route de Saint-Leu
93430 - Villetaneuse</v>
      </c>
      <c r="H127" s="15" t="s">
        <v>929</v>
      </c>
      <c r="I127" s="12" t="s">
        <v>45</v>
      </c>
      <c r="J127" s="12" t="s">
        <v>49</v>
      </c>
      <c r="K127" s="12" t="s">
        <v>103</v>
      </c>
      <c r="L127" s="12" t="s">
        <v>103</v>
      </c>
      <c r="M127" s="36" t="s">
        <v>933</v>
      </c>
      <c r="N127" s="34">
        <v>125</v>
      </c>
      <c r="O127" s="6" t="s">
        <v>103</v>
      </c>
      <c r="P127" s="34" t="s">
        <v>103</v>
      </c>
      <c r="Q127" s="6" t="s">
        <v>103</v>
      </c>
      <c r="R127" s="12">
        <f>Tableau1[[#This Row],[Loyer €/m²]]*Tableau1[[#This Row],[Surface GLA]]</f>
        <v>43750</v>
      </c>
      <c r="S127" s="12">
        <f>IFERROR(Tableau1[[#This Row],[Loyer annuel]]/12,"")</f>
        <v>3645.8333333333335</v>
      </c>
      <c r="T127" s="12">
        <v>350</v>
      </c>
      <c r="U127" s="6" t="s">
        <v>103</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103</v>
      </c>
      <c r="AA127" s="12">
        <f>IFERROR(Tableau1[[#This Row],[Marketing €/m²]]*Tableau1[[#This Row],[Surface GLA]],)</f>
        <v>0</v>
      </c>
      <c r="AB127" s="6" t="s">
        <v>103</v>
      </c>
      <c r="AC127" s="12">
        <f>IFERROR(Tableau1[[#This Row],[Loyer annuel]]+Tableau1[[#This Row],[Charges annuelles]]+Tableau1[[#This Row],[Taxe foncière]]+Tableau1[[#This Row],[Marketing]],"")</f>
        <v>60000</v>
      </c>
      <c r="AD127" s="12" t="str">
        <f t="shared" si="3"/>
        <v>3 mois = 10 938 €</v>
      </c>
      <c r="AE127" s="6" t="s">
        <v>103</v>
      </c>
      <c r="AF127" s="6" t="s">
        <v>103</v>
      </c>
      <c r="AG127" s="6" t="s">
        <v>363</v>
      </c>
      <c r="AH127" s="10" t="s">
        <v>53</v>
      </c>
      <c r="AI127" s="10" t="s">
        <v>369</v>
      </c>
      <c r="AJ127" s="10" t="s">
        <v>952</v>
      </c>
      <c r="AK127" s="11" t="s">
        <v>989</v>
      </c>
      <c r="AL127" s="5" t="s">
        <v>368</v>
      </c>
      <c r="AM127" s="11" t="s">
        <v>969</v>
      </c>
      <c r="AN127" s="11" t="s">
        <v>970</v>
      </c>
      <c r="AO127" s="11" t="s">
        <v>941</v>
      </c>
      <c r="AP127" s="36" t="s">
        <v>1399</v>
      </c>
      <c r="AQ127" s="11" t="s">
        <v>75</v>
      </c>
      <c r="AR127" s="11" t="s">
        <v>953</v>
      </c>
      <c r="AS127" s="13" t="s">
        <v>954</v>
      </c>
      <c r="AT127" s="14"/>
      <c r="AU127" s="44"/>
    </row>
    <row r="128" spans="1:56" ht="25.5">
      <c r="A128" s="38" t="str">
        <f>VLOOKUP(Tableau1[[#This Row],[N° Département]],Feuil1!$C$6:$E$106,3)</f>
        <v>Ile-de-France</v>
      </c>
      <c r="B128" s="38" t="str">
        <f>VLOOKUP(Tableau1[[#This Row],[N° Département]],Feuil1!$C$6:$E$106,2)</f>
        <v>Seine-Saint-Denis</v>
      </c>
      <c r="C128" s="38">
        <f>LEFT(Tableau1[[#This Row],[Code Postal]],2)*1</f>
        <v>93</v>
      </c>
      <c r="D128" s="10" t="s">
        <v>928</v>
      </c>
      <c r="E128" s="26">
        <v>93430</v>
      </c>
      <c r="F128" s="10" t="s">
        <v>927</v>
      </c>
      <c r="G128" s="39" t="str">
        <f>Tableau1[[#This Row],[Rue]]&amp;CHAR(10)&amp;Tableau1[[#This Row],[Code Postal]]&amp;" - "&amp;Tableau1[[#This Row],[Ville]]</f>
        <v>8 Route de Saint-Leu
93430 - Villetaneuse</v>
      </c>
      <c r="H128" s="15" t="s">
        <v>929</v>
      </c>
      <c r="I128" s="12" t="s">
        <v>45</v>
      </c>
      <c r="J128" s="12" t="s">
        <v>49</v>
      </c>
      <c r="K128" s="12" t="s">
        <v>103</v>
      </c>
      <c r="L128" s="12" t="s">
        <v>103</v>
      </c>
      <c r="M128" s="36">
        <v>32</v>
      </c>
      <c r="N128" s="34">
        <v>69</v>
      </c>
      <c r="O128" s="6" t="s">
        <v>103</v>
      </c>
      <c r="P128" s="34" t="s">
        <v>103</v>
      </c>
      <c r="Q128" s="6" t="s">
        <v>103</v>
      </c>
      <c r="R128" s="12">
        <f>Tableau1[[#This Row],[Loyer €/m²]]*Tableau1[[#This Row],[Surface GLA]]</f>
        <v>24150</v>
      </c>
      <c r="S128" s="12">
        <f>IFERROR(Tableau1[[#This Row],[Loyer annuel]]/12,"")</f>
        <v>2012.5</v>
      </c>
      <c r="T128" s="12">
        <v>350</v>
      </c>
      <c r="U128" s="6" t="s">
        <v>103</v>
      </c>
      <c r="V128" s="6">
        <f>Tableau1[[#This Row],[Charges €/m²]]*Tableau1[[#This Row],[Surface GLA]]</f>
        <v>8970</v>
      </c>
      <c r="W128" s="12">
        <f>Tableau1[[#This Row],[Charges annuelles]]/12</f>
        <v>747.5</v>
      </c>
      <c r="X128" s="12">
        <v>130</v>
      </c>
      <c r="Y128" s="12">
        <f>IFERROR(Tableau1[[#This Row],[Taxe foncière €/m²]]*Tableau1[[#This Row],[Surface GLA]],)</f>
        <v>0</v>
      </c>
      <c r="Z128" s="6" t="s">
        <v>103</v>
      </c>
      <c r="AA128" s="12">
        <f>IFERROR(Tableau1[[#This Row],[Marketing €/m²]]*Tableau1[[#This Row],[Surface GLA]],)</f>
        <v>0</v>
      </c>
      <c r="AB128" s="6" t="s">
        <v>103</v>
      </c>
      <c r="AC128" s="12">
        <f>IFERROR(Tableau1[[#This Row],[Loyer annuel]]+Tableau1[[#This Row],[Charges annuelles]]+Tableau1[[#This Row],[Taxe foncière]]+Tableau1[[#This Row],[Marketing]],"")</f>
        <v>33120</v>
      </c>
      <c r="AD128" s="12" t="str">
        <f t="shared" si="3"/>
        <v>3 mois = 6 038 €</v>
      </c>
      <c r="AE128" s="6" t="s">
        <v>103</v>
      </c>
      <c r="AF128" s="6" t="s">
        <v>103</v>
      </c>
      <c r="AG128" s="6" t="s">
        <v>363</v>
      </c>
      <c r="AH128" s="10" t="s">
        <v>53</v>
      </c>
      <c r="AI128" s="10" t="s">
        <v>369</v>
      </c>
      <c r="AJ128" s="10" t="s">
        <v>952</v>
      </c>
      <c r="AK128" s="11" t="s">
        <v>989</v>
      </c>
      <c r="AL128" s="5" t="s">
        <v>368</v>
      </c>
      <c r="AM128" s="11" t="s">
        <v>967</v>
      </c>
      <c r="AN128" s="11" t="s">
        <v>968</v>
      </c>
      <c r="AO128" s="11" t="s">
        <v>942</v>
      </c>
      <c r="AP128" s="36" t="s">
        <v>1399</v>
      </c>
      <c r="AQ128" s="11" t="s">
        <v>75</v>
      </c>
      <c r="AR128" s="11" t="s">
        <v>953</v>
      </c>
      <c r="AS128" s="13" t="s">
        <v>954</v>
      </c>
      <c r="AT128" s="14"/>
      <c r="AU128" s="44"/>
    </row>
    <row r="129" spans="1:47" ht="25.5">
      <c r="A129" s="38" t="str">
        <f>VLOOKUP(Tableau1[[#This Row],[N° Département]],Feuil1!$C$6:$E$106,3)</f>
        <v>Ile-de-France</v>
      </c>
      <c r="B129" s="38" t="str">
        <f>VLOOKUP(Tableau1[[#This Row],[N° Département]],Feuil1!$C$6:$E$106,2)</f>
        <v>Seine-Saint-Denis</v>
      </c>
      <c r="C129" s="38">
        <f>LEFT(Tableau1[[#This Row],[Code Postal]],2)*1</f>
        <v>93</v>
      </c>
      <c r="D129" s="10" t="s">
        <v>928</v>
      </c>
      <c r="E129" s="26">
        <v>93430</v>
      </c>
      <c r="F129" s="10" t="s">
        <v>927</v>
      </c>
      <c r="G129" s="39" t="str">
        <f>Tableau1[[#This Row],[Rue]]&amp;CHAR(10)&amp;Tableau1[[#This Row],[Code Postal]]&amp;" - "&amp;Tableau1[[#This Row],[Ville]]</f>
        <v>8 Route de Saint-Leu
93430 - Villetaneuse</v>
      </c>
      <c r="H129" s="15" t="s">
        <v>929</v>
      </c>
      <c r="I129" s="12" t="s">
        <v>45</v>
      </c>
      <c r="J129" s="12" t="s">
        <v>49</v>
      </c>
      <c r="K129" s="12" t="s">
        <v>103</v>
      </c>
      <c r="L129" s="12" t="s">
        <v>103</v>
      </c>
      <c r="M129" s="36">
        <v>33</v>
      </c>
      <c r="N129" s="34">
        <v>65</v>
      </c>
      <c r="O129" s="6" t="s">
        <v>103</v>
      </c>
      <c r="P129" s="34" t="s">
        <v>103</v>
      </c>
      <c r="Q129" s="6" t="s">
        <v>103</v>
      </c>
      <c r="R129" s="12">
        <f>Tableau1[[#This Row],[Loyer €/m²]]*Tableau1[[#This Row],[Surface GLA]]</f>
        <v>22750</v>
      </c>
      <c r="S129" s="12">
        <f>IFERROR(Tableau1[[#This Row],[Loyer annuel]]/12,"")</f>
        <v>1895.8333333333333</v>
      </c>
      <c r="T129" s="12">
        <v>350</v>
      </c>
      <c r="U129" s="6" t="s">
        <v>103</v>
      </c>
      <c r="V129" s="6">
        <f>Tableau1[[#This Row],[Charges €/m²]]*Tableau1[[#This Row],[Surface GLA]]</f>
        <v>8450</v>
      </c>
      <c r="W129" s="12">
        <f>Tableau1[[#This Row],[Charges annuelles]]/12</f>
        <v>704.16666666666663</v>
      </c>
      <c r="X129" s="12">
        <v>130</v>
      </c>
      <c r="Y129" s="12">
        <f>IFERROR(Tableau1[[#This Row],[Taxe foncière €/m²]]*Tableau1[[#This Row],[Surface GLA]],)</f>
        <v>0</v>
      </c>
      <c r="Z129" s="6" t="s">
        <v>103</v>
      </c>
      <c r="AA129" s="12">
        <f>IFERROR(Tableau1[[#This Row],[Marketing €/m²]]*Tableau1[[#This Row],[Surface GLA]],)</f>
        <v>0</v>
      </c>
      <c r="AB129" s="6" t="s">
        <v>103</v>
      </c>
      <c r="AC129" s="12">
        <f>IFERROR(Tableau1[[#This Row],[Loyer annuel]]+Tableau1[[#This Row],[Charges annuelles]]+Tableau1[[#This Row],[Taxe foncière]]+Tableau1[[#This Row],[Marketing]],"")</f>
        <v>31200</v>
      </c>
      <c r="AD129" s="12" t="str">
        <f t="shared" si="3"/>
        <v>3 mois = 5 688 €</v>
      </c>
      <c r="AE129" s="6" t="s">
        <v>103</v>
      </c>
      <c r="AF129" s="6" t="s">
        <v>103</v>
      </c>
      <c r="AG129" s="6" t="s">
        <v>363</v>
      </c>
      <c r="AH129" s="10" t="s">
        <v>53</v>
      </c>
      <c r="AI129" s="10" t="s">
        <v>369</v>
      </c>
      <c r="AJ129" s="10" t="s">
        <v>952</v>
      </c>
      <c r="AK129" s="11" t="s">
        <v>989</v>
      </c>
      <c r="AL129" s="5" t="s">
        <v>368</v>
      </c>
      <c r="AM129" s="11" t="s">
        <v>965</v>
      </c>
      <c r="AN129" s="11" t="s">
        <v>966</v>
      </c>
      <c r="AO129" s="11" t="s">
        <v>943</v>
      </c>
      <c r="AP129" s="36" t="s">
        <v>1399</v>
      </c>
      <c r="AQ129" s="11" t="s">
        <v>75</v>
      </c>
      <c r="AR129" s="11" t="s">
        <v>953</v>
      </c>
      <c r="AS129" s="13" t="s">
        <v>954</v>
      </c>
      <c r="AT129" s="14"/>
      <c r="AU129" s="44"/>
    </row>
    <row r="130" spans="1:47" ht="25.5">
      <c r="A130" s="38" t="str">
        <f>VLOOKUP(Tableau1[[#This Row],[N° Département]],Feuil1!$C$6:$E$106,3)</f>
        <v>Ile-de-France</v>
      </c>
      <c r="B130" s="38" t="str">
        <f>VLOOKUP(Tableau1[[#This Row],[N° Département]],Feuil1!$C$6:$E$106,2)</f>
        <v>Seine-Saint-Denis</v>
      </c>
      <c r="C130" s="38">
        <f>LEFT(Tableau1[[#This Row],[Code Postal]],2)*1</f>
        <v>93</v>
      </c>
      <c r="D130" s="10" t="s">
        <v>928</v>
      </c>
      <c r="E130" s="26">
        <v>93430</v>
      </c>
      <c r="F130" s="10" t="s">
        <v>927</v>
      </c>
      <c r="G130" s="39" t="str">
        <f>Tableau1[[#This Row],[Rue]]&amp;CHAR(10)&amp;Tableau1[[#This Row],[Code Postal]]&amp;" - "&amp;Tableau1[[#This Row],[Ville]]</f>
        <v>8 Route de Saint-Leu
93430 - Villetaneuse</v>
      </c>
      <c r="H130" s="15" t="s">
        <v>929</v>
      </c>
      <c r="I130" s="12" t="s">
        <v>45</v>
      </c>
      <c r="J130" s="12" t="s">
        <v>49</v>
      </c>
      <c r="K130" s="12" t="s">
        <v>103</v>
      </c>
      <c r="L130" s="12" t="s">
        <v>103</v>
      </c>
      <c r="M130" s="36">
        <v>34</v>
      </c>
      <c r="N130" s="34">
        <v>73</v>
      </c>
      <c r="O130" s="6" t="s">
        <v>103</v>
      </c>
      <c r="P130" s="34" t="s">
        <v>103</v>
      </c>
      <c r="Q130" s="6" t="s">
        <v>103</v>
      </c>
      <c r="R130" s="12">
        <f>Tableau1[[#This Row],[Loyer €/m²]]*Tableau1[[#This Row],[Surface GLA]]</f>
        <v>25550</v>
      </c>
      <c r="S130" s="12">
        <f>IFERROR(Tableau1[[#This Row],[Loyer annuel]]/12,"")</f>
        <v>2129.1666666666665</v>
      </c>
      <c r="T130" s="12">
        <v>350</v>
      </c>
      <c r="U130" s="6" t="s">
        <v>103</v>
      </c>
      <c r="V130" s="6">
        <f>Tableau1[[#This Row],[Charges €/m²]]*Tableau1[[#This Row],[Surface GLA]]</f>
        <v>9490</v>
      </c>
      <c r="W130" s="12">
        <f>Tableau1[[#This Row],[Charges annuelles]]/12</f>
        <v>790.83333333333337</v>
      </c>
      <c r="X130" s="12">
        <v>130</v>
      </c>
      <c r="Y130" s="12">
        <f>IFERROR(Tableau1[[#This Row],[Taxe foncière €/m²]]*Tableau1[[#This Row],[Surface GLA]],)</f>
        <v>0</v>
      </c>
      <c r="Z130" s="6" t="s">
        <v>103</v>
      </c>
      <c r="AA130" s="12">
        <f>IFERROR(Tableau1[[#This Row],[Marketing €/m²]]*Tableau1[[#This Row],[Surface GLA]],)</f>
        <v>0</v>
      </c>
      <c r="AB130" s="6" t="s">
        <v>103</v>
      </c>
      <c r="AC130" s="12">
        <f>IFERROR(Tableau1[[#This Row],[Loyer annuel]]+Tableau1[[#This Row],[Charges annuelles]]+Tableau1[[#This Row],[Taxe foncière]]+Tableau1[[#This Row],[Marketing]],"")</f>
        <v>35040</v>
      </c>
      <c r="AD130" s="12" t="str">
        <f t="shared" si="3"/>
        <v>3 mois = 6 388 €</v>
      </c>
      <c r="AE130" s="6" t="s">
        <v>103</v>
      </c>
      <c r="AF130" s="6" t="s">
        <v>103</v>
      </c>
      <c r="AG130" s="6" t="s">
        <v>363</v>
      </c>
      <c r="AH130" s="10" t="s">
        <v>53</v>
      </c>
      <c r="AI130" s="10" t="s">
        <v>369</v>
      </c>
      <c r="AJ130" s="10" t="s">
        <v>952</v>
      </c>
      <c r="AK130" s="11" t="s">
        <v>989</v>
      </c>
      <c r="AL130" s="5" t="s">
        <v>368</v>
      </c>
      <c r="AM130" s="11" t="s">
        <v>973</v>
      </c>
      <c r="AN130" s="11" t="s">
        <v>974</v>
      </c>
      <c r="AO130" s="11" t="s">
        <v>944</v>
      </c>
      <c r="AP130" s="36" t="s">
        <v>1399</v>
      </c>
      <c r="AQ130" s="11" t="s">
        <v>75</v>
      </c>
      <c r="AR130" s="11" t="s">
        <v>953</v>
      </c>
      <c r="AS130" s="13" t="s">
        <v>954</v>
      </c>
      <c r="AT130" s="14"/>
      <c r="AU130" s="44"/>
    </row>
    <row r="131" spans="1:47" ht="25.5">
      <c r="A131" s="38" t="str">
        <f>VLOOKUP(Tableau1[[#This Row],[N° Département]],Feuil1!$C$6:$E$106,3)</f>
        <v>Ile-de-France</v>
      </c>
      <c r="B131" s="38" t="str">
        <f>VLOOKUP(Tableau1[[#This Row],[N° Département]],Feuil1!$C$6:$E$106,2)</f>
        <v>Seine-Saint-Denis</v>
      </c>
      <c r="C131" s="38">
        <f>LEFT(Tableau1[[#This Row],[Code Postal]],2)*1</f>
        <v>93</v>
      </c>
      <c r="D131" s="10" t="s">
        <v>928</v>
      </c>
      <c r="E131" s="26">
        <v>93430</v>
      </c>
      <c r="F131" s="10" t="s">
        <v>927</v>
      </c>
      <c r="G131" s="39" t="str">
        <f>Tableau1[[#This Row],[Rue]]&amp;CHAR(10)&amp;Tableau1[[#This Row],[Code Postal]]&amp;" - "&amp;Tableau1[[#This Row],[Ville]]</f>
        <v>8 Route de Saint-Leu
93430 - Villetaneuse</v>
      </c>
      <c r="H131" s="15" t="s">
        <v>929</v>
      </c>
      <c r="I131" s="12" t="s">
        <v>45</v>
      </c>
      <c r="J131" s="12" t="s">
        <v>49</v>
      </c>
      <c r="K131" s="12" t="s">
        <v>103</v>
      </c>
      <c r="L131" s="12" t="s">
        <v>103</v>
      </c>
      <c r="M131" s="36">
        <v>35</v>
      </c>
      <c r="N131" s="34">
        <v>75</v>
      </c>
      <c r="O131" s="6" t="s">
        <v>103</v>
      </c>
      <c r="P131" s="34" t="s">
        <v>103</v>
      </c>
      <c r="Q131" s="6" t="s">
        <v>103</v>
      </c>
      <c r="R131" s="12">
        <f>Tableau1[[#This Row],[Loyer €/m²]]*Tableau1[[#This Row],[Surface GLA]]</f>
        <v>26250</v>
      </c>
      <c r="S131" s="12">
        <f>IFERROR(Tableau1[[#This Row],[Loyer annuel]]/12,"")</f>
        <v>2187.5</v>
      </c>
      <c r="T131" s="12">
        <v>350</v>
      </c>
      <c r="U131" s="6" t="s">
        <v>103</v>
      </c>
      <c r="V131" s="6">
        <f>Tableau1[[#This Row],[Charges €/m²]]*Tableau1[[#This Row],[Surface GLA]]</f>
        <v>9750</v>
      </c>
      <c r="W131" s="12">
        <f>Tableau1[[#This Row],[Charges annuelles]]/12</f>
        <v>812.5</v>
      </c>
      <c r="X131" s="12">
        <v>130</v>
      </c>
      <c r="Y131" s="12">
        <f>IFERROR(Tableau1[[#This Row],[Taxe foncière €/m²]]*Tableau1[[#This Row],[Surface GLA]],)</f>
        <v>0</v>
      </c>
      <c r="Z131" s="6" t="s">
        <v>103</v>
      </c>
      <c r="AA131" s="12">
        <f>IFERROR(Tableau1[[#This Row],[Marketing €/m²]]*Tableau1[[#This Row],[Surface GLA]],)</f>
        <v>0</v>
      </c>
      <c r="AB131" s="6" t="s">
        <v>103</v>
      </c>
      <c r="AC131" s="12">
        <f>IFERROR(Tableau1[[#This Row],[Loyer annuel]]+Tableau1[[#This Row],[Charges annuelles]]+Tableau1[[#This Row],[Taxe foncière]]+Tableau1[[#This Row],[Marketing]],"")</f>
        <v>36000</v>
      </c>
      <c r="AD131" s="12" t="str">
        <f t="shared" si="3"/>
        <v>3 mois = 6 563 €</v>
      </c>
      <c r="AE131" s="6" t="s">
        <v>103</v>
      </c>
      <c r="AF131" s="6" t="s">
        <v>103</v>
      </c>
      <c r="AG131" s="6" t="s">
        <v>363</v>
      </c>
      <c r="AH131" s="10" t="s">
        <v>53</v>
      </c>
      <c r="AI131" s="10" t="s">
        <v>369</v>
      </c>
      <c r="AJ131" s="10" t="s">
        <v>952</v>
      </c>
      <c r="AK131" s="11" t="s">
        <v>989</v>
      </c>
      <c r="AL131" s="5" t="s">
        <v>368</v>
      </c>
      <c r="AM131" s="11" t="s">
        <v>975</v>
      </c>
      <c r="AN131" s="11" t="s">
        <v>976</v>
      </c>
      <c r="AO131" s="11" t="s">
        <v>945</v>
      </c>
      <c r="AP131" s="36" t="s">
        <v>1399</v>
      </c>
      <c r="AQ131" s="11" t="s">
        <v>75</v>
      </c>
      <c r="AR131" s="11" t="s">
        <v>953</v>
      </c>
      <c r="AS131" s="13" t="s">
        <v>954</v>
      </c>
      <c r="AT131" s="14"/>
      <c r="AU131" s="44"/>
    </row>
    <row r="132" spans="1:47" ht="25.5">
      <c r="A132" s="38" t="str">
        <f>VLOOKUP(Tableau1[[#This Row],[N° Département]],Feuil1!$C$6:$E$106,3)</f>
        <v>Ile-de-France</v>
      </c>
      <c r="B132" s="38" t="str">
        <f>VLOOKUP(Tableau1[[#This Row],[N° Département]],Feuil1!$C$6:$E$106,2)</f>
        <v>Seine-Saint-Denis</v>
      </c>
      <c r="C132" s="38">
        <f>LEFT(Tableau1[[#This Row],[Code Postal]],2)*1</f>
        <v>93</v>
      </c>
      <c r="D132" s="10" t="s">
        <v>928</v>
      </c>
      <c r="E132" s="26">
        <v>93430</v>
      </c>
      <c r="F132" s="10" t="s">
        <v>927</v>
      </c>
      <c r="G132" s="39" t="str">
        <f>Tableau1[[#This Row],[Rue]]&amp;CHAR(10)&amp;Tableau1[[#This Row],[Code Postal]]&amp;" - "&amp;Tableau1[[#This Row],[Ville]]</f>
        <v>8 Route de Saint-Leu
93430 - Villetaneuse</v>
      </c>
      <c r="H132" s="15" t="s">
        <v>929</v>
      </c>
      <c r="I132" s="12" t="s">
        <v>45</v>
      </c>
      <c r="J132" s="12" t="s">
        <v>49</v>
      </c>
      <c r="K132" s="12" t="s">
        <v>103</v>
      </c>
      <c r="L132" s="12" t="s">
        <v>103</v>
      </c>
      <c r="M132" s="36">
        <v>36</v>
      </c>
      <c r="N132" s="34">
        <v>57</v>
      </c>
      <c r="O132" s="6" t="s">
        <v>103</v>
      </c>
      <c r="P132" s="34" t="s">
        <v>103</v>
      </c>
      <c r="Q132" s="6" t="s">
        <v>103</v>
      </c>
      <c r="R132" s="12">
        <f>Tableau1[[#This Row],[Loyer €/m²]]*Tableau1[[#This Row],[Surface GLA]]</f>
        <v>19950</v>
      </c>
      <c r="S132" s="12">
        <f>IFERROR(Tableau1[[#This Row],[Loyer annuel]]/12,"")</f>
        <v>1662.5</v>
      </c>
      <c r="T132" s="12">
        <v>350</v>
      </c>
      <c r="U132" s="6" t="s">
        <v>103</v>
      </c>
      <c r="V132" s="6">
        <f>Tableau1[[#This Row],[Charges €/m²]]*Tableau1[[#This Row],[Surface GLA]]</f>
        <v>7410</v>
      </c>
      <c r="W132" s="12">
        <f>Tableau1[[#This Row],[Charges annuelles]]/12</f>
        <v>617.5</v>
      </c>
      <c r="X132" s="12">
        <v>130</v>
      </c>
      <c r="Y132" s="12">
        <f>IFERROR(Tableau1[[#This Row],[Taxe foncière €/m²]]*Tableau1[[#This Row],[Surface GLA]],)</f>
        <v>0</v>
      </c>
      <c r="Z132" s="6" t="s">
        <v>103</v>
      </c>
      <c r="AA132" s="12">
        <f>IFERROR(Tableau1[[#This Row],[Marketing €/m²]]*Tableau1[[#This Row],[Surface GLA]],)</f>
        <v>0</v>
      </c>
      <c r="AB132" s="6" t="s">
        <v>103</v>
      </c>
      <c r="AC132" s="12">
        <f>IFERROR(Tableau1[[#This Row],[Loyer annuel]]+Tableau1[[#This Row],[Charges annuelles]]+Tableau1[[#This Row],[Taxe foncière]]+Tableau1[[#This Row],[Marketing]],"")</f>
        <v>27360</v>
      </c>
      <c r="AD132" s="12" t="str">
        <f t="shared" si="3"/>
        <v>3 mois = 4 988 €</v>
      </c>
      <c r="AE132" s="6" t="s">
        <v>103</v>
      </c>
      <c r="AF132" s="6" t="s">
        <v>103</v>
      </c>
      <c r="AG132" s="6" t="s">
        <v>363</v>
      </c>
      <c r="AH132" s="10" t="s">
        <v>53</v>
      </c>
      <c r="AI132" s="10" t="s">
        <v>369</v>
      </c>
      <c r="AJ132" s="10" t="s">
        <v>952</v>
      </c>
      <c r="AK132" s="11" t="s">
        <v>989</v>
      </c>
      <c r="AL132" s="5" t="s">
        <v>368</v>
      </c>
      <c r="AM132" s="11" t="s">
        <v>977</v>
      </c>
      <c r="AN132" s="11" t="s">
        <v>978</v>
      </c>
      <c r="AO132" s="11" t="s">
        <v>946</v>
      </c>
      <c r="AP132" s="36" t="s">
        <v>1399</v>
      </c>
      <c r="AQ132" s="11" t="s">
        <v>75</v>
      </c>
      <c r="AR132" s="11" t="s">
        <v>953</v>
      </c>
      <c r="AS132" s="13" t="s">
        <v>954</v>
      </c>
      <c r="AT132" s="14"/>
      <c r="AU132" s="44"/>
    </row>
    <row r="133" spans="1:47" ht="25.5">
      <c r="A133" s="38" t="str">
        <f>VLOOKUP(Tableau1[[#This Row],[N° Département]],Feuil1!$C$6:$E$106,3)</f>
        <v>Ile-de-France</v>
      </c>
      <c r="B133" s="38" t="str">
        <f>VLOOKUP(Tableau1[[#This Row],[N° Département]],Feuil1!$C$6:$E$106,2)</f>
        <v>Seine-Saint-Denis</v>
      </c>
      <c r="C133" s="38">
        <f>LEFT(Tableau1[[#This Row],[Code Postal]],2)*1</f>
        <v>93</v>
      </c>
      <c r="D133" s="10" t="s">
        <v>928</v>
      </c>
      <c r="E133" s="26">
        <v>93430</v>
      </c>
      <c r="F133" s="10" t="s">
        <v>927</v>
      </c>
      <c r="G133" s="39" t="str">
        <f>Tableau1[[#This Row],[Rue]]&amp;CHAR(10)&amp;Tableau1[[#This Row],[Code Postal]]&amp;" - "&amp;Tableau1[[#This Row],[Ville]]</f>
        <v>8 Route de Saint-Leu
93430 - Villetaneuse</v>
      </c>
      <c r="H133" s="15" t="s">
        <v>929</v>
      </c>
      <c r="I133" s="12" t="s">
        <v>45</v>
      </c>
      <c r="J133" s="12" t="s">
        <v>49</v>
      </c>
      <c r="K133" s="12" t="s">
        <v>103</v>
      </c>
      <c r="L133" s="12" t="s">
        <v>103</v>
      </c>
      <c r="M133" s="36">
        <v>41</v>
      </c>
      <c r="N133" s="34">
        <v>58</v>
      </c>
      <c r="O133" s="6" t="s">
        <v>103</v>
      </c>
      <c r="P133" s="34" t="s">
        <v>103</v>
      </c>
      <c r="Q133" s="6" t="s">
        <v>103</v>
      </c>
      <c r="R133" s="12">
        <f>Tableau1[[#This Row],[Loyer €/m²]]*Tableau1[[#This Row],[Surface GLA]]</f>
        <v>20300</v>
      </c>
      <c r="S133" s="12">
        <f>IFERROR(Tableau1[[#This Row],[Loyer annuel]]/12,"")</f>
        <v>1691.6666666666667</v>
      </c>
      <c r="T133" s="12">
        <v>350</v>
      </c>
      <c r="U133" s="6" t="s">
        <v>103</v>
      </c>
      <c r="V133" s="6">
        <f>Tableau1[[#This Row],[Charges €/m²]]*Tableau1[[#This Row],[Surface GLA]]</f>
        <v>7540</v>
      </c>
      <c r="W133" s="12">
        <f>Tableau1[[#This Row],[Charges annuelles]]/12</f>
        <v>628.33333333333337</v>
      </c>
      <c r="X133" s="12">
        <v>130</v>
      </c>
      <c r="Y133" s="12">
        <f>IFERROR(Tableau1[[#This Row],[Taxe foncière €/m²]]*Tableau1[[#This Row],[Surface GLA]],)</f>
        <v>0</v>
      </c>
      <c r="Z133" s="6" t="s">
        <v>103</v>
      </c>
      <c r="AA133" s="12">
        <f>IFERROR(Tableau1[[#This Row],[Marketing €/m²]]*Tableau1[[#This Row],[Surface GLA]],)</f>
        <v>0</v>
      </c>
      <c r="AB133" s="6" t="s">
        <v>103</v>
      </c>
      <c r="AC133" s="12">
        <f>IFERROR(Tableau1[[#This Row],[Loyer annuel]]+Tableau1[[#This Row],[Charges annuelles]]+Tableau1[[#This Row],[Taxe foncière]]+Tableau1[[#This Row],[Marketing]],"")</f>
        <v>27840</v>
      </c>
      <c r="AD133" s="12" t="str">
        <f t="shared" si="3"/>
        <v>3 mois = 5 075 €</v>
      </c>
      <c r="AE133" s="6" t="s">
        <v>103</v>
      </c>
      <c r="AF133" s="6" t="s">
        <v>103</v>
      </c>
      <c r="AG133" s="6" t="s">
        <v>363</v>
      </c>
      <c r="AH133" s="10" t="s">
        <v>53</v>
      </c>
      <c r="AI133" s="10" t="s">
        <v>369</v>
      </c>
      <c r="AJ133" s="10" t="s">
        <v>952</v>
      </c>
      <c r="AK133" s="11" t="s">
        <v>989</v>
      </c>
      <c r="AL133" s="5" t="s">
        <v>368</v>
      </c>
      <c r="AM133" s="11" t="s">
        <v>979</v>
      </c>
      <c r="AN133" s="11" t="s">
        <v>980</v>
      </c>
      <c r="AO133" s="11" t="s">
        <v>947</v>
      </c>
      <c r="AP133" s="36" t="s">
        <v>1399</v>
      </c>
      <c r="AQ133" s="11" t="s">
        <v>75</v>
      </c>
      <c r="AR133" s="11" t="s">
        <v>953</v>
      </c>
      <c r="AS133" s="13" t="s">
        <v>954</v>
      </c>
      <c r="AT133" s="14"/>
      <c r="AU133" s="44"/>
    </row>
    <row r="134" spans="1:47" ht="25.5">
      <c r="A134" s="38" t="str">
        <f>VLOOKUP(Tableau1[[#This Row],[N° Département]],Feuil1!$C$6:$E$106,3)</f>
        <v>Ile-de-France</v>
      </c>
      <c r="B134" s="38" t="str">
        <f>VLOOKUP(Tableau1[[#This Row],[N° Département]],Feuil1!$C$6:$E$106,2)</f>
        <v>Seine-Saint-Denis</v>
      </c>
      <c r="C134" s="38">
        <f>LEFT(Tableau1[[#This Row],[Code Postal]],2)*1</f>
        <v>93</v>
      </c>
      <c r="D134" s="10" t="s">
        <v>928</v>
      </c>
      <c r="E134" s="26">
        <v>93430</v>
      </c>
      <c r="F134" s="10" t="s">
        <v>927</v>
      </c>
      <c r="G134" s="39" t="str">
        <f>Tableau1[[#This Row],[Rue]]&amp;CHAR(10)&amp;Tableau1[[#This Row],[Code Postal]]&amp;" - "&amp;Tableau1[[#This Row],[Ville]]</f>
        <v>8 Route de Saint-Leu
93430 - Villetaneuse</v>
      </c>
      <c r="H134" s="15" t="s">
        <v>929</v>
      </c>
      <c r="I134" s="12" t="s">
        <v>45</v>
      </c>
      <c r="J134" s="12" t="s">
        <v>49</v>
      </c>
      <c r="K134" s="12" t="s">
        <v>103</v>
      </c>
      <c r="L134" s="12" t="s">
        <v>103</v>
      </c>
      <c r="M134" s="36">
        <v>43</v>
      </c>
      <c r="N134" s="34">
        <v>63</v>
      </c>
      <c r="O134" s="6" t="s">
        <v>103</v>
      </c>
      <c r="P134" s="34" t="s">
        <v>103</v>
      </c>
      <c r="Q134" s="6" t="s">
        <v>103</v>
      </c>
      <c r="R134" s="12">
        <f>Tableau1[[#This Row],[Loyer €/m²]]*Tableau1[[#This Row],[Surface GLA]]</f>
        <v>22050</v>
      </c>
      <c r="S134" s="12">
        <f>IFERROR(Tableau1[[#This Row],[Loyer annuel]]/12,"")</f>
        <v>1837.5</v>
      </c>
      <c r="T134" s="12">
        <v>350</v>
      </c>
      <c r="U134" s="6" t="s">
        <v>103</v>
      </c>
      <c r="V134" s="6">
        <f>Tableau1[[#This Row],[Charges €/m²]]*Tableau1[[#This Row],[Surface GLA]]</f>
        <v>8190</v>
      </c>
      <c r="W134" s="12">
        <f>Tableau1[[#This Row],[Charges annuelles]]/12</f>
        <v>682.5</v>
      </c>
      <c r="X134" s="12">
        <v>130</v>
      </c>
      <c r="Y134" s="12">
        <f>IFERROR(Tableau1[[#This Row],[Taxe foncière €/m²]]*Tableau1[[#This Row],[Surface GLA]],)</f>
        <v>0</v>
      </c>
      <c r="Z134" s="6" t="s">
        <v>103</v>
      </c>
      <c r="AA134" s="12">
        <f>IFERROR(Tableau1[[#This Row],[Marketing €/m²]]*Tableau1[[#This Row],[Surface GLA]],)</f>
        <v>0</v>
      </c>
      <c r="AB134" s="6" t="s">
        <v>103</v>
      </c>
      <c r="AC134" s="12">
        <f>IFERROR(Tableau1[[#This Row],[Loyer annuel]]+Tableau1[[#This Row],[Charges annuelles]]+Tableau1[[#This Row],[Taxe foncière]]+Tableau1[[#This Row],[Marketing]],"")</f>
        <v>30240</v>
      </c>
      <c r="AD134" s="12" t="str">
        <f t="shared" ref="AD134:AD137" si="4">"3 mois = "&amp;TEXT(ROUND(3/12*R134,0),"### ### ##0 €")</f>
        <v>3 mois = 5 513 €</v>
      </c>
      <c r="AE134" s="6" t="s">
        <v>103</v>
      </c>
      <c r="AF134" s="6" t="s">
        <v>103</v>
      </c>
      <c r="AG134" s="6" t="s">
        <v>363</v>
      </c>
      <c r="AH134" s="10" t="s">
        <v>53</v>
      </c>
      <c r="AI134" s="10" t="s">
        <v>369</v>
      </c>
      <c r="AJ134" s="10" t="s">
        <v>952</v>
      </c>
      <c r="AK134" s="11" t="s">
        <v>989</v>
      </c>
      <c r="AL134" s="5" t="s">
        <v>368</v>
      </c>
      <c r="AM134" s="11" t="s">
        <v>981</v>
      </c>
      <c r="AN134" s="11" t="s">
        <v>982</v>
      </c>
      <c r="AO134" s="11" t="s">
        <v>948</v>
      </c>
      <c r="AP134" s="36" t="s">
        <v>1399</v>
      </c>
      <c r="AQ134" s="11" t="s">
        <v>75</v>
      </c>
      <c r="AR134" s="11" t="s">
        <v>953</v>
      </c>
      <c r="AS134" s="13" t="s">
        <v>954</v>
      </c>
      <c r="AT134" s="14"/>
      <c r="AU134" s="44"/>
    </row>
    <row r="135" spans="1:47" ht="25.5">
      <c r="A135" s="38" t="str">
        <f>VLOOKUP(Tableau1[[#This Row],[N° Département]],Feuil1!$C$6:$E$106,3)</f>
        <v>Ile-de-France</v>
      </c>
      <c r="B135" s="38" t="str">
        <f>VLOOKUP(Tableau1[[#This Row],[N° Département]],Feuil1!$C$6:$E$106,2)</f>
        <v>Seine-Saint-Denis</v>
      </c>
      <c r="C135" s="38">
        <f>LEFT(Tableau1[[#This Row],[Code Postal]],2)*1</f>
        <v>93</v>
      </c>
      <c r="D135" s="10" t="s">
        <v>928</v>
      </c>
      <c r="E135" s="26">
        <v>93430</v>
      </c>
      <c r="F135" s="10" t="s">
        <v>927</v>
      </c>
      <c r="G135" s="39" t="str">
        <f>Tableau1[[#This Row],[Rue]]&amp;CHAR(10)&amp;Tableau1[[#This Row],[Code Postal]]&amp;" - "&amp;Tableau1[[#This Row],[Ville]]</f>
        <v>8 Route de Saint-Leu
93430 - Villetaneuse</v>
      </c>
      <c r="H135" s="15" t="s">
        <v>929</v>
      </c>
      <c r="I135" s="12" t="s">
        <v>45</v>
      </c>
      <c r="J135" s="12" t="s">
        <v>49</v>
      </c>
      <c r="K135" s="12" t="s">
        <v>103</v>
      </c>
      <c r="L135" s="12" t="s">
        <v>103</v>
      </c>
      <c r="M135" s="36">
        <v>46</v>
      </c>
      <c r="N135" s="34">
        <v>84</v>
      </c>
      <c r="O135" s="6" t="s">
        <v>103</v>
      </c>
      <c r="P135" s="34" t="s">
        <v>103</v>
      </c>
      <c r="Q135" s="6" t="s">
        <v>103</v>
      </c>
      <c r="R135" s="12">
        <f>Tableau1[[#This Row],[Loyer €/m²]]*Tableau1[[#This Row],[Surface GLA]]</f>
        <v>29400</v>
      </c>
      <c r="S135" s="12">
        <f>IFERROR(Tableau1[[#This Row],[Loyer annuel]]/12,"")</f>
        <v>2450</v>
      </c>
      <c r="T135" s="12">
        <v>350</v>
      </c>
      <c r="U135" s="6" t="s">
        <v>103</v>
      </c>
      <c r="V135" s="6">
        <f>Tableau1[[#This Row],[Charges €/m²]]*Tableau1[[#This Row],[Surface GLA]]</f>
        <v>10920</v>
      </c>
      <c r="W135" s="12">
        <f>Tableau1[[#This Row],[Charges annuelles]]/12</f>
        <v>910</v>
      </c>
      <c r="X135" s="12">
        <v>130</v>
      </c>
      <c r="Y135" s="12">
        <f>IFERROR(Tableau1[[#This Row],[Taxe foncière €/m²]]*Tableau1[[#This Row],[Surface GLA]],)</f>
        <v>0</v>
      </c>
      <c r="Z135" s="6" t="s">
        <v>103</v>
      </c>
      <c r="AA135" s="12">
        <f>IFERROR(Tableau1[[#This Row],[Marketing €/m²]]*Tableau1[[#This Row],[Surface GLA]],)</f>
        <v>0</v>
      </c>
      <c r="AB135" s="6" t="s">
        <v>103</v>
      </c>
      <c r="AC135" s="12">
        <f>IFERROR(Tableau1[[#This Row],[Loyer annuel]]+Tableau1[[#This Row],[Charges annuelles]]+Tableau1[[#This Row],[Taxe foncière]]+Tableau1[[#This Row],[Marketing]],"")</f>
        <v>40320</v>
      </c>
      <c r="AD135" s="12" t="str">
        <f t="shared" si="4"/>
        <v>3 mois = 7 350 €</v>
      </c>
      <c r="AE135" s="6" t="s">
        <v>103</v>
      </c>
      <c r="AF135" s="6" t="s">
        <v>103</v>
      </c>
      <c r="AG135" s="6" t="s">
        <v>363</v>
      </c>
      <c r="AH135" s="10" t="s">
        <v>53</v>
      </c>
      <c r="AI135" s="10" t="s">
        <v>369</v>
      </c>
      <c r="AJ135" s="10" t="s">
        <v>952</v>
      </c>
      <c r="AK135" s="11" t="s">
        <v>989</v>
      </c>
      <c r="AL135" s="5" t="s">
        <v>368</v>
      </c>
      <c r="AM135" s="11" t="s">
        <v>983</v>
      </c>
      <c r="AN135" s="11" t="s">
        <v>984</v>
      </c>
      <c r="AO135" s="11" t="s">
        <v>949</v>
      </c>
      <c r="AP135" s="36" t="s">
        <v>1399</v>
      </c>
      <c r="AQ135" s="11" t="s">
        <v>75</v>
      </c>
      <c r="AR135" s="11" t="s">
        <v>953</v>
      </c>
      <c r="AS135" s="13" t="s">
        <v>954</v>
      </c>
      <c r="AT135" s="14"/>
      <c r="AU135" s="44"/>
    </row>
    <row r="136" spans="1:47" ht="25.5">
      <c r="A136" s="38" t="str">
        <f>VLOOKUP(Tableau1[[#This Row],[N° Département]],Feuil1!$C$6:$E$106,3)</f>
        <v>Ile-de-France</v>
      </c>
      <c r="B136" s="38" t="str">
        <f>VLOOKUP(Tableau1[[#This Row],[N° Département]],Feuil1!$C$6:$E$106,2)</f>
        <v>Seine-Saint-Denis</v>
      </c>
      <c r="C136" s="38">
        <f>LEFT(Tableau1[[#This Row],[Code Postal]],2)*1</f>
        <v>93</v>
      </c>
      <c r="D136" s="10" t="s">
        <v>928</v>
      </c>
      <c r="E136" s="26">
        <v>93430</v>
      </c>
      <c r="F136" s="10" t="s">
        <v>927</v>
      </c>
      <c r="G136" s="39" t="str">
        <f>Tableau1[[#This Row],[Rue]]&amp;CHAR(10)&amp;Tableau1[[#This Row],[Code Postal]]&amp;" - "&amp;Tableau1[[#This Row],[Ville]]</f>
        <v>8 Route de Saint-Leu
93430 - Villetaneuse</v>
      </c>
      <c r="H136" s="15" t="s">
        <v>929</v>
      </c>
      <c r="I136" s="12" t="s">
        <v>45</v>
      </c>
      <c r="J136" s="12" t="s">
        <v>49</v>
      </c>
      <c r="K136" s="12" t="s">
        <v>103</v>
      </c>
      <c r="L136" s="12" t="s">
        <v>103</v>
      </c>
      <c r="M136" s="36">
        <v>48</v>
      </c>
      <c r="N136" s="34">
        <v>94</v>
      </c>
      <c r="O136" s="6" t="s">
        <v>103</v>
      </c>
      <c r="P136" s="34" t="s">
        <v>103</v>
      </c>
      <c r="Q136" s="6" t="s">
        <v>103</v>
      </c>
      <c r="R136" s="12">
        <f>Tableau1[[#This Row],[Loyer €/m²]]*Tableau1[[#This Row],[Surface GLA]]</f>
        <v>32900</v>
      </c>
      <c r="S136" s="12">
        <f>IFERROR(Tableau1[[#This Row],[Loyer annuel]]/12,"")</f>
        <v>2741.6666666666665</v>
      </c>
      <c r="T136" s="12">
        <v>350</v>
      </c>
      <c r="U136" s="6" t="s">
        <v>103</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103</v>
      </c>
      <c r="AA136" s="12">
        <f>IFERROR(Tableau1[[#This Row],[Marketing €/m²]]*Tableau1[[#This Row],[Surface GLA]],)</f>
        <v>0</v>
      </c>
      <c r="AB136" s="6" t="s">
        <v>103</v>
      </c>
      <c r="AC136" s="12">
        <f>IFERROR(Tableau1[[#This Row],[Loyer annuel]]+Tableau1[[#This Row],[Charges annuelles]]+Tableau1[[#This Row],[Taxe foncière]]+Tableau1[[#This Row],[Marketing]],"")</f>
        <v>45120</v>
      </c>
      <c r="AD136" s="12" t="str">
        <f t="shared" si="4"/>
        <v>3 mois = 8 225 €</v>
      </c>
      <c r="AE136" s="6" t="s">
        <v>103</v>
      </c>
      <c r="AF136" s="6" t="s">
        <v>103</v>
      </c>
      <c r="AG136" s="6" t="s">
        <v>363</v>
      </c>
      <c r="AH136" s="10" t="s">
        <v>53</v>
      </c>
      <c r="AI136" s="10" t="s">
        <v>369</v>
      </c>
      <c r="AJ136" s="10" t="s">
        <v>952</v>
      </c>
      <c r="AK136" s="11" t="s">
        <v>989</v>
      </c>
      <c r="AL136" s="5" t="s">
        <v>368</v>
      </c>
      <c r="AM136" s="11" t="s">
        <v>985</v>
      </c>
      <c r="AN136" s="11" t="s">
        <v>986</v>
      </c>
      <c r="AO136" s="11" t="s">
        <v>950</v>
      </c>
      <c r="AP136" s="36" t="s">
        <v>1399</v>
      </c>
      <c r="AQ136" s="11" t="s">
        <v>75</v>
      </c>
      <c r="AR136" s="11" t="s">
        <v>953</v>
      </c>
      <c r="AS136" s="13" t="s">
        <v>954</v>
      </c>
      <c r="AT136" s="14"/>
      <c r="AU136" s="44"/>
    </row>
    <row r="137" spans="1:47" ht="25.5">
      <c r="A137" s="38" t="str">
        <f>VLOOKUP(Tableau1[[#This Row],[N° Département]],Feuil1!$C$6:$E$106,3)</f>
        <v>Ile-de-France</v>
      </c>
      <c r="B137" s="38" t="str">
        <f>VLOOKUP(Tableau1[[#This Row],[N° Département]],Feuil1!$C$6:$E$106,2)</f>
        <v>Seine-Saint-Denis</v>
      </c>
      <c r="C137" s="38">
        <f>LEFT(Tableau1[[#This Row],[Code Postal]],2)*1</f>
        <v>93</v>
      </c>
      <c r="D137" s="10" t="s">
        <v>928</v>
      </c>
      <c r="E137" s="26">
        <v>93430</v>
      </c>
      <c r="F137" s="10" t="s">
        <v>927</v>
      </c>
      <c r="G137" s="39" t="str">
        <f>Tableau1[[#This Row],[Rue]]&amp;CHAR(10)&amp;Tableau1[[#This Row],[Code Postal]]&amp;" - "&amp;Tableau1[[#This Row],[Ville]]</f>
        <v>8 Route de Saint-Leu
93430 - Villetaneuse</v>
      </c>
      <c r="H137" s="15" t="s">
        <v>929</v>
      </c>
      <c r="I137" s="12" t="s">
        <v>45</v>
      </c>
      <c r="J137" s="12" t="s">
        <v>49</v>
      </c>
      <c r="K137" s="12" t="s">
        <v>103</v>
      </c>
      <c r="L137" s="12" t="s">
        <v>103</v>
      </c>
      <c r="M137" s="36" t="s">
        <v>934</v>
      </c>
      <c r="N137" s="34">
        <v>62</v>
      </c>
      <c r="O137" s="6" t="s">
        <v>103</v>
      </c>
      <c r="P137" s="34" t="s">
        <v>103</v>
      </c>
      <c r="Q137" s="6" t="s">
        <v>103</v>
      </c>
      <c r="R137" s="12">
        <f>Tableau1[[#This Row],[Loyer €/m²]]*Tableau1[[#This Row],[Surface GLA]]</f>
        <v>21700</v>
      </c>
      <c r="S137" s="12">
        <f>IFERROR(Tableau1[[#This Row],[Loyer annuel]]/12,"")</f>
        <v>1808.3333333333333</v>
      </c>
      <c r="T137" s="12">
        <v>350</v>
      </c>
      <c r="U137" s="6" t="s">
        <v>103</v>
      </c>
      <c r="V137" s="6">
        <f>Tableau1[[#This Row],[Charges €/m²]]*Tableau1[[#This Row],[Surface GLA]]</f>
        <v>8060</v>
      </c>
      <c r="W137" s="12">
        <f>Tableau1[[#This Row],[Charges annuelles]]/12</f>
        <v>671.66666666666663</v>
      </c>
      <c r="X137" s="12">
        <v>130</v>
      </c>
      <c r="Y137" s="12">
        <f>IFERROR(Tableau1[[#This Row],[Taxe foncière €/m²]]*Tableau1[[#This Row],[Surface GLA]],)</f>
        <v>0</v>
      </c>
      <c r="Z137" s="6" t="s">
        <v>103</v>
      </c>
      <c r="AA137" s="12">
        <f>IFERROR(Tableau1[[#This Row],[Marketing €/m²]]*Tableau1[[#This Row],[Surface GLA]],)</f>
        <v>0</v>
      </c>
      <c r="AB137" s="6" t="s">
        <v>103</v>
      </c>
      <c r="AC137" s="12">
        <f>IFERROR(Tableau1[[#This Row],[Loyer annuel]]+Tableau1[[#This Row],[Charges annuelles]]+Tableau1[[#This Row],[Taxe foncière]]+Tableau1[[#This Row],[Marketing]],"")</f>
        <v>29760</v>
      </c>
      <c r="AD137" s="12" t="str">
        <f t="shared" si="4"/>
        <v>3 mois = 5 425 €</v>
      </c>
      <c r="AE137" s="6" t="s">
        <v>103</v>
      </c>
      <c r="AF137" s="6" t="s">
        <v>103</v>
      </c>
      <c r="AG137" s="6" t="s">
        <v>363</v>
      </c>
      <c r="AH137" s="10" t="s">
        <v>53</v>
      </c>
      <c r="AI137" s="10" t="s">
        <v>369</v>
      </c>
      <c r="AJ137" s="10" t="s">
        <v>952</v>
      </c>
      <c r="AK137" s="11" t="s">
        <v>989</v>
      </c>
      <c r="AL137" s="5" t="s">
        <v>368</v>
      </c>
      <c r="AM137" s="11" t="s">
        <v>987</v>
      </c>
      <c r="AN137" s="11" t="s">
        <v>988</v>
      </c>
      <c r="AO137" s="11" t="s">
        <v>951</v>
      </c>
      <c r="AP137" s="36" t="s">
        <v>1399</v>
      </c>
      <c r="AQ137" s="11" t="s">
        <v>75</v>
      </c>
      <c r="AR137" s="11" t="s">
        <v>953</v>
      </c>
      <c r="AS137" s="13" t="s">
        <v>954</v>
      </c>
      <c r="AT137" s="14"/>
      <c r="AU137" s="44"/>
    </row>
    <row r="138" spans="1:47" ht="38.25">
      <c r="A138" s="38" t="str">
        <f>VLOOKUP(Tableau1[[#This Row],[N° Département]],Feuil1!$C$6:$E$106,3)</f>
        <v>Ile-de-France</v>
      </c>
      <c r="B138" s="38" t="str">
        <f>VLOOKUP(Tableau1[[#This Row],[N° Département]],Feuil1!$C$6:$E$106,2)</f>
        <v>Val-D'Oise</v>
      </c>
      <c r="C138" s="38">
        <f>LEFT(Tableau1[[#This Row],[Code Postal]],2)*1</f>
        <v>95</v>
      </c>
      <c r="D138" s="10" t="s">
        <v>992</v>
      </c>
      <c r="E138" s="26">
        <v>95290</v>
      </c>
      <c r="F138" s="10" t="s">
        <v>991</v>
      </c>
      <c r="G138" s="39" t="str">
        <f>Tableau1[[#This Row],[Rue]]&amp;CHAR(10)&amp;Tableau1[[#This Row],[Code Postal]]&amp;" - "&amp;Tableau1[[#This Row],[Ville]]</f>
        <v>Centre Commercial le Grand Val, Boulevard de Tilsit
95290 - L'Isle-Adam</v>
      </c>
      <c r="H138" s="15" t="s">
        <v>993</v>
      </c>
      <c r="I138" s="12" t="s">
        <v>47</v>
      </c>
      <c r="J138" s="12" t="s">
        <v>49</v>
      </c>
      <c r="K138" s="12" t="s">
        <v>103</v>
      </c>
      <c r="L138" s="12" t="s">
        <v>103</v>
      </c>
      <c r="M138" s="36" t="s">
        <v>357</v>
      </c>
      <c r="N138" s="34">
        <v>167</v>
      </c>
      <c r="O138" s="6" t="s">
        <v>1402</v>
      </c>
      <c r="P138" s="34" t="s">
        <v>103</v>
      </c>
      <c r="Q138" s="6" t="s">
        <v>103</v>
      </c>
      <c r="R138" s="12">
        <f>Tableau1[[#This Row],[Loyer €/m²]]*Tableau1[[#This Row],[Surface GLA]]</f>
        <v>75150</v>
      </c>
      <c r="S138" s="12">
        <f>IFERROR(Tableau1[[#This Row],[Loyer annuel]]/12,"")</f>
        <v>6262.5</v>
      </c>
      <c r="T138" s="12">
        <v>450</v>
      </c>
      <c r="U138" s="6" t="s">
        <v>103</v>
      </c>
      <c r="V138" s="6">
        <f>Tableau1[[#This Row],[Charges €/m²]]*Tableau1[[#This Row],[Surface GLA]]</f>
        <v>17201</v>
      </c>
      <c r="W138" s="12">
        <f>Tableau1[[#This Row],[Charges annuelles]]/12</f>
        <v>1433.4166666666667</v>
      </c>
      <c r="X138" s="12">
        <v>103</v>
      </c>
      <c r="Y138" s="12">
        <f>IFERROR(Tableau1[[#This Row],[Taxe foncière €/m²]]*Tableau1[[#This Row],[Surface GLA]],)</f>
        <v>0</v>
      </c>
      <c r="Z138" s="6" t="s">
        <v>103</v>
      </c>
      <c r="AA138" s="12">
        <f>IFERROR(Tableau1[[#This Row],[Marketing €/m²]]*Tableau1[[#This Row],[Surface GLA]],)</f>
        <v>0</v>
      </c>
      <c r="AB138" s="6" t="s">
        <v>103</v>
      </c>
      <c r="AC138" s="12">
        <f>IFERROR(Tableau1[[#This Row],[Loyer annuel]]+Tableau1[[#This Row],[Charges annuelles]]+Tableau1[[#This Row],[Taxe foncière]]+Tableau1[[#This Row],[Marketing]],"")</f>
        <v>92351</v>
      </c>
      <c r="AD138" s="12" t="str">
        <f>"3 mois = "&amp;TEXT(ROUND(3/12*R138,0),"### ### ##0 €")</f>
        <v>3 mois = 18 788 €</v>
      </c>
      <c r="AE138" s="6" t="s">
        <v>103</v>
      </c>
      <c r="AF138" s="6" t="s">
        <v>103</v>
      </c>
      <c r="AG138" s="6" t="s">
        <v>363</v>
      </c>
      <c r="AH138" s="10" t="s">
        <v>53</v>
      </c>
      <c r="AI138" s="10" t="s">
        <v>369</v>
      </c>
      <c r="AJ138" s="10" t="s">
        <v>994</v>
      </c>
      <c r="AK138" s="11" t="s">
        <v>996</v>
      </c>
      <c r="AL138" s="5" t="s">
        <v>368</v>
      </c>
      <c r="AM138" s="11" t="s">
        <v>1409</v>
      </c>
      <c r="AN138" s="11" t="s">
        <v>1410</v>
      </c>
      <c r="AO138" s="11" t="s">
        <v>1400</v>
      </c>
      <c r="AP138" s="36" t="s">
        <v>1404</v>
      </c>
      <c r="AQ138" s="11" t="s">
        <v>75</v>
      </c>
      <c r="AR138" s="11" t="s">
        <v>995</v>
      </c>
      <c r="AS138" s="13" t="s">
        <v>954</v>
      </c>
      <c r="AT138" s="14"/>
      <c r="AU138" s="44"/>
    </row>
    <row r="139" spans="1:47" ht="38.25">
      <c r="A139" s="38" t="str">
        <f>VLOOKUP(Tableau1[[#This Row],[N° Département]],Feuil1!$C$6:$E$106,3)</f>
        <v>Ile-de-France</v>
      </c>
      <c r="B139" s="38" t="str">
        <f>VLOOKUP(Tableau1[[#This Row],[N° Département]],Feuil1!$C$6:$E$106,2)</f>
        <v>Val-D'Oise</v>
      </c>
      <c r="C139" s="38">
        <f>LEFT(Tableau1[[#This Row],[Code Postal]],2)*1</f>
        <v>95</v>
      </c>
      <c r="D139" s="10" t="s">
        <v>992</v>
      </c>
      <c r="E139" s="26">
        <v>95290</v>
      </c>
      <c r="F139" s="10" t="s">
        <v>991</v>
      </c>
      <c r="G139" s="39" t="str">
        <f>Tableau1[[#This Row],[Rue]]&amp;CHAR(10)&amp;Tableau1[[#This Row],[Code Postal]]&amp;" - "&amp;Tableau1[[#This Row],[Ville]]</f>
        <v>Centre Commercial le Grand Val, Boulevard de Tilsit
95290 - L'Isle-Adam</v>
      </c>
      <c r="H139" s="15" t="s">
        <v>993</v>
      </c>
      <c r="I139" s="12" t="s">
        <v>47</v>
      </c>
      <c r="J139" s="12" t="s">
        <v>49</v>
      </c>
      <c r="K139" s="12" t="s">
        <v>103</v>
      </c>
      <c r="L139" s="12" t="s">
        <v>103</v>
      </c>
      <c r="M139" s="36" t="s">
        <v>308</v>
      </c>
      <c r="N139" s="34">
        <v>124</v>
      </c>
      <c r="O139" s="6" t="s">
        <v>1403</v>
      </c>
      <c r="P139" s="34" t="s">
        <v>103</v>
      </c>
      <c r="Q139" s="6" t="s">
        <v>103</v>
      </c>
      <c r="R139" s="12">
        <f>Tableau1[[#This Row],[Loyer €/m²]]*Tableau1[[#This Row],[Surface GLA]]</f>
        <v>62000</v>
      </c>
      <c r="S139" s="12">
        <f>IFERROR(Tableau1[[#This Row],[Loyer annuel]]/12,"")</f>
        <v>5166.666666666667</v>
      </c>
      <c r="T139" s="12">
        <v>500</v>
      </c>
      <c r="U139" s="6" t="s">
        <v>103</v>
      </c>
      <c r="V139" s="6">
        <f>Tableau1[[#This Row],[Charges €/m²]]*Tableau1[[#This Row],[Surface GLA]]</f>
        <v>12772</v>
      </c>
      <c r="W139" s="12">
        <f>Tableau1[[#This Row],[Charges annuelles]]/12</f>
        <v>1064.3333333333333</v>
      </c>
      <c r="X139" s="12">
        <v>103</v>
      </c>
      <c r="Y139" s="12">
        <f>IFERROR(Tableau1[[#This Row],[Taxe foncière €/m²]]*Tableau1[[#This Row],[Surface GLA]],)</f>
        <v>0</v>
      </c>
      <c r="Z139" s="6" t="s">
        <v>103</v>
      </c>
      <c r="AA139" s="12">
        <f>IFERROR(Tableau1[[#This Row],[Marketing €/m²]]*Tableau1[[#This Row],[Surface GLA]],)</f>
        <v>0</v>
      </c>
      <c r="AB139" s="6" t="s">
        <v>103</v>
      </c>
      <c r="AC139" s="12">
        <f>IFERROR(Tableau1[[#This Row],[Loyer annuel]]+Tableau1[[#This Row],[Charges annuelles]]+Tableau1[[#This Row],[Taxe foncière]]+Tableau1[[#This Row],[Marketing]],"")</f>
        <v>74772</v>
      </c>
      <c r="AD139" s="12" t="str">
        <f>"3 mois = "&amp;TEXT(ROUND(3/12*R139,0),"### ### ##0 €")</f>
        <v>3 mois = 15 500 €</v>
      </c>
      <c r="AE139" s="6" t="s">
        <v>103</v>
      </c>
      <c r="AF139" s="6" t="s">
        <v>103</v>
      </c>
      <c r="AG139" s="6" t="s">
        <v>363</v>
      </c>
      <c r="AH139" s="10" t="s">
        <v>53</v>
      </c>
      <c r="AI139" s="10" t="s">
        <v>369</v>
      </c>
      <c r="AJ139" s="10" t="s">
        <v>994</v>
      </c>
      <c r="AK139" s="11" t="s">
        <v>996</v>
      </c>
      <c r="AL139" s="5" t="s">
        <v>368</v>
      </c>
      <c r="AM139" s="11" t="s">
        <v>1407</v>
      </c>
      <c r="AN139" s="11" t="s">
        <v>1408</v>
      </c>
      <c r="AO139" s="11" t="s">
        <v>1401</v>
      </c>
      <c r="AP139" s="36" t="s">
        <v>1405</v>
      </c>
      <c r="AQ139" s="11" t="s">
        <v>75</v>
      </c>
      <c r="AR139" s="11" t="s">
        <v>995</v>
      </c>
      <c r="AS139" s="13" t="s">
        <v>954</v>
      </c>
      <c r="AT139" s="14"/>
      <c r="AU139" s="44"/>
    </row>
    <row r="140" spans="1:47" ht="38.25">
      <c r="A140" s="38" t="str">
        <f>VLOOKUP(Tableau1[[#This Row],[N° Département]],Feuil1!$C$6:$E$106,3)</f>
        <v>Ile-de-France</v>
      </c>
      <c r="B140" s="38" t="str">
        <f>VLOOKUP(Tableau1[[#This Row],[N° Département]],Feuil1!$C$6:$E$106,2)</f>
        <v>Val-D'Oise</v>
      </c>
      <c r="C140" s="38">
        <f>LEFT(Tableau1[[#This Row],[Code Postal]],2)*1</f>
        <v>95</v>
      </c>
      <c r="D140" s="10" t="s">
        <v>998</v>
      </c>
      <c r="E140" s="26">
        <v>95260</v>
      </c>
      <c r="F140" s="10" t="s">
        <v>997</v>
      </c>
      <c r="G140" s="39" t="str">
        <f>Tableau1[[#This Row],[Rue]]&amp;CHAR(10)&amp;Tableau1[[#This Row],[Code Postal]]&amp;" - "&amp;Tableau1[[#This Row],[Ville]]</f>
        <v>Parc d’activités Col’Vert Rue du Kiosque
95260 - Mours</v>
      </c>
      <c r="H140" s="15" t="s">
        <v>1004</v>
      </c>
      <c r="I140" s="12" t="s">
        <v>47</v>
      </c>
      <c r="J140" s="12" t="s">
        <v>50</v>
      </c>
      <c r="K140" s="12" t="s">
        <v>103</v>
      </c>
      <c r="L140" s="12" t="s">
        <v>103</v>
      </c>
      <c r="M140" s="36" t="s">
        <v>335</v>
      </c>
      <c r="N140" s="34">
        <v>620</v>
      </c>
      <c r="O140" s="6" t="s">
        <v>103</v>
      </c>
      <c r="P140" s="34" t="s">
        <v>103</v>
      </c>
      <c r="Q140" s="6" t="s">
        <v>103</v>
      </c>
      <c r="R140" s="12">
        <f>Tableau1[[#This Row],[Loyer €/m²]]*Tableau1[[#This Row],[Surface GLA]]</f>
        <v>124000</v>
      </c>
      <c r="S140" s="12">
        <f>IFERROR(Tableau1[[#This Row],[Loyer annuel]]/12,"")</f>
        <v>10333.333333333334</v>
      </c>
      <c r="T140" s="12">
        <v>200</v>
      </c>
      <c r="U140" s="6" t="s">
        <v>103</v>
      </c>
      <c r="V140" s="6">
        <f>Tableau1[[#This Row],[Charges €/m²]]*Tableau1[[#This Row],[Surface GLA]]</f>
        <v>0</v>
      </c>
      <c r="W140" s="12">
        <f>Tableau1[[#This Row],[Charges annuelles]]/12</f>
        <v>0</v>
      </c>
      <c r="X140" s="12"/>
      <c r="Y140" s="12">
        <f>IFERROR(Tableau1[[#This Row],[Taxe foncière €/m²]]*Tableau1[[#This Row],[Surface GLA]],)</f>
        <v>0</v>
      </c>
      <c r="Z140" s="6" t="s">
        <v>103</v>
      </c>
      <c r="AA140" s="12">
        <f>IFERROR(Tableau1[[#This Row],[Marketing €/m²]]*Tableau1[[#This Row],[Surface GLA]],)</f>
        <v>0</v>
      </c>
      <c r="AB140" s="6" t="s">
        <v>103</v>
      </c>
      <c r="AC140" s="12">
        <f>IFERROR(Tableau1[[#This Row],[Loyer annuel]]+Tableau1[[#This Row],[Charges annuelles]]+Tableau1[[#This Row],[Taxe foncière]]+Tableau1[[#This Row],[Marketing]],"")</f>
        <v>124000</v>
      </c>
      <c r="AD140" s="12" t="str">
        <f>"3 mois = "&amp;TEXT(ROUND(3/12*R140,0),"### ### ##0 €")</f>
        <v>3 mois = 31 000 €</v>
      </c>
      <c r="AE140" s="6" t="s">
        <v>103</v>
      </c>
      <c r="AF140" s="6" t="s">
        <v>103</v>
      </c>
      <c r="AG140" s="12" t="s">
        <v>382</v>
      </c>
      <c r="AH140" s="10" t="s">
        <v>377</v>
      </c>
      <c r="AI140" s="10" t="s">
        <v>370</v>
      </c>
      <c r="AJ140" s="10" t="s">
        <v>1005</v>
      </c>
      <c r="AK140" s="11" t="s">
        <v>1006</v>
      </c>
      <c r="AL140" s="5" t="s">
        <v>368</v>
      </c>
      <c r="AM140" s="11" t="s">
        <v>1007</v>
      </c>
      <c r="AN140" s="11" t="s">
        <v>1008</v>
      </c>
      <c r="AO140" s="11" t="s">
        <v>999</v>
      </c>
      <c r="AP140" s="36" t="s">
        <v>1033</v>
      </c>
      <c r="AQ140" s="11" t="s">
        <v>75</v>
      </c>
      <c r="AR140" s="11" t="s">
        <v>1411</v>
      </c>
      <c r="AS140" s="13" t="s">
        <v>954</v>
      </c>
      <c r="AT140" s="14"/>
      <c r="AU140" s="44"/>
    </row>
    <row r="141" spans="1:47" ht="38.25">
      <c r="A141" s="38" t="str">
        <f>VLOOKUP(Tableau1[[#This Row],[N° Département]],Feuil1!$C$6:$E$106,3)</f>
        <v>Ile-de-France</v>
      </c>
      <c r="B141" s="38" t="str">
        <f>VLOOKUP(Tableau1[[#This Row],[N° Département]],Feuil1!$C$6:$E$106,2)</f>
        <v>Val-D'Oise</v>
      </c>
      <c r="C141" s="38">
        <f>LEFT(Tableau1[[#This Row],[Code Postal]],2)*1</f>
        <v>95</v>
      </c>
      <c r="D141" s="10" t="s">
        <v>998</v>
      </c>
      <c r="E141" s="26">
        <v>95260</v>
      </c>
      <c r="F141" s="10" t="s">
        <v>997</v>
      </c>
      <c r="G141" s="39" t="str">
        <f>Tableau1[[#This Row],[Rue]]&amp;CHAR(10)&amp;Tableau1[[#This Row],[Code Postal]]&amp;" - "&amp;Tableau1[[#This Row],[Ville]]</f>
        <v>Parc d’activités Col’Vert Rue du Kiosque
95260 - Mours</v>
      </c>
      <c r="H141" s="15" t="s">
        <v>1004</v>
      </c>
      <c r="I141" s="12" t="s">
        <v>47</v>
      </c>
      <c r="J141" s="12" t="s">
        <v>50</v>
      </c>
      <c r="K141" s="12" t="s">
        <v>103</v>
      </c>
      <c r="L141" s="12" t="s">
        <v>103</v>
      </c>
      <c r="M141" s="36" t="s">
        <v>336</v>
      </c>
      <c r="N141" s="34">
        <v>620</v>
      </c>
      <c r="O141" s="6" t="s">
        <v>103</v>
      </c>
      <c r="P141" s="34" t="s">
        <v>103</v>
      </c>
      <c r="Q141" s="6" t="s">
        <v>103</v>
      </c>
      <c r="R141" s="12">
        <f>Tableau1[[#This Row],[Loyer €/m²]]*Tableau1[[#This Row],[Surface GLA]]</f>
        <v>124000</v>
      </c>
      <c r="S141" s="12">
        <f>IFERROR(Tableau1[[#This Row],[Loyer annuel]]/12,"")</f>
        <v>10333.333333333334</v>
      </c>
      <c r="T141" s="12">
        <v>200</v>
      </c>
      <c r="U141" s="6" t="s">
        <v>103</v>
      </c>
      <c r="V141" s="6">
        <f>Tableau1[[#This Row],[Charges €/m²]]*Tableau1[[#This Row],[Surface GLA]]</f>
        <v>0</v>
      </c>
      <c r="W141" s="12">
        <f>Tableau1[[#This Row],[Charges annuelles]]/12</f>
        <v>0</v>
      </c>
      <c r="X141" s="12"/>
      <c r="Y141" s="12">
        <f>IFERROR(Tableau1[[#This Row],[Taxe foncière €/m²]]*Tableau1[[#This Row],[Surface GLA]],)</f>
        <v>0</v>
      </c>
      <c r="Z141" s="6" t="s">
        <v>103</v>
      </c>
      <c r="AA141" s="12">
        <f>IFERROR(Tableau1[[#This Row],[Marketing €/m²]]*Tableau1[[#This Row],[Surface GLA]],)</f>
        <v>0</v>
      </c>
      <c r="AB141" s="6" t="s">
        <v>103</v>
      </c>
      <c r="AC141" s="12">
        <f>IFERROR(Tableau1[[#This Row],[Loyer annuel]]+Tableau1[[#This Row],[Charges annuelles]]+Tableau1[[#This Row],[Taxe foncière]]+Tableau1[[#This Row],[Marketing]],"")</f>
        <v>124000</v>
      </c>
      <c r="AD141" s="12" t="str">
        <f>"3 mois = "&amp;TEXT(ROUND(3/12*R141,0),"### ### ##0 €")</f>
        <v>3 mois = 31 000 €</v>
      </c>
      <c r="AE141" s="6" t="s">
        <v>103</v>
      </c>
      <c r="AF141" s="6" t="s">
        <v>103</v>
      </c>
      <c r="AG141" s="12" t="s">
        <v>382</v>
      </c>
      <c r="AH141" s="10" t="s">
        <v>377</v>
      </c>
      <c r="AI141" s="10" t="s">
        <v>370</v>
      </c>
      <c r="AJ141" s="10" t="s">
        <v>1005</v>
      </c>
      <c r="AK141" s="11" t="s">
        <v>1006</v>
      </c>
      <c r="AL141" s="5" t="s">
        <v>368</v>
      </c>
      <c r="AM141" s="11" t="s">
        <v>1009</v>
      </c>
      <c r="AN141" s="11" t="s">
        <v>1010</v>
      </c>
      <c r="AO141" s="11" t="s">
        <v>1000</v>
      </c>
      <c r="AP141" s="36" t="s">
        <v>1033</v>
      </c>
      <c r="AQ141" s="11" t="s">
        <v>75</v>
      </c>
      <c r="AR141" s="11" t="s">
        <v>1411</v>
      </c>
      <c r="AS141" s="13" t="s">
        <v>954</v>
      </c>
      <c r="AT141" s="14"/>
      <c r="AU141" s="44"/>
    </row>
    <row r="142" spans="1:47" ht="38.25">
      <c r="A142" s="38" t="str">
        <f>VLOOKUP(Tableau1[[#This Row],[N° Département]],Feuil1!$C$6:$E$106,3)</f>
        <v>Ile-de-France</v>
      </c>
      <c r="B142" s="38" t="str">
        <f>VLOOKUP(Tableau1[[#This Row],[N° Département]],Feuil1!$C$6:$E$106,2)</f>
        <v>Val-D'Oise</v>
      </c>
      <c r="C142" s="38">
        <f>LEFT(Tableau1[[#This Row],[Code Postal]],2)*1</f>
        <v>95</v>
      </c>
      <c r="D142" s="10" t="s">
        <v>998</v>
      </c>
      <c r="E142" s="26">
        <v>95260</v>
      </c>
      <c r="F142" s="10" t="s">
        <v>997</v>
      </c>
      <c r="G142" s="39" t="str">
        <f>Tableau1[[#This Row],[Rue]]&amp;CHAR(10)&amp;Tableau1[[#This Row],[Code Postal]]&amp;" - "&amp;Tableau1[[#This Row],[Ville]]</f>
        <v>Parc d’activités Col’Vert Rue du Kiosque
95260 - Mours</v>
      </c>
      <c r="H142" s="15" t="s">
        <v>1004</v>
      </c>
      <c r="I142" s="12" t="s">
        <v>47</v>
      </c>
      <c r="J142" s="12" t="s">
        <v>50</v>
      </c>
      <c r="K142" s="12" t="s">
        <v>103</v>
      </c>
      <c r="L142" s="12" t="s">
        <v>103</v>
      </c>
      <c r="M142" s="36" t="s">
        <v>357</v>
      </c>
      <c r="N142" s="34">
        <v>620</v>
      </c>
      <c r="O142" s="6" t="s">
        <v>103</v>
      </c>
      <c r="P142" s="34" t="s">
        <v>103</v>
      </c>
      <c r="Q142" s="6" t="s">
        <v>103</v>
      </c>
      <c r="R142" s="12">
        <f>Tableau1[[#This Row],[Loyer €/m²]]*Tableau1[[#This Row],[Surface GLA]]</f>
        <v>124000</v>
      </c>
      <c r="S142" s="12">
        <f>IFERROR(Tableau1[[#This Row],[Loyer annuel]]/12,"")</f>
        <v>10333.333333333334</v>
      </c>
      <c r="T142" s="12">
        <v>200</v>
      </c>
      <c r="U142" s="6" t="s">
        <v>103</v>
      </c>
      <c r="V142" s="6">
        <f>Tableau1[[#This Row],[Charges €/m²]]*Tableau1[[#This Row],[Surface GLA]]</f>
        <v>0</v>
      </c>
      <c r="W142" s="12">
        <f>Tableau1[[#This Row],[Charges annuelles]]/12</f>
        <v>0</v>
      </c>
      <c r="X142" s="12"/>
      <c r="Y142" s="12">
        <f>IFERROR(Tableau1[[#This Row],[Taxe foncière €/m²]]*Tableau1[[#This Row],[Surface GLA]],)</f>
        <v>0</v>
      </c>
      <c r="Z142" s="6" t="s">
        <v>103</v>
      </c>
      <c r="AA142" s="12">
        <f>IFERROR(Tableau1[[#This Row],[Marketing €/m²]]*Tableau1[[#This Row],[Surface GLA]],)</f>
        <v>0</v>
      </c>
      <c r="AB142" s="6" t="s">
        <v>103</v>
      </c>
      <c r="AC142" s="12">
        <f>IFERROR(Tableau1[[#This Row],[Loyer annuel]]+Tableau1[[#This Row],[Charges annuelles]]+Tableau1[[#This Row],[Taxe foncière]]+Tableau1[[#This Row],[Marketing]],"")</f>
        <v>124000</v>
      </c>
      <c r="AD142" s="12" t="str">
        <f>"3 mois = "&amp;TEXT(ROUND(3/12*R142,0),"### ### ##0 €")</f>
        <v>3 mois = 31 000 €</v>
      </c>
      <c r="AE142" s="6" t="s">
        <v>103</v>
      </c>
      <c r="AF142" s="6" t="s">
        <v>103</v>
      </c>
      <c r="AG142" s="12" t="s">
        <v>382</v>
      </c>
      <c r="AH142" s="10" t="s">
        <v>377</v>
      </c>
      <c r="AI142" s="10" t="s">
        <v>370</v>
      </c>
      <c r="AJ142" s="10" t="s">
        <v>1005</v>
      </c>
      <c r="AK142" s="11" t="s">
        <v>1006</v>
      </c>
      <c r="AL142" s="5" t="s">
        <v>368</v>
      </c>
      <c r="AM142" s="11" t="s">
        <v>1011</v>
      </c>
      <c r="AN142" s="11" t="s">
        <v>1012</v>
      </c>
      <c r="AO142" s="11" t="s">
        <v>1001</v>
      </c>
      <c r="AP142" s="36" t="s">
        <v>1033</v>
      </c>
      <c r="AQ142" s="11" t="s">
        <v>75</v>
      </c>
      <c r="AR142" s="11" t="s">
        <v>1411</v>
      </c>
      <c r="AS142" s="13" t="s">
        <v>954</v>
      </c>
      <c r="AT142" s="14"/>
      <c r="AU142" s="44"/>
    </row>
    <row r="143" spans="1:47" ht="38.25">
      <c r="A143" s="38" t="str">
        <f>VLOOKUP(Tableau1[[#This Row],[N° Département]],Feuil1!$C$6:$E$106,3)</f>
        <v>Ile-de-France</v>
      </c>
      <c r="B143" s="38" t="str">
        <f>VLOOKUP(Tableau1[[#This Row],[N° Département]],Feuil1!$C$6:$E$106,2)</f>
        <v>Val-D'Oise</v>
      </c>
      <c r="C143" s="38">
        <f>LEFT(Tableau1[[#This Row],[Code Postal]],2)*1</f>
        <v>95</v>
      </c>
      <c r="D143" s="10" t="s">
        <v>998</v>
      </c>
      <c r="E143" s="26">
        <v>95260</v>
      </c>
      <c r="F143" s="10" t="s">
        <v>997</v>
      </c>
      <c r="G143" s="39" t="str">
        <f>Tableau1[[#This Row],[Rue]]&amp;CHAR(10)&amp;Tableau1[[#This Row],[Code Postal]]&amp;" - "&amp;Tableau1[[#This Row],[Ville]]</f>
        <v>Parc d’activités Col’Vert Rue du Kiosque
95260 - Mours</v>
      </c>
      <c r="H143" s="15" t="s">
        <v>1004</v>
      </c>
      <c r="I143" s="12" t="s">
        <v>47</v>
      </c>
      <c r="J143" s="12" t="s">
        <v>50</v>
      </c>
      <c r="K143" s="12" t="s">
        <v>103</v>
      </c>
      <c r="L143" s="12" t="s">
        <v>103</v>
      </c>
      <c r="M143" s="36" t="s">
        <v>358</v>
      </c>
      <c r="N143" s="34">
        <v>628</v>
      </c>
      <c r="O143" s="6" t="s">
        <v>103</v>
      </c>
      <c r="P143" s="34" t="s">
        <v>103</v>
      </c>
      <c r="Q143" s="6" t="s">
        <v>103</v>
      </c>
      <c r="R143" s="12">
        <f>Tableau1[[#This Row],[Loyer €/m²]]*Tableau1[[#This Row],[Surface GLA]]</f>
        <v>125600</v>
      </c>
      <c r="S143" s="12">
        <f>IFERROR(Tableau1[[#This Row],[Loyer annuel]]/12,"")</f>
        <v>10466.666666666666</v>
      </c>
      <c r="T143" s="12">
        <v>200</v>
      </c>
      <c r="U143" s="6" t="s">
        <v>103</v>
      </c>
      <c r="V143" s="6">
        <f>Tableau1[[#This Row],[Charges €/m²]]*Tableau1[[#This Row],[Surface GLA]]</f>
        <v>0</v>
      </c>
      <c r="W143" s="12">
        <f>Tableau1[[#This Row],[Charges annuelles]]/12</f>
        <v>0</v>
      </c>
      <c r="X143" s="12"/>
      <c r="Y143" s="12">
        <f>IFERROR(Tableau1[[#This Row],[Taxe foncière €/m²]]*Tableau1[[#This Row],[Surface GLA]],)</f>
        <v>0</v>
      </c>
      <c r="Z143" s="6" t="s">
        <v>103</v>
      </c>
      <c r="AA143" s="12">
        <f>IFERROR(Tableau1[[#This Row],[Marketing €/m²]]*Tableau1[[#This Row],[Surface GLA]],)</f>
        <v>0</v>
      </c>
      <c r="AB143" s="6" t="s">
        <v>103</v>
      </c>
      <c r="AC143" s="12">
        <f>IFERROR(Tableau1[[#This Row],[Loyer annuel]]+Tableau1[[#This Row],[Charges annuelles]]+Tableau1[[#This Row],[Taxe foncière]]+Tableau1[[#This Row],[Marketing]],"")</f>
        <v>125600</v>
      </c>
      <c r="AD143" s="12" t="str">
        <f>"3 mois = "&amp;TEXT(ROUND(3/12*R143,0),"### ### ##0 €")</f>
        <v>3 mois = 31 400 €</v>
      </c>
      <c r="AE143" s="6" t="s">
        <v>103</v>
      </c>
      <c r="AF143" s="6" t="s">
        <v>103</v>
      </c>
      <c r="AG143" s="12" t="s">
        <v>382</v>
      </c>
      <c r="AH143" s="10" t="s">
        <v>377</v>
      </c>
      <c r="AI143" s="10" t="s">
        <v>370</v>
      </c>
      <c r="AJ143" s="10" t="s">
        <v>1005</v>
      </c>
      <c r="AK143" s="11" t="s">
        <v>1006</v>
      </c>
      <c r="AL143" s="5" t="s">
        <v>368</v>
      </c>
      <c r="AM143" s="11" t="s">
        <v>1013</v>
      </c>
      <c r="AN143" s="11" t="s">
        <v>1014</v>
      </c>
      <c r="AO143" s="11" t="s">
        <v>1002</v>
      </c>
      <c r="AP143" s="36" t="s">
        <v>1033</v>
      </c>
      <c r="AQ143" s="11" t="s">
        <v>75</v>
      </c>
      <c r="AR143" s="11" t="s">
        <v>1413</v>
      </c>
      <c r="AS143" s="13" t="s">
        <v>954</v>
      </c>
      <c r="AT143" s="14"/>
      <c r="AU143" s="44"/>
    </row>
    <row r="144" spans="1:47" ht="38.25">
      <c r="A144" s="38" t="str">
        <f>VLOOKUP(Tableau1[[#This Row],[N° Département]],Feuil1!$C$6:$E$106,3)</f>
        <v>Ile-de-France</v>
      </c>
      <c r="B144" s="38" t="str">
        <f>VLOOKUP(Tableau1[[#This Row],[N° Département]],Feuil1!$C$6:$E$106,2)</f>
        <v>Val-D'Oise</v>
      </c>
      <c r="C144" s="38">
        <f>LEFT(Tableau1[[#This Row],[Code Postal]],2)*1</f>
        <v>95</v>
      </c>
      <c r="D144" s="10" t="s">
        <v>998</v>
      </c>
      <c r="E144" s="26">
        <v>95260</v>
      </c>
      <c r="F144" s="10" t="s">
        <v>997</v>
      </c>
      <c r="G144" s="39" t="str">
        <f>Tableau1[[#This Row],[Rue]]&amp;CHAR(10)&amp;Tableau1[[#This Row],[Code Postal]]&amp;" - "&amp;Tableau1[[#This Row],[Ville]]</f>
        <v>Parc d’activités Col’Vert Rue du Kiosque
95260 - Mours</v>
      </c>
      <c r="H144" s="15" t="s">
        <v>1004</v>
      </c>
      <c r="I144" s="12" t="s">
        <v>47</v>
      </c>
      <c r="J144" s="12" t="s">
        <v>50</v>
      </c>
      <c r="K144" s="12" t="s">
        <v>103</v>
      </c>
      <c r="L144" s="12" t="s">
        <v>1190</v>
      </c>
      <c r="M144" s="36" t="s">
        <v>359</v>
      </c>
      <c r="N144" s="34">
        <v>4272</v>
      </c>
      <c r="O144" s="6" t="s">
        <v>103</v>
      </c>
      <c r="P144" s="34" t="s">
        <v>103</v>
      </c>
      <c r="Q144" s="6" t="s">
        <v>103</v>
      </c>
      <c r="R144" s="12">
        <f>Tableau1[[#This Row],[Loyer €/m²]]*Tableau1[[#This Row],[Surface GLA]]</f>
        <v>0</v>
      </c>
      <c r="S144" s="12">
        <f>IFERROR(Tableau1[[#This Row],[Loyer annuel]]/12,"")</f>
        <v>0</v>
      </c>
      <c r="T144" s="12"/>
      <c r="U144" s="6" t="s">
        <v>103</v>
      </c>
      <c r="V144" s="6">
        <f>Tableau1[[#This Row],[Charges €/m²]]*Tableau1[[#This Row],[Surface GLA]]</f>
        <v>0</v>
      </c>
      <c r="W144" s="12">
        <f>Tableau1[[#This Row],[Charges annuelles]]/12</f>
        <v>0</v>
      </c>
      <c r="X144" s="12"/>
      <c r="Y144" s="12">
        <f>IFERROR(Tableau1[[#This Row],[Taxe foncière €/m²]]*Tableau1[[#This Row],[Surface GLA]],)</f>
        <v>0</v>
      </c>
      <c r="Z144" s="6" t="s">
        <v>103</v>
      </c>
      <c r="AA144" s="12">
        <f>IFERROR(Tableau1[[#This Row],[Marketing €/m²]]*Tableau1[[#This Row],[Surface GLA]],)</f>
        <v>0</v>
      </c>
      <c r="AB144" s="6" t="s">
        <v>103</v>
      </c>
      <c r="AC144" s="12">
        <f>IFERROR(Tableau1[[#This Row],[Loyer annuel]]+Tableau1[[#This Row],[Charges annuelles]]+Tableau1[[#This Row],[Taxe foncière]]+Tableau1[[#This Row],[Marketing]],"")</f>
        <v>0</v>
      </c>
      <c r="AD144" s="12"/>
      <c r="AE144" s="6" t="s">
        <v>103</v>
      </c>
      <c r="AF144" s="6" t="s">
        <v>103</v>
      </c>
      <c r="AG144" s="12" t="s">
        <v>382</v>
      </c>
      <c r="AH144" s="10" t="s">
        <v>377</v>
      </c>
      <c r="AI144" s="10" t="s">
        <v>370</v>
      </c>
      <c r="AJ144" s="10" t="s">
        <v>1005</v>
      </c>
      <c r="AK144" s="11" t="s">
        <v>1406</v>
      </c>
      <c r="AL144" s="5" t="s">
        <v>368</v>
      </c>
      <c r="AM144" s="11" t="s">
        <v>1015</v>
      </c>
      <c r="AN144" s="11" t="s">
        <v>1016</v>
      </c>
      <c r="AO144" s="11" t="s">
        <v>1003</v>
      </c>
      <c r="AP144" s="36" t="s">
        <v>1034</v>
      </c>
      <c r="AQ144" s="11" t="s">
        <v>75</v>
      </c>
      <c r="AR144" s="11" t="s">
        <v>1412</v>
      </c>
      <c r="AS144" s="13" t="s">
        <v>954</v>
      </c>
      <c r="AT144" s="14"/>
      <c r="AU144" s="44"/>
    </row>
    <row r="145" spans="1:47" ht="51">
      <c r="A145" s="38" t="str">
        <f>VLOOKUP(Tableau1[[#This Row],[N° Département]],Feuil1!$C$6:$E$106,3)</f>
        <v>Pays de la Loire</v>
      </c>
      <c r="B145" s="38" t="str">
        <f>VLOOKUP(Tableau1[[#This Row],[N° Département]],Feuil1!$C$6:$E$106,2)</f>
        <v>Loire-Atlantique</v>
      </c>
      <c r="C145" s="38">
        <f>LEFT(Tableau1[[#This Row],[Code Postal]],2)*1</f>
        <v>44</v>
      </c>
      <c r="D145" s="10" t="s">
        <v>1020</v>
      </c>
      <c r="E145" s="26">
        <v>44200</v>
      </c>
      <c r="F145" s="10" t="s">
        <v>1021</v>
      </c>
      <c r="G145" s="39" t="str">
        <f>Tableau1[[#This Row],[Rue]]&amp;CHAR(10)&amp;Tableau1[[#This Row],[Code Postal]]&amp;" - "&amp;Tableau1[[#This Row],[Ville]]</f>
        <v>15 Boulevard Léon Bureau
44200 - Nantes</v>
      </c>
      <c r="H145" s="15" t="s">
        <v>1019</v>
      </c>
      <c r="I145" s="12" t="s">
        <v>45</v>
      </c>
      <c r="J145" s="12" t="s">
        <v>44</v>
      </c>
      <c r="K145" s="12" t="s">
        <v>103</v>
      </c>
      <c r="L145" s="12" t="s">
        <v>103</v>
      </c>
      <c r="M145" s="36" t="s">
        <v>335</v>
      </c>
      <c r="N145" s="34">
        <v>285</v>
      </c>
      <c r="O145" s="6" t="s">
        <v>103</v>
      </c>
      <c r="P145" s="34" t="s">
        <v>103</v>
      </c>
      <c r="Q145" s="6" t="s">
        <v>103</v>
      </c>
      <c r="R145" s="12">
        <f>Tableau1[[#This Row],[Loyer €/m²]]*Tableau1[[#This Row],[Surface GLA]]</f>
        <v>128250</v>
      </c>
      <c r="S145" s="12">
        <f>IFERROR(Tableau1[[#This Row],[Loyer annuel]]/12,"")</f>
        <v>10687.5</v>
      </c>
      <c r="T145" s="12">
        <v>450</v>
      </c>
      <c r="U145" s="6" t="s">
        <v>103</v>
      </c>
      <c r="V145" s="6">
        <f>Tableau1[[#This Row],[Charges €/m²]]*Tableau1[[#This Row],[Surface GLA]]</f>
        <v>8550</v>
      </c>
      <c r="W145" s="12">
        <f>Tableau1[[#This Row],[Charges annuelles]]/12</f>
        <v>712.5</v>
      </c>
      <c r="X145" s="12">
        <v>30</v>
      </c>
      <c r="Y145" s="12">
        <f>IFERROR(Tableau1[[#This Row],[Taxe foncière €/m²]]*Tableau1[[#This Row],[Surface GLA]],)</f>
        <v>0</v>
      </c>
      <c r="Z145" s="6" t="s">
        <v>103</v>
      </c>
      <c r="AA145" s="12">
        <f>IFERROR(Tableau1[[#This Row],[Marketing €/m²]]*Tableau1[[#This Row],[Surface GLA]],)</f>
        <v>0</v>
      </c>
      <c r="AB145" s="6" t="s">
        <v>103</v>
      </c>
      <c r="AC145" s="12">
        <f>IFERROR(Tableau1[[#This Row],[Loyer annuel]]+Tableau1[[#This Row],[Charges annuelles]]+Tableau1[[#This Row],[Taxe foncière]]+Tableau1[[#This Row],[Marketing]],"")</f>
        <v>136800</v>
      </c>
      <c r="AD145" s="12" t="str">
        <f t="shared" ref="AD145:AD146" si="5">"3 mois = "&amp;TEXT(ROUND(3/12*R145,0),"### ### ##0 €")</f>
        <v>3 mois = 32 063 €</v>
      </c>
      <c r="AE145" s="6" t="s">
        <v>103</v>
      </c>
      <c r="AF145" s="6" t="s">
        <v>103</v>
      </c>
      <c r="AG145" s="12" t="s">
        <v>382</v>
      </c>
      <c r="AH145" s="10" t="s">
        <v>75</v>
      </c>
      <c r="AI145" s="10" t="s">
        <v>370</v>
      </c>
      <c r="AJ145" s="10" t="s">
        <v>1028</v>
      </c>
      <c r="AK145" s="11" t="s">
        <v>1185</v>
      </c>
      <c r="AL145" s="5" t="s">
        <v>368</v>
      </c>
      <c r="AM145" s="11" t="s">
        <v>1024</v>
      </c>
      <c r="AN145" s="11" t="s">
        <v>1025</v>
      </c>
      <c r="AO145" s="11" t="s">
        <v>1017</v>
      </c>
      <c r="AP145" s="36" t="s">
        <v>1032</v>
      </c>
      <c r="AQ145" s="11" t="s">
        <v>75</v>
      </c>
      <c r="AR145" s="11" t="s">
        <v>1022</v>
      </c>
      <c r="AS145" s="13" t="s">
        <v>37</v>
      </c>
      <c r="AT145" s="14"/>
      <c r="AU145" s="44"/>
    </row>
    <row r="146" spans="1:47" ht="38.25">
      <c r="A146" s="38" t="str">
        <f>VLOOKUP(Tableau1[[#This Row],[N° Département]],Feuil1!$C$6:$E$106,3)</f>
        <v>Pays de la Loire</v>
      </c>
      <c r="B146" s="38" t="str">
        <f>VLOOKUP(Tableau1[[#This Row],[N° Département]],Feuil1!$C$6:$E$106,2)</f>
        <v>Loire-Atlantique</v>
      </c>
      <c r="C146" s="38">
        <f>LEFT(Tableau1[[#This Row],[Code Postal]],2)*1</f>
        <v>44</v>
      </c>
      <c r="D146" s="10" t="s">
        <v>1020</v>
      </c>
      <c r="E146" s="26">
        <v>44200</v>
      </c>
      <c r="F146" s="10" t="s">
        <v>1021</v>
      </c>
      <c r="G146" s="39" t="str">
        <f>Tableau1[[#This Row],[Rue]]&amp;CHAR(10)&amp;Tableau1[[#This Row],[Code Postal]]&amp;" - "&amp;Tableau1[[#This Row],[Ville]]</f>
        <v>15 Boulevard Léon Bureau
44200 - Nantes</v>
      </c>
      <c r="H146" s="15" t="s">
        <v>1019</v>
      </c>
      <c r="I146" s="12" t="s">
        <v>45</v>
      </c>
      <c r="J146" s="12" t="s">
        <v>44</v>
      </c>
      <c r="K146" s="12" t="s">
        <v>103</v>
      </c>
      <c r="L146" s="12" t="s">
        <v>103</v>
      </c>
      <c r="M146" s="36" t="s">
        <v>336</v>
      </c>
      <c r="N146" s="34">
        <v>224</v>
      </c>
      <c r="O146" s="6" t="s">
        <v>103</v>
      </c>
      <c r="P146" s="34" t="s">
        <v>103</v>
      </c>
      <c r="Q146" s="6" t="s">
        <v>103</v>
      </c>
      <c r="R146" s="12">
        <f>Tableau1[[#This Row],[Loyer €/m²]]*Tableau1[[#This Row],[Surface GLA]]</f>
        <v>78400</v>
      </c>
      <c r="S146" s="12">
        <f>IFERROR(Tableau1[[#This Row],[Loyer annuel]]/12,"")</f>
        <v>6533.333333333333</v>
      </c>
      <c r="T146" s="12">
        <v>350</v>
      </c>
      <c r="U146" s="6" t="s">
        <v>103</v>
      </c>
      <c r="V146" s="6">
        <f>Tableau1[[#This Row],[Charges €/m²]]*Tableau1[[#This Row],[Surface GLA]]</f>
        <v>6720</v>
      </c>
      <c r="W146" s="12">
        <f>Tableau1[[#This Row],[Charges annuelles]]/12</f>
        <v>560</v>
      </c>
      <c r="X146" s="12">
        <v>30</v>
      </c>
      <c r="Y146" s="12">
        <f>IFERROR(Tableau1[[#This Row],[Taxe foncière €/m²]]*Tableau1[[#This Row],[Surface GLA]],)</f>
        <v>0</v>
      </c>
      <c r="Z146" s="6" t="s">
        <v>103</v>
      </c>
      <c r="AA146" s="12">
        <f>IFERROR(Tableau1[[#This Row],[Marketing €/m²]]*Tableau1[[#This Row],[Surface GLA]],)</f>
        <v>0</v>
      </c>
      <c r="AB146" s="6" t="s">
        <v>103</v>
      </c>
      <c r="AC146" s="12">
        <f>IFERROR(Tableau1[[#This Row],[Loyer annuel]]+Tableau1[[#This Row],[Charges annuelles]]+Tableau1[[#This Row],[Taxe foncière]]+Tableau1[[#This Row],[Marketing]],"")</f>
        <v>85120</v>
      </c>
      <c r="AD146" s="12" t="str">
        <f t="shared" si="5"/>
        <v>3 mois = 19 600 €</v>
      </c>
      <c r="AE146" s="6" t="s">
        <v>103</v>
      </c>
      <c r="AF146" s="6" t="s">
        <v>103</v>
      </c>
      <c r="AG146" s="12" t="s">
        <v>382</v>
      </c>
      <c r="AH146" s="10" t="s">
        <v>53</v>
      </c>
      <c r="AI146" s="10" t="s">
        <v>369</v>
      </c>
      <c r="AJ146" s="10" t="s">
        <v>1028</v>
      </c>
      <c r="AK146" s="11" t="s">
        <v>1186</v>
      </c>
      <c r="AL146" s="5" t="s">
        <v>368</v>
      </c>
      <c r="AM146" s="11" t="s">
        <v>1026</v>
      </c>
      <c r="AN146" s="11" t="s">
        <v>1027</v>
      </c>
      <c r="AO146" s="11" t="s">
        <v>1018</v>
      </c>
      <c r="AP146" s="36" t="s">
        <v>1029</v>
      </c>
      <c r="AQ146" s="11" t="s">
        <v>75</v>
      </c>
      <c r="AR146" s="11" t="s">
        <v>1023</v>
      </c>
      <c r="AS146" s="13" t="s">
        <v>37</v>
      </c>
      <c r="AT146" s="14"/>
      <c r="AU146" s="44"/>
    </row>
    <row r="147" spans="1:47" ht="25.5">
      <c r="A147" s="38" t="str">
        <f>VLOOKUP(Tableau1[[#This Row],[N° Département]],Feuil1!$C$6:$E$106,3)</f>
        <v>Grand Est</v>
      </c>
      <c r="B147" s="38" t="str">
        <f>VLOOKUP(Tableau1[[#This Row],[N° Département]],Feuil1!$C$6:$E$106,2)</f>
        <v>Haut-Rhin</v>
      </c>
      <c r="C147" s="38">
        <f>LEFT(Tableau1[[#This Row],[Code Postal]],2)*1</f>
        <v>68</v>
      </c>
      <c r="D147" s="42" t="s">
        <v>1035</v>
      </c>
      <c r="E147" s="26">
        <v>68330</v>
      </c>
      <c r="F147" s="10" t="s">
        <v>900</v>
      </c>
      <c r="G147" s="39" t="str">
        <f>Tableau1[[#This Row],[Rue]]&amp;CHAR(10)&amp;Tableau1[[#This Row],[Code Postal]]&amp;" - "&amp;Tableau1[[#This Row],[Ville]]</f>
        <v>5 avenue d'Alsace
68330 - Huningue</v>
      </c>
      <c r="H147" s="15" t="s">
        <v>1037</v>
      </c>
      <c r="I147" s="12" t="s">
        <v>45</v>
      </c>
      <c r="J147" s="12" t="s">
        <v>50</v>
      </c>
      <c r="K147" s="12" t="s">
        <v>103</v>
      </c>
      <c r="L147" s="12" t="s">
        <v>103</v>
      </c>
      <c r="M147" s="36" t="s">
        <v>1036</v>
      </c>
      <c r="N147" s="34">
        <v>287</v>
      </c>
      <c r="O147" s="6" t="s">
        <v>103</v>
      </c>
      <c r="P147" s="34" t="s">
        <v>103</v>
      </c>
      <c r="Q147" s="6" t="s">
        <v>103</v>
      </c>
      <c r="R147" s="12">
        <f>Tableau1[[#This Row],[Loyer €/m²]]*Tableau1[[#This Row],[Surface GLA]]</f>
        <v>0</v>
      </c>
      <c r="S147" s="12">
        <f>IFERROR(Tableau1[[#This Row],[Loyer annuel]]/12,"")</f>
        <v>0</v>
      </c>
      <c r="T147" s="12"/>
      <c r="U147" s="6" t="s">
        <v>103</v>
      </c>
      <c r="V147" s="6">
        <f>Tableau1[[#This Row],[Charges €/m²]]*Tableau1[[#This Row],[Surface GLA]]</f>
        <v>0</v>
      </c>
      <c r="W147" s="12">
        <f>Tableau1[[#This Row],[Charges annuelles]]/12</f>
        <v>0</v>
      </c>
      <c r="X147" s="12"/>
      <c r="Y147" s="12">
        <f>IFERROR(Tableau1[[#This Row],[Taxe foncière €/m²]]*Tableau1[[#This Row],[Surface GLA]],)</f>
        <v>0</v>
      </c>
      <c r="Z147" s="6" t="s">
        <v>103</v>
      </c>
      <c r="AA147" s="12">
        <f>IFERROR(Tableau1[[#This Row],[Marketing €/m²]]*Tableau1[[#This Row],[Surface GLA]],)</f>
        <v>0</v>
      </c>
      <c r="AB147" s="6" t="s">
        <v>103</v>
      </c>
      <c r="AC147" s="12">
        <f>IFERROR(Tableau1[[#This Row],[Loyer annuel]]+Tableau1[[#This Row],[Charges annuelles]]+Tableau1[[#This Row],[Taxe foncière]]+Tableau1[[#This Row],[Marketing]],"")</f>
        <v>0</v>
      </c>
      <c r="AD147" s="12"/>
      <c r="AE147" s="6" t="s">
        <v>103</v>
      </c>
      <c r="AF147" s="6" t="s">
        <v>103</v>
      </c>
      <c r="AG147" s="12"/>
      <c r="AH147" s="10"/>
      <c r="AI147" s="10"/>
      <c r="AJ147" s="10"/>
      <c r="AK147" s="11" t="s">
        <v>1049</v>
      </c>
      <c r="AL147" s="5" t="s">
        <v>368</v>
      </c>
      <c r="AM147" s="11" t="s">
        <v>1038</v>
      </c>
      <c r="AN147" s="11" t="s">
        <v>1039</v>
      </c>
      <c r="AO147" s="11">
        <v>33</v>
      </c>
      <c r="AP147" s="36" t="s">
        <v>1050</v>
      </c>
      <c r="AQ147" s="11" t="s">
        <v>75</v>
      </c>
      <c r="AR147" s="11"/>
      <c r="AS147" s="13" t="s">
        <v>1046</v>
      </c>
      <c r="AT147" s="14"/>
      <c r="AU147" s="44"/>
    </row>
    <row r="148" spans="1:47" ht="38.25">
      <c r="A148" s="38" t="str">
        <f>VLOOKUP(Tableau1[[#This Row],[N° Département]],Feuil1!$C$6:$E$106,3)</f>
        <v>Centre-Val de Loire</v>
      </c>
      <c r="B148" s="38" t="str">
        <f>VLOOKUP(Tableau1[[#This Row],[N° Département]],Feuil1!$C$6:$E$106,2)</f>
        <v>Indre-et-Loire</v>
      </c>
      <c r="C148" s="38">
        <f>LEFT(Tableau1[[#This Row],[Code Postal]],2)*1</f>
        <v>37</v>
      </c>
      <c r="D148" s="10" t="s">
        <v>1041</v>
      </c>
      <c r="E148" s="26">
        <v>37600</v>
      </c>
      <c r="F148" s="10" t="s">
        <v>901</v>
      </c>
      <c r="G148" s="39" t="str">
        <f>Tableau1[[#This Row],[Rue]]&amp;CHAR(10)&amp;Tableau1[[#This Row],[Code Postal]]&amp;" - "&amp;Tableau1[[#This Row],[Ville]]</f>
        <v>Super U 38 Route de Vauzelles, Rue du Bon Raisin
37600 - Loches</v>
      </c>
      <c r="H148" s="15" t="s">
        <v>1040</v>
      </c>
      <c r="I148" s="12" t="s">
        <v>47</v>
      </c>
      <c r="J148" s="12" t="s">
        <v>51</v>
      </c>
      <c r="K148" s="12" t="s">
        <v>103</v>
      </c>
      <c r="L148" s="12">
        <v>25000</v>
      </c>
      <c r="M148" s="36" t="s">
        <v>335</v>
      </c>
      <c r="N148" s="34">
        <v>73</v>
      </c>
      <c r="O148" s="6" t="s">
        <v>103</v>
      </c>
      <c r="P148" s="34" t="s">
        <v>103</v>
      </c>
      <c r="Q148" s="6" t="s">
        <v>103</v>
      </c>
      <c r="R148" s="12">
        <f>Tableau1[[#This Row],[Loyer €/m²]]*Tableau1[[#This Row],[Surface GLA]]</f>
        <v>25550</v>
      </c>
      <c r="S148" s="12">
        <f>IFERROR(Tableau1[[#This Row],[Loyer annuel]]/12,"")</f>
        <v>2129.1666666666665</v>
      </c>
      <c r="T148" s="12">
        <v>350</v>
      </c>
      <c r="U148" s="6" t="s">
        <v>103</v>
      </c>
      <c r="V148" s="6">
        <f>Tableau1[[#This Row],[Charges €/m²]]*Tableau1[[#This Row],[Surface GLA]]</f>
        <v>0</v>
      </c>
      <c r="W148" s="12">
        <f>Tableau1[[#This Row],[Charges annuelles]]/12</f>
        <v>0</v>
      </c>
      <c r="X148" s="12"/>
      <c r="Y148" s="12">
        <f>IFERROR(Tableau1[[#This Row],[Taxe foncière €/m²]]*Tableau1[[#This Row],[Surface GLA]],)</f>
        <v>0</v>
      </c>
      <c r="Z148" s="6" t="s">
        <v>103</v>
      </c>
      <c r="AA148" s="12">
        <f>IFERROR(Tableau1[[#This Row],[Marketing €/m²]]*Tableau1[[#This Row],[Surface GLA]],)</f>
        <v>0</v>
      </c>
      <c r="AB148" s="6" t="s">
        <v>103</v>
      </c>
      <c r="AC148" s="12">
        <f>IFERROR(Tableau1[[#This Row],[Loyer annuel]]+Tableau1[[#This Row],[Charges annuelles]]+Tableau1[[#This Row],[Taxe foncière]]+Tableau1[[#This Row],[Marketing]],"")</f>
        <v>25550</v>
      </c>
      <c r="AD148" s="12" t="str">
        <f>"3 mois = "&amp;TEXT(ROUND(3/12*R148,0),"### ### ##0 €")</f>
        <v>3 mois = 6 388 €</v>
      </c>
      <c r="AE148" s="6" t="s">
        <v>103</v>
      </c>
      <c r="AF148" s="6" t="s">
        <v>103</v>
      </c>
      <c r="AG148" s="12" t="s">
        <v>363</v>
      </c>
      <c r="AH148" s="10" t="s">
        <v>53</v>
      </c>
      <c r="AI148" s="10" t="s">
        <v>103</v>
      </c>
      <c r="AJ148" s="10" t="s">
        <v>1042</v>
      </c>
      <c r="AK148" s="11" t="s">
        <v>1048</v>
      </c>
      <c r="AL148" s="5" t="s">
        <v>368</v>
      </c>
      <c r="AM148" s="11" t="s">
        <v>1043</v>
      </c>
      <c r="AN148" s="11" t="s">
        <v>1044</v>
      </c>
      <c r="AO148" s="11">
        <v>34</v>
      </c>
      <c r="AP148" s="36" t="s">
        <v>1051</v>
      </c>
      <c r="AQ148" s="11" t="s">
        <v>75</v>
      </c>
      <c r="AR148" s="43" t="s">
        <v>1047</v>
      </c>
      <c r="AS148" s="13" t="s">
        <v>1045</v>
      </c>
      <c r="AT148" s="14"/>
      <c r="AU148" s="44">
        <v>45999</v>
      </c>
    </row>
    <row r="149" spans="1:47" ht="38.25">
      <c r="A149" s="38" t="str">
        <f>VLOOKUP(Tableau1[[#This Row],[N° Département]],Feuil1!$C$6:$E$106,3)</f>
        <v>Centre-Val de Loire</v>
      </c>
      <c r="B149" s="38" t="str">
        <f>VLOOKUP(Tableau1[[#This Row],[N° Département]],Feuil1!$C$6:$E$106,2)</f>
        <v>Indre-et-Loire</v>
      </c>
      <c r="C149" s="38">
        <f>LEFT(Tableau1[[#This Row],[Code Postal]],2)*1</f>
        <v>37</v>
      </c>
      <c r="D149" s="10" t="s">
        <v>1041</v>
      </c>
      <c r="E149" s="26">
        <v>37600</v>
      </c>
      <c r="F149" s="10" t="s">
        <v>901</v>
      </c>
      <c r="G149" s="39" t="str">
        <f>Tableau1[[#This Row],[Rue]]&amp;CHAR(10)&amp;Tableau1[[#This Row],[Code Postal]]&amp;" - "&amp;Tableau1[[#This Row],[Ville]]</f>
        <v>Super U 38 Route de Vauzelles, Rue du Bon Raisin
37600 - Loches</v>
      </c>
      <c r="H149" s="15" t="s">
        <v>1052</v>
      </c>
      <c r="I149" s="12" t="s">
        <v>47</v>
      </c>
      <c r="J149" s="12" t="s">
        <v>50</v>
      </c>
      <c r="K149" s="12" t="s">
        <v>103</v>
      </c>
      <c r="L149" s="12">
        <f>100*Tableau1[[#This Row],[Surface GLA]]</f>
        <v>20000</v>
      </c>
      <c r="M149" s="36" t="s">
        <v>335</v>
      </c>
      <c r="N149" s="34">
        <v>200</v>
      </c>
      <c r="O149" s="6" t="s">
        <v>103</v>
      </c>
      <c r="P149" s="34" t="s">
        <v>103</v>
      </c>
      <c r="Q149" s="6" t="s">
        <v>103</v>
      </c>
      <c r="R149" s="12">
        <f>Tableau1[[#This Row],[Loyer €/m²]]*Tableau1[[#This Row],[Surface GLA]]</f>
        <v>40000</v>
      </c>
      <c r="S149" s="12">
        <f>IFERROR(Tableau1[[#This Row],[Loyer annuel]]/12,"")</f>
        <v>3333.3333333333335</v>
      </c>
      <c r="T149" s="12">
        <v>200</v>
      </c>
      <c r="U149" s="6" t="s">
        <v>103</v>
      </c>
      <c r="V149" s="6">
        <f>Tableau1[[#This Row],[Charges €/m²]]*Tableau1[[#This Row],[Surface GLA]]</f>
        <v>10000</v>
      </c>
      <c r="W149" s="12">
        <f>Tableau1[[#This Row],[Charges annuelles]]/12</f>
        <v>833.33333333333337</v>
      </c>
      <c r="X149" s="12">
        <v>50</v>
      </c>
      <c r="Y149" s="12">
        <f>IFERROR(Tableau1[[#This Row],[Taxe foncière €/m²]]*Tableau1[[#This Row],[Surface GLA]],)</f>
        <v>6000</v>
      </c>
      <c r="Z149" s="6">
        <v>30</v>
      </c>
      <c r="AA149" s="12">
        <f>IFERROR(Tableau1[[#This Row],[Marketing €/m²]]*Tableau1[[#This Row],[Surface GLA]],)</f>
        <v>0</v>
      </c>
      <c r="AB149" s="6" t="s">
        <v>103</v>
      </c>
      <c r="AC149" s="12">
        <f>IFERROR(Tableau1[[#This Row],[Loyer annuel]]+Tableau1[[#This Row],[Charges annuelles]]+Tableau1[[#This Row],[Taxe foncière]]+Tableau1[[#This Row],[Marketing]],"")</f>
        <v>56000</v>
      </c>
      <c r="AD149" s="12" t="str">
        <f t="shared" ref="AD149:AD189" si="6">"3 mois = "&amp;TEXT(ROUND(3/12*R149,0),"### ### ##0 €")</f>
        <v>3 mois = 10 000 €</v>
      </c>
      <c r="AE149" s="6" t="s">
        <v>103</v>
      </c>
      <c r="AF149" s="6" t="s">
        <v>103</v>
      </c>
      <c r="AG149" s="12" t="s">
        <v>382</v>
      </c>
      <c r="AH149" s="10" t="s">
        <v>53</v>
      </c>
      <c r="AI149" s="10" t="s">
        <v>103</v>
      </c>
      <c r="AJ149" s="10" t="s">
        <v>1056</v>
      </c>
      <c r="AK149" s="11" t="s">
        <v>1053</v>
      </c>
      <c r="AL149" s="5" t="s">
        <v>368</v>
      </c>
      <c r="AM149" s="11" t="s">
        <v>1061</v>
      </c>
      <c r="AN149" s="11" t="s">
        <v>1062</v>
      </c>
      <c r="AO149" s="11" t="s">
        <v>1054</v>
      </c>
      <c r="AP149" s="36" t="s">
        <v>1071</v>
      </c>
      <c r="AQ149" s="11" t="s">
        <v>75</v>
      </c>
      <c r="AR149" s="11" t="s">
        <v>1055</v>
      </c>
      <c r="AS149" s="13" t="s">
        <v>1045</v>
      </c>
      <c r="AT149" s="14"/>
      <c r="AU149" s="44">
        <v>45999</v>
      </c>
    </row>
    <row r="150" spans="1:47" ht="38.25">
      <c r="A150" s="38" t="str">
        <f>VLOOKUP(Tableau1[[#This Row],[N° Département]],Feuil1!$C$6:$E$106,3)</f>
        <v>Centre-Val de Loire</v>
      </c>
      <c r="B150" s="38" t="str">
        <f>VLOOKUP(Tableau1[[#This Row],[N° Département]],Feuil1!$C$6:$E$106,2)</f>
        <v>Indre-et-Loire</v>
      </c>
      <c r="C150" s="38">
        <f>LEFT(Tableau1[[#This Row],[Code Postal]],2)*1</f>
        <v>37</v>
      </c>
      <c r="D150" s="10" t="s">
        <v>1041</v>
      </c>
      <c r="E150" s="26">
        <v>37600</v>
      </c>
      <c r="F150" s="10" t="s">
        <v>901</v>
      </c>
      <c r="G150" s="39" t="str">
        <f>Tableau1[[#This Row],[Rue]]&amp;CHAR(10)&amp;Tableau1[[#This Row],[Code Postal]]&amp;" - "&amp;Tableau1[[#This Row],[Ville]]</f>
        <v>Super U 38 Route de Vauzelles, Rue du Bon Raisin
37600 - Loches</v>
      </c>
      <c r="H150" s="15" t="s">
        <v>1052</v>
      </c>
      <c r="I150" s="12" t="s">
        <v>47</v>
      </c>
      <c r="J150" s="12" t="s">
        <v>50</v>
      </c>
      <c r="K150" s="12" t="s">
        <v>103</v>
      </c>
      <c r="L150" s="12">
        <f>100*Tableau1[[#This Row],[Surface GLA]]</f>
        <v>50000</v>
      </c>
      <c r="M150" s="36" t="s">
        <v>336</v>
      </c>
      <c r="N150" s="34">
        <v>500</v>
      </c>
      <c r="O150" s="6" t="s">
        <v>103</v>
      </c>
      <c r="P150" s="34" t="s">
        <v>103</v>
      </c>
      <c r="Q150" s="6" t="s">
        <v>103</v>
      </c>
      <c r="R150" s="12">
        <f>Tableau1[[#This Row],[Loyer €/m²]]*Tableau1[[#This Row],[Surface GLA]]</f>
        <v>100000</v>
      </c>
      <c r="S150" s="12">
        <f>IFERROR(Tableau1[[#This Row],[Loyer annuel]]/12,"")</f>
        <v>8333.3333333333339</v>
      </c>
      <c r="T150" s="12">
        <v>200</v>
      </c>
      <c r="U150" s="6" t="s">
        <v>103</v>
      </c>
      <c r="V150" s="6">
        <f>Tableau1[[#This Row],[Charges €/m²]]*Tableau1[[#This Row],[Surface GLA]]</f>
        <v>25000</v>
      </c>
      <c r="W150" s="12">
        <f>Tableau1[[#This Row],[Charges annuelles]]/12</f>
        <v>2083.3333333333335</v>
      </c>
      <c r="X150" s="12">
        <v>50</v>
      </c>
      <c r="Y150" s="12">
        <f>IFERROR(Tableau1[[#This Row],[Taxe foncière €/m²]]*Tableau1[[#This Row],[Surface GLA]],)</f>
        <v>15000</v>
      </c>
      <c r="Z150" s="6">
        <v>30</v>
      </c>
      <c r="AA150" s="12">
        <f>IFERROR(Tableau1[[#This Row],[Marketing €/m²]]*Tableau1[[#This Row],[Surface GLA]],)</f>
        <v>0</v>
      </c>
      <c r="AB150" s="6" t="s">
        <v>103</v>
      </c>
      <c r="AC150" s="12">
        <f>IFERROR(Tableau1[[#This Row],[Loyer annuel]]+Tableau1[[#This Row],[Charges annuelles]]+Tableau1[[#This Row],[Taxe foncière]]+Tableau1[[#This Row],[Marketing]],"")</f>
        <v>140000</v>
      </c>
      <c r="AD150" s="12" t="str">
        <f t="shared" si="6"/>
        <v>3 mois = 25 000 €</v>
      </c>
      <c r="AE150" s="6" t="s">
        <v>103</v>
      </c>
      <c r="AF150" s="6" t="s">
        <v>103</v>
      </c>
      <c r="AG150" s="12" t="s">
        <v>382</v>
      </c>
      <c r="AH150" s="10" t="s">
        <v>53</v>
      </c>
      <c r="AI150" s="10" t="s">
        <v>103</v>
      </c>
      <c r="AJ150" s="10" t="s">
        <v>1056</v>
      </c>
      <c r="AK150" s="11" t="s">
        <v>1053</v>
      </c>
      <c r="AL150" s="5" t="s">
        <v>368</v>
      </c>
      <c r="AM150" s="11" t="s">
        <v>1063</v>
      </c>
      <c r="AN150" s="11" t="s">
        <v>1064</v>
      </c>
      <c r="AO150" s="11" t="s">
        <v>1057</v>
      </c>
      <c r="AP150" s="36" t="s">
        <v>1071</v>
      </c>
      <c r="AQ150" s="11" t="s">
        <v>75</v>
      </c>
      <c r="AR150" s="11" t="s">
        <v>1055</v>
      </c>
      <c r="AS150" s="13" t="s">
        <v>1045</v>
      </c>
      <c r="AT150" s="14"/>
      <c r="AU150" s="44">
        <v>45999</v>
      </c>
    </row>
    <row r="151" spans="1:47" ht="38.25">
      <c r="A151" s="38" t="str">
        <f>VLOOKUP(Tableau1[[#This Row],[N° Département]],Feuil1!$C$6:$E$106,3)</f>
        <v>Centre-Val de Loire</v>
      </c>
      <c r="B151" s="38" t="str">
        <f>VLOOKUP(Tableau1[[#This Row],[N° Département]],Feuil1!$C$6:$E$106,2)</f>
        <v>Indre-et-Loire</v>
      </c>
      <c r="C151" s="38">
        <f>LEFT(Tableau1[[#This Row],[Code Postal]],2)*1</f>
        <v>37</v>
      </c>
      <c r="D151" s="10" t="s">
        <v>1041</v>
      </c>
      <c r="E151" s="26">
        <v>37600</v>
      </c>
      <c r="F151" s="10" t="s">
        <v>901</v>
      </c>
      <c r="G151" s="39" t="str">
        <f>Tableau1[[#This Row],[Rue]]&amp;CHAR(10)&amp;Tableau1[[#This Row],[Code Postal]]&amp;" - "&amp;Tableau1[[#This Row],[Ville]]</f>
        <v>Super U 38 Route de Vauzelles, Rue du Bon Raisin
37600 - Loches</v>
      </c>
      <c r="H151" s="15" t="s">
        <v>1052</v>
      </c>
      <c r="I151" s="12" t="s">
        <v>47</v>
      </c>
      <c r="J151" s="12" t="s">
        <v>50</v>
      </c>
      <c r="K151" s="12" t="s">
        <v>103</v>
      </c>
      <c r="L151" s="12">
        <f>100*Tableau1[[#This Row],[Surface GLA]]</f>
        <v>100000</v>
      </c>
      <c r="M151" s="36" t="s">
        <v>357</v>
      </c>
      <c r="N151" s="34">
        <v>1000</v>
      </c>
      <c r="O151" s="6" t="s">
        <v>103</v>
      </c>
      <c r="P151" s="34" t="s">
        <v>103</v>
      </c>
      <c r="Q151" s="6" t="s">
        <v>103</v>
      </c>
      <c r="R151" s="12">
        <f>Tableau1[[#This Row],[Loyer €/m²]]*Tableau1[[#This Row],[Surface GLA]]</f>
        <v>200000</v>
      </c>
      <c r="S151" s="12">
        <f>IFERROR(Tableau1[[#This Row],[Loyer annuel]]/12,"")</f>
        <v>16666.666666666668</v>
      </c>
      <c r="T151" s="12">
        <v>200</v>
      </c>
      <c r="U151" s="6" t="s">
        <v>103</v>
      </c>
      <c r="V151" s="6">
        <f>Tableau1[[#This Row],[Charges €/m²]]*Tableau1[[#This Row],[Surface GLA]]</f>
        <v>50000</v>
      </c>
      <c r="W151" s="12">
        <f>Tableau1[[#This Row],[Charges annuelles]]/12</f>
        <v>4166.666666666667</v>
      </c>
      <c r="X151" s="12">
        <v>50</v>
      </c>
      <c r="Y151" s="12">
        <f>IFERROR(Tableau1[[#This Row],[Taxe foncière €/m²]]*Tableau1[[#This Row],[Surface GLA]],)</f>
        <v>30000</v>
      </c>
      <c r="Z151" s="6">
        <v>30</v>
      </c>
      <c r="AA151" s="12">
        <f>IFERROR(Tableau1[[#This Row],[Marketing €/m²]]*Tableau1[[#This Row],[Surface GLA]],)</f>
        <v>0</v>
      </c>
      <c r="AB151" s="6" t="s">
        <v>103</v>
      </c>
      <c r="AC151" s="12">
        <f>IFERROR(Tableau1[[#This Row],[Loyer annuel]]+Tableau1[[#This Row],[Charges annuelles]]+Tableau1[[#This Row],[Taxe foncière]]+Tableau1[[#This Row],[Marketing]],"")</f>
        <v>280000</v>
      </c>
      <c r="AD151" s="12" t="str">
        <f t="shared" si="6"/>
        <v>3 mois = 50 000 €</v>
      </c>
      <c r="AE151" s="6" t="s">
        <v>103</v>
      </c>
      <c r="AF151" s="6" t="s">
        <v>103</v>
      </c>
      <c r="AG151" s="12" t="s">
        <v>382</v>
      </c>
      <c r="AH151" s="10" t="s">
        <v>53</v>
      </c>
      <c r="AI151" s="10" t="s">
        <v>103</v>
      </c>
      <c r="AJ151" s="10" t="s">
        <v>1056</v>
      </c>
      <c r="AK151" s="11" t="s">
        <v>1053</v>
      </c>
      <c r="AL151" s="5" t="s">
        <v>368</v>
      </c>
      <c r="AM151" s="11" t="s">
        <v>1065</v>
      </c>
      <c r="AN151" s="11" t="s">
        <v>1066</v>
      </c>
      <c r="AO151" s="11" t="s">
        <v>1058</v>
      </c>
      <c r="AP151" s="36" t="s">
        <v>1071</v>
      </c>
      <c r="AQ151" s="11" t="s">
        <v>75</v>
      </c>
      <c r="AR151" s="11" t="s">
        <v>1055</v>
      </c>
      <c r="AS151" s="13" t="s">
        <v>1045</v>
      </c>
      <c r="AT151" s="14"/>
      <c r="AU151" s="44">
        <v>45999</v>
      </c>
    </row>
    <row r="152" spans="1:47" ht="38.25">
      <c r="A152" s="38" t="str">
        <f>VLOOKUP(Tableau1[[#This Row],[N° Département]],Feuil1!$C$6:$E$106,3)</f>
        <v>Centre-Val de Loire</v>
      </c>
      <c r="B152" s="38" t="str">
        <f>VLOOKUP(Tableau1[[#This Row],[N° Département]],Feuil1!$C$6:$E$106,2)</f>
        <v>Indre-et-Loire</v>
      </c>
      <c r="C152" s="38">
        <f>LEFT(Tableau1[[#This Row],[Code Postal]],2)*1</f>
        <v>37</v>
      </c>
      <c r="D152" s="10" t="s">
        <v>1041</v>
      </c>
      <c r="E152" s="26">
        <v>37600</v>
      </c>
      <c r="F152" s="10" t="s">
        <v>901</v>
      </c>
      <c r="G152" s="39" t="str">
        <f>Tableau1[[#This Row],[Rue]]&amp;CHAR(10)&amp;Tableau1[[#This Row],[Code Postal]]&amp;" - "&amp;Tableau1[[#This Row],[Ville]]</f>
        <v>Super U 38 Route de Vauzelles, Rue du Bon Raisin
37600 - Loches</v>
      </c>
      <c r="H152" s="15" t="s">
        <v>1052</v>
      </c>
      <c r="I152" s="12" t="s">
        <v>47</v>
      </c>
      <c r="J152" s="12" t="s">
        <v>50</v>
      </c>
      <c r="K152" s="12" t="s">
        <v>103</v>
      </c>
      <c r="L152" s="12">
        <f>100*Tableau1[[#This Row],[Surface GLA]]</f>
        <v>200000</v>
      </c>
      <c r="M152" s="36" t="s">
        <v>358</v>
      </c>
      <c r="N152" s="34">
        <v>2000</v>
      </c>
      <c r="O152" s="6" t="s">
        <v>103</v>
      </c>
      <c r="P152" s="34" t="s">
        <v>103</v>
      </c>
      <c r="Q152" s="6" t="s">
        <v>103</v>
      </c>
      <c r="R152" s="12">
        <f>Tableau1[[#This Row],[Loyer €/m²]]*Tableau1[[#This Row],[Surface GLA]]</f>
        <v>400000</v>
      </c>
      <c r="S152" s="12">
        <f>IFERROR(Tableau1[[#This Row],[Loyer annuel]]/12,"")</f>
        <v>33333.333333333336</v>
      </c>
      <c r="T152" s="12">
        <v>200</v>
      </c>
      <c r="U152" s="6" t="s">
        <v>103</v>
      </c>
      <c r="V152" s="6">
        <f>Tableau1[[#This Row],[Charges €/m²]]*Tableau1[[#This Row],[Surface GLA]]</f>
        <v>100000</v>
      </c>
      <c r="W152" s="12">
        <f>Tableau1[[#This Row],[Charges annuelles]]/12</f>
        <v>8333.3333333333339</v>
      </c>
      <c r="X152" s="12">
        <v>50</v>
      </c>
      <c r="Y152" s="12">
        <f>IFERROR(Tableau1[[#This Row],[Taxe foncière €/m²]]*Tableau1[[#This Row],[Surface GLA]],)</f>
        <v>60000</v>
      </c>
      <c r="Z152" s="6">
        <v>30</v>
      </c>
      <c r="AA152" s="12">
        <f>IFERROR(Tableau1[[#This Row],[Marketing €/m²]]*Tableau1[[#This Row],[Surface GLA]],)</f>
        <v>0</v>
      </c>
      <c r="AB152" s="6" t="s">
        <v>103</v>
      </c>
      <c r="AC152" s="12">
        <f>IFERROR(Tableau1[[#This Row],[Loyer annuel]]+Tableau1[[#This Row],[Charges annuelles]]+Tableau1[[#This Row],[Taxe foncière]]+Tableau1[[#This Row],[Marketing]],"")</f>
        <v>560000</v>
      </c>
      <c r="AD152" s="12" t="str">
        <f t="shared" si="6"/>
        <v>3 mois = 100 000 €</v>
      </c>
      <c r="AE152" s="6" t="s">
        <v>103</v>
      </c>
      <c r="AF152" s="6" t="s">
        <v>103</v>
      </c>
      <c r="AG152" s="12" t="s">
        <v>382</v>
      </c>
      <c r="AH152" s="10" t="s">
        <v>53</v>
      </c>
      <c r="AI152" s="10" t="s">
        <v>103</v>
      </c>
      <c r="AJ152" s="10" t="s">
        <v>1056</v>
      </c>
      <c r="AK152" s="11" t="s">
        <v>1053</v>
      </c>
      <c r="AL152" s="5" t="s">
        <v>368</v>
      </c>
      <c r="AM152" s="11" t="s">
        <v>1067</v>
      </c>
      <c r="AN152" s="11" t="s">
        <v>1068</v>
      </c>
      <c r="AO152" s="11" t="s">
        <v>1059</v>
      </c>
      <c r="AP152" s="36" t="s">
        <v>1071</v>
      </c>
      <c r="AQ152" s="11" t="s">
        <v>75</v>
      </c>
      <c r="AR152" s="11" t="s">
        <v>1055</v>
      </c>
      <c r="AS152" s="13" t="s">
        <v>1045</v>
      </c>
      <c r="AT152" s="14"/>
      <c r="AU152" s="44">
        <v>45999</v>
      </c>
    </row>
    <row r="153" spans="1:47" ht="38.25">
      <c r="A153" s="38" t="str">
        <f>VLOOKUP(Tableau1[[#This Row],[N° Département]],Feuil1!$C$6:$E$106,3)</f>
        <v>Centre-Val de Loire</v>
      </c>
      <c r="B153" s="38" t="str">
        <f>VLOOKUP(Tableau1[[#This Row],[N° Département]],Feuil1!$C$6:$E$106,2)</f>
        <v>Indre-et-Loire</v>
      </c>
      <c r="C153" s="38">
        <f>LEFT(Tableau1[[#This Row],[Code Postal]],2)*1</f>
        <v>37</v>
      </c>
      <c r="D153" s="10" t="s">
        <v>1041</v>
      </c>
      <c r="E153" s="26">
        <v>37600</v>
      </c>
      <c r="F153" s="10" t="s">
        <v>901</v>
      </c>
      <c r="G153" s="39" t="str">
        <f>Tableau1[[#This Row],[Rue]]&amp;CHAR(10)&amp;Tableau1[[#This Row],[Code Postal]]&amp;" - "&amp;Tableau1[[#This Row],[Ville]]</f>
        <v>Super U 38 Route de Vauzelles, Rue du Bon Raisin
37600 - Loches</v>
      </c>
      <c r="H153" s="15" t="s">
        <v>1052</v>
      </c>
      <c r="I153" s="12" t="s">
        <v>47</v>
      </c>
      <c r="J153" s="12" t="s">
        <v>50</v>
      </c>
      <c r="K153" s="12" t="s">
        <v>103</v>
      </c>
      <c r="L153" s="12">
        <f>100*Tableau1[[#This Row],[Surface GLA]]</f>
        <v>500000</v>
      </c>
      <c r="M153" s="36" t="s">
        <v>359</v>
      </c>
      <c r="N153" s="34">
        <v>5000</v>
      </c>
      <c r="O153" s="6" t="s">
        <v>103</v>
      </c>
      <c r="P153" s="34" t="s">
        <v>103</v>
      </c>
      <c r="Q153" s="6" t="s">
        <v>103</v>
      </c>
      <c r="R153" s="12">
        <f>Tableau1[[#This Row],[Loyer €/m²]]*Tableau1[[#This Row],[Surface GLA]]</f>
        <v>1000000</v>
      </c>
      <c r="S153" s="12">
        <f>IFERROR(Tableau1[[#This Row],[Loyer annuel]]/12,"")</f>
        <v>83333.333333333328</v>
      </c>
      <c r="T153" s="12">
        <v>200</v>
      </c>
      <c r="U153" s="6" t="s">
        <v>103</v>
      </c>
      <c r="V153" s="6">
        <f>Tableau1[[#This Row],[Charges €/m²]]*Tableau1[[#This Row],[Surface GLA]]</f>
        <v>250000</v>
      </c>
      <c r="W153" s="12">
        <f>Tableau1[[#This Row],[Charges annuelles]]/12</f>
        <v>20833.333333333332</v>
      </c>
      <c r="X153" s="12">
        <v>50</v>
      </c>
      <c r="Y153" s="12">
        <f>IFERROR(Tableau1[[#This Row],[Taxe foncière €/m²]]*Tableau1[[#This Row],[Surface GLA]],)</f>
        <v>150000</v>
      </c>
      <c r="Z153" s="6">
        <v>30</v>
      </c>
      <c r="AA153" s="12">
        <f>IFERROR(Tableau1[[#This Row],[Marketing €/m²]]*Tableau1[[#This Row],[Surface GLA]],)</f>
        <v>0</v>
      </c>
      <c r="AB153" s="6" t="s">
        <v>103</v>
      </c>
      <c r="AC153" s="12">
        <f>IFERROR(Tableau1[[#This Row],[Loyer annuel]]+Tableau1[[#This Row],[Charges annuelles]]+Tableau1[[#This Row],[Taxe foncière]]+Tableau1[[#This Row],[Marketing]],"")</f>
        <v>1400000</v>
      </c>
      <c r="AD153" s="12" t="str">
        <f t="shared" si="6"/>
        <v>3 mois = 250 000 €</v>
      </c>
      <c r="AE153" s="6" t="s">
        <v>103</v>
      </c>
      <c r="AF153" s="6" t="s">
        <v>103</v>
      </c>
      <c r="AG153" s="12" t="s">
        <v>382</v>
      </c>
      <c r="AH153" s="10" t="s">
        <v>53</v>
      </c>
      <c r="AI153" s="10" t="s">
        <v>103</v>
      </c>
      <c r="AJ153" s="10" t="s">
        <v>1056</v>
      </c>
      <c r="AK153" s="11" t="s">
        <v>1053</v>
      </c>
      <c r="AL153" s="5" t="s">
        <v>368</v>
      </c>
      <c r="AM153" s="11" t="s">
        <v>1069</v>
      </c>
      <c r="AN153" s="11" t="s">
        <v>1070</v>
      </c>
      <c r="AO153" s="11" t="s">
        <v>1060</v>
      </c>
      <c r="AP153" s="36" t="s">
        <v>1071</v>
      </c>
      <c r="AQ153" s="11" t="s">
        <v>75</v>
      </c>
      <c r="AR153" s="11" t="s">
        <v>1055</v>
      </c>
      <c r="AS153" s="13" t="s">
        <v>1045</v>
      </c>
      <c r="AT153" s="14"/>
      <c r="AU153" s="44">
        <v>45999</v>
      </c>
    </row>
    <row r="154" spans="1:47" ht="38.25">
      <c r="A154" s="38" t="str">
        <f>VLOOKUP(Tableau1[[#This Row],[N° Département]],Feuil1!$C$6:$E$106,3)</f>
        <v>Provence-Alpes-Côte d'Azur</v>
      </c>
      <c r="B154" s="38" t="str">
        <f>VLOOKUP(Tableau1[[#This Row],[N° Département]],Feuil1!$C$6:$E$106,2)</f>
        <v>Bouches-du-Rhône</v>
      </c>
      <c r="C154" s="38">
        <f>LEFT(Tableau1[[#This Row],[Code Postal]],2)*1</f>
        <v>13</v>
      </c>
      <c r="D154" s="10" t="s">
        <v>1099</v>
      </c>
      <c r="E154" s="26">
        <v>13127</v>
      </c>
      <c r="F154" s="10" t="s">
        <v>1095</v>
      </c>
      <c r="G154" s="39" t="str">
        <f>Tableau1[[#This Row],[Rue]]&amp;CHAR(10)&amp;Tableau1[[#This Row],[Code Postal]]&amp;" - "&amp;Tableau1[[#This Row],[Ville]]</f>
        <v>14 Boulevard de l'Europe
13127 - Vitrolles</v>
      </c>
      <c r="H154" s="15" t="s">
        <v>1100</v>
      </c>
      <c r="I154" s="12" t="s">
        <v>47</v>
      </c>
      <c r="J154" s="12" t="s">
        <v>48</v>
      </c>
      <c r="K154" s="10" t="s">
        <v>103</v>
      </c>
      <c r="L154" s="12" t="s">
        <v>103</v>
      </c>
      <c r="M154" s="36" t="s">
        <v>1199</v>
      </c>
      <c r="N154" s="34">
        <v>181</v>
      </c>
      <c r="O154" s="6" t="s">
        <v>103</v>
      </c>
      <c r="P154" s="34" t="s">
        <v>103</v>
      </c>
      <c r="Q154" s="6" t="s">
        <v>103</v>
      </c>
      <c r="R154" s="12">
        <f>Tableau1[[#This Row],[Loyer €/m²]]*Tableau1[[#This Row],[Surface GLA]]</f>
        <v>45250</v>
      </c>
      <c r="S154" s="12">
        <f>IFERROR(Tableau1[[#This Row],[Loyer annuel]]/12,"")</f>
        <v>3770.8333333333335</v>
      </c>
      <c r="T154" s="12">
        <v>250</v>
      </c>
      <c r="U154" s="6" t="s">
        <v>103</v>
      </c>
      <c r="V154" s="6">
        <f>Tableau1[[#This Row],[Charges €/m²]]*Tableau1[[#This Row],[Surface GLA]]</f>
        <v>1306.82</v>
      </c>
      <c r="W154" s="12">
        <f>Tableau1[[#This Row],[Charges annuelles]]/12</f>
        <v>108.90166666666666</v>
      </c>
      <c r="X154" s="12">
        <v>7.22</v>
      </c>
      <c r="Y154" s="12">
        <f>IFERROR(Tableau1[[#This Row],[Taxe foncière €/m²]]*Tableau1[[#This Row],[Surface GLA]],)</f>
        <v>2360.2399999999998</v>
      </c>
      <c r="Z154" s="12">
        <v>13.04</v>
      </c>
      <c r="AA154" s="12">
        <f>IFERROR(Tableau1[[#This Row],[Marketing €/m²]]*Tableau1[[#This Row],[Surface GLA]],)</f>
        <v>0</v>
      </c>
      <c r="AB154" s="6" t="s">
        <v>103</v>
      </c>
      <c r="AC154" s="12">
        <f>IFERROR(Tableau1[[#This Row],[Loyer annuel]]+Tableau1[[#This Row],[Charges annuelles]]+Tableau1[[#This Row],[Taxe foncière]]+Tableau1[[#This Row],[Marketing]],"")</f>
        <v>48917.06</v>
      </c>
      <c r="AD154" s="12" t="str">
        <f t="shared" si="6"/>
        <v>3 mois = 11 313 €</v>
      </c>
      <c r="AE154" s="6" t="s">
        <v>103</v>
      </c>
      <c r="AF154" s="46">
        <v>0.05</v>
      </c>
      <c r="AG154" s="12" t="s">
        <v>363</v>
      </c>
      <c r="AH154" s="10" t="s">
        <v>75</v>
      </c>
      <c r="AI154" s="10" t="s">
        <v>370</v>
      </c>
      <c r="AJ154" s="10" t="s">
        <v>1144</v>
      </c>
      <c r="AK154" s="11" t="s">
        <v>1198</v>
      </c>
      <c r="AL154" s="5" t="s">
        <v>368</v>
      </c>
      <c r="AM154" s="11">
        <v>43.4393873</v>
      </c>
      <c r="AN154" s="11">
        <v>5.2419589999999996</v>
      </c>
      <c r="AO154" s="11" t="s">
        <v>1203</v>
      </c>
      <c r="AP154" s="36" t="s">
        <v>1265</v>
      </c>
      <c r="AQ154" s="11" t="s">
        <v>75</v>
      </c>
      <c r="AR154" s="11" t="s">
        <v>1197</v>
      </c>
      <c r="AS154" s="13" t="s">
        <v>1141</v>
      </c>
      <c r="AT154" s="14"/>
      <c r="AU154" s="44">
        <v>46003</v>
      </c>
    </row>
    <row r="155" spans="1:47" ht="51">
      <c r="A155" s="38" t="str">
        <f>VLOOKUP(Tableau1[[#This Row],[N° Département]],Feuil1!$C$6:$E$106,3)</f>
        <v>Provence-Alpes-Côte d'Azur</v>
      </c>
      <c r="B155" s="38" t="str">
        <f>VLOOKUP(Tableau1[[#This Row],[N° Département]],Feuil1!$C$6:$E$106,2)</f>
        <v>Bouches-du-Rhône</v>
      </c>
      <c r="C155" s="38">
        <f>LEFT(Tableau1[[#This Row],[Code Postal]],2)*1</f>
        <v>13</v>
      </c>
      <c r="D155" s="10" t="s">
        <v>1099</v>
      </c>
      <c r="E155" s="26">
        <v>13127</v>
      </c>
      <c r="F155" s="10" t="s">
        <v>1095</v>
      </c>
      <c r="G155" s="39" t="str">
        <f>Tableau1[[#This Row],[Rue]]&amp;CHAR(10)&amp;Tableau1[[#This Row],[Code Postal]]&amp;" - "&amp;Tableau1[[#This Row],[Ville]]</f>
        <v>14 Boulevard de l'Europe
13127 - Vitrolles</v>
      </c>
      <c r="H155" s="15" t="s">
        <v>1100</v>
      </c>
      <c r="I155" s="12" t="s">
        <v>47</v>
      </c>
      <c r="J155" s="12" t="s">
        <v>48</v>
      </c>
      <c r="K155" s="10" t="s">
        <v>1218</v>
      </c>
      <c r="L155" s="12" t="s">
        <v>103</v>
      </c>
      <c r="M155" s="36" t="s">
        <v>1200</v>
      </c>
      <c r="N155" s="34">
        <v>100</v>
      </c>
      <c r="O155" s="6" t="s">
        <v>103</v>
      </c>
      <c r="P155" s="34" t="s">
        <v>103</v>
      </c>
      <c r="Q155" s="6" t="s">
        <v>103</v>
      </c>
      <c r="R155" s="12">
        <f>Tableau1[[#This Row],[Loyer €/m²]]*Tableau1[[#This Row],[Surface GLA]]</f>
        <v>20000</v>
      </c>
      <c r="S155" s="12">
        <f>IFERROR(Tableau1[[#This Row],[Loyer annuel]]/12,"")</f>
        <v>1666.6666666666667</v>
      </c>
      <c r="T155" s="12">
        <v>200</v>
      </c>
      <c r="U155" s="6" t="s">
        <v>103</v>
      </c>
      <c r="V155" s="6">
        <f>Tableau1[[#This Row],[Charges €/m²]]*Tableau1[[#This Row],[Surface GLA]]</f>
        <v>722</v>
      </c>
      <c r="W155" s="12">
        <f>Tableau1[[#This Row],[Charges annuelles]]/12</f>
        <v>60.166666666666664</v>
      </c>
      <c r="X155" s="12">
        <v>7.22</v>
      </c>
      <c r="Y155" s="12">
        <f>IFERROR(Tableau1[[#This Row],[Taxe foncière €/m²]]*Tableau1[[#This Row],[Surface GLA]],)</f>
        <v>1304</v>
      </c>
      <c r="Z155" s="12">
        <v>13.04</v>
      </c>
      <c r="AA155" s="12">
        <f>IFERROR(Tableau1[[#This Row],[Marketing €/m²]]*Tableau1[[#This Row],[Surface GLA]],)</f>
        <v>0</v>
      </c>
      <c r="AB155" s="6" t="s">
        <v>103</v>
      </c>
      <c r="AC155" s="12">
        <f>IFERROR(Tableau1[[#This Row],[Loyer annuel]]+Tableau1[[#This Row],[Charges annuelles]]+Tableau1[[#This Row],[Taxe foncière]]+Tableau1[[#This Row],[Marketing]],"")</f>
        <v>22026</v>
      </c>
      <c r="AD155" s="12" t="str">
        <f t="shared" si="6"/>
        <v>3 mois = 5 000 €</v>
      </c>
      <c r="AE155" s="6" t="s">
        <v>103</v>
      </c>
      <c r="AF155" s="46">
        <v>0.05</v>
      </c>
      <c r="AG155" s="12" t="s">
        <v>363</v>
      </c>
      <c r="AH155" s="10" t="s">
        <v>75</v>
      </c>
      <c r="AI155" s="10" t="s">
        <v>370</v>
      </c>
      <c r="AJ155" s="10" t="s">
        <v>1144</v>
      </c>
      <c r="AK155" s="11" t="s">
        <v>1206</v>
      </c>
      <c r="AL155" s="5" t="s">
        <v>368</v>
      </c>
      <c r="AM155" s="11" t="s">
        <v>1201</v>
      </c>
      <c r="AN155" s="11" t="s">
        <v>1202</v>
      </c>
      <c r="AO155" s="11" t="s">
        <v>1204</v>
      </c>
      <c r="AP155" s="36" t="s">
        <v>1248</v>
      </c>
      <c r="AQ155" s="11" t="s">
        <v>75</v>
      </c>
      <c r="AR155" s="11" t="s">
        <v>1207</v>
      </c>
      <c r="AS155" s="13" t="s">
        <v>1141</v>
      </c>
      <c r="AT155" s="14"/>
      <c r="AU155" s="44">
        <v>46004</v>
      </c>
    </row>
    <row r="156" spans="1:47" ht="38.25">
      <c r="A156" s="38" t="str">
        <f>VLOOKUP(Tableau1[[#This Row],[N° Département]],Feuil1!$C$6:$E$106,3)</f>
        <v>Provence-Alpes-Côte d'Azur</v>
      </c>
      <c r="B156" s="38" t="str">
        <f>VLOOKUP(Tableau1[[#This Row],[N° Département]],Feuil1!$C$6:$E$106,2)</f>
        <v>Bouches-du-Rhône</v>
      </c>
      <c r="C156" s="38">
        <f>LEFT(Tableau1[[#This Row],[Code Postal]],2)*1</f>
        <v>13</v>
      </c>
      <c r="D156" s="10" t="s">
        <v>1099</v>
      </c>
      <c r="E156" s="26">
        <v>13127</v>
      </c>
      <c r="F156" s="10" t="s">
        <v>1095</v>
      </c>
      <c r="G156" s="39" t="str">
        <f>Tableau1[[#This Row],[Rue]]&amp;CHAR(10)&amp;Tableau1[[#This Row],[Code Postal]]&amp;" - "&amp;Tableau1[[#This Row],[Ville]]</f>
        <v>14 Boulevard de l'Europe
13127 - Vitrolles</v>
      </c>
      <c r="H156" s="15" t="s">
        <v>1100</v>
      </c>
      <c r="I156" s="12" t="s">
        <v>47</v>
      </c>
      <c r="J156" s="12" t="s">
        <v>48</v>
      </c>
      <c r="K156" s="10" t="s">
        <v>1218</v>
      </c>
      <c r="L156" s="12" t="s">
        <v>103</v>
      </c>
      <c r="M156" s="36" t="s">
        <v>1211</v>
      </c>
      <c r="N156" s="34">
        <v>446</v>
      </c>
      <c r="O156" s="6" t="s">
        <v>103</v>
      </c>
      <c r="P156" s="34" t="s">
        <v>103</v>
      </c>
      <c r="Q156" s="6" t="s">
        <v>103</v>
      </c>
      <c r="R156" s="12">
        <f>Tableau1[[#This Row],[Loyer €/m²]]*Tableau1[[#This Row],[Surface GLA]]</f>
        <v>55750</v>
      </c>
      <c r="S156" s="12">
        <f>IFERROR(Tableau1[[#This Row],[Loyer annuel]]/12,"")</f>
        <v>4645.833333333333</v>
      </c>
      <c r="T156" s="12">
        <v>125</v>
      </c>
      <c r="U156" s="6" t="s">
        <v>103</v>
      </c>
      <c r="V156" s="6">
        <f>Tableau1[[#This Row],[Charges €/m²]]*Tableau1[[#This Row],[Surface GLA]]</f>
        <v>3220.12</v>
      </c>
      <c r="W156" s="12">
        <f>Tableau1[[#This Row],[Charges annuelles]]/12</f>
        <v>268.34333333333331</v>
      </c>
      <c r="X156" s="12">
        <v>7.22</v>
      </c>
      <c r="Y156" s="12">
        <f>IFERROR(Tableau1[[#This Row],[Taxe foncière €/m²]]*Tableau1[[#This Row],[Surface GLA]],)</f>
        <v>5815.8399999999992</v>
      </c>
      <c r="Z156" s="12">
        <v>13.04</v>
      </c>
      <c r="AA156" s="12">
        <f>IFERROR(Tableau1[[#This Row],[Marketing €/m²]]*Tableau1[[#This Row],[Surface GLA]],)</f>
        <v>0</v>
      </c>
      <c r="AB156" s="6" t="s">
        <v>103</v>
      </c>
      <c r="AC156" s="12">
        <f>IFERROR(Tableau1[[#This Row],[Loyer annuel]]+Tableau1[[#This Row],[Charges annuelles]]+Tableau1[[#This Row],[Taxe foncière]]+Tableau1[[#This Row],[Marketing]],"")</f>
        <v>64785.96</v>
      </c>
      <c r="AD156" s="12" t="str">
        <f t="shared" si="6"/>
        <v>3 mois = 13 938 €</v>
      </c>
      <c r="AE156" s="6" t="s">
        <v>103</v>
      </c>
      <c r="AF156" s="46">
        <v>0.05</v>
      </c>
      <c r="AG156" s="12" t="s">
        <v>363</v>
      </c>
      <c r="AH156" s="10" t="s">
        <v>53</v>
      </c>
      <c r="AI156" s="10" t="s">
        <v>103</v>
      </c>
      <c r="AJ156" s="10" t="s">
        <v>1144</v>
      </c>
      <c r="AK156" s="11" t="s">
        <v>1205</v>
      </c>
      <c r="AL156" s="5" t="s">
        <v>368</v>
      </c>
      <c r="AM156" s="11" t="s">
        <v>1208</v>
      </c>
      <c r="AN156" s="11" t="s">
        <v>1209</v>
      </c>
      <c r="AO156" s="11" t="s">
        <v>1213</v>
      </c>
      <c r="AP156" s="36" t="s">
        <v>1249</v>
      </c>
      <c r="AQ156" s="11" t="s">
        <v>75</v>
      </c>
      <c r="AR156" s="11" t="s">
        <v>1210</v>
      </c>
      <c r="AS156" s="13" t="s">
        <v>1141</v>
      </c>
      <c r="AT156" s="14"/>
      <c r="AU156" s="44">
        <v>46005</v>
      </c>
    </row>
    <row r="157" spans="1:47" ht="38.25">
      <c r="A157" s="38" t="str">
        <f>VLOOKUP(Tableau1[[#This Row],[N° Département]],Feuil1!$C$6:$E$106,3)</f>
        <v>Provence-Alpes-Côte d'Azur</v>
      </c>
      <c r="B157" s="38" t="str">
        <f>VLOOKUP(Tableau1[[#This Row],[N° Département]],Feuil1!$C$6:$E$106,2)</f>
        <v>Bouches-du-Rhône</v>
      </c>
      <c r="C157" s="38">
        <f>LEFT(Tableau1[[#This Row],[Code Postal]],2)*1</f>
        <v>13</v>
      </c>
      <c r="D157" s="10" t="s">
        <v>1099</v>
      </c>
      <c r="E157" s="26">
        <v>13127</v>
      </c>
      <c r="F157" s="10" t="s">
        <v>1095</v>
      </c>
      <c r="G157" s="39" t="str">
        <f>Tableau1[[#This Row],[Rue]]&amp;CHAR(10)&amp;Tableau1[[#This Row],[Code Postal]]&amp;" - "&amp;Tableau1[[#This Row],[Ville]]</f>
        <v>14 Boulevard de l'Europe
13127 - Vitrolles</v>
      </c>
      <c r="H157" s="15" t="s">
        <v>1100</v>
      </c>
      <c r="I157" s="12" t="s">
        <v>47</v>
      </c>
      <c r="J157" s="12" t="s">
        <v>48</v>
      </c>
      <c r="K157" s="10" t="s">
        <v>1218</v>
      </c>
      <c r="L157" s="12" t="s">
        <v>103</v>
      </c>
      <c r="M157" s="36" t="s">
        <v>1212</v>
      </c>
      <c r="N157" s="34">
        <v>567</v>
      </c>
      <c r="O157" s="6" t="s">
        <v>103</v>
      </c>
      <c r="P157" s="34" t="s">
        <v>103</v>
      </c>
      <c r="Q157" s="6" t="s">
        <v>103</v>
      </c>
      <c r="R157" s="12">
        <f>Tableau1[[#This Row],[Loyer €/m²]]*Tableau1[[#This Row],[Surface GLA]]</f>
        <v>70875</v>
      </c>
      <c r="S157" s="12">
        <f>IFERROR(Tableau1[[#This Row],[Loyer annuel]]/12,"")</f>
        <v>5906.25</v>
      </c>
      <c r="T157" s="12">
        <v>125</v>
      </c>
      <c r="U157" s="6" t="s">
        <v>103</v>
      </c>
      <c r="V157" s="6">
        <f>Tableau1[[#This Row],[Charges €/m²]]*Tableau1[[#This Row],[Surface GLA]]</f>
        <v>4093.74</v>
      </c>
      <c r="W157" s="12">
        <f>Tableau1[[#This Row],[Charges annuelles]]/12</f>
        <v>341.14499999999998</v>
      </c>
      <c r="X157" s="12">
        <v>7.22</v>
      </c>
      <c r="Y157" s="12">
        <f>IFERROR(Tableau1[[#This Row],[Taxe foncière €/m²]]*Tableau1[[#This Row],[Surface GLA]],)</f>
        <v>7393.6799999999994</v>
      </c>
      <c r="Z157" s="12">
        <v>13.04</v>
      </c>
      <c r="AA157" s="12">
        <f>IFERROR(Tableau1[[#This Row],[Marketing €/m²]]*Tableau1[[#This Row],[Surface GLA]],)</f>
        <v>0</v>
      </c>
      <c r="AB157" s="6" t="s">
        <v>103</v>
      </c>
      <c r="AC157" s="12">
        <f>IFERROR(Tableau1[[#This Row],[Loyer annuel]]+Tableau1[[#This Row],[Charges annuelles]]+Tableau1[[#This Row],[Taxe foncière]]+Tableau1[[#This Row],[Marketing]],"")</f>
        <v>82362.42</v>
      </c>
      <c r="AD157" s="12" t="str">
        <f t="shared" si="6"/>
        <v>3 mois = 17 719 €</v>
      </c>
      <c r="AE157" s="6" t="s">
        <v>103</v>
      </c>
      <c r="AF157" s="46">
        <v>0.05</v>
      </c>
      <c r="AG157" s="12" t="s">
        <v>363</v>
      </c>
      <c r="AH157" s="10" t="s">
        <v>53</v>
      </c>
      <c r="AI157" s="10" t="s">
        <v>103</v>
      </c>
      <c r="AJ157" s="10" t="s">
        <v>1144</v>
      </c>
      <c r="AK157" s="11" t="s">
        <v>1205</v>
      </c>
      <c r="AL157" s="5" t="s">
        <v>368</v>
      </c>
      <c r="AM157" s="11" t="s">
        <v>1216</v>
      </c>
      <c r="AN157" s="11" t="s">
        <v>1217</v>
      </c>
      <c r="AO157" s="11" t="s">
        <v>1215</v>
      </c>
      <c r="AP157" s="36" t="s">
        <v>1250</v>
      </c>
      <c r="AQ157" s="11" t="s">
        <v>75</v>
      </c>
      <c r="AR157" s="11" t="s">
        <v>1214</v>
      </c>
      <c r="AS157" s="13" t="s">
        <v>1141</v>
      </c>
      <c r="AT157" s="14"/>
      <c r="AU157" s="44">
        <v>46006</v>
      </c>
    </row>
    <row r="158" spans="1:47" ht="38.25">
      <c r="A158" s="38" t="str">
        <f>VLOOKUP(Tableau1[[#This Row],[N° Département]],Feuil1!$C$6:$E$106,3)</f>
        <v>Provence-Alpes-Côte d'Azur</v>
      </c>
      <c r="B158" s="38" t="str">
        <f>VLOOKUP(Tableau1[[#This Row],[N° Département]],Feuil1!$C$6:$E$106,2)</f>
        <v>Bouches-du-Rhône</v>
      </c>
      <c r="C158" s="38">
        <f>LEFT(Tableau1[[#This Row],[Code Postal]],2)*1</f>
        <v>13</v>
      </c>
      <c r="D158" s="10" t="s">
        <v>1133</v>
      </c>
      <c r="E158" s="26">
        <v>13170</v>
      </c>
      <c r="F158" s="10" t="s">
        <v>1121</v>
      </c>
      <c r="G158" s="39" t="str">
        <f>Tableau1[[#This Row],[Rue]]&amp;CHAR(10)&amp;Tableau1[[#This Row],[Code Postal]]&amp;" - "&amp;Tableau1[[#This Row],[Ville]]</f>
        <v>Plan de Campagne, Chemin des Pennes CD6
13170 - Les Pennes-Mirabeau</v>
      </c>
      <c r="H158" s="2" t="s">
        <v>1102</v>
      </c>
      <c r="I158" s="12" t="s">
        <v>47</v>
      </c>
      <c r="J158" s="12" t="s">
        <v>48</v>
      </c>
      <c r="K158" s="10" t="s">
        <v>103</v>
      </c>
      <c r="L158" s="12" t="s">
        <v>103</v>
      </c>
      <c r="M158" s="36"/>
      <c r="N158" s="34">
        <v>1390</v>
      </c>
      <c r="O158" s="6" t="s">
        <v>1220</v>
      </c>
      <c r="P158" s="34" t="s">
        <v>103</v>
      </c>
      <c r="Q158" s="6" t="s">
        <v>103</v>
      </c>
      <c r="R158" s="12">
        <f>Tableau1[[#This Row],[Loyer €/m²]]*Tableau1[[#This Row],[Surface GLA]]</f>
        <v>312750</v>
      </c>
      <c r="S158" s="12">
        <f>IFERROR(Tableau1[[#This Row],[Loyer annuel]]/12,"")</f>
        <v>26062.5</v>
      </c>
      <c r="T158" s="12">
        <v>225</v>
      </c>
      <c r="U158" s="6" t="s">
        <v>103</v>
      </c>
      <c r="V158" s="6">
        <f>Tableau1[[#This Row],[Charges €/m²]]*Tableau1[[#This Row],[Surface GLA]]</f>
        <v>9730</v>
      </c>
      <c r="W158" s="12">
        <f>Tableau1[[#This Row],[Charges annuelles]]/12</f>
        <v>810.83333333333337</v>
      </c>
      <c r="X158" s="12">
        <v>7</v>
      </c>
      <c r="Y158" s="12">
        <f>IFERROR(Tableau1[[#This Row],[Taxe foncière €/m²]]*Tableau1[[#This Row],[Surface GLA]],)</f>
        <v>20850</v>
      </c>
      <c r="Z158" s="12">
        <v>15</v>
      </c>
      <c r="AA158" s="12">
        <f>IFERROR(Tableau1[[#This Row],[Marketing €/m²]]*Tableau1[[#This Row],[Surface GLA]],)</f>
        <v>0</v>
      </c>
      <c r="AB158" s="6" t="s">
        <v>103</v>
      </c>
      <c r="AC158" s="12">
        <f>IFERROR(Tableau1[[#This Row],[Loyer annuel]]+Tableau1[[#This Row],[Charges annuelles]]+Tableau1[[#This Row],[Taxe foncière]]+Tableau1[[#This Row],[Marketing]],"")</f>
        <v>343330</v>
      </c>
      <c r="AD158" s="12" t="str">
        <f t="shared" si="6"/>
        <v>3 mois = 78 188 €</v>
      </c>
      <c r="AE158" s="12" t="str">
        <f>"6 mois = "&amp;TEXT(ROUND(6/12*R158,0),"### ### ##0 €")</f>
        <v>6 mois = 156 375 €</v>
      </c>
      <c r="AF158" s="46">
        <v>0.05</v>
      </c>
      <c r="AG158" s="12" t="s">
        <v>363</v>
      </c>
      <c r="AH158" s="10" t="s">
        <v>377</v>
      </c>
      <c r="AI158" s="10" t="s">
        <v>370</v>
      </c>
      <c r="AJ158" s="10" t="s">
        <v>1145</v>
      </c>
      <c r="AK158" s="11" t="s">
        <v>1221</v>
      </c>
      <c r="AL158" s="5" t="s">
        <v>368</v>
      </c>
      <c r="AM158" s="11" t="s">
        <v>1134</v>
      </c>
      <c r="AN158" s="11" t="s">
        <v>1135</v>
      </c>
      <c r="AO158" s="11">
        <v>37</v>
      </c>
      <c r="AP158" s="36" t="s">
        <v>1251</v>
      </c>
      <c r="AQ158" s="11" t="s">
        <v>75</v>
      </c>
      <c r="AR158" s="11" t="s">
        <v>1219</v>
      </c>
      <c r="AS158" s="13" t="s">
        <v>1141</v>
      </c>
      <c r="AT158" s="14"/>
      <c r="AU158" s="44">
        <v>46003</v>
      </c>
    </row>
    <row r="159" spans="1:47" ht="25.5">
      <c r="A159" s="38" t="str">
        <f>VLOOKUP(Tableau1[[#This Row],[N° Département]],Feuil1!$C$6:$E$106,3)</f>
        <v>Centre-Val de Loire</v>
      </c>
      <c r="B159" s="38" t="str">
        <f>VLOOKUP(Tableau1[[#This Row],[N° Département]],Feuil1!$C$6:$E$106,2)</f>
        <v>Cher</v>
      </c>
      <c r="C159" s="38">
        <f>LEFT(Tableau1[[#This Row],[Code Postal]],2)*1</f>
        <v>18</v>
      </c>
      <c r="D159" s="10" t="s">
        <v>1122</v>
      </c>
      <c r="E159" s="26">
        <v>18390</v>
      </c>
      <c r="F159" s="10" t="s">
        <v>1123</v>
      </c>
      <c r="G159" s="39" t="str">
        <f>Tableau1[[#This Row],[Rue]]&amp;CHAR(10)&amp;Tableau1[[#This Row],[Code Postal]]&amp;" - "&amp;Tableau1[[#This Row],[Ville]]</f>
        <v>8 Rue des Vignes
18390 - Saint-Germain-du-Puy</v>
      </c>
      <c r="H159" s="15" t="s">
        <v>1103</v>
      </c>
      <c r="I159" s="12" t="s">
        <v>47</v>
      </c>
      <c r="J159" s="12" t="s">
        <v>48</v>
      </c>
      <c r="K159" s="10" t="s">
        <v>103</v>
      </c>
      <c r="L159" s="12" t="s">
        <v>103</v>
      </c>
      <c r="M159" s="36"/>
      <c r="N159" s="34">
        <v>1000</v>
      </c>
      <c r="O159" s="6" t="s">
        <v>103</v>
      </c>
      <c r="P159" s="34" t="s">
        <v>103</v>
      </c>
      <c r="Q159" s="6" t="s">
        <v>103</v>
      </c>
      <c r="R159" s="12">
        <f>Tableau1[[#This Row],[Loyer €/m²]]*Tableau1[[#This Row],[Surface GLA]]</f>
        <v>150000</v>
      </c>
      <c r="S159" s="12">
        <f>IFERROR(Tableau1[[#This Row],[Loyer annuel]]/12,"")</f>
        <v>12500</v>
      </c>
      <c r="T159" s="12">
        <v>150</v>
      </c>
      <c r="U159" s="6" t="s">
        <v>103</v>
      </c>
      <c r="V159" s="6">
        <f>Tableau1[[#This Row],[Charges €/m²]]*Tableau1[[#This Row],[Surface GLA]]</f>
        <v>3500</v>
      </c>
      <c r="W159" s="12">
        <f>Tableau1[[#This Row],[Charges annuelles]]/12</f>
        <v>291.66666666666669</v>
      </c>
      <c r="X159" s="12">
        <v>3.5</v>
      </c>
      <c r="Y159" s="12">
        <f>IFERROR(Tableau1[[#This Row],[Taxe foncière €/m²]]*Tableau1[[#This Row],[Surface GLA]],)</f>
        <v>12650</v>
      </c>
      <c r="Z159" s="12">
        <v>12.65</v>
      </c>
      <c r="AA159" s="12">
        <f>IFERROR(Tableau1[[#This Row],[Marketing €/m²]]*Tableau1[[#This Row],[Surface GLA]],)</f>
        <v>0</v>
      </c>
      <c r="AB159" s="6" t="s">
        <v>103</v>
      </c>
      <c r="AC159" s="12">
        <f>IFERROR(Tableau1[[#This Row],[Loyer annuel]]+Tableau1[[#This Row],[Charges annuelles]]+Tableau1[[#This Row],[Taxe foncière]]+Tableau1[[#This Row],[Marketing]],"")</f>
        <v>166150</v>
      </c>
      <c r="AD159" s="12" t="str">
        <f t="shared" si="6"/>
        <v>3 mois = 37 500 €</v>
      </c>
      <c r="AE159" s="6" t="s">
        <v>103</v>
      </c>
      <c r="AF159" s="46">
        <v>0.05</v>
      </c>
      <c r="AG159" s="12" t="s">
        <v>363</v>
      </c>
      <c r="AH159" s="10" t="s">
        <v>377</v>
      </c>
      <c r="AI159" s="10" t="s">
        <v>370</v>
      </c>
      <c r="AJ159" s="10" t="s">
        <v>1146</v>
      </c>
      <c r="AK159" s="11" t="s">
        <v>1147</v>
      </c>
      <c r="AL159" s="5" t="s">
        <v>368</v>
      </c>
      <c r="AM159" s="11" t="s">
        <v>1148</v>
      </c>
      <c r="AN159" s="11" t="s">
        <v>1149</v>
      </c>
      <c r="AO159" s="11">
        <v>38</v>
      </c>
      <c r="AP159" s="36" t="s">
        <v>1252</v>
      </c>
      <c r="AQ159" s="11" t="s">
        <v>75</v>
      </c>
      <c r="AR159" s="11" t="s">
        <v>1222</v>
      </c>
      <c r="AS159" s="13" t="s">
        <v>1141</v>
      </c>
      <c r="AT159" s="14"/>
      <c r="AU159" s="44">
        <v>46003</v>
      </c>
    </row>
    <row r="160" spans="1:47" ht="38.25">
      <c r="A160" s="38" t="str">
        <f>VLOOKUP(Tableau1[[#This Row],[N° Département]],Feuil1!$C$6:$E$106,3)</f>
        <v>Centre-Val de Loire</v>
      </c>
      <c r="B160" s="38" t="str">
        <f>VLOOKUP(Tableau1[[#This Row],[N° Département]],Feuil1!$C$6:$E$106,2)</f>
        <v>Cher</v>
      </c>
      <c r="C160" s="38">
        <f>LEFT(Tableau1[[#This Row],[Code Postal]],2)*1</f>
        <v>18</v>
      </c>
      <c r="D160" s="10" t="s">
        <v>1125</v>
      </c>
      <c r="E160" s="26">
        <v>18230</v>
      </c>
      <c r="F160" s="10" t="s">
        <v>1124</v>
      </c>
      <c r="G160" s="39" t="str">
        <f>Tableau1[[#This Row],[Rue]]&amp;CHAR(10)&amp;Tableau1[[#This Row],[Code Postal]]&amp;" - "&amp;Tableau1[[#This Row],[Ville]]</f>
        <v>Centre Commercial Géant,  548 Route d'Orléans
18230 -  Saint-Doulchard</v>
      </c>
      <c r="H160" s="15" t="s">
        <v>1104</v>
      </c>
      <c r="I160" s="12" t="s">
        <v>47</v>
      </c>
      <c r="J160" s="12" t="s">
        <v>49</v>
      </c>
      <c r="K160" s="10" t="s">
        <v>103</v>
      </c>
      <c r="L160" s="12"/>
      <c r="M160" s="36"/>
      <c r="N160" s="34">
        <v>5000</v>
      </c>
      <c r="O160" s="6" t="s">
        <v>103</v>
      </c>
      <c r="P160" s="34" t="s">
        <v>103</v>
      </c>
      <c r="Q160" s="6" t="s">
        <v>103</v>
      </c>
      <c r="R160" s="12">
        <f>Tableau1[[#This Row],[Loyer €/m²]]*Tableau1[[#This Row],[Surface GLA]]</f>
        <v>0</v>
      </c>
      <c r="S160" s="12">
        <f>IFERROR(Tableau1[[#This Row],[Loyer annuel]]/12,"")</f>
        <v>0</v>
      </c>
      <c r="T160" s="12"/>
      <c r="U160" s="6" t="s">
        <v>103</v>
      </c>
      <c r="V160" s="6">
        <f>Tableau1[[#This Row],[Charges €/m²]]*Tableau1[[#This Row],[Surface GLA]]</f>
        <v>0</v>
      </c>
      <c r="W160" s="12">
        <f>Tableau1[[#This Row],[Charges annuelles]]/12</f>
        <v>0</v>
      </c>
      <c r="X160" s="12"/>
      <c r="Y160" s="12">
        <f>IFERROR(Tableau1[[#This Row],[Taxe foncière €/m²]]*Tableau1[[#This Row],[Surface GLA]],)</f>
        <v>0</v>
      </c>
      <c r="Z160" s="12"/>
      <c r="AA160" s="12">
        <f>IFERROR(Tableau1[[#This Row],[Marketing €/m²]]*Tableau1[[#This Row],[Surface GLA]],)</f>
        <v>0</v>
      </c>
      <c r="AB160" s="6" t="s">
        <v>103</v>
      </c>
      <c r="AC160" s="12">
        <f>IFERROR(Tableau1[[#This Row],[Loyer annuel]]+Tableau1[[#This Row],[Charges annuelles]]+Tableau1[[#This Row],[Taxe foncière]]+Tableau1[[#This Row],[Marketing]],"")</f>
        <v>0</v>
      </c>
      <c r="AD160" s="12" t="str">
        <f t="shared" si="6"/>
        <v>3 mois = 0 €</v>
      </c>
      <c r="AE160" s="6" t="s">
        <v>103</v>
      </c>
      <c r="AF160" s="6" t="s">
        <v>103</v>
      </c>
      <c r="AG160" s="12" t="s">
        <v>363</v>
      </c>
      <c r="AH160" s="10" t="s">
        <v>53</v>
      </c>
      <c r="AI160" s="10" t="s">
        <v>103</v>
      </c>
      <c r="AJ160" s="10" t="s">
        <v>1150</v>
      </c>
      <c r="AK160" s="11" t="s">
        <v>1153</v>
      </c>
      <c r="AL160" s="5" t="s">
        <v>368</v>
      </c>
      <c r="AM160" s="11" t="s">
        <v>1151</v>
      </c>
      <c r="AN160" s="11" t="s">
        <v>1152</v>
      </c>
      <c r="AO160" s="11">
        <v>39</v>
      </c>
      <c r="AP160" s="36" t="s">
        <v>1183</v>
      </c>
      <c r="AQ160" s="11" t="s">
        <v>75</v>
      </c>
      <c r="AR160" s="11"/>
      <c r="AS160" s="13" t="s">
        <v>1141</v>
      </c>
      <c r="AT160" s="14"/>
      <c r="AU160" s="44">
        <v>46003</v>
      </c>
    </row>
    <row r="161" spans="1:47" ht="38.25">
      <c r="A161" s="38" t="str">
        <f>VLOOKUP(Tableau1[[#This Row],[N° Département]],Feuil1!$C$6:$E$106,3)</f>
        <v>Grand Est</v>
      </c>
      <c r="B161" s="38" t="str">
        <f>VLOOKUP(Tableau1[[#This Row],[N° Département]],Feuil1!$C$6:$E$106,2)</f>
        <v>Meurthe-et-Moselle</v>
      </c>
      <c r="C161" s="38">
        <f>LEFT(Tableau1[[#This Row],[Code Postal]],2)*1</f>
        <v>54</v>
      </c>
      <c r="D161" s="10" t="s">
        <v>1126</v>
      </c>
      <c r="E161" s="26">
        <v>54000</v>
      </c>
      <c r="F161" s="10" t="s">
        <v>1096</v>
      </c>
      <c r="G161" s="39" t="str">
        <f>Tableau1[[#This Row],[Rue]]&amp;CHAR(10)&amp;Tableau1[[#This Row],[Code Postal]]&amp;" - "&amp;Tableau1[[#This Row],[Ville]]</f>
        <v>50 Rue Saint-Dizier
54000 - Nancy</v>
      </c>
      <c r="H161" s="15" t="s">
        <v>1105</v>
      </c>
      <c r="I161" s="12" t="s">
        <v>45</v>
      </c>
      <c r="J161" s="12" t="s">
        <v>44</v>
      </c>
      <c r="K161" s="10" t="s">
        <v>103</v>
      </c>
      <c r="L161" s="12" t="s">
        <v>103</v>
      </c>
      <c r="M161" s="36"/>
      <c r="N161" s="34">
        <v>550</v>
      </c>
      <c r="O161" s="6" t="s">
        <v>1224</v>
      </c>
      <c r="P161" s="34" t="s">
        <v>103</v>
      </c>
      <c r="Q161" s="6" t="s">
        <v>103</v>
      </c>
      <c r="R161" s="12">
        <f>Tableau1[[#This Row],[Loyer €/m²]]*Tableau1[[#This Row],[Surface GLA]]</f>
        <v>330000</v>
      </c>
      <c r="S161" s="12">
        <f>IFERROR(Tableau1[[#This Row],[Loyer annuel]]/12,"")</f>
        <v>27500</v>
      </c>
      <c r="T161" s="12">
        <v>600</v>
      </c>
      <c r="U161" s="6" t="s">
        <v>103</v>
      </c>
      <c r="V161" s="6">
        <f>Tableau1[[#This Row],[Charges €/m²]]*Tableau1[[#This Row],[Surface GLA]]</f>
        <v>2750</v>
      </c>
      <c r="W161" s="12">
        <f>Tableau1[[#This Row],[Charges annuelles]]/12</f>
        <v>229.16666666666666</v>
      </c>
      <c r="X161" s="12">
        <v>5</v>
      </c>
      <c r="Y161" s="12">
        <f>IFERROR(Tableau1[[#This Row],[Taxe foncière €/m²]]*Tableau1[[#This Row],[Surface GLA]],)</f>
        <v>8250</v>
      </c>
      <c r="Z161" s="12">
        <v>15</v>
      </c>
      <c r="AA161" s="12">
        <f>IFERROR(Tableau1[[#This Row],[Marketing €/m²]]*Tableau1[[#This Row],[Surface GLA]],)</f>
        <v>0</v>
      </c>
      <c r="AB161" s="6" t="s">
        <v>103</v>
      </c>
      <c r="AC161" s="12">
        <f>IFERROR(Tableau1[[#This Row],[Loyer annuel]]+Tableau1[[#This Row],[Charges annuelles]]+Tableau1[[#This Row],[Taxe foncière]]+Tableau1[[#This Row],[Marketing]],"")</f>
        <v>341000</v>
      </c>
      <c r="AD161" s="12" t="str">
        <f t="shared" si="6"/>
        <v>3 mois = 82 500 €</v>
      </c>
      <c r="AE161" s="6" t="s">
        <v>103</v>
      </c>
      <c r="AF161" s="46">
        <v>0.05</v>
      </c>
      <c r="AG161" s="12" t="s">
        <v>363</v>
      </c>
      <c r="AH161" s="10" t="s">
        <v>75</v>
      </c>
      <c r="AI161" s="10" t="s">
        <v>370</v>
      </c>
      <c r="AJ161" s="10" t="s">
        <v>1156</v>
      </c>
      <c r="AK161" s="11" t="s">
        <v>1225</v>
      </c>
      <c r="AL161" s="5" t="s">
        <v>368</v>
      </c>
      <c r="AM161" s="11" t="s">
        <v>1154</v>
      </c>
      <c r="AN161" s="11" t="s">
        <v>1155</v>
      </c>
      <c r="AO161" s="11">
        <v>40</v>
      </c>
      <c r="AP161" s="36" t="s">
        <v>1253</v>
      </c>
      <c r="AQ161" s="11" t="s">
        <v>75</v>
      </c>
      <c r="AR161" s="11" t="s">
        <v>1223</v>
      </c>
      <c r="AS161" s="13" t="s">
        <v>1141</v>
      </c>
      <c r="AT161" s="14"/>
      <c r="AU161" s="44">
        <v>46003</v>
      </c>
    </row>
    <row r="162" spans="1:47" ht="38.25">
      <c r="A162" s="38" t="str">
        <f>VLOOKUP(Tableau1[[#This Row],[N° Département]],Feuil1!$C$6:$E$106,3)</f>
        <v>Hauts-de-France</v>
      </c>
      <c r="B162" s="38" t="str">
        <f>VLOOKUP(Tableau1[[#This Row],[N° Département]],Feuil1!$C$6:$E$106,2)</f>
        <v>Nord</v>
      </c>
      <c r="C162" s="38">
        <f>LEFT(Tableau1[[#This Row],[Code Postal]],2)*1</f>
        <v>59</v>
      </c>
      <c r="D162" s="10" t="s">
        <v>1127</v>
      </c>
      <c r="E162" s="26">
        <v>59300</v>
      </c>
      <c r="F162" s="10" t="s">
        <v>1128</v>
      </c>
      <c r="G162" s="39" t="str">
        <f>Tableau1[[#This Row],[Rue]]&amp;CHAR(10)&amp;Tableau1[[#This Row],[Code Postal]]&amp;" - "&amp;Tableau1[[#This Row],[Ville]]</f>
        <v>ZAC D'Aulnoy
59300 - Aulnoy-lez-Valenciennes</v>
      </c>
      <c r="H162" s="15" t="s">
        <v>1293</v>
      </c>
      <c r="I162" s="12" t="s">
        <v>47</v>
      </c>
      <c r="J162" s="12" t="s">
        <v>49</v>
      </c>
      <c r="K162" s="10" t="s">
        <v>103</v>
      </c>
      <c r="L162" s="12" t="s">
        <v>103</v>
      </c>
      <c r="M162" s="36"/>
      <c r="N162" s="34">
        <v>480</v>
      </c>
      <c r="O162" s="6" t="s">
        <v>103</v>
      </c>
      <c r="P162" s="34" t="s">
        <v>103</v>
      </c>
      <c r="Q162" s="6" t="s">
        <v>103</v>
      </c>
      <c r="R162" s="12">
        <f>Tableau1[[#This Row],[Loyer €/m²]]*Tableau1[[#This Row],[Surface GLA]]</f>
        <v>144000</v>
      </c>
      <c r="S162" s="12">
        <f>IFERROR(Tableau1[[#This Row],[Loyer annuel]]/12,"")</f>
        <v>12000</v>
      </c>
      <c r="T162" s="12">
        <v>300</v>
      </c>
      <c r="U162" s="46">
        <v>0.08</v>
      </c>
      <c r="V162" s="6">
        <f>Tableau1[[#This Row],[Charges €/m²]]*Tableau1[[#This Row],[Surface GLA]]</f>
        <v>32880</v>
      </c>
      <c r="W162" s="12">
        <f>Tableau1[[#This Row],[Charges annuelles]]/12</f>
        <v>2740</v>
      </c>
      <c r="X162" s="12">
        <v>68.5</v>
      </c>
      <c r="Y162" s="12">
        <f>IFERROR(Tableau1[[#This Row],[Taxe foncière €/m²]]*Tableau1[[#This Row],[Surface GLA]],)</f>
        <v>16800</v>
      </c>
      <c r="Z162" s="12">
        <v>35</v>
      </c>
      <c r="AA162" s="12">
        <f>IFERROR(Tableau1[[#This Row],[Marketing €/m²]]*Tableau1[[#This Row],[Surface GLA]],)</f>
        <v>0</v>
      </c>
      <c r="AB162" s="6" t="s">
        <v>103</v>
      </c>
      <c r="AC162" s="12">
        <f>IFERROR(Tableau1[[#This Row],[Loyer annuel]]+Tableau1[[#This Row],[Charges annuelles]]+Tableau1[[#This Row],[Taxe foncière]]+Tableau1[[#This Row],[Marketing]],"")</f>
        <v>193680</v>
      </c>
      <c r="AD162" s="12" t="str">
        <f t="shared" si="6"/>
        <v>3 mois = 36 000 €</v>
      </c>
      <c r="AE162" s="6" t="s">
        <v>103</v>
      </c>
      <c r="AF162" s="46">
        <v>0.05</v>
      </c>
      <c r="AG162" s="12" t="s">
        <v>363</v>
      </c>
      <c r="AH162" s="10" t="s">
        <v>377</v>
      </c>
      <c r="AI162" s="10" t="s">
        <v>370</v>
      </c>
      <c r="AJ162" s="10" t="s">
        <v>1295</v>
      </c>
      <c r="AK162" s="11" t="s">
        <v>1296</v>
      </c>
      <c r="AL162" s="5" t="s">
        <v>368</v>
      </c>
      <c r="AM162" s="11" t="s">
        <v>1282</v>
      </c>
      <c r="AN162" s="11" t="s">
        <v>1283</v>
      </c>
      <c r="AO162" s="11" t="s">
        <v>1270</v>
      </c>
      <c r="AP162" s="36" t="s">
        <v>1298</v>
      </c>
      <c r="AQ162" s="11" t="s">
        <v>75</v>
      </c>
      <c r="AR162" s="11" t="s">
        <v>1276</v>
      </c>
      <c r="AS162" s="13" t="s">
        <v>1141</v>
      </c>
      <c r="AT162" s="14"/>
      <c r="AU162" s="44">
        <v>46003</v>
      </c>
    </row>
    <row r="163" spans="1:47" ht="25.5">
      <c r="A163" s="38" t="str">
        <f>VLOOKUP(Tableau1[[#This Row],[N° Département]],Feuil1!$C$6:$E$106,3)</f>
        <v>Hauts-de-France</v>
      </c>
      <c r="B163" s="38" t="str">
        <f>VLOOKUP(Tableau1[[#This Row],[N° Département]],Feuil1!$C$6:$E$106,2)</f>
        <v>Nord</v>
      </c>
      <c r="C163" s="38">
        <f>LEFT(Tableau1[[#This Row],[Code Postal]],2)*1</f>
        <v>59</v>
      </c>
      <c r="D163" s="10" t="s">
        <v>1127</v>
      </c>
      <c r="E163" s="26">
        <v>59300</v>
      </c>
      <c r="F163" s="10" t="s">
        <v>1128</v>
      </c>
      <c r="G163" s="39" t="str">
        <f>Tableau1[[#This Row],[Rue]]&amp;CHAR(10)&amp;Tableau1[[#This Row],[Code Postal]]&amp;" - "&amp;Tableau1[[#This Row],[Ville]]</f>
        <v>ZAC D'Aulnoy
59300 - Aulnoy-lez-Valenciennes</v>
      </c>
      <c r="H163" s="15" t="s">
        <v>1293</v>
      </c>
      <c r="I163" s="12" t="s">
        <v>47</v>
      </c>
      <c r="J163" s="12" t="s">
        <v>49</v>
      </c>
      <c r="K163" s="10" t="s">
        <v>103</v>
      </c>
      <c r="L163" s="12" t="s">
        <v>103</v>
      </c>
      <c r="M163" s="36"/>
      <c r="N163" s="34">
        <v>200</v>
      </c>
      <c r="O163" s="6" t="s">
        <v>103</v>
      </c>
      <c r="P163" s="34" t="s">
        <v>103</v>
      </c>
      <c r="Q163" s="6" t="s">
        <v>103</v>
      </c>
      <c r="R163" s="12">
        <f>Tableau1[[#This Row],[Loyer €/m²]]*Tableau1[[#This Row],[Surface GLA]]</f>
        <v>110000</v>
      </c>
      <c r="S163" s="12">
        <f>IFERROR(Tableau1[[#This Row],[Loyer annuel]]/12,"")</f>
        <v>9166.6666666666661</v>
      </c>
      <c r="T163" s="12">
        <v>550</v>
      </c>
      <c r="U163" s="46">
        <v>0.08</v>
      </c>
      <c r="V163" s="6">
        <f>Tableau1[[#This Row],[Charges €/m²]]*Tableau1[[#This Row],[Surface GLA]]</f>
        <v>13700</v>
      </c>
      <c r="W163" s="12">
        <f>Tableau1[[#This Row],[Charges annuelles]]/12</f>
        <v>1141.6666666666667</v>
      </c>
      <c r="X163" s="12">
        <v>68.5</v>
      </c>
      <c r="Y163" s="12">
        <f>IFERROR(Tableau1[[#This Row],[Taxe foncière €/m²]]*Tableau1[[#This Row],[Surface GLA]],)</f>
        <v>7000</v>
      </c>
      <c r="Z163" s="12">
        <v>35</v>
      </c>
      <c r="AA163" s="12">
        <f>IFERROR(Tableau1[[#This Row],[Marketing €/m²]]*Tableau1[[#This Row],[Surface GLA]],)</f>
        <v>5000</v>
      </c>
      <c r="AB163" s="6">
        <v>25</v>
      </c>
      <c r="AC163" s="12">
        <f>IFERROR(Tableau1[[#This Row],[Loyer annuel]]+Tableau1[[#This Row],[Charges annuelles]]+Tableau1[[#This Row],[Taxe foncière]]+Tableau1[[#This Row],[Marketing]],"")</f>
        <v>135700</v>
      </c>
      <c r="AD163" s="12" t="str">
        <f t="shared" si="6"/>
        <v>3 mois = 27 500 €</v>
      </c>
      <c r="AE163" s="6" t="s">
        <v>103</v>
      </c>
      <c r="AF163" s="46">
        <v>0.05</v>
      </c>
      <c r="AG163" s="12" t="s">
        <v>363</v>
      </c>
      <c r="AH163" s="10" t="s">
        <v>377</v>
      </c>
      <c r="AI163" s="10" t="s">
        <v>370</v>
      </c>
      <c r="AJ163" s="10" t="s">
        <v>1295</v>
      </c>
      <c r="AK163" s="11" t="s">
        <v>1297</v>
      </c>
      <c r="AL163" s="5" t="s">
        <v>368</v>
      </c>
      <c r="AM163" s="11" t="s">
        <v>1284</v>
      </c>
      <c r="AN163" s="11" t="s">
        <v>1285</v>
      </c>
      <c r="AO163" s="11" t="s">
        <v>1271</v>
      </c>
      <c r="AP163" s="36" t="s">
        <v>1299</v>
      </c>
      <c r="AQ163" s="11" t="s">
        <v>75</v>
      </c>
      <c r="AR163" s="11" t="s">
        <v>1277</v>
      </c>
      <c r="AS163" s="13" t="s">
        <v>1141</v>
      </c>
      <c r="AT163" s="14"/>
      <c r="AU163" s="44"/>
    </row>
    <row r="164" spans="1:47" ht="25.5">
      <c r="A164" s="38" t="str">
        <f>VLOOKUP(Tableau1[[#This Row],[N° Département]],Feuil1!$C$6:$E$106,3)</f>
        <v>Hauts-de-France</v>
      </c>
      <c r="B164" s="38" t="str">
        <f>VLOOKUP(Tableau1[[#This Row],[N° Département]],Feuil1!$C$6:$E$106,2)</f>
        <v>Nord</v>
      </c>
      <c r="C164" s="38">
        <f>LEFT(Tableau1[[#This Row],[Code Postal]],2)*1</f>
        <v>59</v>
      </c>
      <c r="D164" s="10" t="s">
        <v>1127</v>
      </c>
      <c r="E164" s="26">
        <v>59300</v>
      </c>
      <c r="F164" s="10" t="s">
        <v>1128</v>
      </c>
      <c r="G164" s="39" t="str">
        <f>Tableau1[[#This Row],[Rue]]&amp;CHAR(10)&amp;Tableau1[[#This Row],[Code Postal]]&amp;" - "&amp;Tableau1[[#This Row],[Ville]]</f>
        <v>ZAC D'Aulnoy
59300 - Aulnoy-lez-Valenciennes</v>
      </c>
      <c r="H164" s="15" t="s">
        <v>1293</v>
      </c>
      <c r="I164" s="12" t="s">
        <v>47</v>
      </c>
      <c r="J164" s="12" t="s">
        <v>49</v>
      </c>
      <c r="K164" s="10" t="s">
        <v>103</v>
      </c>
      <c r="L164" s="12" t="s">
        <v>103</v>
      </c>
      <c r="M164" s="36"/>
      <c r="N164" s="34">
        <v>90</v>
      </c>
      <c r="O164" s="6" t="s">
        <v>103</v>
      </c>
      <c r="P164" s="34" t="s">
        <v>103</v>
      </c>
      <c r="Q164" s="6" t="s">
        <v>103</v>
      </c>
      <c r="R164" s="12">
        <f>Tableau1[[#This Row],[Loyer €/m²]]*Tableau1[[#This Row],[Surface GLA]]</f>
        <v>54000</v>
      </c>
      <c r="S164" s="12">
        <f>IFERROR(Tableau1[[#This Row],[Loyer annuel]]/12,"")</f>
        <v>4500</v>
      </c>
      <c r="T164" s="12">
        <v>600</v>
      </c>
      <c r="U164" s="46">
        <v>0.08</v>
      </c>
      <c r="V164" s="6">
        <f>Tableau1[[#This Row],[Charges €/m²]]*Tableau1[[#This Row],[Surface GLA]]</f>
        <v>6165</v>
      </c>
      <c r="W164" s="12">
        <f>Tableau1[[#This Row],[Charges annuelles]]/12</f>
        <v>513.75</v>
      </c>
      <c r="X164" s="12">
        <v>68.5</v>
      </c>
      <c r="Y164" s="12">
        <f>IFERROR(Tableau1[[#This Row],[Taxe foncière €/m²]]*Tableau1[[#This Row],[Surface GLA]],)</f>
        <v>3150</v>
      </c>
      <c r="Z164" s="12">
        <v>35</v>
      </c>
      <c r="AA164" s="12">
        <f>IFERROR(Tableau1[[#This Row],[Marketing €/m²]]*Tableau1[[#This Row],[Surface GLA]],)</f>
        <v>2250</v>
      </c>
      <c r="AB164" s="6">
        <v>25</v>
      </c>
      <c r="AC164" s="12">
        <f>IFERROR(Tableau1[[#This Row],[Loyer annuel]]+Tableau1[[#This Row],[Charges annuelles]]+Tableau1[[#This Row],[Taxe foncière]]+Tableau1[[#This Row],[Marketing]],"")</f>
        <v>65565</v>
      </c>
      <c r="AD164" s="12" t="str">
        <f t="shared" si="6"/>
        <v>3 mois = 13 500 €</v>
      </c>
      <c r="AE164" s="6" t="s">
        <v>103</v>
      </c>
      <c r="AF164" s="46">
        <v>0.05</v>
      </c>
      <c r="AG164" s="12" t="s">
        <v>363</v>
      </c>
      <c r="AH164" s="10" t="s">
        <v>377</v>
      </c>
      <c r="AI164" s="10" t="s">
        <v>370</v>
      </c>
      <c r="AJ164" s="10" t="s">
        <v>1295</v>
      </c>
      <c r="AK164" s="11" t="s">
        <v>1297</v>
      </c>
      <c r="AL164" s="5" t="s">
        <v>368</v>
      </c>
      <c r="AM164" s="11" t="s">
        <v>1284</v>
      </c>
      <c r="AN164" s="11" t="s">
        <v>1286</v>
      </c>
      <c r="AO164" s="11" t="s">
        <v>1272</v>
      </c>
      <c r="AP164" s="36" t="s">
        <v>1300</v>
      </c>
      <c r="AQ164" s="11" t="s">
        <v>75</v>
      </c>
      <c r="AR164" s="11" t="s">
        <v>1278</v>
      </c>
      <c r="AS164" s="13" t="s">
        <v>1141</v>
      </c>
      <c r="AT164" s="14"/>
      <c r="AU164" s="44"/>
    </row>
    <row r="165" spans="1:47" ht="25.5">
      <c r="A165" s="38" t="str">
        <f>VLOOKUP(Tableau1[[#This Row],[N° Département]],Feuil1!$C$6:$E$106,3)</f>
        <v>Hauts-de-France</v>
      </c>
      <c r="B165" s="38" t="str">
        <f>VLOOKUP(Tableau1[[#This Row],[N° Département]],Feuil1!$C$6:$E$106,2)</f>
        <v>Nord</v>
      </c>
      <c r="C165" s="38">
        <f>LEFT(Tableau1[[#This Row],[Code Postal]],2)*1</f>
        <v>59</v>
      </c>
      <c r="D165" s="10" t="s">
        <v>1127</v>
      </c>
      <c r="E165" s="26">
        <v>59300</v>
      </c>
      <c r="F165" s="10" t="s">
        <v>1128</v>
      </c>
      <c r="G165" s="39" t="str">
        <f>Tableau1[[#This Row],[Rue]]&amp;CHAR(10)&amp;Tableau1[[#This Row],[Code Postal]]&amp;" - "&amp;Tableau1[[#This Row],[Ville]]</f>
        <v>ZAC D'Aulnoy
59300 - Aulnoy-lez-Valenciennes</v>
      </c>
      <c r="H165" s="15" t="s">
        <v>1293</v>
      </c>
      <c r="I165" s="12" t="s">
        <v>47</v>
      </c>
      <c r="J165" s="12" t="s">
        <v>49</v>
      </c>
      <c r="K165" s="10" t="s">
        <v>103</v>
      </c>
      <c r="L165" s="12" t="s">
        <v>103</v>
      </c>
      <c r="M165" s="36"/>
      <c r="N165" s="34">
        <v>78</v>
      </c>
      <c r="O165" s="6" t="s">
        <v>103</v>
      </c>
      <c r="P165" s="34" t="s">
        <v>103</v>
      </c>
      <c r="Q165" s="6" t="s">
        <v>103</v>
      </c>
      <c r="R165" s="12">
        <f>Tableau1[[#This Row],[Loyer €/m²]]*Tableau1[[#This Row],[Surface GLA]]</f>
        <v>46800</v>
      </c>
      <c r="S165" s="12">
        <f>IFERROR(Tableau1[[#This Row],[Loyer annuel]]/12,"")</f>
        <v>3900</v>
      </c>
      <c r="T165" s="12">
        <v>600</v>
      </c>
      <c r="U165" s="46">
        <v>0.08</v>
      </c>
      <c r="V165" s="6">
        <f>Tableau1[[#This Row],[Charges €/m²]]*Tableau1[[#This Row],[Surface GLA]]</f>
        <v>5343</v>
      </c>
      <c r="W165" s="12">
        <f>Tableau1[[#This Row],[Charges annuelles]]/12</f>
        <v>445.25</v>
      </c>
      <c r="X165" s="12">
        <v>68.5</v>
      </c>
      <c r="Y165" s="12">
        <f>IFERROR(Tableau1[[#This Row],[Taxe foncière €/m²]]*Tableau1[[#This Row],[Surface GLA]],)</f>
        <v>2730</v>
      </c>
      <c r="Z165" s="12">
        <v>35</v>
      </c>
      <c r="AA165" s="12">
        <f>IFERROR(Tableau1[[#This Row],[Marketing €/m²]]*Tableau1[[#This Row],[Surface GLA]],)</f>
        <v>1950</v>
      </c>
      <c r="AB165" s="6">
        <v>25</v>
      </c>
      <c r="AC165" s="12">
        <f>IFERROR(Tableau1[[#This Row],[Loyer annuel]]+Tableau1[[#This Row],[Charges annuelles]]+Tableau1[[#This Row],[Taxe foncière]]+Tableau1[[#This Row],[Marketing]],"")</f>
        <v>56823</v>
      </c>
      <c r="AD165" s="12" t="str">
        <f t="shared" si="6"/>
        <v>3 mois = 11 700 €</v>
      </c>
      <c r="AE165" s="6" t="s">
        <v>103</v>
      </c>
      <c r="AF165" s="46">
        <v>0.05</v>
      </c>
      <c r="AG165" s="12" t="s">
        <v>363</v>
      </c>
      <c r="AH165" s="10" t="s">
        <v>53</v>
      </c>
      <c r="AI165" s="10" t="s">
        <v>369</v>
      </c>
      <c r="AJ165" s="10" t="s">
        <v>1295</v>
      </c>
      <c r="AK165" s="11" t="s">
        <v>1297</v>
      </c>
      <c r="AL165" s="5" t="s">
        <v>368</v>
      </c>
      <c r="AM165" s="11" t="s">
        <v>1287</v>
      </c>
      <c r="AN165" s="11" t="s">
        <v>1288</v>
      </c>
      <c r="AO165" s="11" t="s">
        <v>1273</v>
      </c>
      <c r="AP165" s="36" t="s">
        <v>1301</v>
      </c>
      <c r="AQ165" s="11" t="s">
        <v>75</v>
      </c>
      <c r="AR165" s="11" t="s">
        <v>1279</v>
      </c>
      <c r="AS165" s="13" t="s">
        <v>1141</v>
      </c>
      <c r="AT165" s="14"/>
      <c r="AU165" s="44"/>
    </row>
    <row r="166" spans="1:47" ht="25.5">
      <c r="A166" s="38" t="str">
        <f>VLOOKUP(Tableau1[[#This Row],[N° Département]],Feuil1!$C$6:$E$106,3)</f>
        <v>Hauts-de-France</v>
      </c>
      <c r="B166" s="38" t="str">
        <f>VLOOKUP(Tableau1[[#This Row],[N° Département]],Feuil1!$C$6:$E$106,2)</f>
        <v>Nord</v>
      </c>
      <c r="C166" s="38">
        <f>LEFT(Tableau1[[#This Row],[Code Postal]],2)*1</f>
        <v>59</v>
      </c>
      <c r="D166" s="10" t="s">
        <v>1127</v>
      </c>
      <c r="E166" s="26">
        <v>59300</v>
      </c>
      <c r="F166" s="10" t="s">
        <v>1128</v>
      </c>
      <c r="G166" s="39" t="str">
        <f>Tableau1[[#This Row],[Rue]]&amp;CHAR(10)&amp;Tableau1[[#This Row],[Code Postal]]&amp;" - "&amp;Tableau1[[#This Row],[Ville]]</f>
        <v>ZAC D'Aulnoy
59300 - Aulnoy-lez-Valenciennes</v>
      </c>
      <c r="H166" s="15" t="s">
        <v>1293</v>
      </c>
      <c r="I166" s="12" t="s">
        <v>47</v>
      </c>
      <c r="J166" s="12" t="s">
        <v>49</v>
      </c>
      <c r="K166" s="10" t="s">
        <v>103</v>
      </c>
      <c r="L166" s="12" t="s">
        <v>103</v>
      </c>
      <c r="M166" s="36"/>
      <c r="N166" s="34">
        <v>70</v>
      </c>
      <c r="O166" s="6" t="s">
        <v>103</v>
      </c>
      <c r="P166" s="34" t="s">
        <v>103</v>
      </c>
      <c r="Q166" s="6" t="s">
        <v>103</v>
      </c>
      <c r="R166" s="12">
        <f>Tableau1[[#This Row],[Loyer €/m²]]*Tableau1[[#This Row],[Surface GLA]]</f>
        <v>38500</v>
      </c>
      <c r="S166" s="12">
        <f>IFERROR(Tableau1[[#This Row],[Loyer annuel]]/12,"")</f>
        <v>3208.3333333333335</v>
      </c>
      <c r="T166" s="12">
        <v>550</v>
      </c>
      <c r="U166" s="46">
        <v>0.08</v>
      </c>
      <c r="V166" s="6">
        <f>Tableau1[[#This Row],[Charges €/m²]]*Tableau1[[#This Row],[Surface GLA]]</f>
        <v>4795</v>
      </c>
      <c r="W166" s="12">
        <f>Tableau1[[#This Row],[Charges annuelles]]/12</f>
        <v>399.58333333333331</v>
      </c>
      <c r="X166" s="12">
        <v>68.5</v>
      </c>
      <c r="Y166" s="12">
        <f>IFERROR(Tableau1[[#This Row],[Taxe foncière €/m²]]*Tableau1[[#This Row],[Surface GLA]],)</f>
        <v>2450</v>
      </c>
      <c r="Z166" s="12">
        <v>35</v>
      </c>
      <c r="AA166" s="12">
        <f>IFERROR(Tableau1[[#This Row],[Marketing €/m²]]*Tableau1[[#This Row],[Surface GLA]],)</f>
        <v>1750</v>
      </c>
      <c r="AB166" s="6">
        <v>25</v>
      </c>
      <c r="AC166" s="12">
        <f>IFERROR(Tableau1[[#This Row],[Loyer annuel]]+Tableau1[[#This Row],[Charges annuelles]]+Tableau1[[#This Row],[Taxe foncière]]+Tableau1[[#This Row],[Marketing]],"")</f>
        <v>47495</v>
      </c>
      <c r="AD166" s="12" t="str">
        <f t="shared" si="6"/>
        <v>3 mois = 9 625 €</v>
      </c>
      <c r="AE166" s="6" t="s">
        <v>103</v>
      </c>
      <c r="AF166" s="46">
        <v>0.05</v>
      </c>
      <c r="AG166" s="12" t="s">
        <v>363</v>
      </c>
      <c r="AH166" s="10" t="s">
        <v>377</v>
      </c>
      <c r="AI166" s="10" t="s">
        <v>370</v>
      </c>
      <c r="AJ166" s="10" t="s">
        <v>1295</v>
      </c>
      <c r="AK166" s="11" t="s">
        <v>1297</v>
      </c>
      <c r="AL166" s="5" t="s">
        <v>368</v>
      </c>
      <c r="AM166" s="11" t="s">
        <v>1289</v>
      </c>
      <c r="AN166" s="11" t="s">
        <v>1290</v>
      </c>
      <c r="AO166" s="11" t="s">
        <v>1274</v>
      </c>
      <c r="AP166" s="36" t="s">
        <v>1302</v>
      </c>
      <c r="AQ166" s="11" t="s">
        <v>75</v>
      </c>
      <c r="AR166" s="11" t="s">
        <v>1280</v>
      </c>
      <c r="AS166" s="13" t="s">
        <v>1141</v>
      </c>
      <c r="AT166" s="14"/>
      <c r="AU166" s="44"/>
    </row>
    <row r="167" spans="1:47" ht="25.5">
      <c r="A167" s="38" t="str">
        <f>VLOOKUP(Tableau1[[#This Row],[N° Département]],Feuil1!$C$6:$E$106,3)</f>
        <v>Hauts-de-France</v>
      </c>
      <c r="B167" s="38" t="str">
        <f>VLOOKUP(Tableau1[[#This Row],[N° Département]],Feuil1!$C$6:$E$106,2)</f>
        <v>Nord</v>
      </c>
      <c r="C167" s="38">
        <f>LEFT(Tableau1[[#This Row],[Code Postal]],2)*1</f>
        <v>59</v>
      </c>
      <c r="D167" s="10" t="s">
        <v>1127</v>
      </c>
      <c r="E167" s="26">
        <v>59300</v>
      </c>
      <c r="F167" s="10" t="s">
        <v>1128</v>
      </c>
      <c r="G167" s="39" t="str">
        <f>Tableau1[[#This Row],[Rue]]&amp;CHAR(10)&amp;Tableau1[[#This Row],[Code Postal]]&amp;" - "&amp;Tableau1[[#This Row],[Ville]]</f>
        <v>ZAC D'Aulnoy
59300 - Aulnoy-lez-Valenciennes</v>
      </c>
      <c r="H167" s="15" t="s">
        <v>1293</v>
      </c>
      <c r="I167" s="12" t="s">
        <v>47</v>
      </c>
      <c r="J167" s="12" t="s">
        <v>49</v>
      </c>
      <c r="K167" s="10" t="s">
        <v>1304</v>
      </c>
      <c r="L167" s="12" t="s">
        <v>103</v>
      </c>
      <c r="M167" s="36"/>
      <c r="N167" s="34">
        <v>20</v>
      </c>
      <c r="O167" s="6" t="s">
        <v>103</v>
      </c>
      <c r="P167" s="34" t="s">
        <v>103</v>
      </c>
      <c r="Q167" s="6" t="s">
        <v>103</v>
      </c>
      <c r="R167" s="12">
        <f>Tableau1[[#This Row],[Loyer €/m²]]*Tableau1[[#This Row],[Surface GLA]]</f>
        <v>24000</v>
      </c>
      <c r="S167" s="12">
        <f>IFERROR(Tableau1[[#This Row],[Loyer annuel]]/12,"")</f>
        <v>2000</v>
      </c>
      <c r="T167" s="12">
        <v>1200</v>
      </c>
      <c r="U167" s="46">
        <v>0.08</v>
      </c>
      <c r="V167" s="6">
        <f>Tableau1[[#This Row],[Charges €/m²]]*Tableau1[[#This Row],[Surface GLA]]</f>
        <v>1370</v>
      </c>
      <c r="W167" s="12">
        <f>Tableau1[[#This Row],[Charges annuelles]]/12</f>
        <v>114.16666666666667</v>
      </c>
      <c r="X167" s="12">
        <v>68.5</v>
      </c>
      <c r="Y167" s="12">
        <f>IFERROR(Tableau1[[#This Row],[Taxe foncière €/m²]]*Tableau1[[#This Row],[Surface GLA]],)</f>
        <v>700</v>
      </c>
      <c r="Z167" s="12">
        <v>35</v>
      </c>
      <c r="AA167" s="12">
        <f>IFERROR(Tableau1[[#This Row],[Marketing €/m²]]*Tableau1[[#This Row],[Surface GLA]],)</f>
        <v>500</v>
      </c>
      <c r="AB167" s="6">
        <v>25</v>
      </c>
      <c r="AC167" s="12">
        <f>IFERROR(Tableau1[[#This Row],[Loyer annuel]]+Tableau1[[#This Row],[Charges annuelles]]+Tableau1[[#This Row],[Taxe foncière]]+Tableau1[[#This Row],[Marketing]],"")</f>
        <v>26570</v>
      </c>
      <c r="AD167" s="12" t="str">
        <f t="shared" si="6"/>
        <v>3 mois = 6 000 €</v>
      </c>
      <c r="AE167" s="6" t="s">
        <v>103</v>
      </c>
      <c r="AF167" s="46">
        <v>0.05</v>
      </c>
      <c r="AG167" s="12" t="s">
        <v>363</v>
      </c>
      <c r="AH167" s="10" t="s">
        <v>53</v>
      </c>
      <c r="AI167" s="10" t="s">
        <v>369</v>
      </c>
      <c r="AJ167" s="10" t="s">
        <v>1295</v>
      </c>
      <c r="AK167" s="11" t="s">
        <v>1297</v>
      </c>
      <c r="AL167" s="5" t="s">
        <v>368</v>
      </c>
      <c r="AM167" s="11" t="s">
        <v>1291</v>
      </c>
      <c r="AN167" s="11" t="s">
        <v>1292</v>
      </c>
      <c r="AO167" s="11" t="s">
        <v>1275</v>
      </c>
      <c r="AP167" s="36" t="s">
        <v>1303</v>
      </c>
      <c r="AQ167" s="11" t="s">
        <v>75</v>
      </c>
      <c r="AR167" s="11" t="s">
        <v>1281</v>
      </c>
      <c r="AS167" s="13" t="s">
        <v>1141</v>
      </c>
      <c r="AT167" s="14"/>
      <c r="AU167" s="44"/>
    </row>
    <row r="168" spans="1:47" ht="38.25">
      <c r="A168" s="38" t="str">
        <f>VLOOKUP(Tableau1[[#This Row],[N° Département]],Feuil1!$C$6:$E$106,3)</f>
        <v>Hauts-de-France</v>
      </c>
      <c r="B168" s="38" t="str">
        <f>VLOOKUP(Tableau1[[#This Row],[N° Département]],Feuil1!$C$6:$E$106,2)</f>
        <v>Nord</v>
      </c>
      <c r="C168" s="38">
        <f>LEFT(Tableau1[[#This Row],[Code Postal]],2)*1</f>
        <v>59</v>
      </c>
      <c r="D168" s="10" t="s">
        <v>1226</v>
      </c>
      <c r="E168" s="26">
        <v>59320</v>
      </c>
      <c r="F168" s="10" t="s">
        <v>1129</v>
      </c>
      <c r="G168" s="39" t="str">
        <f>Tableau1[[#This Row],[Rue]]&amp;CHAR(10)&amp;Tableau1[[#This Row],[Code Postal]]&amp;" - "&amp;Tableau1[[#This Row],[Ville]]</f>
        <v>5001 Rue des Fusillés de 1940
59320 - Ennetières-en-Weppes</v>
      </c>
      <c r="H168" s="15" t="s">
        <v>1158</v>
      </c>
      <c r="I168" s="12" t="s">
        <v>47</v>
      </c>
      <c r="J168" s="12" t="s">
        <v>48</v>
      </c>
      <c r="K168" s="10" t="s">
        <v>103</v>
      </c>
      <c r="L168" s="12" t="s">
        <v>103</v>
      </c>
      <c r="M168" s="36"/>
      <c r="N168" s="34">
        <v>750</v>
      </c>
      <c r="O168" s="6" t="s">
        <v>103</v>
      </c>
      <c r="P168" s="34" t="s">
        <v>103</v>
      </c>
      <c r="Q168" s="6" t="s">
        <v>103</v>
      </c>
      <c r="R168" s="12">
        <f>Tableau1[[#This Row],[Loyer €/m²]]*Tableau1[[#This Row],[Surface GLA]]</f>
        <v>262500</v>
      </c>
      <c r="S168" s="12">
        <f>IFERROR(Tableau1[[#This Row],[Loyer annuel]]/12,"")</f>
        <v>21875</v>
      </c>
      <c r="T168" s="12">
        <v>350</v>
      </c>
      <c r="U168" s="6" t="s">
        <v>103</v>
      </c>
      <c r="V168" s="6">
        <f>Tableau1[[#This Row],[Charges €/m²]]*Tableau1[[#This Row],[Surface GLA]]</f>
        <v>10725</v>
      </c>
      <c r="W168" s="12">
        <f>Tableau1[[#This Row],[Charges annuelles]]/12</f>
        <v>893.75</v>
      </c>
      <c r="X168" s="12">
        <v>14.3</v>
      </c>
      <c r="Y168" s="12">
        <f>IFERROR(Tableau1[[#This Row],[Taxe foncière €/m²]]*Tableau1[[#This Row],[Surface GLA]],)</f>
        <v>13200.000000000002</v>
      </c>
      <c r="Z168" s="12">
        <v>17.600000000000001</v>
      </c>
      <c r="AA168" s="12">
        <f>IFERROR(Tableau1[[#This Row],[Marketing €/m²]]*Tableau1[[#This Row],[Surface GLA]],)</f>
        <v>0</v>
      </c>
      <c r="AB168" s="6" t="s">
        <v>103</v>
      </c>
      <c r="AC168" s="12">
        <f>IFERROR(Tableau1[[#This Row],[Loyer annuel]]+Tableau1[[#This Row],[Charges annuelles]]+Tableau1[[#This Row],[Taxe foncière]]+Tableau1[[#This Row],[Marketing]],"")</f>
        <v>286425</v>
      </c>
      <c r="AD168" s="12" t="str">
        <f t="shared" si="6"/>
        <v>3 mois = 65 625 €</v>
      </c>
      <c r="AE168" s="6" t="s">
        <v>103</v>
      </c>
      <c r="AF168" s="46">
        <v>0.05</v>
      </c>
      <c r="AG168" s="12" t="s">
        <v>363</v>
      </c>
      <c r="AH168" s="10" t="s">
        <v>75</v>
      </c>
      <c r="AI168" s="10" t="s">
        <v>370</v>
      </c>
      <c r="AJ168" s="10" t="s">
        <v>1157</v>
      </c>
      <c r="AK168" s="11" t="s">
        <v>1227</v>
      </c>
      <c r="AL168" s="5" t="s">
        <v>368</v>
      </c>
      <c r="AM168" s="11" t="s">
        <v>1142</v>
      </c>
      <c r="AN168" s="11" t="s">
        <v>1143</v>
      </c>
      <c r="AO168" s="11">
        <v>42</v>
      </c>
      <c r="AP168" s="36" t="s">
        <v>1254</v>
      </c>
      <c r="AQ168" s="11" t="s">
        <v>75</v>
      </c>
      <c r="AR168" s="11" t="s">
        <v>1267</v>
      </c>
      <c r="AS168" s="13" t="s">
        <v>1141</v>
      </c>
      <c r="AT168" s="14"/>
      <c r="AU168" s="44">
        <v>46003</v>
      </c>
    </row>
    <row r="169" spans="1:47" ht="25.5">
      <c r="A169" s="38" t="str">
        <f>VLOOKUP(Tableau1[[#This Row],[N° Département]],Feuil1!$C$6:$E$106,3)</f>
        <v>Grand Est</v>
      </c>
      <c r="B169" s="38" t="str">
        <f>VLOOKUP(Tableau1[[#This Row],[N° Département]],Feuil1!$C$6:$E$106,2)</f>
        <v>Haut-Rhin</v>
      </c>
      <c r="C169" s="38">
        <f>LEFT(Tableau1[[#This Row],[Code Postal]],2)*1</f>
        <v>68</v>
      </c>
      <c r="D169" s="10" t="s">
        <v>1130</v>
      </c>
      <c r="E169" s="26">
        <v>68270</v>
      </c>
      <c r="F169" s="10" t="s">
        <v>1131</v>
      </c>
      <c r="G169" s="39" t="str">
        <f>Tableau1[[#This Row],[Rue]]&amp;CHAR(10)&amp;Tableau1[[#This Row],[Code Postal]]&amp;" - "&amp;Tableau1[[#This Row],[Ville]]</f>
        <v>11 Rue de Soultz
68270 - Wittenheim</v>
      </c>
      <c r="H169" s="15" t="s">
        <v>1106</v>
      </c>
      <c r="I169" s="12" t="s">
        <v>47</v>
      </c>
      <c r="J169" s="12" t="s">
        <v>48</v>
      </c>
      <c r="K169" s="10" t="s">
        <v>103</v>
      </c>
      <c r="L169" s="12" t="s">
        <v>103</v>
      </c>
      <c r="M169" s="36"/>
      <c r="N169" s="34">
        <v>930</v>
      </c>
      <c r="O169" s="6" t="s">
        <v>103</v>
      </c>
      <c r="P169" s="34" t="s">
        <v>103</v>
      </c>
      <c r="Q169" s="6" t="s">
        <v>103</v>
      </c>
      <c r="R169" s="12">
        <f>Tableau1[[#This Row],[Loyer €/m²]]*Tableau1[[#This Row],[Surface GLA]]</f>
        <v>209250</v>
      </c>
      <c r="S169" s="12">
        <f>IFERROR(Tableau1[[#This Row],[Loyer annuel]]/12,"")</f>
        <v>17437.5</v>
      </c>
      <c r="T169" s="12">
        <v>225</v>
      </c>
      <c r="U169" s="6" t="s">
        <v>103</v>
      </c>
      <c r="V169" s="6">
        <f>Tableau1[[#This Row],[Charges €/m²]]*Tableau1[[#This Row],[Surface GLA]]</f>
        <v>3069</v>
      </c>
      <c r="W169" s="12">
        <f>Tableau1[[#This Row],[Charges annuelles]]/12</f>
        <v>255.75</v>
      </c>
      <c r="X169" s="12">
        <v>3.3</v>
      </c>
      <c r="Y169" s="12">
        <f>IFERROR(Tableau1[[#This Row],[Taxe foncière €/m²]]*Tableau1[[#This Row],[Surface GLA]],)</f>
        <v>12276</v>
      </c>
      <c r="Z169" s="12">
        <v>13.2</v>
      </c>
      <c r="AA169" s="12">
        <f>IFERROR(Tableau1[[#This Row],[Marketing €/m²]]*Tableau1[[#This Row],[Surface GLA]],)</f>
        <v>0</v>
      </c>
      <c r="AB169" s="6" t="s">
        <v>103</v>
      </c>
      <c r="AC169" s="12">
        <f>IFERROR(Tableau1[[#This Row],[Loyer annuel]]+Tableau1[[#This Row],[Charges annuelles]]+Tableau1[[#This Row],[Taxe foncière]]+Tableau1[[#This Row],[Marketing]],"")</f>
        <v>224595</v>
      </c>
      <c r="AD169" s="12" t="str">
        <f t="shared" si="6"/>
        <v>3 mois = 52 313 €</v>
      </c>
      <c r="AE169" s="6" t="s">
        <v>103</v>
      </c>
      <c r="AF169" s="46">
        <v>0.05</v>
      </c>
      <c r="AG169" s="12" t="s">
        <v>363</v>
      </c>
      <c r="AH169" s="10" t="s">
        <v>377</v>
      </c>
      <c r="AI169" s="10" t="s">
        <v>370</v>
      </c>
      <c r="AJ169" s="10" t="s">
        <v>1229</v>
      </c>
      <c r="AK169" s="11" t="s">
        <v>1184</v>
      </c>
      <c r="AL169" s="5" t="s">
        <v>368</v>
      </c>
      <c r="AM169" s="11" t="s">
        <v>1159</v>
      </c>
      <c r="AN169" s="11" t="s">
        <v>1160</v>
      </c>
      <c r="AO169" s="11">
        <v>43</v>
      </c>
      <c r="AP169" s="36" t="s">
        <v>1255</v>
      </c>
      <c r="AQ169" s="11" t="s">
        <v>75</v>
      </c>
      <c r="AR169" s="11" t="s">
        <v>1228</v>
      </c>
      <c r="AS169" s="13" t="s">
        <v>1141</v>
      </c>
      <c r="AT169" s="14"/>
      <c r="AU169" s="44">
        <v>46003</v>
      </c>
    </row>
    <row r="170" spans="1:47" ht="25.5">
      <c r="A170" s="38" t="str">
        <f>VLOOKUP(Tableau1[[#This Row],[N° Département]],Feuil1!$C$6:$E$106,3)</f>
        <v>Ile-de-France</v>
      </c>
      <c r="B170" s="38" t="str">
        <f>VLOOKUP(Tableau1[[#This Row],[N° Département]],Feuil1!$C$6:$E$106,2)</f>
        <v>Seine-et-Marne</v>
      </c>
      <c r="C170" s="38">
        <f>LEFT(Tableau1[[#This Row],[Code Postal]],2)*1</f>
        <v>77</v>
      </c>
      <c r="D170" s="10" t="s">
        <v>1132</v>
      </c>
      <c r="E170" s="26">
        <v>77140</v>
      </c>
      <c r="F170" s="10" t="s">
        <v>1097</v>
      </c>
      <c r="G170" s="39" t="str">
        <f>Tableau1[[#This Row],[Rue]]&amp;CHAR(10)&amp;Tableau1[[#This Row],[Code Postal]]&amp;" - "&amp;Tableau1[[#This Row],[Ville]]</f>
        <v>31 Rue de Montargis
77140 - Nemours</v>
      </c>
      <c r="H170" s="15" t="s">
        <v>1107</v>
      </c>
      <c r="I170" s="12" t="s">
        <v>47</v>
      </c>
      <c r="J170" s="12" t="s">
        <v>48</v>
      </c>
      <c r="K170" s="10" t="s">
        <v>103</v>
      </c>
      <c r="L170" s="12" t="s">
        <v>103</v>
      </c>
      <c r="M170" s="36"/>
      <c r="N170" s="34">
        <v>760</v>
      </c>
      <c r="O170" s="6" t="s">
        <v>1231</v>
      </c>
      <c r="P170" s="34" t="s">
        <v>103</v>
      </c>
      <c r="Q170" s="6" t="s">
        <v>103</v>
      </c>
      <c r="R170" s="12">
        <f>Tableau1[[#This Row],[Loyer €/m²]]*Tableau1[[#This Row],[Surface GLA]]</f>
        <v>95000</v>
      </c>
      <c r="S170" s="12">
        <f>IFERROR(Tableau1[[#This Row],[Loyer annuel]]/12,"")</f>
        <v>7916.666666666667</v>
      </c>
      <c r="T170" s="12">
        <v>125</v>
      </c>
      <c r="U170" s="6" t="s">
        <v>103</v>
      </c>
      <c r="V170" s="6">
        <f>Tableau1[[#This Row],[Charges €/m²]]*Tableau1[[#This Row],[Surface GLA]]</f>
        <v>3800</v>
      </c>
      <c r="W170" s="12">
        <f>Tableau1[[#This Row],[Charges annuelles]]/12</f>
        <v>316.66666666666669</v>
      </c>
      <c r="X170" s="12">
        <v>5</v>
      </c>
      <c r="Y170" s="12">
        <f>IFERROR(Tableau1[[#This Row],[Taxe foncière €/m²]]*Tableau1[[#This Row],[Surface GLA]],)</f>
        <v>17480</v>
      </c>
      <c r="Z170" s="12">
        <v>23</v>
      </c>
      <c r="AA170" s="12">
        <f>IFERROR(Tableau1[[#This Row],[Marketing €/m²]]*Tableau1[[#This Row],[Surface GLA]],)</f>
        <v>0</v>
      </c>
      <c r="AB170" s="6" t="s">
        <v>103</v>
      </c>
      <c r="AC170" s="12">
        <f>IFERROR(Tableau1[[#This Row],[Loyer annuel]]+Tableau1[[#This Row],[Charges annuelles]]+Tableau1[[#This Row],[Taxe foncière]]+Tableau1[[#This Row],[Marketing]],"")</f>
        <v>116280</v>
      </c>
      <c r="AD170" s="12" t="str">
        <f t="shared" si="6"/>
        <v>3 mois = 23 750 €</v>
      </c>
      <c r="AE170" s="6" t="s">
        <v>103</v>
      </c>
      <c r="AF170" s="46">
        <v>0.05</v>
      </c>
      <c r="AG170" s="12" t="s">
        <v>363</v>
      </c>
      <c r="AH170" s="10" t="s">
        <v>377</v>
      </c>
      <c r="AI170" s="10" t="s">
        <v>370</v>
      </c>
      <c r="AJ170" s="10" t="s">
        <v>1163</v>
      </c>
      <c r="AK170" s="11" t="s">
        <v>1232</v>
      </c>
      <c r="AL170" s="5" t="s">
        <v>368</v>
      </c>
      <c r="AM170" s="11" t="s">
        <v>1161</v>
      </c>
      <c r="AN170" s="11" t="s">
        <v>1162</v>
      </c>
      <c r="AO170" s="11">
        <v>44</v>
      </c>
      <c r="AP170" s="36" t="s">
        <v>1256</v>
      </c>
      <c r="AQ170" s="11" t="s">
        <v>75</v>
      </c>
      <c r="AR170" s="11" t="s">
        <v>1230</v>
      </c>
      <c r="AS170" s="13" t="s">
        <v>1141</v>
      </c>
      <c r="AT170" s="14"/>
      <c r="AU170" s="44">
        <v>46003</v>
      </c>
    </row>
    <row r="171" spans="1:47" ht="38.25">
      <c r="A171" s="38" t="str">
        <f>VLOOKUP(Tableau1[[#This Row],[N° Département]],Feuil1!$C$6:$E$106,3)</f>
        <v>Provence-Alpes-Côte d'Azur</v>
      </c>
      <c r="B171" s="38" t="str">
        <f>VLOOKUP(Tableau1[[#This Row],[N° Département]],Feuil1!$C$6:$E$106,2)</f>
        <v>Var</v>
      </c>
      <c r="C171" s="38">
        <f>LEFT(Tableau1[[#This Row],[Code Postal]],2)*1</f>
        <v>83</v>
      </c>
      <c r="D171" s="10" t="s">
        <v>1114</v>
      </c>
      <c r="E171" s="26">
        <v>83160</v>
      </c>
      <c r="F171" s="10" t="s">
        <v>1113</v>
      </c>
      <c r="G171" s="39" t="str">
        <f>Tableau1[[#This Row],[Rue]]&amp;CHAR(10)&amp;Tableau1[[#This Row],[Code Postal]]&amp;" - "&amp;Tableau1[[#This Row],[Ville]]</f>
        <v>23 Avenue des Frères Lumière
83160 - La Valette-du-Var</v>
      </c>
      <c r="H171" s="15" t="s">
        <v>1108</v>
      </c>
      <c r="I171" s="12" t="s">
        <v>45</v>
      </c>
      <c r="J171" s="12" t="s">
        <v>50</v>
      </c>
      <c r="K171" s="10" t="s">
        <v>103</v>
      </c>
      <c r="L171" s="12"/>
      <c r="M171" s="36"/>
      <c r="N171" s="34">
        <v>276</v>
      </c>
      <c r="O171" s="6" t="s">
        <v>1233</v>
      </c>
      <c r="P171" s="34" t="s">
        <v>103</v>
      </c>
      <c r="Q171" s="6" t="s">
        <v>103</v>
      </c>
      <c r="R171" s="12">
        <f>Tableau1[[#This Row],[Loyer €/m²]]*Tableau1[[#This Row],[Surface GLA]]</f>
        <v>151800</v>
      </c>
      <c r="S171" s="12">
        <f>IFERROR(Tableau1[[#This Row],[Loyer annuel]]/12,"")</f>
        <v>12650</v>
      </c>
      <c r="T171" s="12">
        <v>550</v>
      </c>
      <c r="U171" s="6" t="s">
        <v>103</v>
      </c>
      <c r="V171" s="6">
        <f>Tableau1[[#This Row],[Charges €/m²]]*Tableau1[[#This Row],[Surface GLA]]</f>
        <v>2760</v>
      </c>
      <c r="W171" s="12">
        <f>Tableau1[[#This Row],[Charges annuelles]]/12</f>
        <v>230</v>
      </c>
      <c r="X171" s="12">
        <v>10</v>
      </c>
      <c r="Y171" s="12">
        <f>IFERROR(Tableau1[[#This Row],[Taxe foncière €/m²]]*Tableau1[[#This Row],[Surface GLA]],)</f>
        <v>6348</v>
      </c>
      <c r="Z171" s="12">
        <v>23</v>
      </c>
      <c r="AA171" s="12">
        <f>IFERROR(Tableau1[[#This Row],[Marketing €/m²]]*Tableau1[[#This Row],[Surface GLA]],)</f>
        <v>0</v>
      </c>
      <c r="AB171" s="6" t="s">
        <v>103</v>
      </c>
      <c r="AC171" s="12">
        <f>IFERROR(Tableau1[[#This Row],[Loyer annuel]]+Tableau1[[#This Row],[Charges annuelles]]+Tableau1[[#This Row],[Taxe foncière]]+Tableau1[[#This Row],[Marketing]],"")</f>
        <v>160908</v>
      </c>
      <c r="AD171" s="12" t="str">
        <f t="shared" si="6"/>
        <v>3 mois = 37 950 €</v>
      </c>
      <c r="AE171" s="12" t="str">
        <f t="shared" ref="AE171:AE177" si="7">"6 mois = "&amp;TEXT(ROUND(6/12*R171,0),"### ### ##0 €")</f>
        <v>6 mois = 75 900 €</v>
      </c>
      <c r="AF171" s="46">
        <v>0.05</v>
      </c>
      <c r="AG171" s="12" t="s">
        <v>363</v>
      </c>
      <c r="AH171" s="10" t="s">
        <v>75</v>
      </c>
      <c r="AI171" s="10" t="s">
        <v>370</v>
      </c>
      <c r="AJ171" s="10" t="s">
        <v>1166</v>
      </c>
      <c r="AK171" s="11" t="s">
        <v>1294</v>
      </c>
      <c r="AL171" s="5" t="s">
        <v>368</v>
      </c>
      <c r="AM171" s="11" t="s">
        <v>1164</v>
      </c>
      <c r="AN171" s="11" t="s">
        <v>1165</v>
      </c>
      <c r="AO171" s="11" t="s">
        <v>1137</v>
      </c>
      <c r="AP171" s="36" t="s">
        <v>1257</v>
      </c>
      <c r="AQ171" s="11" t="s">
        <v>75</v>
      </c>
      <c r="AR171" s="11" t="s">
        <v>1268</v>
      </c>
      <c r="AS171" s="13" t="s">
        <v>1141</v>
      </c>
      <c r="AT171" s="14"/>
      <c r="AU171" s="44">
        <v>46003</v>
      </c>
    </row>
    <row r="172" spans="1:47" ht="25.5">
      <c r="A172" s="38" t="str">
        <f>VLOOKUP(Tableau1[[#This Row],[N° Département]],Feuil1!$C$6:$E$106,3)</f>
        <v>Provence-Alpes-Côte d'Azur</v>
      </c>
      <c r="B172" s="38" t="str">
        <f>VLOOKUP(Tableau1[[#This Row],[N° Département]],Feuil1!$C$6:$E$106,2)</f>
        <v>Var</v>
      </c>
      <c r="C172" s="38">
        <f>LEFT(Tableau1[[#This Row],[Code Postal]],2)*1</f>
        <v>83</v>
      </c>
      <c r="D172" s="10" t="s">
        <v>1234</v>
      </c>
      <c r="E172" s="26">
        <v>83160</v>
      </c>
      <c r="F172" s="10" t="s">
        <v>1113</v>
      </c>
      <c r="G172" s="39" t="str">
        <f>Tableau1[[#This Row],[Rue]]&amp;CHAR(10)&amp;Tableau1[[#This Row],[Code Postal]]&amp;" - "&amp;Tableau1[[#This Row],[Ville]]</f>
        <v>83 Avenue de l'Université
83160 - La Valette-du-Var</v>
      </c>
      <c r="H172" s="15" t="s">
        <v>1109</v>
      </c>
      <c r="I172" s="12" t="s">
        <v>45</v>
      </c>
      <c r="J172" s="12" t="s">
        <v>50</v>
      </c>
      <c r="K172" s="10" t="s">
        <v>103</v>
      </c>
      <c r="L172" s="12">
        <v>60000</v>
      </c>
      <c r="M172" s="36"/>
      <c r="N172" s="34">
        <v>470</v>
      </c>
      <c r="O172" s="6" t="s">
        <v>103</v>
      </c>
      <c r="P172" s="34" t="s">
        <v>103</v>
      </c>
      <c r="Q172" s="6" t="s">
        <v>103</v>
      </c>
      <c r="R172" s="12">
        <f>Tableau1[[#This Row],[Loyer €/m²]]*Tableau1[[#This Row],[Surface GLA]]</f>
        <v>188000</v>
      </c>
      <c r="S172" s="12">
        <f>IFERROR(Tableau1[[#This Row],[Loyer annuel]]/12,"")</f>
        <v>15666.666666666666</v>
      </c>
      <c r="T172" s="12">
        <v>400</v>
      </c>
      <c r="U172" s="46">
        <v>0.08</v>
      </c>
      <c r="V172" s="6">
        <f>Tableau1[[#This Row],[Charges €/m²]]*Tableau1[[#This Row],[Surface GLA]]</f>
        <v>2350</v>
      </c>
      <c r="W172" s="12">
        <f>Tableau1[[#This Row],[Charges annuelles]]/12</f>
        <v>195.83333333333334</v>
      </c>
      <c r="X172" s="12">
        <v>5</v>
      </c>
      <c r="Y172" s="12">
        <f>IFERROR(Tableau1[[#This Row],[Taxe foncière €/m²]]*Tableau1[[#This Row],[Surface GLA]],)</f>
        <v>16450</v>
      </c>
      <c r="Z172" s="12">
        <v>35</v>
      </c>
      <c r="AA172" s="12">
        <f>IFERROR(Tableau1[[#This Row],[Marketing €/m²]]*Tableau1[[#This Row],[Surface GLA]],)</f>
        <v>0</v>
      </c>
      <c r="AB172" s="6" t="s">
        <v>103</v>
      </c>
      <c r="AC172" s="12">
        <f>IFERROR(Tableau1[[#This Row],[Loyer annuel]]+Tableau1[[#This Row],[Charges annuelles]]+Tableau1[[#This Row],[Taxe foncière]]+Tableau1[[#This Row],[Marketing]],"")</f>
        <v>206800</v>
      </c>
      <c r="AD172" s="12" t="str">
        <f t="shared" si="6"/>
        <v>3 mois = 47 000 €</v>
      </c>
      <c r="AE172" s="12" t="str">
        <f t="shared" si="7"/>
        <v>6 mois = 94 000 €</v>
      </c>
      <c r="AF172" s="46">
        <v>0.05</v>
      </c>
      <c r="AG172" s="12" t="s">
        <v>363</v>
      </c>
      <c r="AH172" s="10" t="s">
        <v>377</v>
      </c>
      <c r="AI172" s="10" t="s">
        <v>370</v>
      </c>
      <c r="AJ172" s="10" t="s">
        <v>1167</v>
      </c>
      <c r="AK172" s="11" t="s">
        <v>1236</v>
      </c>
      <c r="AL172" s="5" t="s">
        <v>368</v>
      </c>
      <c r="AM172" s="11" t="s">
        <v>1168</v>
      </c>
      <c r="AN172" s="11" t="s">
        <v>1169</v>
      </c>
      <c r="AO172" s="11" t="s">
        <v>1136</v>
      </c>
      <c r="AP172" s="36" t="s">
        <v>1258</v>
      </c>
      <c r="AQ172" s="11" t="s">
        <v>75</v>
      </c>
      <c r="AR172" s="11" t="s">
        <v>1235</v>
      </c>
      <c r="AS172" s="13" t="s">
        <v>1141</v>
      </c>
      <c r="AT172" s="14"/>
      <c r="AU172" s="44">
        <v>46003</v>
      </c>
    </row>
    <row r="173" spans="1:47" ht="51">
      <c r="A173" s="38" t="str">
        <f>VLOOKUP(Tableau1[[#This Row],[N° Département]],Feuil1!$C$6:$E$106,3)</f>
        <v>Provence-Alpes-Côte d'Azur</v>
      </c>
      <c r="B173" s="38" t="str">
        <f>VLOOKUP(Tableau1[[#This Row],[N° Département]],Feuil1!$C$6:$E$106,2)</f>
        <v>Vaucluse</v>
      </c>
      <c r="C173" s="38">
        <f>LEFT(Tableau1[[#This Row],[Code Postal]],2)*1</f>
        <v>84</v>
      </c>
      <c r="D173" s="10" t="s">
        <v>1115</v>
      </c>
      <c r="E173" s="26">
        <v>84140</v>
      </c>
      <c r="F173" s="10" t="s">
        <v>1098</v>
      </c>
      <c r="G173" s="39" t="str">
        <f>Tableau1[[#This Row],[Rue]]&amp;CHAR(10)&amp;Tableau1[[#This Row],[Code Postal]]&amp;" - "&amp;Tableau1[[#This Row],[Ville]]</f>
        <v>330 Avenue Marcou Delanglade
84140 - Avignon</v>
      </c>
      <c r="H173" s="15" t="s">
        <v>1173</v>
      </c>
      <c r="I173" s="12" t="s">
        <v>47</v>
      </c>
      <c r="J173" s="12" t="s">
        <v>48</v>
      </c>
      <c r="K173" s="10" t="s">
        <v>103</v>
      </c>
      <c r="L173" s="12" t="s">
        <v>103</v>
      </c>
      <c r="M173" s="36"/>
      <c r="N173" s="34">
        <v>616</v>
      </c>
      <c r="O173" s="6" t="s">
        <v>1238</v>
      </c>
      <c r="P173" s="34" t="s">
        <v>103</v>
      </c>
      <c r="Q173" s="6" t="s">
        <v>103</v>
      </c>
      <c r="R173" s="12">
        <f>Tableau1[[#This Row],[Loyer €/m²]]*Tableau1[[#This Row],[Surface GLA]]</f>
        <v>123200</v>
      </c>
      <c r="S173" s="12">
        <f>IFERROR(Tableau1[[#This Row],[Loyer annuel]]/12,"")</f>
        <v>10266.666666666666</v>
      </c>
      <c r="T173" s="12">
        <v>200</v>
      </c>
      <c r="U173" s="6" t="s">
        <v>103</v>
      </c>
      <c r="V173" s="6">
        <f>Tableau1[[#This Row],[Charges €/m²]]*Tableau1[[#This Row],[Surface GLA]]</f>
        <v>11088</v>
      </c>
      <c r="W173" s="12">
        <f>Tableau1[[#This Row],[Charges annuelles]]/12</f>
        <v>924</v>
      </c>
      <c r="X173" s="12">
        <v>18</v>
      </c>
      <c r="Y173" s="12">
        <f>IFERROR(Tableau1[[#This Row],[Taxe foncière €/m²]]*Tableau1[[#This Row],[Surface GLA]],)</f>
        <v>8624</v>
      </c>
      <c r="Z173" s="12">
        <v>14</v>
      </c>
      <c r="AA173" s="12">
        <f>IFERROR(Tableau1[[#This Row],[Marketing €/m²]]*Tableau1[[#This Row],[Surface GLA]],)</f>
        <v>0</v>
      </c>
      <c r="AB173" s="6" t="s">
        <v>103</v>
      </c>
      <c r="AC173" s="12">
        <f>IFERROR(Tableau1[[#This Row],[Loyer annuel]]+Tableau1[[#This Row],[Charges annuelles]]+Tableau1[[#This Row],[Taxe foncière]]+Tableau1[[#This Row],[Marketing]],"")</f>
        <v>142912</v>
      </c>
      <c r="AD173" s="12" t="str">
        <f t="shared" si="6"/>
        <v>3 mois = 30 800 €</v>
      </c>
      <c r="AE173" s="12" t="str">
        <f t="shared" si="7"/>
        <v>6 mois = 61 600 €</v>
      </c>
      <c r="AF173" s="46">
        <v>0.05</v>
      </c>
      <c r="AG173" s="12" t="s">
        <v>363</v>
      </c>
      <c r="AH173" s="10" t="s">
        <v>75</v>
      </c>
      <c r="AI173" s="10" t="s">
        <v>370</v>
      </c>
      <c r="AJ173" s="10" t="s">
        <v>1172</v>
      </c>
      <c r="AK173" s="11" t="s">
        <v>1239</v>
      </c>
      <c r="AL173" s="5" t="s">
        <v>368</v>
      </c>
      <c r="AM173" s="11" t="s">
        <v>1170</v>
      </c>
      <c r="AN173" s="11" t="s">
        <v>1171</v>
      </c>
      <c r="AO173" s="11">
        <v>46</v>
      </c>
      <c r="AP173" s="45" t="s">
        <v>1259</v>
      </c>
      <c r="AQ173" s="11" t="s">
        <v>75</v>
      </c>
      <c r="AR173" s="11" t="s">
        <v>1237</v>
      </c>
      <c r="AS173" s="13" t="s">
        <v>1141</v>
      </c>
      <c r="AT173" s="14"/>
      <c r="AU173" s="44">
        <v>46003</v>
      </c>
    </row>
    <row r="174" spans="1:47" ht="38.25">
      <c r="A174" s="38" t="str">
        <f>VLOOKUP(Tableau1[[#This Row],[N° Département]],Feuil1!$C$6:$E$106,3)</f>
        <v>Ile-de-France</v>
      </c>
      <c r="B174" s="38" t="str">
        <f>VLOOKUP(Tableau1[[#This Row],[N° Département]],Feuil1!$C$6:$E$106,2)</f>
        <v>Val-de-Marne</v>
      </c>
      <c r="C174" s="38">
        <f>LEFT(Tableau1[[#This Row],[Code Postal]],2)*1</f>
        <v>94</v>
      </c>
      <c r="D174" s="10" t="s">
        <v>1118</v>
      </c>
      <c r="E174" s="26">
        <v>94500</v>
      </c>
      <c r="F174" s="10" t="s">
        <v>1117</v>
      </c>
      <c r="G174" s="39" t="str">
        <f>Tableau1[[#This Row],[Rue]]&amp;CHAR(10)&amp;Tableau1[[#This Row],[Code Postal]]&amp;" - "&amp;Tableau1[[#This Row],[Ville]]</f>
        <v>14 Rue Serpente
94500 - Champigny-sur-Marne</v>
      </c>
      <c r="H174" s="15" t="s">
        <v>1112</v>
      </c>
      <c r="I174" s="12" t="s">
        <v>45</v>
      </c>
      <c r="J174" s="12" t="s">
        <v>48</v>
      </c>
      <c r="K174" s="10" t="s">
        <v>103</v>
      </c>
      <c r="L174" s="12" t="s">
        <v>103</v>
      </c>
      <c r="M174" s="36"/>
      <c r="N174" s="34">
        <v>875</v>
      </c>
      <c r="O174" s="6" t="s">
        <v>103</v>
      </c>
      <c r="P174" s="34" t="s">
        <v>103</v>
      </c>
      <c r="Q174" s="6" t="s">
        <v>103</v>
      </c>
      <c r="R174" s="12">
        <f>Tableau1[[#This Row],[Loyer €/m²]]*Tableau1[[#This Row],[Surface GLA]]</f>
        <v>196875</v>
      </c>
      <c r="S174" s="12">
        <f>IFERROR(Tableau1[[#This Row],[Loyer annuel]]/12,"")</f>
        <v>16406.25</v>
      </c>
      <c r="T174" s="12">
        <v>225</v>
      </c>
      <c r="U174" s="6" t="s">
        <v>103</v>
      </c>
      <c r="V174" s="6">
        <f>Tableau1[[#This Row],[Charges €/m²]]*Tableau1[[#This Row],[Surface GLA]]</f>
        <v>5250</v>
      </c>
      <c r="W174" s="12">
        <f>Tableau1[[#This Row],[Charges annuelles]]/12</f>
        <v>437.5</v>
      </c>
      <c r="X174" s="12">
        <v>6</v>
      </c>
      <c r="Y174" s="12">
        <f>IFERROR(Tableau1[[#This Row],[Taxe foncière €/m²]]*Tableau1[[#This Row],[Surface GLA]],)</f>
        <v>11375</v>
      </c>
      <c r="Z174" s="12">
        <v>13</v>
      </c>
      <c r="AA174" s="12">
        <f>IFERROR(Tableau1[[#This Row],[Marketing €/m²]]*Tableau1[[#This Row],[Surface GLA]],)</f>
        <v>0</v>
      </c>
      <c r="AB174" s="6" t="s">
        <v>103</v>
      </c>
      <c r="AC174" s="12">
        <f>IFERROR(Tableau1[[#This Row],[Loyer annuel]]+Tableau1[[#This Row],[Charges annuelles]]+Tableau1[[#This Row],[Taxe foncière]]+Tableau1[[#This Row],[Marketing]],"")</f>
        <v>213500</v>
      </c>
      <c r="AD174" s="12" t="str">
        <f t="shared" si="6"/>
        <v>3 mois = 49 219 €</v>
      </c>
      <c r="AE174" s="12" t="str">
        <f t="shared" si="7"/>
        <v>6 mois = 98 438 €</v>
      </c>
      <c r="AF174" s="46">
        <v>0.05</v>
      </c>
      <c r="AG174" s="12" t="s">
        <v>363</v>
      </c>
      <c r="AH174" s="10" t="s">
        <v>377</v>
      </c>
      <c r="AI174" s="10" t="s">
        <v>370</v>
      </c>
      <c r="AJ174" s="10" t="s">
        <v>1178</v>
      </c>
      <c r="AK174" s="11" t="s">
        <v>1245</v>
      </c>
      <c r="AL174" s="5" t="s">
        <v>368</v>
      </c>
      <c r="AM174" s="11" t="s">
        <v>1174</v>
      </c>
      <c r="AN174" s="11" t="s">
        <v>1175</v>
      </c>
      <c r="AO174" s="11" t="s">
        <v>1138</v>
      </c>
      <c r="AP174" s="45" t="s">
        <v>1260</v>
      </c>
      <c r="AQ174" s="11" t="s">
        <v>75</v>
      </c>
      <c r="AR174" s="11" t="s">
        <v>1269</v>
      </c>
      <c r="AS174" s="13" t="s">
        <v>1141</v>
      </c>
      <c r="AT174" s="14"/>
      <c r="AU174" s="44">
        <v>46003</v>
      </c>
    </row>
    <row r="175" spans="1:47" ht="38.25">
      <c r="A175" s="38" t="str">
        <f>VLOOKUP(Tableau1[[#This Row],[N° Département]],Feuil1!$C$6:$E$106,3)</f>
        <v>Ile-de-France</v>
      </c>
      <c r="B175" s="38" t="str">
        <f>VLOOKUP(Tableau1[[#This Row],[N° Département]],Feuil1!$C$6:$E$106,2)</f>
        <v>Val-de-Marne</v>
      </c>
      <c r="C175" s="38">
        <f>LEFT(Tableau1[[#This Row],[Code Postal]],2)*1</f>
        <v>94</v>
      </c>
      <c r="D175" s="10" t="s">
        <v>1116</v>
      </c>
      <c r="E175" s="26">
        <v>94500</v>
      </c>
      <c r="F175" s="10" t="s">
        <v>1117</v>
      </c>
      <c r="G175" s="39" t="str">
        <f>Tableau1[[#This Row],[Rue]]&amp;CHAR(10)&amp;Tableau1[[#This Row],[Code Postal]]&amp;" - "&amp;Tableau1[[#This Row],[Ville]]</f>
        <v>13 Rue Serpente
94500 - Champigny-sur-Marne</v>
      </c>
      <c r="H175" s="15" t="s">
        <v>1110</v>
      </c>
      <c r="I175" s="12" t="s">
        <v>45</v>
      </c>
      <c r="J175" s="12" t="s">
        <v>48</v>
      </c>
      <c r="K175" s="10" t="s">
        <v>103</v>
      </c>
      <c r="L175" s="12" t="s">
        <v>103</v>
      </c>
      <c r="M175" s="36"/>
      <c r="N175" s="34">
        <v>387</v>
      </c>
      <c r="O175" s="6" t="s">
        <v>103</v>
      </c>
      <c r="P175" s="34" t="s">
        <v>103</v>
      </c>
      <c r="Q175" s="6" t="s">
        <v>103</v>
      </c>
      <c r="R175" s="12">
        <f>Tableau1[[#This Row],[Loyer €/m²]]*Tableau1[[#This Row],[Surface GLA]]</f>
        <v>96750</v>
      </c>
      <c r="S175" s="12">
        <f>IFERROR(Tableau1[[#This Row],[Loyer annuel]]/12,"")</f>
        <v>8062.5</v>
      </c>
      <c r="T175" s="12">
        <v>250</v>
      </c>
      <c r="U175" s="6" t="s">
        <v>103</v>
      </c>
      <c r="V175" s="6">
        <f>Tableau1[[#This Row],[Charges €/m²]]*Tableau1[[#This Row],[Surface GLA]]</f>
        <v>2322</v>
      </c>
      <c r="W175" s="12">
        <f>Tableau1[[#This Row],[Charges annuelles]]/12</f>
        <v>193.5</v>
      </c>
      <c r="X175" s="12">
        <v>6</v>
      </c>
      <c r="Y175" s="12">
        <f>IFERROR(Tableau1[[#This Row],[Taxe foncière €/m²]]*Tableau1[[#This Row],[Surface GLA]],)</f>
        <v>5418</v>
      </c>
      <c r="Z175" s="12">
        <v>14</v>
      </c>
      <c r="AA175" s="12">
        <f>IFERROR(Tableau1[[#This Row],[Marketing €/m²]]*Tableau1[[#This Row],[Surface GLA]],)</f>
        <v>0</v>
      </c>
      <c r="AB175" s="6" t="s">
        <v>103</v>
      </c>
      <c r="AC175" s="12">
        <f>IFERROR(Tableau1[[#This Row],[Loyer annuel]]+Tableau1[[#This Row],[Charges annuelles]]+Tableau1[[#This Row],[Taxe foncière]]+Tableau1[[#This Row],[Marketing]],"")</f>
        <v>104490</v>
      </c>
      <c r="AD175" s="12" t="str">
        <f t="shared" si="6"/>
        <v>3 mois = 24 188 €</v>
      </c>
      <c r="AE175" s="12" t="str">
        <f t="shared" si="7"/>
        <v>6 mois = 48 375 €</v>
      </c>
      <c r="AF175" s="46">
        <v>0.05</v>
      </c>
      <c r="AG175" s="12" t="s">
        <v>363</v>
      </c>
      <c r="AH175" s="10" t="s">
        <v>377</v>
      </c>
      <c r="AI175" s="10" t="s">
        <v>370</v>
      </c>
      <c r="AJ175" s="10" t="s">
        <v>1178</v>
      </c>
      <c r="AK175" s="11" t="s">
        <v>1245</v>
      </c>
      <c r="AL175" s="5" t="s">
        <v>368</v>
      </c>
      <c r="AM175" s="11" t="s">
        <v>1241</v>
      </c>
      <c r="AN175" s="11" t="s">
        <v>1242</v>
      </c>
      <c r="AO175" s="11" t="s">
        <v>1139</v>
      </c>
      <c r="AP175" s="36" t="s">
        <v>1261</v>
      </c>
      <c r="AQ175" s="11" t="s">
        <v>75</v>
      </c>
      <c r="AR175" s="11" t="s">
        <v>1240</v>
      </c>
      <c r="AS175" s="13" t="s">
        <v>1141</v>
      </c>
      <c r="AT175" s="14"/>
      <c r="AU175" s="44">
        <v>46003</v>
      </c>
    </row>
    <row r="176" spans="1:47" ht="38.25">
      <c r="A176" s="38" t="str">
        <f>VLOOKUP(Tableau1[[#This Row],[N° Département]],Feuil1!$C$6:$E$106,3)</f>
        <v>Ile-de-France</v>
      </c>
      <c r="B176" s="38" t="str">
        <f>VLOOKUP(Tableau1[[#This Row],[N° Département]],Feuil1!$C$6:$E$106,2)</f>
        <v>Val-de-Marne</v>
      </c>
      <c r="C176" s="38">
        <f>LEFT(Tableau1[[#This Row],[Code Postal]],2)*1</f>
        <v>94</v>
      </c>
      <c r="D176" s="10" t="s">
        <v>1118</v>
      </c>
      <c r="E176" s="26">
        <v>94500</v>
      </c>
      <c r="F176" s="10" t="s">
        <v>1117</v>
      </c>
      <c r="G176" s="39" t="str">
        <f>Tableau1[[#This Row],[Rue]]&amp;CHAR(10)&amp;Tableau1[[#This Row],[Code Postal]]&amp;" - "&amp;Tableau1[[#This Row],[Ville]]</f>
        <v>14 Rue Serpente
94500 - Champigny-sur-Marne</v>
      </c>
      <c r="H176" s="15" t="s">
        <v>1111</v>
      </c>
      <c r="I176" s="12" t="s">
        <v>45</v>
      </c>
      <c r="J176" s="12" t="s">
        <v>48</v>
      </c>
      <c r="K176" s="10" t="s">
        <v>103</v>
      </c>
      <c r="L176" s="12" t="s">
        <v>103</v>
      </c>
      <c r="M176" s="36"/>
      <c r="N176" s="34">
        <v>723</v>
      </c>
      <c r="O176" s="6" t="s">
        <v>103</v>
      </c>
      <c r="P176" s="34" t="s">
        <v>103</v>
      </c>
      <c r="Q176" s="6" t="s">
        <v>103</v>
      </c>
      <c r="R176" s="12">
        <f>Tableau1[[#This Row],[Loyer €/m²]]*Tableau1[[#This Row],[Surface GLA]]</f>
        <v>162675</v>
      </c>
      <c r="S176" s="12">
        <f>IFERROR(Tableau1[[#This Row],[Loyer annuel]]/12,"")</f>
        <v>13556.25</v>
      </c>
      <c r="T176" s="12">
        <v>225</v>
      </c>
      <c r="U176" s="6" t="s">
        <v>103</v>
      </c>
      <c r="V176" s="6">
        <f>Tableau1[[#This Row],[Charges €/m²]]*Tableau1[[#This Row],[Surface GLA]]</f>
        <v>4338</v>
      </c>
      <c r="W176" s="12">
        <f>Tableau1[[#This Row],[Charges annuelles]]/12</f>
        <v>361.5</v>
      </c>
      <c r="X176" s="12">
        <v>6</v>
      </c>
      <c r="Y176" s="12">
        <f>IFERROR(Tableau1[[#This Row],[Taxe foncière €/m²]]*Tableau1[[#This Row],[Surface GLA]],)</f>
        <v>9399</v>
      </c>
      <c r="Z176" s="12">
        <v>13</v>
      </c>
      <c r="AA176" s="12">
        <f>IFERROR(Tableau1[[#This Row],[Marketing €/m²]]*Tableau1[[#This Row],[Surface GLA]],)</f>
        <v>0</v>
      </c>
      <c r="AB176" s="6" t="s">
        <v>103</v>
      </c>
      <c r="AC176" s="12">
        <f>IFERROR(Tableau1[[#This Row],[Loyer annuel]]+Tableau1[[#This Row],[Charges annuelles]]+Tableau1[[#This Row],[Taxe foncière]]+Tableau1[[#This Row],[Marketing]],"")</f>
        <v>176412</v>
      </c>
      <c r="AD176" s="12" t="str">
        <f t="shared" si="6"/>
        <v>3 mois = 40 669 €</v>
      </c>
      <c r="AE176" s="12" t="str">
        <f t="shared" si="7"/>
        <v>6 mois = 81 338 €</v>
      </c>
      <c r="AF176" s="46">
        <v>0.05</v>
      </c>
      <c r="AG176" s="12" t="s">
        <v>363</v>
      </c>
      <c r="AH176" s="10" t="s">
        <v>377</v>
      </c>
      <c r="AI176" s="10" t="s">
        <v>370</v>
      </c>
      <c r="AJ176" s="10" t="s">
        <v>1178</v>
      </c>
      <c r="AK176" s="11" t="s">
        <v>1245</v>
      </c>
      <c r="AL176" s="5" t="s">
        <v>368</v>
      </c>
      <c r="AM176" s="11" t="s">
        <v>1176</v>
      </c>
      <c r="AN176" s="11" t="s">
        <v>1177</v>
      </c>
      <c r="AO176" s="11" t="s">
        <v>1140</v>
      </c>
      <c r="AP176" s="36" t="s">
        <v>1262</v>
      </c>
      <c r="AQ176" s="11" t="s">
        <v>75</v>
      </c>
      <c r="AR176" s="11" t="s">
        <v>1243</v>
      </c>
      <c r="AS176" s="13" t="s">
        <v>1141</v>
      </c>
      <c r="AT176" s="14"/>
      <c r="AU176" s="44">
        <v>46003</v>
      </c>
    </row>
    <row r="177" spans="1:47" ht="25.5">
      <c r="A177" s="38" t="str">
        <f>VLOOKUP(Tableau1[[#This Row],[N° Département]],Feuil1!$C$6:$E$106,3)</f>
        <v>Ile-de-France</v>
      </c>
      <c r="B177" s="38" t="str">
        <f>VLOOKUP(Tableau1[[#This Row],[N° Département]],Feuil1!$C$6:$E$106,2)</f>
        <v>Val-D'Oise</v>
      </c>
      <c r="C177" s="38">
        <f>LEFT(Tableau1[[#This Row],[Code Postal]],2)*1</f>
        <v>95</v>
      </c>
      <c r="D177" s="10" t="s">
        <v>1120</v>
      </c>
      <c r="E177" s="26">
        <v>95220</v>
      </c>
      <c r="F177" s="10" t="s">
        <v>1119</v>
      </c>
      <c r="G177" s="39" t="str">
        <f>Tableau1[[#This Row],[Rue]]&amp;CHAR(10)&amp;Tableau1[[#This Row],[Code Postal]]&amp;" - "&amp;Tableau1[[#This Row],[Ville]]</f>
        <v>8 Avenue Paul Langevin
95220 - Herblay-sur-Seine</v>
      </c>
      <c r="H177" s="15" t="s">
        <v>1179</v>
      </c>
      <c r="I177" s="12" t="s">
        <v>47</v>
      </c>
      <c r="J177" s="12" t="s">
        <v>48</v>
      </c>
      <c r="K177" s="10" t="s">
        <v>103</v>
      </c>
      <c r="L177" s="12" t="s">
        <v>103</v>
      </c>
      <c r="M177" s="36"/>
      <c r="N177" s="34">
        <v>402</v>
      </c>
      <c r="O177" s="6" t="s">
        <v>103</v>
      </c>
      <c r="P177" s="34" t="s">
        <v>103</v>
      </c>
      <c r="Q177" s="6" t="s">
        <v>103</v>
      </c>
      <c r="R177" s="12">
        <f>Tableau1[[#This Row],[Loyer €/m²]]*Tableau1[[#This Row],[Surface GLA]]</f>
        <v>180900</v>
      </c>
      <c r="S177" s="12">
        <f>IFERROR(Tableau1[[#This Row],[Loyer annuel]]/12,"")</f>
        <v>15075</v>
      </c>
      <c r="T177" s="12">
        <v>450</v>
      </c>
      <c r="U177" s="6" t="s">
        <v>103</v>
      </c>
      <c r="V177" s="6">
        <f>Tableau1[[#This Row],[Charges €/m²]]*Tableau1[[#This Row],[Surface GLA]]</f>
        <v>3618</v>
      </c>
      <c r="W177" s="12">
        <f>Tableau1[[#This Row],[Charges annuelles]]/12</f>
        <v>301.5</v>
      </c>
      <c r="X177" s="12">
        <v>9</v>
      </c>
      <c r="Y177" s="12">
        <f>IFERROR(Tableau1[[#This Row],[Taxe foncière €/m²]]*Tableau1[[#This Row],[Surface GLA]],)</f>
        <v>5226</v>
      </c>
      <c r="Z177" s="12">
        <v>13</v>
      </c>
      <c r="AA177" s="12">
        <f>IFERROR(Tableau1[[#This Row],[Marketing €/m²]]*Tableau1[[#This Row],[Surface GLA]],)</f>
        <v>0</v>
      </c>
      <c r="AB177" s="6" t="s">
        <v>103</v>
      </c>
      <c r="AC177" s="12">
        <f>IFERROR(Tableau1[[#This Row],[Loyer annuel]]+Tableau1[[#This Row],[Charges annuelles]]+Tableau1[[#This Row],[Taxe foncière]]+Tableau1[[#This Row],[Marketing]],"")</f>
        <v>189744</v>
      </c>
      <c r="AD177" s="12" t="str">
        <f t="shared" si="6"/>
        <v>3 mois = 45 225 €</v>
      </c>
      <c r="AE177" s="12" t="str">
        <f t="shared" si="7"/>
        <v>6 mois = 90 450 €</v>
      </c>
      <c r="AF177" s="46">
        <v>0.05</v>
      </c>
      <c r="AG177" s="12" t="s">
        <v>363</v>
      </c>
      <c r="AH177" s="10" t="s">
        <v>377</v>
      </c>
      <c r="AI177" s="10" t="s">
        <v>370</v>
      </c>
      <c r="AJ177" s="10" t="s">
        <v>1182</v>
      </c>
      <c r="AK177" s="11" t="s">
        <v>1246</v>
      </c>
      <c r="AL177" s="5" t="s">
        <v>368</v>
      </c>
      <c r="AM177" s="11" t="s">
        <v>1180</v>
      </c>
      <c r="AN177" s="11" t="s">
        <v>1181</v>
      </c>
      <c r="AO177" s="11">
        <v>48</v>
      </c>
      <c r="AP177" s="36" t="s">
        <v>1263</v>
      </c>
      <c r="AQ177" s="11" t="s">
        <v>75</v>
      </c>
      <c r="AR177" s="11" t="s">
        <v>1244</v>
      </c>
      <c r="AS177" s="13" t="s">
        <v>1141</v>
      </c>
      <c r="AT177" s="14"/>
      <c r="AU177" s="44">
        <v>46003</v>
      </c>
    </row>
    <row r="178" spans="1:47" ht="38.25">
      <c r="A178" s="38" t="str">
        <f>VLOOKUP(Tableau1[[#This Row],[N° Département]],Feuil1!$C$6:$E$106,3)</f>
        <v>Provence-Alpes-Côte d'Azur</v>
      </c>
      <c r="B178" s="38" t="str">
        <f>VLOOKUP(Tableau1[[#This Row],[N° Département]],Feuil1!$C$6:$E$106,2)</f>
        <v>Alpes-Maritimes</v>
      </c>
      <c r="C178" s="38">
        <f>LEFT(Tableau1[[#This Row],[Code Postal]],2)*1</f>
        <v>6</v>
      </c>
      <c r="D178" s="11" t="s">
        <v>1188</v>
      </c>
      <c r="E178" s="48" t="s">
        <v>1388</v>
      </c>
      <c r="F178" s="10" t="s">
        <v>1187</v>
      </c>
      <c r="G178" s="47" t="str">
        <f>Tableau1[[#This Row],[Rue]]&amp;CHAR(10)&amp;Tableau1[[#This Row],[Code Postal]]&amp;" - "&amp;Tableau1[[#This Row],[Ville]]</f>
        <v>CAP 3000
217 Av. Eugène Donadeï
06 700 - Saint-Laurent-du-Var</v>
      </c>
      <c r="H178" s="15" t="s">
        <v>1189</v>
      </c>
      <c r="I178" s="12" t="s">
        <v>47</v>
      </c>
      <c r="J178" s="12" t="s">
        <v>49</v>
      </c>
      <c r="K178" s="10" t="s">
        <v>103</v>
      </c>
      <c r="L178" s="12" t="s">
        <v>1190</v>
      </c>
      <c r="M178" s="36"/>
      <c r="N178" s="34">
        <v>126</v>
      </c>
      <c r="O178" s="6" t="s">
        <v>1247</v>
      </c>
      <c r="P178" s="34" t="s">
        <v>103</v>
      </c>
      <c r="Q178" s="6" t="s">
        <v>103</v>
      </c>
      <c r="R178" s="12">
        <f>Tableau1[[#This Row],[Loyer €/m²]]*Tableau1[[#This Row],[Surface GLA]]</f>
        <v>139986</v>
      </c>
      <c r="S178" s="12">
        <f>IFERROR(Tableau1[[#This Row],[Loyer annuel]]/12,"")</f>
        <v>11665.5</v>
      </c>
      <c r="T178" s="12">
        <v>1111</v>
      </c>
      <c r="U178" s="6" t="s">
        <v>103</v>
      </c>
      <c r="V178" s="6">
        <f>Tableau1[[#This Row],[Charges €/m²]]*Tableau1[[#This Row],[Surface GLA]]</f>
        <v>20790</v>
      </c>
      <c r="W178" s="12">
        <f>Tableau1[[#This Row],[Charges annuelles]]/12</f>
        <v>1732.5</v>
      </c>
      <c r="X178" s="12">
        <v>165</v>
      </c>
      <c r="Y178" s="12">
        <f>IFERROR(Tableau1[[#This Row],[Taxe foncière €/m²]]*Tableau1[[#This Row],[Surface GLA]],)</f>
        <v>4536</v>
      </c>
      <c r="Z178" s="12">
        <v>36</v>
      </c>
      <c r="AA178" s="12">
        <f>IFERROR(Tableau1[[#This Row],[Marketing €/m²]]*Tableau1[[#This Row],[Surface GLA]],)</f>
        <v>0</v>
      </c>
      <c r="AB178" s="6" t="s">
        <v>103</v>
      </c>
      <c r="AC178" s="12">
        <f>IFERROR(Tableau1[[#This Row],[Loyer annuel]]+Tableau1[[#This Row],[Charges annuelles]]+Tableau1[[#This Row],[Taxe foncière]]+Tableau1[[#This Row],[Marketing]],"")</f>
        <v>165312</v>
      </c>
      <c r="AD178" s="12" t="str">
        <f t="shared" si="6"/>
        <v>3 mois = 34 997 €</v>
      </c>
      <c r="AE178" s="6" t="s">
        <v>103</v>
      </c>
      <c r="AF178" s="6" t="s">
        <v>103</v>
      </c>
      <c r="AG178" s="12" t="s">
        <v>363</v>
      </c>
      <c r="AH178" s="10" t="s">
        <v>53</v>
      </c>
      <c r="AI178" s="10" t="s">
        <v>103</v>
      </c>
      <c r="AJ178" s="10" t="s">
        <v>1192</v>
      </c>
      <c r="AK178" s="11" t="s">
        <v>1191</v>
      </c>
      <c r="AL178" s="5" t="s">
        <v>1196</v>
      </c>
      <c r="AM178" s="11" t="s">
        <v>1193</v>
      </c>
      <c r="AN178" s="11" t="s">
        <v>1194</v>
      </c>
      <c r="AO178" s="11">
        <v>49</v>
      </c>
      <c r="AP178" s="36" t="s">
        <v>1264</v>
      </c>
      <c r="AQ178" s="11" t="s">
        <v>75</v>
      </c>
      <c r="AR178" s="11"/>
      <c r="AS178" s="13" t="s">
        <v>1195</v>
      </c>
      <c r="AT178" s="14"/>
      <c r="AU178" s="44">
        <v>46010</v>
      </c>
    </row>
    <row r="179" spans="1:47" ht="25.5">
      <c r="A179" s="38" t="str">
        <f>VLOOKUP(Tableau1[[#This Row],[N° Département]],Feuil1!$C$6:$E$106,3)</f>
        <v>Ile-de-France</v>
      </c>
      <c r="B179" s="38" t="str">
        <f>VLOOKUP(Tableau1[[#This Row],[N° Département]],Feuil1!$C$6:$E$106,2)</f>
        <v>Seine-et-Marne</v>
      </c>
      <c r="C179" s="38">
        <f>LEFT(Tableau1[[#This Row],[Code Postal]],2)*1</f>
        <v>77</v>
      </c>
      <c r="D179" s="10" t="s">
        <v>1307</v>
      </c>
      <c r="E179" s="26">
        <v>77000</v>
      </c>
      <c r="F179" s="10" t="s">
        <v>1308</v>
      </c>
      <c r="G179" s="39" t="str">
        <f>Tableau1[[#This Row],[Rue]]&amp;CHAR(10)&amp;Tableau1[[#This Row],[Code Postal]]&amp;" - "&amp;Tableau1[[#This Row],[Ville]]</f>
        <v>23 avenue Paul Doumer
77000 - Melun</v>
      </c>
      <c r="H179" s="15" t="s">
        <v>1309</v>
      </c>
      <c r="I179" s="12" t="s">
        <v>45</v>
      </c>
      <c r="J179" s="12" t="s">
        <v>44</v>
      </c>
      <c r="K179" s="10" t="s">
        <v>103</v>
      </c>
      <c r="L179" s="12" t="s">
        <v>103</v>
      </c>
      <c r="M179" s="36"/>
      <c r="N179" s="34">
        <v>530</v>
      </c>
      <c r="O179" s="12" t="s">
        <v>1310</v>
      </c>
      <c r="P179" s="34" t="s">
        <v>103</v>
      </c>
      <c r="Q179" s="6" t="s">
        <v>103</v>
      </c>
      <c r="R179" s="12">
        <f>Tableau1[[#This Row],[Loyer €/m²]]*Tableau1[[#This Row],[Surface GLA]]</f>
        <v>132500</v>
      </c>
      <c r="S179" s="12">
        <f>IFERROR(Tableau1[[#This Row],[Loyer annuel]]/12,"")</f>
        <v>11041.666666666666</v>
      </c>
      <c r="T179" s="12">
        <v>250</v>
      </c>
      <c r="U179" s="6" t="s">
        <v>103</v>
      </c>
      <c r="V179" s="6">
        <f>Tableau1[[#This Row],[Charges €/m²]]*Tableau1[[#This Row],[Surface GLA]]</f>
        <v>0</v>
      </c>
      <c r="W179" s="12">
        <f>Tableau1[[#This Row],[Charges annuelles]]/12</f>
        <v>0</v>
      </c>
      <c r="X179" s="12"/>
      <c r="Y179" s="12">
        <f>IFERROR(Tableau1[[#This Row],[Taxe foncière €/m²]]*Tableau1[[#This Row],[Surface GLA]],)</f>
        <v>0</v>
      </c>
      <c r="Z179" s="12"/>
      <c r="AA179" s="12">
        <f>IFERROR(Tableau1[[#This Row],[Marketing €/m²]]*Tableau1[[#This Row],[Surface GLA]],)</f>
        <v>0</v>
      </c>
      <c r="AB179" s="6" t="s">
        <v>103</v>
      </c>
      <c r="AC179" s="12">
        <f>IFERROR(Tableau1[[#This Row],[Loyer annuel]]+Tableau1[[#This Row],[Charges annuelles]]+Tableau1[[#This Row],[Taxe foncière]]+Tableau1[[#This Row],[Marketing]],"")</f>
        <v>132500</v>
      </c>
      <c r="AD179" s="12" t="str">
        <f t="shared" si="6"/>
        <v>3 mois = 33 125 €</v>
      </c>
      <c r="AE179" s="6" t="s">
        <v>103</v>
      </c>
      <c r="AF179" s="6" t="s">
        <v>103</v>
      </c>
      <c r="AG179" s="12" t="s">
        <v>363</v>
      </c>
      <c r="AH179" s="10" t="s">
        <v>377</v>
      </c>
      <c r="AI179" s="10" t="s">
        <v>370</v>
      </c>
      <c r="AJ179" s="10" t="s">
        <v>1312</v>
      </c>
      <c r="AK179" s="11" t="s">
        <v>1311</v>
      </c>
      <c r="AL179" s="5" t="s">
        <v>368</v>
      </c>
      <c r="AM179" s="11" t="s">
        <v>1313</v>
      </c>
      <c r="AN179" s="11" t="s">
        <v>1314</v>
      </c>
      <c r="AO179" s="11">
        <v>50</v>
      </c>
      <c r="AP179" s="36"/>
      <c r="AQ179" s="11" t="s">
        <v>75</v>
      </c>
      <c r="AR179" s="11" t="s">
        <v>1315</v>
      </c>
      <c r="AS179" s="13" t="s">
        <v>1316</v>
      </c>
      <c r="AT179" s="14"/>
      <c r="AU179" s="44">
        <v>46042</v>
      </c>
    </row>
    <row r="180" spans="1:47" ht="25.5">
      <c r="A180" s="38" t="str">
        <f>VLOOKUP(Tableau1[[#This Row],[N° Département]],Feuil1!$C$6:$E$106,3)</f>
        <v>Ile-de-France</v>
      </c>
      <c r="B180" s="38" t="str">
        <f>VLOOKUP(Tableau1[[#This Row],[N° Département]],Feuil1!$C$6:$E$106,2)</f>
        <v>Paris</v>
      </c>
      <c r="C180" s="38">
        <f>LEFT(Tableau1[[#This Row],[Code Postal]],2)*1</f>
        <v>75</v>
      </c>
      <c r="D180" s="10" t="s">
        <v>1317</v>
      </c>
      <c r="E180" s="26">
        <v>75016</v>
      </c>
      <c r="F180" s="10" t="s">
        <v>92</v>
      </c>
      <c r="G180" s="39" t="str">
        <f>Tableau1[[#This Row],[Rue]]&amp;CHAR(10)&amp;Tableau1[[#This Row],[Code Postal]]&amp;" - "&amp;Tableau1[[#This Row],[Ville]]</f>
        <v>1 boulevard Exelmans
75016 - Paris</v>
      </c>
      <c r="H180" s="15" t="s">
        <v>1318</v>
      </c>
      <c r="I180" s="12" t="s">
        <v>45</v>
      </c>
      <c r="J180" s="12" t="s">
        <v>44</v>
      </c>
      <c r="K180" s="10" t="s">
        <v>103</v>
      </c>
      <c r="L180" s="12" t="s">
        <v>103</v>
      </c>
      <c r="M180" s="36"/>
      <c r="N180" s="34">
        <v>187</v>
      </c>
      <c r="O180" s="12" t="s">
        <v>1319</v>
      </c>
      <c r="P180" s="34" t="s">
        <v>103</v>
      </c>
      <c r="Q180" s="6" t="s">
        <v>103</v>
      </c>
      <c r="R180" s="12">
        <f>Tableau1[[#This Row],[Loyer €/m²]]*Tableau1[[#This Row],[Surface GLA]]</f>
        <v>112200</v>
      </c>
      <c r="S180" s="12">
        <f>IFERROR(Tableau1[[#This Row],[Loyer annuel]]/12,"")</f>
        <v>9350</v>
      </c>
      <c r="T180" s="12">
        <v>600</v>
      </c>
      <c r="U180" s="6" t="s">
        <v>103</v>
      </c>
      <c r="V180" s="6">
        <f>Tableau1[[#This Row],[Charges €/m²]]*Tableau1[[#This Row],[Surface GLA]]</f>
        <v>0</v>
      </c>
      <c r="W180" s="12">
        <f>Tableau1[[#This Row],[Charges annuelles]]/12</f>
        <v>0</v>
      </c>
      <c r="X180" s="12"/>
      <c r="Y180" s="12">
        <f>IFERROR(Tableau1[[#This Row],[Taxe foncière €/m²]]*Tableau1[[#This Row],[Surface GLA]],)</f>
        <v>0</v>
      </c>
      <c r="Z180" s="12"/>
      <c r="AA180" s="12">
        <f>IFERROR(Tableau1[[#This Row],[Marketing €/m²]]*Tableau1[[#This Row],[Surface GLA]],)</f>
        <v>0</v>
      </c>
      <c r="AB180" s="6" t="s">
        <v>103</v>
      </c>
      <c r="AC180" s="12">
        <f>IFERROR(Tableau1[[#This Row],[Loyer annuel]]+Tableau1[[#This Row],[Charges annuelles]]+Tableau1[[#This Row],[Taxe foncière]]+Tableau1[[#This Row],[Marketing]],"")</f>
        <v>112200</v>
      </c>
      <c r="AD180" s="12" t="str">
        <f t="shared" si="6"/>
        <v>3 mois = 28 050 €</v>
      </c>
      <c r="AE180" s="6" t="s">
        <v>103</v>
      </c>
      <c r="AF180" s="6" t="s">
        <v>103</v>
      </c>
      <c r="AG180" s="12" t="s">
        <v>363</v>
      </c>
      <c r="AH180" s="10" t="s">
        <v>377</v>
      </c>
      <c r="AI180" s="10" t="s">
        <v>370</v>
      </c>
      <c r="AJ180" s="10" t="s">
        <v>1323</v>
      </c>
      <c r="AK180" s="11" t="s">
        <v>1377</v>
      </c>
      <c r="AL180" s="5" t="s">
        <v>368</v>
      </c>
      <c r="AM180" s="11" t="s">
        <v>1321</v>
      </c>
      <c r="AN180" s="11" t="s">
        <v>1322</v>
      </c>
      <c r="AO180" s="11">
        <v>51</v>
      </c>
      <c r="AP180" s="36"/>
      <c r="AQ180" s="11" t="s">
        <v>75</v>
      </c>
      <c r="AR180" s="11" t="s">
        <v>1320</v>
      </c>
      <c r="AS180" s="13" t="s">
        <v>1316</v>
      </c>
      <c r="AT180" s="14"/>
      <c r="AU180" s="44">
        <v>46042</v>
      </c>
    </row>
    <row r="181" spans="1:47" ht="25.5">
      <c r="A181" s="38" t="str">
        <f>VLOOKUP(Tableau1[[#This Row],[N° Département]],Feuil1!$C$6:$E$106,3)</f>
        <v>Ile-de-France</v>
      </c>
      <c r="B181" s="38" t="str">
        <f>VLOOKUP(Tableau1[[#This Row],[N° Département]],Feuil1!$C$6:$E$106,2)</f>
        <v>Paris</v>
      </c>
      <c r="C181" s="38">
        <f>LEFT(Tableau1[[#This Row],[Code Postal]],2)*1</f>
        <v>75</v>
      </c>
      <c r="D181" s="10" t="s">
        <v>1324</v>
      </c>
      <c r="E181" s="26">
        <v>75014</v>
      </c>
      <c r="F181" s="10" t="s">
        <v>92</v>
      </c>
      <c r="G181" s="39" t="str">
        <f>Tableau1[[#This Row],[Rue]]&amp;CHAR(10)&amp;Tableau1[[#This Row],[Code Postal]]&amp;" - "&amp;Tableau1[[#This Row],[Ville]]</f>
        <v>90 rue d'Alésia
75014 - Paris</v>
      </c>
      <c r="H181" s="15" t="s">
        <v>1325</v>
      </c>
      <c r="I181" s="12" t="s">
        <v>45</v>
      </c>
      <c r="J181" s="12" t="s">
        <v>44</v>
      </c>
      <c r="K181" s="10" t="s">
        <v>103</v>
      </c>
      <c r="L181" s="12" t="s">
        <v>103</v>
      </c>
      <c r="M181" s="36"/>
      <c r="N181" s="34">
        <v>59</v>
      </c>
      <c r="O181" s="12" t="s">
        <v>1326</v>
      </c>
      <c r="P181" s="34" t="s">
        <v>103</v>
      </c>
      <c r="Q181" s="6" t="s">
        <v>103</v>
      </c>
      <c r="R181" s="12">
        <f>Tableau1[[#This Row],[Loyer €/m²]]*Tableau1[[#This Row],[Surface GLA]]</f>
        <v>53100</v>
      </c>
      <c r="S181" s="12">
        <f>IFERROR(Tableau1[[#This Row],[Loyer annuel]]/12,"")</f>
        <v>4425</v>
      </c>
      <c r="T181" s="12">
        <v>900</v>
      </c>
      <c r="U181" s="6" t="s">
        <v>103</v>
      </c>
      <c r="V181" s="6">
        <f>Tableau1[[#This Row],[Charges €/m²]]*Tableau1[[#This Row],[Surface GLA]]</f>
        <v>0</v>
      </c>
      <c r="W181" s="12">
        <f>Tableau1[[#This Row],[Charges annuelles]]/12</f>
        <v>0</v>
      </c>
      <c r="X181" s="12"/>
      <c r="Y181" s="12">
        <f>IFERROR(Tableau1[[#This Row],[Taxe foncière €/m²]]*Tableau1[[#This Row],[Surface GLA]],)</f>
        <v>0</v>
      </c>
      <c r="Z181" s="12"/>
      <c r="AA181" s="12">
        <f>IFERROR(Tableau1[[#This Row],[Marketing €/m²]]*Tableau1[[#This Row],[Surface GLA]],)</f>
        <v>0</v>
      </c>
      <c r="AB181" s="6" t="s">
        <v>103</v>
      </c>
      <c r="AC181" s="12">
        <f>IFERROR(Tableau1[[#This Row],[Loyer annuel]]+Tableau1[[#This Row],[Charges annuelles]]+Tableau1[[#This Row],[Taxe foncière]]+Tableau1[[#This Row],[Marketing]],"")</f>
        <v>53100</v>
      </c>
      <c r="AD181" s="12" t="str">
        <f t="shared" si="6"/>
        <v>3 mois = 13 275 €</v>
      </c>
      <c r="AE181" s="6" t="s">
        <v>103</v>
      </c>
      <c r="AF181" s="6" t="s">
        <v>103</v>
      </c>
      <c r="AG181" s="12" t="s">
        <v>363</v>
      </c>
      <c r="AH181" s="10" t="s">
        <v>377</v>
      </c>
      <c r="AI181" s="10"/>
      <c r="AJ181" s="10" t="s">
        <v>1330</v>
      </c>
      <c r="AK181" s="11" t="s">
        <v>1378</v>
      </c>
      <c r="AL181" s="5" t="s">
        <v>368</v>
      </c>
      <c r="AM181" s="11" t="s">
        <v>1328</v>
      </c>
      <c r="AN181" s="11" t="s">
        <v>1329</v>
      </c>
      <c r="AO181" s="11">
        <v>52</v>
      </c>
      <c r="AP181" s="36"/>
      <c r="AQ181" s="11" t="s">
        <v>75</v>
      </c>
      <c r="AR181" s="11" t="s">
        <v>1327</v>
      </c>
      <c r="AS181" s="13" t="s">
        <v>1316</v>
      </c>
      <c r="AT181" s="14"/>
      <c r="AU181" s="44">
        <v>46042</v>
      </c>
    </row>
    <row r="182" spans="1:47" ht="25.5">
      <c r="A182" s="38" t="str">
        <f>VLOOKUP(Tableau1[[#This Row],[N° Département]],Feuil1!$C$6:$E$106,3)</f>
        <v>Ile-de-France</v>
      </c>
      <c r="B182" s="38" t="str">
        <f>VLOOKUP(Tableau1[[#This Row],[N° Département]],Feuil1!$C$6:$E$106,2)</f>
        <v>Paris</v>
      </c>
      <c r="C182" s="38">
        <f>LEFT(Tableau1[[#This Row],[Code Postal]],2)*1</f>
        <v>75</v>
      </c>
      <c r="D182" s="10" t="s">
        <v>1331</v>
      </c>
      <c r="E182" s="26">
        <v>75020</v>
      </c>
      <c r="F182" s="10" t="s">
        <v>92</v>
      </c>
      <c r="G182" s="39" t="str">
        <f>Tableau1[[#This Row],[Rue]]&amp;CHAR(10)&amp;Tableau1[[#This Row],[Code Postal]]&amp;" - "&amp;Tableau1[[#This Row],[Ville]]</f>
        <v>356 rue des Pyrénées
75020 - Paris</v>
      </c>
      <c r="H182" s="15" t="s">
        <v>1332</v>
      </c>
      <c r="I182" s="12" t="s">
        <v>45</v>
      </c>
      <c r="J182" s="12" t="s">
        <v>44</v>
      </c>
      <c r="K182" s="10" t="s">
        <v>103</v>
      </c>
      <c r="L182" s="12" t="s">
        <v>103</v>
      </c>
      <c r="M182" s="36"/>
      <c r="N182" s="34">
        <v>39</v>
      </c>
      <c r="O182" s="34" t="s">
        <v>103</v>
      </c>
      <c r="P182" s="34" t="s">
        <v>103</v>
      </c>
      <c r="Q182" s="34" t="s">
        <v>103</v>
      </c>
      <c r="R182" s="12">
        <f>Tableau1[[#This Row],[Loyer €/m²]]*Tableau1[[#This Row],[Surface GLA]]</f>
        <v>42900</v>
      </c>
      <c r="S182" s="12">
        <f>IFERROR(Tableau1[[#This Row],[Loyer annuel]]/12,"")</f>
        <v>3575</v>
      </c>
      <c r="T182" s="12">
        <v>1100</v>
      </c>
      <c r="U182" s="34" t="s">
        <v>103</v>
      </c>
      <c r="V182" s="6">
        <f>Tableau1[[#This Row],[Charges €/m²]]*Tableau1[[#This Row],[Surface GLA]]</f>
        <v>0</v>
      </c>
      <c r="W182" s="12">
        <f>Tableau1[[#This Row],[Charges annuelles]]/12</f>
        <v>0</v>
      </c>
      <c r="X182" s="12"/>
      <c r="Y182" s="12">
        <f>IFERROR(Tableau1[[#This Row],[Taxe foncière €/m²]]*Tableau1[[#This Row],[Surface GLA]],)</f>
        <v>0</v>
      </c>
      <c r="Z182" s="12"/>
      <c r="AA182" s="12">
        <f>IFERROR(Tableau1[[#This Row],[Marketing €/m²]]*Tableau1[[#This Row],[Surface GLA]],)</f>
        <v>0</v>
      </c>
      <c r="AB182" s="34" t="s">
        <v>103</v>
      </c>
      <c r="AC182" s="12">
        <f>IFERROR(Tableau1[[#This Row],[Loyer annuel]]+Tableau1[[#This Row],[Charges annuelles]]+Tableau1[[#This Row],[Taxe foncière]]+Tableau1[[#This Row],[Marketing]],"")</f>
        <v>42900</v>
      </c>
      <c r="AD182" s="12" t="str">
        <f t="shared" si="6"/>
        <v>3 mois = 10 725 €</v>
      </c>
      <c r="AE182" s="6" t="s">
        <v>103</v>
      </c>
      <c r="AF182" s="6" t="s">
        <v>103</v>
      </c>
      <c r="AG182" s="12" t="s">
        <v>363</v>
      </c>
      <c r="AH182" s="10" t="s">
        <v>377</v>
      </c>
      <c r="AI182" s="10"/>
      <c r="AJ182" s="10" t="s">
        <v>1336</v>
      </c>
      <c r="AK182" s="11"/>
      <c r="AL182" s="5" t="s">
        <v>368</v>
      </c>
      <c r="AM182" s="11" t="s">
        <v>1335</v>
      </c>
      <c r="AN182" s="11" t="s">
        <v>1334</v>
      </c>
      <c r="AO182" s="11">
        <v>53</v>
      </c>
      <c r="AP182" s="36"/>
      <c r="AQ182" s="11" t="s">
        <v>75</v>
      </c>
      <c r="AR182" s="11" t="s">
        <v>1333</v>
      </c>
      <c r="AS182" s="13" t="s">
        <v>1316</v>
      </c>
      <c r="AT182" s="14"/>
      <c r="AU182" s="44">
        <v>46042</v>
      </c>
    </row>
    <row r="183" spans="1:47" ht="25.5">
      <c r="A183" s="38" t="str">
        <f>VLOOKUP(Tableau1[[#This Row],[N° Département]],Feuil1!$C$6:$E$106,3)</f>
        <v>Ile-de-France</v>
      </c>
      <c r="B183" s="38" t="str">
        <f>VLOOKUP(Tableau1[[#This Row],[N° Département]],Feuil1!$C$6:$E$106,2)</f>
        <v>Paris</v>
      </c>
      <c r="C183" s="38">
        <f>LEFT(Tableau1[[#This Row],[Code Postal]],2)*1</f>
        <v>75</v>
      </c>
      <c r="D183" s="10" t="s">
        <v>1337</v>
      </c>
      <c r="E183" s="26">
        <v>75017</v>
      </c>
      <c r="F183" s="10" t="s">
        <v>92</v>
      </c>
      <c r="G183" s="39" t="str">
        <f>Tableau1[[#This Row],[Rue]]&amp;CHAR(10)&amp;Tableau1[[#This Row],[Code Postal]]&amp;" - "&amp;Tableau1[[#This Row],[Ville]]</f>
        <v>103 rue Legendre
75017 - Paris</v>
      </c>
      <c r="H183" s="15" t="s">
        <v>1338</v>
      </c>
      <c r="I183" s="12" t="s">
        <v>45</v>
      </c>
      <c r="J183" s="12" t="s">
        <v>44</v>
      </c>
      <c r="K183" s="10" t="s">
        <v>103</v>
      </c>
      <c r="L183" s="12" t="s">
        <v>103</v>
      </c>
      <c r="M183" s="36"/>
      <c r="N183" s="34">
        <v>93</v>
      </c>
      <c r="O183" s="34" t="s">
        <v>103</v>
      </c>
      <c r="P183" s="34" t="s">
        <v>103</v>
      </c>
      <c r="Q183" s="34" t="s">
        <v>103</v>
      </c>
      <c r="R183" s="12">
        <f>Tableau1[[#This Row],[Loyer €/m²]]*Tableau1[[#This Row],[Surface GLA]]</f>
        <v>74400</v>
      </c>
      <c r="S183" s="12">
        <f>IFERROR(Tableau1[[#This Row],[Loyer annuel]]/12,"")</f>
        <v>6200</v>
      </c>
      <c r="T183" s="12">
        <v>800</v>
      </c>
      <c r="U183" s="34" t="s">
        <v>103</v>
      </c>
      <c r="V183" s="6">
        <f>Tableau1[[#This Row],[Charges €/m²]]*Tableau1[[#This Row],[Surface GLA]]</f>
        <v>0</v>
      </c>
      <c r="W183" s="12">
        <f>Tableau1[[#This Row],[Charges annuelles]]/12</f>
        <v>0</v>
      </c>
      <c r="X183" s="12"/>
      <c r="Y183" s="12">
        <f>IFERROR(Tableau1[[#This Row],[Taxe foncière €/m²]]*Tableau1[[#This Row],[Surface GLA]],)</f>
        <v>0</v>
      </c>
      <c r="Z183" s="12"/>
      <c r="AA183" s="12">
        <f>IFERROR(Tableau1[[#This Row],[Marketing €/m²]]*Tableau1[[#This Row],[Surface GLA]],)</f>
        <v>0</v>
      </c>
      <c r="AB183" s="34" t="s">
        <v>103</v>
      </c>
      <c r="AC183" s="12">
        <f>IFERROR(Tableau1[[#This Row],[Loyer annuel]]+Tableau1[[#This Row],[Charges annuelles]]+Tableau1[[#This Row],[Taxe foncière]]+Tableau1[[#This Row],[Marketing]],"")</f>
        <v>74400</v>
      </c>
      <c r="AD183" s="12" t="str">
        <f t="shared" si="6"/>
        <v>3 mois = 18 600 €</v>
      </c>
      <c r="AE183" s="6" t="s">
        <v>103</v>
      </c>
      <c r="AF183" s="6" t="s">
        <v>103</v>
      </c>
      <c r="AG183" s="12" t="s">
        <v>363</v>
      </c>
      <c r="AH183" s="10" t="s">
        <v>377</v>
      </c>
      <c r="AI183" s="10"/>
      <c r="AJ183" s="10" t="s">
        <v>1341</v>
      </c>
      <c r="AK183" s="11" t="s">
        <v>1340</v>
      </c>
      <c r="AL183" s="5" t="s">
        <v>368</v>
      </c>
      <c r="AM183" s="11" t="s">
        <v>1362</v>
      </c>
      <c r="AN183" s="11" t="s">
        <v>1363</v>
      </c>
      <c r="AO183" s="11">
        <v>54</v>
      </c>
      <c r="AP183" s="36"/>
      <c r="AQ183" s="11" t="s">
        <v>75</v>
      </c>
      <c r="AR183" s="11" t="s">
        <v>1339</v>
      </c>
      <c r="AS183" s="13" t="s">
        <v>1316</v>
      </c>
      <c r="AT183" s="14"/>
      <c r="AU183" s="44">
        <v>46042</v>
      </c>
    </row>
    <row r="184" spans="1:47" ht="25.5">
      <c r="A184" s="38" t="str">
        <f>VLOOKUP(Tableau1[[#This Row],[N° Département]],Feuil1!$C$6:$E$106,3)</f>
        <v>Ile-de-France</v>
      </c>
      <c r="B184" s="38" t="str">
        <f>VLOOKUP(Tableau1[[#This Row],[N° Département]],Feuil1!$C$6:$E$106,2)</f>
        <v>Hauts-de-Seine</v>
      </c>
      <c r="C184" s="38">
        <f>LEFT(Tableau1[[#This Row],[Code Postal]],2)*1</f>
        <v>92</v>
      </c>
      <c r="D184" s="10" t="s">
        <v>1342</v>
      </c>
      <c r="E184" s="26">
        <v>92100</v>
      </c>
      <c r="F184" s="10" t="s">
        <v>93</v>
      </c>
      <c r="G184" s="39" t="str">
        <f>Tableau1[[#This Row],[Rue]]&amp;CHAR(10)&amp;Tableau1[[#This Row],[Code Postal]]&amp;" - "&amp;Tableau1[[#This Row],[Ville]]</f>
        <v>86 avenue Edouard Vaillant
92100 - Boulogne-Billancourt</v>
      </c>
      <c r="H184" s="15" t="s">
        <v>1343</v>
      </c>
      <c r="I184" s="12" t="s">
        <v>45</v>
      </c>
      <c r="J184" s="12" t="s">
        <v>44</v>
      </c>
      <c r="K184" s="10" t="s">
        <v>103</v>
      </c>
      <c r="L184" s="12" t="s">
        <v>103</v>
      </c>
      <c r="M184" s="36"/>
      <c r="N184" s="34">
        <v>141</v>
      </c>
      <c r="O184" s="12" t="s">
        <v>1349</v>
      </c>
      <c r="P184" s="34" t="s">
        <v>103</v>
      </c>
      <c r="Q184" s="34" t="s">
        <v>103</v>
      </c>
      <c r="R184" s="12">
        <f>Tableau1[[#This Row],[Loyer €/m²]]*Tableau1[[#This Row],[Surface GLA]]</f>
        <v>112800</v>
      </c>
      <c r="S184" s="12">
        <f>IFERROR(Tableau1[[#This Row],[Loyer annuel]]/12,"")</f>
        <v>9400</v>
      </c>
      <c r="T184" s="12">
        <v>800</v>
      </c>
      <c r="U184" s="34" t="s">
        <v>103</v>
      </c>
      <c r="V184" s="6">
        <f>Tableau1[[#This Row],[Charges €/m²]]*Tableau1[[#This Row],[Surface GLA]]</f>
        <v>0</v>
      </c>
      <c r="W184" s="12">
        <f>Tableau1[[#This Row],[Charges annuelles]]/12</f>
        <v>0</v>
      </c>
      <c r="X184" s="12"/>
      <c r="Y184" s="12">
        <f>IFERROR(Tableau1[[#This Row],[Taxe foncière €/m²]]*Tableau1[[#This Row],[Surface GLA]],)</f>
        <v>0</v>
      </c>
      <c r="Z184" s="12"/>
      <c r="AA184" s="12">
        <f>IFERROR(Tableau1[[#This Row],[Marketing €/m²]]*Tableau1[[#This Row],[Surface GLA]],)</f>
        <v>0</v>
      </c>
      <c r="AB184" s="34" t="s">
        <v>103</v>
      </c>
      <c r="AC184" s="12">
        <f>IFERROR(Tableau1[[#This Row],[Loyer annuel]]+Tableau1[[#This Row],[Charges annuelles]]+Tableau1[[#This Row],[Taxe foncière]]+Tableau1[[#This Row],[Marketing]],"")</f>
        <v>112800</v>
      </c>
      <c r="AD184" s="12" t="str">
        <f t="shared" si="6"/>
        <v>3 mois = 28 200 €</v>
      </c>
      <c r="AE184" s="6" t="s">
        <v>103</v>
      </c>
      <c r="AF184" s="6" t="s">
        <v>103</v>
      </c>
      <c r="AG184" s="12" t="s">
        <v>363</v>
      </c>
      <c r="AH184" s="10" t="s">
        <v>53</v>
      </c>
      <c r="AI184" s="10" t="s">
        <v>369</v>
      </c>
      <c r="AJ184" s="10" t="s">
        <v>1382</v>
      </c>
      <c r="AK184" s="11" t="s">
        <v>1381</v>
      </c>
      <c r="AL184" s="5" t="s">
        <v>368</v>
      </c>
      <c r="AM184" s="11" t="s">
        <v>1361</v>
      </c>
      <c r="AN184" s="11" t="s">
        <v>1360</v>
      </c>
      <c r="AO184" s="11">
        <v>55</v>
      </c>
      <c r="AP184" s="36"/>
      <c r="AQ184" s="11" t="s">
        <v>75</v>
      </c>
      <c r="AR184" s="11" t="s">
        <v>1344</v>
      </c>
      <c r="AS184" s="13" t="s">
        <v>1316</v>
      </c>
      <c r="AT184" s="14"/>
      <c r="AU184" s="44">
        <v>46042</v>
      </c>
    </row>
    <row r="185" spans="1:47" ht="25.5">
      <c r="A185" s="38" t="str">
        <f>VLOOKUP(Tableau1[[#This Row],[N° Département]],Feuil1!$C$6:$E$106,3)</f>
        <v>Hauts-de-France</v>
      </c>
      <c r="B185" s="38" t="str">
        <f>VLOOKUP(Tableau1[[#This Row],[N° Département]],Feuil1!$C$6:$E$106,2)</f>
        <v>Pas-de-Calais</v>
      </c>
      <c r="C185" s="38">
        <f>LEFT(Tableau1[[#This Row],[Code Postal]],2)*1</f>
        <v>62</v>
      </c>
      <c r="D185" s="10" t="s">
        <v>1346</v>
      </c>
      <c r="E185" s="26">
        <v>62520</v>
      </c>
      <c r="F185" s="10" t="s">
        <v>1347</v>
      </c>
      <c r="G185" s="39" t="str">
        <f>Tableau1[[#This Row],[Rue]]&amp;CHAR(10)&amp;Tableau1[[#This Row],[Code Postal]]&amp;" - "&amp;Tableau1[[#This Row],[Ville]]</f>
        <v>73 bis rue Saint-Jean
62520 - Le Touquet-Paris-Plage</v>
      </c>
      <c r="H185" s="15" t="s">
        <v>1345</v>
      </c>
      <c r="I185" s="12" t="s">
        <v>45</v>
      </c>
      <c r="J185" s="12" t="s">
        <v>44</v>
      </c>
      <c r="K185" s="10" t="s">
        <v>103</v>
      </c>
      <c r="L185" s="12" t="s">
        <v>103</v>
      </c>
      <c r="M185" s="36"/>
      <c r="N185" s="34">
        <v>86</v>
      </c>
      <c r="O185" s="12" t="s">
        <v>1348</v>
      </c>
      <c r="P185" s="34" t="s">
        <v>103</v>
      </c>
      <c r="Q185" s="34" t="s">
        <v>103</v>
      </c>
      <c r="R185" s="12">
        <f>Tableau1[[#This Row],[Loyer €/m²]]*Tableau1[[#This Row],[Surface GLA]]</f>
        <v>60200</v>
      </c>
      <c r="S185" s="12">
        <f>IFERROR(Tableau1[[#This Row],[Loyer annuel]]/12,"")</f>
        <v>5016.666666666667</v>
      </c>
      <c r="T185" s="12">
        <v>700</v>
      </c>
      <c r="U185" s="34" t="s">
        <v>103</v>
      </c>
      <c r="V185" s="6">
        <f>Tableau1[[#This Row],[Charges €/m²]]*Tableau1[[#This Row],[Surface GLA]]</f>
        <v>0</v>
      </c>
      <c r="W185" s="12">
        <f>Tableau1[[#This Row],[Charges annuelles]]/12</f>
        <v>0</v>
      </c>
      <c r="X185" s="12"/>
      <c r="Y185" s="12">
        <f>IFERROR(Tableau1[[#This Row],[Taxe foncière €/m²]]*Tableau1[[#This Row],[Surface GLA]],)</f>
        <v>0</v>
      </c>
      <c r="Z185" s="12"/>
      <c r="AA185" s="12">
        <f>IFERROR(Tableau1[[#This Row],[Marketing €/m²]]*Tableau1[[#This Row],[Surface GLA]],)</f>
        <v>0</v>
      </c>
      <c r="AB185" s="34" t="s">
        <v>103</v>
      </c>
      <c r="AC185" s="12">
        <f>IFERROR(Tableau1[[#This Row],[Loyer annuel]]+Tableau1[[#This Row],[Charges annuelles]]+Tableau1[[#This Row],[Taxe foncière]]+Tableau1[[#This Row],[Marketing]],"")</f>
        <v>60200</v>
      </c>
      <c r="AD185" s="12" t="str">
        <f t="shared" si="6"/>
        <v>3 mois = 15 050 €</v>
      </c>
      <c r="AE185" s="6" t="s">
        <v>103</v>
      </c>
      <c r="AF185" s="6" t="s">
        <v>103</v>
      </c>
      <c r="AG185" s="12" t="s">
        <v>363</v>
      </c>
      <c r="AH185" s="10" t="s">
        <v>377</v>
      </c>
      <c r="AI185" s="10" t="s">
        <v>370</v>
      </c>
      <c r="AJ185" s="10" t="s">
        <v>1383</v>
      </c>
      <c r="AK185" s="11" t="s">
        <v>1379</v>
      </c>
      <c r="AL185" s="5" t="s">
        <v>368</v>
      </c>
      <c r="AM185" s="11" t="s">
        <v>1351</v>
      </c>
      <c r="AN185" s="11" t="s">
        <v>1352</v>
      </c>
      <c r="AO185" s="11">
        <v>56</v>
      </c>
      <c r="AP185" s="36"/>
      <c r="AQ185" s="11" t="s">
        <v>75</v>
      </c>
      <c r="AR185" s="11" t="s">
        <v>1350</v>
      </c>
      <c r="AS185" s="13" t="s">
        <v>1316</v>
      </c>
      <c r="AT185" s="14"/>
      <c r="AU185" s="44">
        <v>46042</v>
      </c>
    </row>
    <row r="186" spans="1:47" ht="25.5">
      <c r="A186" s="38" t="str">
        <f>VLOOKUP(Tableau1[[#This Row],[N° Département]],Feuil1!$C$6:$E$106,3)</f>
        <v>Bourgogne-Franche-Comté</v>
      </c>
      <c r="B186" s="38" t="str">
        <f>VLOOKUP(Tableau1[[#This Row],[N° Département]],Feuil1!$C$6:$E$106,2)</f>
        <v>Côte-d'Or</v>
      </c>
      <c r="C186" s="38">
        <f>LEFT(Tableau1[[#This Row],[Code Postal]],2)*1</f>
        <v>21</v>
      </c>
      <c r="D186" s="10" t="s">
        <v>1353</v>
      </c>
      <c r="E186" s="26">
        <v>21000</v>
      </c>
      <c r="F186" s="10" t="s">
        <v>1354</v>
      </c>
      <c r="G186" s="39" t="str">
        <f>Tableau1[[#This Row],[Rue]]&amp;CHAR(10)&amp;Tableau1[[#This Row],[Code Postal]]&amp;" - "&amp;Tableau1[[#This Row],[Ville]]</f>
        <v>65 rue du Bourg
21000 - Dijon</v>
      </c>
      <c r="H186" s="15" t="s">
        <v>1355</v>
      </c>
      <c r="I186" s="12" t="s">
        <v>45</v>
      </c>
      <c r="J186" s="12" t="s">
        <v>44</v>
      </c>
      <c r="K186" s="10" t="s">
        <v>103</v>
      </c>
      <c r="L186" s="12" t="s">
        <v>103</v>
      </c>
      <c r="M186" s="36"/>
      <c r="N186" s="34">
        <v>335</v>
      </c>
      <c r="O186" s="12" t="s">
        <v>1356</v>
      </c>
      <c r="P186" s="34" t="s">
        <v>103</v>
      </c>
      <c r="Q186" s="34" t="s">
        <v>103</v>
      </c>
      <c r="R186" s="12">
        <f>Tableau1[[#This Row],[Loyer €/m²]]*Tableau1[[#This Row],[Surface GLA]]</f>
        <v>134000</v>
      </c>
      <c r="S186" s="12">
        <f>IFERROR(Tableau1[[#This Row],[Loyer annuel]]/12,"")</f>
        <v>11166.666666666666</v>
      </c>
      <c r="T186" s="12">
        <v>400</v>
      </c>
      <c r="U186" s="34" t="s">
        <v>103</v>
      </c>
      <c r="V186" s="6">
        <f>Tableau1[[#This Row],[Charges €/m²]]*Tableau1[[#This Row],[Surface GLA]]</f>
        <v>0</v>
      </c>
      <c r="W186" s="12">
        <f>Tableau1[[#This Row],[Charges annuelles]]/12</f>
        <v>0</v>
      </c>
      <c r="X186" s="12"/>
      <c r="Y186" s="12">
        <f>IFERROR(Tableau1[[#This Row],[Taxe foncière €/m²]]*Tableau1[[#This Row],[Surface GLA]],)</f>
        <v>0</v>
      </c>
      <c r="Z186" s="12"/>
      <c r="AA186" s="12">
        <f>IFERROR(Tableau1[[#This Row],[Marketing €/m²]]*Tableau1[[#This Row],[Surface GLA]],)</f>
        <v>0</v>
      </c>
      <c r="AB186" s="34" t="s">
        <v>103</v>
      </c>
      <c r="AC186" s="12">
        <f>IFERROR(Tableau1[[#This Row],[Loyer annuel]]+Tableau1[[#This Row],[Charges annuelles]]+Tableau1[[#This Row],[Taxe foncière]]+Tableau1[[#This Row],[Marketing]],"")</f>
        <v>134000</v>
      </c>
      <c r="AD186" s="12" t="str">
        <f t="shared" si="6"/>
        <v>3 mois = 33 500 €</v>
      </c>
      <c r="AE186" s="6" t="s">
        <v>103</v>
      </c>
      <c r="AF186" s="6" t="s">
        <v>103</v>
      </c>
      <c r="AG186" s="12" t="s">
        <v>363</v>
      </c>
      <c r="AH186" s="10" t="s">
        <v>377</v>
      </c>
      <c r="AI186" s="10" t="s">
        <v>370</v>
      </c>
      <c r="AJ186" s="10" t="s">
        <v>1384</v>
      </c>
      <c r="AK186" s="11" t="s">
        <v>1380</v>
      </c>
      <c r="AL186" s="5" t="s">
        <v>368</v>
      </c>
      <c r="AM186" s="11" t="s">
        <v>1359</v>
      </c>
      <c r="AN186" s="11" t="s">
        <v>1358</v>
      </c>
      <c r="AO186" s="11">
        <v>57</v>
      </c>
      <c r="AP186" s="36"/>
      <c r="AQ186" s="11" t="s">
        <v>75</v>
      </c>
      <c r="AR186" s="11" t="s">
        <v>1357</v>
      </c>
      <c r="AS186" s="13" t="s">
        <v>1316</v>
      </c>
      <c r="AT186" s="14"/>
      <c r="AU186" s="44">
        <v>46042</v>
      </c>
    </row>
    <row r="187" spans="1:47" ht="25.5">
      <c r="A187" s="38" t="str">
        <f>VLOOKUP(Tableau1[[#This Row],[N° Département]],Feuil1!$C$6:$E$106,3)</f>
        <v>Grand Est</v>
      </c>
      <c r="B187" s="38" t="str">
        <f>VLOOKUP(Tableau1[[#This Row],[N° Département]],Feuil1!$C$6:$E$106,2)</f>
        <v>Aube</v>
      </c>
      <c r="C187" s="38">
        <f>LEFT(Tableau1[[#This Row],[Code Postal]],2)*1</f>
        <v>10</v>
      </c>
      <c r="D187" s="10" t="s">
        <v>1364</v>
      </c>
      <c r="E187" s="26">
        <v>10000</v>
      </c>
      <c r="F187" s="10" t="s">
        <v>1365</v>
      </c>
      <c r="G187" s="39" t="str">
        <f>Tableau1[[#This Row],[Rue]]&amp;CHAR(10)&amp;Tableau1[[#This Row],[Code Postal]]&amp;" - "&amp;Tableau1[[#This Row],[Ville]]</f>
        <v>97 rue Emile Zola
10000 - Troyes</v>
      </c>
      <c r="H187" s="15" t="s">
        <v>1366</v>
      </c>
      <c r="I187" s="12" t="s">
        <v>45</v>
      </c>
      <c r="J187" s="12" t="s">
        <v>44</v>
      </c>
      <c r="K187" s="10" t="s">
        <v>103</v>
      </c>
      <c r="L187" s="12" t="s">
        <v>103</v>
      </c>
      <c r="M187" s="36"/>
      <c r="N187" s="34">
        <v>378</v>
      </c>
      <c r="O187" s="12" t="s">
        <v>1367</v>
      </c>
      <c r="P187" s="34" t="s">
        <v>103</v>
      </c>
      <c r="Q187" s="34" t="s">
        <v>103</v>
      </c>
      <c r="R187" s="12">
        <f>Tableau1[[#This Row],[Loyer €/m²]]*Tableau1[[#This Row],[Surface GLA]]</f>
        <v>113400</v>
      </c>
      <c r="S187" s="12">
        <f>IFERROR(Tableau1[[#This Row],[Loyer annuel]]/12,"")</f>
        <v>9450</v>
      </c>
      <c r="T187" s="12">
        <v>300</v>
      </c>
      <c r="U187" s="34" t="s">
        <v>103</v>
      </c>
      <c r="V187" s="6">
        <f>Tableau1[[#This Row],[Charges €/m²]]*Tableau1[[#This Row],[Surface GLA]]</f>
        <v>0</v>
      </c>
      <c r="W187" s="12">
        <f>Tableau1[[#This Row],[Charges annuelles]]/12</f>
        <v>0</v>
      </c>
      <c r="X187" s="12"/>
      <c r="Y187" s="12">
        <f>IFERROR(Tableau1[[#This Row],[Taxe foncière €/m²]]*Tableau1[[#This Row],[Surface GLA]],)</f>
        <v>0</v>
      </c>
      <c r="Z187" s="12"/>
      <c r="AA187" s="12">
        <f>IFERROR(Tableau1[[#This Row],[Marketing €/m²]]*Tableau1[[#This Row],[Surface GLA]],)</f>
        <v>0</v>
      </c>
      <c r="AB187" s="34" t="s">
        <v>103</v>
      </c>
      <c r="AC187" s="12">
        <f>IFERROR(Tableau1[[#This Row],[Loyer annuel]]+Tableau1[[#This Row],[Charges annuelles]]+Tableau1[[#This Row],[Taxe foncière]]+Tableau1[[#This Row],[Marketing]],"")</f>
        <v>113400</v>
      </c>
      <c r="AD187" s="12" t="str">
        <f t="shared" si="6"/>
        <v>3 mois = 28 350 €</v>
      </c>
      <c r="AE187" s="6" t="s">
        <v>103</v>
      </c>
      <c r="AF187" s="6" t="s">
        <v>103</v>
      </c>
      <c r="AG187" s="12" t="s">
        <v>363</v>
      </c>
      <c r="AH187" s="10" t="s">
        <v>377</v>
      </c>
      <c r="AI187" s="10" t="s">
        <v>370</v>
      </c>
      <c r="AJ187" s="10" t="s">
        <v>1385</v>
      </c>
      <c r="AK187" s="11" t="s">
        <v>1379</v>
      </c>
      <c r="AL187" s="5" t="s">
        <v>368</v>
      </c>
      <c r="AM187" s="11" t="s">
        <v>1369</v>
      </c>
      <c r="AN187" s="11" t="s">
        <v>1370</v>
      </c>
      <c r="AO187" s="11">
        <v>58</v>
      </c>
      <c r="AP187" s="36"/>
      <c r="AQ187" s="11" t="s">
        <v>75</v>
      </c>
      <c r="AR187" s="11" t="s">
        <v>1368</v>
      </c>
      <c r="AS187" s="13" t="s">
        <v>1316</v>
      </c>
      <c r="AT187" s="14"/>
      <c r="AU187" s="44">
        <v>46042</v>
      </c>
    </row>
    <row r="188" spans="1:47" ht="25.5">
      <c r="A188" s="38" t="str">
        <f>VLOOKUP(Tableau1[[#This Row],[N° Département]],Feuil1!$C$6:$E$106,3)</f>
        <v>Ile-de-France</v>
      </c>
      <c r="B188" s="38" t="str">
        <f>VLOOKUP(Tableau1[[#This Row],[N° Département]],Feuil1!$C$6:$E$106,2)</f>
        <v>Paris</v>
      </c>
      <c r="C188" s="38">
        <f>LEFT(Tableau1[[#This Row],[Code Postal]],2)*1</f>
        <v>75</v>
      </c>
      <c r="D188" s="10" t="s">
        <v>1371</v>
      </c>
      <c r="E188" s="26">
        <v>75001</v>
      </c>
      <c r="F188" s="10" t="s">
        <v>92</v>
      </c>
      <c r="G188" s="39" t="str">
        <f>Tableau1[[#This Row],[Rue]]&amp;CHAR(10)&amp;Tableau1[[#This Row],[Code Postal]]&amp;" - "&amp;Tableau1[[#This Row],[Ville]]</f>
        <v>9 Rue du Marché Saint-Honoré
75001 - Paris</v>
      </c>
      <c r="H188" s="15" t="s">
        <v>1372</v>
      </c>
      <c r="I188" s="12" t="s">
        <v>45</v>
      </c>
      <c r="J188" s="12" t="s">
        <v>44</v>
      </c>
      <c r="K188" s="10" t="s">
        <v>103</v>
      </c>
      <c r="L188" s="12" t="s">
        <v>103</v>
      </c>
      <c r="M188" s="36"/>
      <c r="N188" s="34">
        <v>48</v>
      </c>
      <c r="O188" s="12" t="s">
        <v>1373</v>
      </c>
      <c r="P188" s="34" t="s">
        <v>103</v>
      </c>
      <c r="Q188" s="34" t="s">
        <v>103</v>
      </c>
      <c r="R188" s="12">
        <f>Tableau1[[#This Row],[Loyer €/m²]]*Tableau1[[#This Row],[Surface GLA]]</f>
        <v>134400</v>
      </c>
      <c r="S188" s="12">
        <f>IFERROR(Tableau1[[#This Row],[Loyer annuel]]/12,"")</f>
        <v>11200</v>
      </c>
      <c r="T188" s="12">
        <v>2800</v>
      </c>
      <c r="U188" s="34" t="s">
        <v>103</v>
      </c>
      <c r="V188" s="6">
        <f>Tableau1[[#This Row],[Charges €/m²]]*Tableau1[[#This Row],[Surface GLA]]</f>
        <v>0</v>
      </c>
      <c r="W188" s="12">
        <f>Tableau1[[#This Row],[Charges annuelles]]/12</f>
        <v>0</v>
      </c>
      <c r="X188" s="12"/>
      <c r="Y188" s="12">
        <f>IFERROR(Tableau1[[#This Row],[Taxe foncière €/m²]]*Tableau1[[#This Row],[Surface GLA]],)</f>
        <v>0</v>
      </c>
      <c r="Z188" s="12"/>
      <c r="AA188" s="12">
        <f>IFERROR(Tableau1[[#This Row],[Marketing €/m²]]*Tableau1[[#This Row],[Surface GLA]],)</f>
        <v>0</v>
      </c>
      <c r="AB188" s="34" t="s">
        <v>103</v>
      </c>
      <c r="AC188" s="12">
        <f>IFERROR(Tableau1[[#This Row],[Loyer annuel]]+Tableau1[[#This Row],[Charges annuelles]]+Tableau1[[#This Row],[Taxe foncière]]+Tableau1[[#This Row],[Marketing]],"")</f>
        <v>134400</v>
      </c>
      <c r="AD188" s="12" t="str">
        <f t="shared" si="6"/>
        <v>3 mois = 33 600 €</v>
      </c>
      <c r="AE188" s="6" t="s">
        <v>103</v>
      </c>
      <c r="AF188" s="6" t="s">
        <v>103</v>
      </c>
      <c r="AG188" s="12" t="s">
        <v>363</v>
      </c>
      <c r="AH188" s="10" t="s">
        <v>53</v>
      </c>
      <c r="AI188" s="10" t="s">
        <v>369</v>
      </c>
      <c r="AJ188" s="10" t="s">
        <v>1386</v>
      </c>
      <c r="AK188" s="11" t="s">
        <v>1387</v>
      </c>
      <c r="AL188" s="5" t="s">
        <v>368</v>
      </c>
      <c r="AM188" s="11" t="s">
        <v>1375</v>
      </c>
      <c r="AN188" s="11" t="s">
        <v>1376</v>
      </c>
      <c r="AO188" s="11">
        <v>59</v>
      </c>
      <c r="AP188" s="36"/>
      <c r="AQ188" s="11" t="s">
        <v>75</v>
      </c>
      <c r="AR188" s="11" t="s">
        <v>1374</v>
      </c>
      <c r="AS188" s="13" t="s">
        <v>1316</v>
      </c>
      <c r="AT188" s="14"/>
      <c r="AU188" s="44">
        <v>46042</v>
      </c>
    </row>
    <row r="189" spans="1:47" ht="38.25">
      <c r="A189" s="38" t="str">
        <f>VLOOKUP(Tableau1[[#This Row],[N° Département]],Feuil1!$C$6:$E$106,3)</f>
        <v>Auvergne-Rhône-Alpes</v>
      </c>
      <c r="B189" s="38" t="str">
        <f>VLOOKUP(Tableau1[[#This Row],[N° Département]],Feuil1!$C$6:$E$106,2)</f>
        <v>Ain</v>
      </c>
      <c r="C189" s="38">
        <f>LEFT(Tableau1[[#This Row],[Code Postal]],2)*1</f>
        <v>1</v>
      </c>
      <c r="D189" s="11" t="s">
        <v>1392</v>
      </c>
      <c r="E189" s="49" t="s">
        <v>1390</v>
      </c>
      <c r="F189" s="10" t="s">
        <v>1391</v>
      </c>
      <c r="G189" s="39" t="str">
        <f>Tableau1[[#This Row],[Rue]]&amp;Tableau1[[#This Row],[Code Postal]]&amp;Tableau1[[#This Row],[Ville]]</f>
        <v>Cap Émeraude
Avenue du Capitaine Dhonne01 000Bourg-en-Bresse</v>
      </c>
      <c r="H189" s="15" t="s">
        <v>1389</v>
      </c>
      <c r="I189" s="12" t="s">
        <v>47</v>
      </c>
      <c r="J189" s="12" t="s">
        <v>49</v>
      </c>
      <c r="K189" s="10" t="s">
        <v>103</v>
      </c>
      <c r="L189" s="12" t="s">
        <v>103</v>
      </c>
      <c r="M189" s="36"/>
      <c r="N189" s="34">
        <v>196</v>
      </c>
      <c r="O189" s="34" t="s">
        <v>103</v>
      </c>
      <c r="P189" s="34" t="s">
        <v>103</v>
      </c>
      <c r="Q189" s="34" t="s">
        <v>103</v>
      </c>
      <c r="R189" s="12">
        <f>Tableau1[[#This Row],[Loyer €/m²]]*Tableau1[[#This Row],[Surface GLA]]</f>
        <v>113680</v>
      </c>
      <c r="S189" s="12">
        <f>IFERROR(Tableau1[[#This Row],[Loyer annuel]]/12,"")</f>
        <v>9473.3333333333339</v>
      </c>
      <c r="T189" s="12">
        <v>580</v>
      </c>
      <c r="U189" s="34" t="s">
        <v>103</v>
      </c>
      <c r="V189" s="6">
        <f>Tableau1[[#This Row],[Charges €/m²]]*Tableau1[[#This Row],[Surface GLA]]</f>
        <v>11172</v>
      </c>
      <c r="W189" s="12">
        <f>Tableau1[[#This Row],[Charges annuelles]]/12</f>
        <v>931</v>
      </c>
      <c r="X189" s="12">
        <v>57</v>
      </c>
      <c r="Y189" s="12">
        <f>IFERROR(Tableau1[[#This Row],[Taxe foncière €/m²]]*Tableau1[[#This Row],[Surface GLA]],)</f>
        <v>6468</v>
      </c>
      <c r="Z189" s="12">
        <v>33</v>
      </c>
      <c r="AA189" s="12">
        <f>IFERROR(Tableau1[[#This Row],[Marketing €/m²]]*Tableau1[[#This Row],[Surface GLA]],)</f>
        <v>3920</v>
      </c>
      <c r="AB189" s="12">
        <v>20</v>
      </c>
      <c r="AC189" s="12">
        <f>IFERROR(Tableau1[[#This Row],[Loyer annuel]]+Tableau1[[#This Row],[Charges annuelles]]+Tableau1[[#This Row],[Taxe foncière]]+Tableau1[[#This Row],[Marketing]],"")</f>
        <v>135240</v>
      </c>
      <c r="AD189" s="12" t="str">
        <f t="shared" si="6"/>
        <v>3 mois = 28 420 €</v>
      </c>
      <c r="AE189" s="6" t="s">
        <v>103</v>
      </c>
      <c r="AF189" s="6" t="s">
        <v>103</v>
      </c>
      <c r="AG189" s="12" t="s">
        <v>363</v>
      </c>
      <c r="AH189" s="10"/>
      <c r="AI189" s="10"/>
      <c r="AJ189" s="10" t="s">
        <v>1396</v>
      </c>
      <c r="AK189" s="11" t="s">
        <v>1395</v>
      </c>
      <c r="AL189" s="5" t="s">
        <v>368</v>
      </c>
      <c r="AM189" s="11" t="s">
        <v>1393</v>
      </c>
      <c r="AN189" s="11" t="s">
        <v>1394</v>
      </c>
      <c r="AO189" s="11">
        <v>60</v>
      </c>
      <c r="AP189" s="36" t="s">
        <v>1398</v>
      </c>
      <c r="AQ189" s="11" t="s">
        <v>75</v>
      </c>
      <c r="AR189" s="11" t="s">
        <v>378</v>
      </c>
      <c r="AS189" s="13" t="s">
        <v>1397</v>
      </c>
      <c r="AT189" s="14"/>
      <c r="AU189" s="44">
        <v>46042</v>
      </c>
    </row>
    <row r="204" spans="6:6">
      <c r="F204" s="1" t="s">
        <v>1030</v>
      </c>
    </row>
    <row r="205" spans="6:6">
      <c r="F205" s="1" t="s">
        <v>1031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2026-01-22T18:22:29Z</dcterms:modified>
</cp:coreProperties>
</file>