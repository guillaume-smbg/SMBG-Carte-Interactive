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C6D9832C-D22E-4CC0-BCCE-52CF6C953E59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/>
  <c r="R97" i="2"/>
  <c r="C97" i="2"/>
  <c r="A97" i="2" s="1"/>
  <c r="G97" i="2"/>
  <c r="S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<sst xmlns="http://schemas.openxmlformats.org/spreadsheetml/2006/main" count="3393" uniqueCount="830">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</sst>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103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yRNFdK1p6sWPThzm7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www.google.com/maps/place/38+Cours+du+Commerce,+92290+Ch%C3%A2tenay-Malabry" TargetMode="External"/><Relationship Id="rId97" Type="http://schemas.openxmlformats.org/officeDocument/2006/relationships/hyperlink" Target="https://maps.app.goo.gl/J4fXB1FqZux6N87x9" TargetMode="External"/><Relationship Id="rId10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M95" activePane="bottomRight" state="frozen"/>
      <selection pane="topRight" activeCell="G1" sqref="G1"/>
      <selection pane="bottomLeft" activeCell="A2" sqref="A2"/>
      <selection pane="bottomRight" activeCell="AP103" sqref="AP103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309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452</v>
      </c>
      <c r="W1" s="1" t="s">
        <v>8</v>
      </c>
      <c r="X1" s="1" t="s">
        <v>15</v>
      </c>
      <c r="Y1" s="1" t="s">
        <v>81</v>
      </c>
      <c r="Z1" s="1" t="s">
        <v>310</v>
      </c>
      <c r="AA1" s="1" t="s">
        <v>82</v>
      </c>
      <c r="AB1" s="1" t="s">
        <v>311</v>
      </c>
      <c r="AC1" s="1" t="s">
        <v>312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375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39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6" t="s">
        <v>105</v>
      </c>
      <c r="N2" s="34">
        <v>451</v>
      </c>
      <c r="O2" s="4" t="s">
        <v>264</v>
      </c>
      <c r="P2" s="35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371</v>
      </c>
      <c r="AH2" s="4" t="s">
        <v>385</v>
      </c>
      <c r="AI2" s="4" t="s">
        <v>378</v>
      </c>
      <c r="AJ2" s="4" t="s">
        <v>380</v>
      </c>
      <c r="AK2" s="5" t="s">
        <v>370</v>
      </c>
      <c r="AL2" s="5" t="s">
        <v>376</v>
      </c>
      <c r="AM2" s="5" t="s">
        <v>561</v>
      </c>
      <c r="AN2" s="5" t="s">
        <v>562</v>
      </c>
      <c r="AO2" s="33" t="s">
        <v>340</v>
      </c>
      <c r="AP2" s="36" t="s">
        <v>760</v>
      </c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39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6" t="s">
        <v>105</v>
      </c>
      <c r="N3" s="34">
        <v>325</v>
      </c>
      <c r="O3" s="4" t="s">
        <v>265</v>
      </c>
      <c r="P3" s="35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371</v>
      </c>
      <c r="AH3" s="4" t="s">
        <v>54</v>
      </c>
      <c r="AI3" s="4" t="s">
        <v>377</v>
      </c>
      <c r="AJ3" s="4" t="s">
        <v>381</v>
      </c>
      <c r="AK3" s="5" t="s">
        <v>372</v>
      </c>
      <c r="AL3" s="5" t="s">
        <v>376</v>
      </c>
      <c r="AM3" s="5">
        <v>47.238161699999999</v>
      </c>
      <c r="AN3" s="5">
        <v>6.0234543</v>
      </c>
      <c r="AO3" s="33" t="s">
        <v>341</v>
      </c>
      <c r="AP3" s="36" t="s">
        <v>761</v>
      </c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39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6" t="s">
        <v>105</v>
      </c>
      <c r="N4" s="34">
        <v>264</v>
      </c>
      <c r="O4" s="4" t="s">
        <v>266</v>
      </c>
      <c r="P4" s="35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371</v>
      </c>
      <c r="AH4" s="4" t="s">
        <v>54</v>
      </c>
      <c r="AI4" s="4" t="s">
        <v>377</v>
      </c>
      <c r="AJ4" s="4" t="s">
        <v>382</v>
      </c>
      <c r="AK4" s="5" t="s">
        <v>373</v>
      </c>
      <c r="AL4" s="5" t="s">
        <v>376</v>
      </c>
      <c r="AM4" s="5" t="s">
        <v>563</v>
      </c>
      <c r="AN4" s="5" t="s">
        <v>564</v>
      </c>
      <c r="AO4" s="33" t="s">
        <v>365</v>
      </c>
      <c r="AP4" s="36" t="s">
        <v>762</v>
      </c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39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6" t="s">
        <v>105</v>
      </c>
      <c r="N5" s="34">
        <v>9030</v>
      </c>
      <c r="O5" s="4" t="s">
        <v>267</v>
      </c>
      <c r="P5" s="35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371</v>
      </c>
      <c r="AH5" s="4" t="s">
        <v>385</v>
      </c>
      <c r="AI5" s="4" t="s">
        <v>378</v>
      </c>
      <c r="AJ5" s="4" t="s">
        <v>383</v>
      </c>
      <c r="AK5" s="5" t="s">
        <v>374</v>
      </c>
      <c r="AL5" s="5" t="s">
        <v>376</v>
      </c>
      <c r="AM5" s="5" t="s">
        <v>565</v>
      </c>
      <c r="AN5" s="5" t="s">
        <v>566</v>
      </c>
      <c r="AO5" s="33" t="s">
        <v>366</v>
      </c>
      <c r="AP5" s="36" t="s">
        <v>763</v>
      </c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39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7" t="s">
        <v>297</v>
      </c>
      <c r="N6" s="35">
        <v>179</v>
      </c>
      <c r="O6" s="6" t="s">
        <v>105</v>
      </c>
      <c r="P6" s="35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8">
        <v>2.5000000000000001E-2</v>
      </c>
      <c r="AG6" s="6" t="s">
        <v>371</v>
      </c>
      <c r="AH6" s="10" t="s">
        <v>54</v>
      </c>
      <c r="AI6" s="4" t="s">
        <v>377</v>
      </c>
      <c r="AJ6" s="4" t="s">
        <v>384</v>
      </c>
      <c r="AK6" s="11" t="s">
        <v>379</v>
      </c>
      <c r="AL6" s="5" t="s">
        <v>376</v>
      </c>
      <c r="AM6" s="11" t="s">
        <v>567</v>
      </c>
      <c r="AN6" s="11" t="s">
        <v>568</v>
      </c>
      <c r="AO6" s="33" t="s">
        <v>453</v>
      </c>
      <c r="AP6" s="36" t="s">
        <v>764</v>
      </c>
      <c r="AQ6" s="5" t="s">
        <v>77</v>
      </c>
      <c r="AR6" s="11" t="s">
        <v>386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39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284</v>
      </c>
      <c r="I7" s="12" t="s">
        <v>48</v>
      </c>
      <c r="J7" s="12" t="s">
        <v>50</v>
      </c>
      <c r="K7" s="12" t="s">
        <v>105</v>
      </c>
      <c r="L7" s="12" t="s">
        <v>105</v>
      </c>
      <c r="M7" s="37" t="s">
        <v>298</v>
      </c>
      <c r="N7" s="35">
        <v>159</v>
      </c>
      <c r="O7" s="6" t="s">
        <v>105</v>
      </c>
      <c r="P7" s="35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8">
        <v>2.5000000000000001E-2</v>
      </c>
      <c r="AG7" s="6" t="s">
        <v>371</v>
      </c>
      <c r="AH7" s="10" t="s">
        <v>54</v>
      </c>
      <c r="AI7" s="4" t="s">
        <v>377</v>
      </c>
      <c r="AJ7" s="4" t="s">
        <v>384</v>
      </c>
      <c r="AK7" s="11" t="s">
        <v>379</v>
      </c>
      <c r="AL7" s="5" t="s">
        <v>376</v>
      </c>
      <c r="AM7" s="11" t="s">
        <v>569</v>
      </c>
      <c r="AN7" s="11" t="s">
        <v>570</v>
      </c>
      <c r="AO7" s="33" t="s">
        <v>454</v>
      </c>
      <c r="AP7" s="36" t="s">
        <v>765</v>
      </c>
      <c r="AQ7" s="5" t="s">
        <v>77</v>
      </c>
      <c r="AR7" s="11" t="s">
        <v>386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39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285</v>
      </c>
      <c r="I8" s="12" t="s">
        <v>48</v>
      </c>
      <c r="J8" s="12" t="s">
        <v>50</v>
      </c>
      <c r="K8" s="12" t="s">
        <v>105</v>
      </c>
      <c r="L8" s="12" t="s">
        <v>105</v>
      </c>
      <c r="M8" s="37" t="s">
        <v>296</v>
      </c>
      <c r="N8" s="35">
        <v>125</v>
      </c>
      <c r="O8" s="6" t="s">
        <v>105</v>
      </c>
      <c r="P8" s="35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8">
        <v>2.5000000000000001E-2</v>
      </c>
      <c r="AG8" s="6" t="s">
        <v>371</v>
      </c>
      <c r="AH8" s="10" t="s">
        <v>54</v>
      </c>
      <c r="AI8" s="4" t="s">
        <v>377</v>
      </c>
      <c r="AJ8" s="4" t="s">
        <v>384</v>
      </c>
      <c r="AK8" s="11" t="s">
        <v>379</v>
      </c>
      <c r="AL8" s="5" t="s">
        <v>376</v>
      </c>
      <c r="AM8" s="11" t="s">
        <v>571</v>
      </c>
      <c r="AN8" s="11" t="s">
        <v>572</v>
      </c>
      <c r="AO8" s="33" t="s">
        <v>455</v>
      </c>
      <c r="AP8" s="36" t="s">
        <v>766</v>
      </c>
      <c r="AQ8" s="5" t="s">
        <v>77</v>
      </c>
      <c r="AR8" s="11" t="s">
        <v>386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39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286</v>
      </c>
      <c r="I9" s="12" t="s">
        <v>48</v>
      </c>
      <c r="J9" s="12" t="s">
        <v>50</v>
      </c>
      <c r="K9" s="12" t="s">
        <v>105</v>
      </c>
      <c r="L9" s="12" t="s">
        <v>105</v>
      </c>
      <c r="M9" s="37" t="s">
        <v>299</v>
      </c>
      <c r="N9" s="35">
        <v>156</v>
      </c>
      <c r="O9" s="6" t="s">
        <v>105</v>
      </c>
      <c r="P9" s="35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8">
        <v>2.5000000000000001E-2</v>
      </c>
      <c r="AG9" s="6" t="s">
        <v>371</v>
      </c>
      <c r="AH9" s="10" t="s">
        <v>54</v>
      </c>
      <c r="AI9" s="4" t="s">
        <v>377</v>
      </c>
      <c r="AJ9" s="4" t="s">
        <v>384</v>
      </c>
      <c r="AK9" s="11" t="s">
        <v>379</v>
      </c>
      <c r="AL9" s="5" t="s">
        <v>376</v>
      </c>
      <c r="AM9" s="11" t="s">
        <v>573</v>
      </c>
      <c r="AN9" s="11" t="s">
        <v>574</v>
      </c>
      <c r="AO9" s="33" t="s">
        <v>456</v>
      </c>
      <c r="AP9" s="36" t="s">
        <v>767</v>
      </c>
      <c r="AQ9" s="5" t="s">
        <v>77</v>
      </c>
      <c r="AR9" s="11" t="s">
        <v>386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39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287</v>
      </c>
      <c r="I10" s="12" t="s">
        <v>48</v>
      </c>
      <c r="J10" s="12" t="s">
        <v>50</v>
      </c>
      <c r="K10" s="12" t="s">
        <v>105</v>
      </c>
      <c r="L10" s="12" t="s">
        <v>105</v>
      </c>
      <c r="M10" s="37" t="s">
        <v>300</v>
      </c>
      <c r="N10" s="35">
        <v>178</v>
      </c>
      <c r="O10" s="6" t="s">
        <v>105</v>
      </c>
      <c r="P10" s="35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8">
        <v>2.5000000000000001E-2</v>
      </c>
      <c r="AG10" s="6" t="s">
        <v>371</v>
      </c>
      <c r="AH10" s="10" t="s">
        <v>54</v>
      </c>
      <c r="AI10" s="4" t="s">
        <v>377</v>
      </c>
      <c r="AJ10" s="4" t="s">
        <v>384</v>
      </c>
      <c r="AK10" s="11" t="s">
        <v>379</v>
      </c>
      <c r="AL10" s="5" t="s">
        <v>376</v>
      </c>
      <c r="AM10" s="11" t="s">
        <v>575</v>
      </c>
      <c r="AN10" s="11" t="s">
        <v>576</v>
      </c>
      <c r="AO10" s="33" t="s">
        <v>457</v>
      </c>
      <c r="AP10" s="36" t="s">
        <v>768</v>
      </c>
      <c r="AQ10" s="5" t="s">
        <v>77</v>
      </c>
      <c r="AR10" s="11" t="s">
        <v>386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39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288</v>
      </c>
      <c r="I11" s="12" t="s">
        <v>48</v>
      </c>
      <c r="J11" s="12" t="s">
        <v>50</v>
      </c>
      <c r="K11" s="12" t="s">
        <v>105</v>
      </c>
      <c r="L11" s="12" t="s">
        <v>105</v>
      </c>
      <c r="M11" s="37" t="s">
        <v>301</v>
      </c>
      <c r="N11" s="35">
        <v>253</v>
      </c>
      <c r="O11" s="6" t="s">
        <v>105</v>
      </c>
      <c r="P11" s="35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8">
        <v>2.5000000000000001E-2</v>
      </c>
      <c r="AG11" s="6" t="s">
        <v>371</v>
      </c>
      <c r="AH11" s="10" t="s">
        <v>54</v>
      </c>
      <c r="AI11" s="4" t="s">
        <v>377</v>
      </c>
      <c r="AJ11" s="4" t="s">
        <v>384</v>
      </c>
      <c r="AK11" s="11" t="s">
        <v>379</v>
      </c>
      <c r="AL11" s="5" t="s">
        <v>376</v>
      </c>
      <c r="AM11" s="11" t="s">
        <v>577</v>
      </c>
      <c r="AN11" s="11" t="s">
        <v>578</v>
      </c>
      <c r="AO11" s="33" t="s">
        <v>458</v>
      </c>
      <c r="AP11" s="36" t="s">
        <v>769</v>
      </c>
      <c r="AQ11" s="5" t="s">
        <v>77</v>
      </c>
      <c r="AR11" s="11" t="s">
        <v>386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39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289</v>
      </c>
      <c r="I12" s="12" t="s">
        <v>48</v>
      </c>
      <c r="J12" s="12" t="s">
        <v>50</v>
      </c>
      <c r="K12" s="12" t="s">
        <v>105</v>
      </c>
      <c r="L12" s="12" t="s">
        <v>105</v>
      </c>
      <c r="M12" s="37" t="s">
        <v>302</v>
      </c>
      <c r="N12" s="35">
        <v>171</v>
      </c>
      <c r="O12" s="6" t="s">
        <v>105</v>
      </c>
      <c r="P12" s="35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8">
        <v>2.5000000000000001E-2</v>
      </c>
      <c r="AG12" s="6" t="s">
        <v>371</v>
      </c>
      <c r="AH12" s="10" t="s">
        <v>54</v>
      </c>
      <c r="AI12" s="4" t="s">
        <v>377</v>
      </c>
      <c r="AJ12" s="4" t="s">
        <v>384</v>
      </c>
      <c r="AK12" s="11" t="s">
        <v>379</v>
      </c>
      <c r="AL12" s="5" t="s">
        <v>376</v>
      </c>
      <c r="AM12" s="11" t="s">
        <v>579</v>
      </c>
      <c r="AN12" s="11" t="s">
        <v>580</v>
      </c>
      <c r="AO12" s="33" t="s">
        <v>459</v>
      </c>
      <c r="AP12" s="36" t="s">
        <v>770</v>
      </c>
      <c r="AQ12" s="5" t="s">
        <v>77</v>
      </c>
      <c r="AR12" s="11" t="s">
        <v>386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39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290</v>
      </c>
      <c r="I13" s="12" t="s">
        <v>48</v>
      </c>
      <c r="J13" s="12" t="s">
        <v>50</v>
      </c>
      <c r="K13" s="12" t="s">
        <v>105</v>
      </c>
      <c r="L13" s="12" t="s">
        <v>105</v>
      </c>
      <c r="M13" s="37" t="s">
        <v>303</v>
      </c>
      <c r="N13" s="35">
        <v>200</v>
      </c>
      <c r="O13" s="6" t="s">
        <v>105</v>
      </c>
      <c r="P13" s="35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8">
        <v>2.5000000000000001E-2</v>
      </c>
      <c r="AG13" s="6" t="s">
        <v>371</v>
      </c>
      <c r="AH13" s="10" t="s">
        <v>54</v>
      </c>
      <c r="AI13" s="4" t="s">
        <v>377</v>
      </c>
      <c r="AJ13" s="4" t="s">
        <v>384</v>
      </c>
      <c r="AK13" s="11" t="s">
        <v>379</v>
      </c>
      <c r="AL13" s="5" t="s">
        <v>376</v>
      </c>
      <c r="AM13" s="11" t="s">
        <v>581</v>
      </c>
      <c r="AN13" s="11" t="s">
        <v>582</v>
      </c>
      <c r="AO13" s="33" t="s">
        <v>460</v>
      </c>
      <c r="AP13" s="36" t="s">
        <v>771</v>
      </c>
      <c r="AQ13" s="5" t="s">
        <v>77</v>
      </c>
      <c r="AR13" s="11" t="s">
        <v>386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39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291</v>
      </c>
      <c r="I14" s="12" t="s">
        <v>48</v>
      </c>
      <c r="J14" s="12" t="s">
        <v>50</v>
      </c>
      <c r="K14" s="12" t="s">
        <v>105</v>
      </c>
      <c r="L14" s="12" t="s">
        <v>105</v>
      </c>
      <c r="M14" s="37" t="s">
        <v>304</v>
      </c>
      <c r="N14" s="35">
        <v>105</v>
      </c>
      <c r="O14" s="6" t="s">
        <v>105</v>
      </c>
      <c r="P14" s="35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8">
        <v>2.5000000000000001E-2</v>
      </c>
      <c r="AG14" s="6" t="s">
        <v>371</v>
      </c>
      <c r="AH14" s="10" t="s">
        <v>54</v>
      </c>
      <c r="AI14" s="4" t="s">
        <v>377</v>
      </c>
      <c r="AJ14" s="4" t="s">
        <v>384</v>
      </c>
      <c r="AK14" s="11" t="s">
        <v>379</v>
      </c>
      <c r="AL14" s="5" t="s">
        <v>376</v>
      </c>
      <c r="AM14" s="11" t="s">
        <v>583</v>
      </c>
      <c r="AN14" s="11" t="s">
        <v>584</v>
      </c>
      <c r="AO14" s="33" t="s">
        <v>461</v>
      </c>
      <c r="AP14" s="36" t="s">
        <v>772</v>
      </c>
      <c r="AQ14" s="5" t="s">
        <v>77</v>
      </c>
      <c r="AR14" s="11" t="s">
        <v>386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39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292</v>
      </c>
      <c r="I15" s="12" t="s">
        <v>48</v>
      </c>
      <c r="J15" s="12" t="s">
        <v>50</v>
      </c>
      <c r="K15" s="12" t="s">
        <v>105</v>
      </c>
      <c r="L15" s="12" t="s">
        <v>105</v>
      </c>
      <c r="M15" s="37" t="s">
        <v>305</v>
      </c>
      <c r="N15" s="35">
        <v>51</v>
      </c>
      <c r="O15" s="6" t="s">
        <v>105</v>
      </c>
      <c r="P15" s="35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8">
        <v>2.5000000000000001E-2</v>
      </c>
      <c r="AG15" s="6" t="s">
        <v>371</v>
      </c>
      <c r="AH15" s="10" t="s">
        <v>54</v>
      </c>
      <c r="AI15" s="4" t="s">
        <v>377</v>
      </c>
      <c r="AJ15" s="4" t="s">
        <v>384</v>
      </c>
      <c r="AK15" s="11" t="s">
        <v>379</v>
      </c>
      <c r="AL15" s="5" t="s">
        <v>376</v>
      </c>
      <c r="AM15" s="11" t="s">
        <v>585</v>
      </c>
      <c r="AN15" s="11" t="s">
        <v>586</v>
      </c>
      <c r="AO15" s="33" t="s">
        <v>462</v>
      </c>
      <c r="AP15" s="36" t="s">
        <v>773</v>
      </c>
      <c r="AQ15" s="5" t="s">
        <v>77</v>
      </c>
      <c r="AR15" s="11" t="s">
        <v>386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39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293</v>
      </c>
      <c r="I16" s="12" t="s">
        <v>48</v>
      </c>
      <c r="J16" s="12" t="s">
        <v>50</v>
      </c>
      <c r="K16" s="12" t="s">
        <v>105</v>
      </c>
      <c r="L16" s="12" t="s">
        <v>105</v>
      </c>
      <c r="M16" s="37" t="s">
        <v>306</v>
      </c>
      <c r="N16" s="35">
        <v>115</v>
      </c>
      <c r="O16" s="6" t="s">
        <v>105</v>
      </c>
      <c r="P16" s="35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8">
        <v>2.5000000000000001E-2</v>
      </c>
      <c r="AG16" s="6" t="s">
        <v>371</v>
      </c>
      <c r="AH16" s="10" t="s">
        <v>54</v>
      </c>
      <c r="AI16" s="4" t="s">
        <v>377</v>
      </c>
      <c r="AJ16" s="4" t="s">
        <v>384</v>
      </c>
      <c r="AK16" s="11" t="s">
        <v>379</v>
      </c>
      <c r="AL16" s="5" t="s">
        <v>376</v>
      </c>
      <c r="AM16" s="11" t="s">
        <v>585</v>
      </c>
      <c r="AN16" s="11" t="s">
        <v>587</v>
      </c>
      <c r="AO16" s="33" t="s">
        <v>463</v>
      </c>
      <c r="AP16" s="36" t="s">
        <v>774</v>
      </c>
      <c r="AQ16" s="5" t="s">
        <v>77</v>
      </c>
      <c r="AR16" s="11" t="s">
        <v>386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39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294</v>
      </c>
      <c r="I17" s="12" t="s">
        <v>48</v>
      </c>
      <c r="J17" s="12" t="s">
        <v>50</v>
      </c>
      <c r="K17" s="12" t="s">
        <v>105</v>
      </c>
      <c r="L17" s="12" t="s">
        <v>105</v>
      </c>
      <c r="M17" s="37" t="s">
        <v>307</v>
      </c>
      <c r="N17" s="35">
        <v>210</v>
      </c>
      <c r="O17" s="6" t="s">
        <v>105</v>
      </c>
      <c r="P17" s="35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8">
        <v>2.5000000000000001E-2</v>
      </c>
      <c r="AG17" s="6" t="s">
        <v>371</v>
      </c>
      <c r="AH17" s="10" t="s">
        <v>54</v>
      </c>
      <c r="AI17" s="4" t="s">
        <v>377</v>
      </c>
      <c r="AJ17" s="4" t="s">
        <v>384</v>
      </c>
      <c r="AK17" s="11" t="s">
        <v>379</v>
      </c>
      <c r="AL17" s="5" t="s">
        <v>376</v>
      </c>
      <c r="AM17" s="11" t="s">
        <v>588</v>
      </c>
      <c r="AN17" s="11" t="s">
        <v>589</v>
      </c>
      <c r="AO17" s="33" t="s">
        <v>464</v>
      </c>
      <c r="AP17" s="36" t="s">
        <v>775</v>
      </c>
      <c r="AQ17" s="5" t="s">
        <v>77</v>
      </c>
      <c r="AR17" s="11" t="s">
        <v>386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39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295</v>
      </c>
      <c r="I18" s="12" t="s">
        <v>48</v>
      </c>
      <c r="J18" s="12" t="s">
        <v>50</v>
      </c>
      <c r="K18" s="12" t="s">
        <v>105</v>
      </c>
      <c r="L18" s="12" t="s">
        <v>105</v>
      </c>
      <c r="M18" s="37" t="s">
        <v>308</v>
      </c>
      <c r="N18" s="35">
        <v>30</v>
      </c>
      <c r="O18" s="6" t="s">
        <v>105</v>
      </c>
      <c r="P18" s="35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8">
        <v>2.5000000000000001E-2</v>
      </c>
      <c r="AG18" s="6" t="s">
        <v>371</v>
      </c>
      <c r="AH18" s="10" t="s">
        <v>77</v>
      </c>
      <c r="AI18" s="4" t="s">
        <v>378</v>
      </c>
      <c r="AJ18" s="4" t="s">
        <v>384</v>
      </c>
      <c r="AK18" s="11" t="s">
        <v>379</v>
      </c>
      <c r="AL18" s="5" t="s">
        <v>376</v>
      </c>
      <c r="AM18" s="11" t="s">
        <v>590</v>
      </c>
      <c r="AN18" s="11" t="s">
        <v>591</v>
      </c>
      <c r="AO18" s="33" t="s">
        <v>465</v>
      </c>
      <c r="AP18" s="36" t="s">
        <v>776</v>
      </c>
      <c r="AQ18" s="5" t="s">
        <v>77</v>
      </c>
      <c r="AR18" s="11" t="s">
        <v>386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39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7">
        <v>1</v>
      </c>
      <c r="N19" s="35">
        <v>1200</v>
      </c>
      <c r="O19" s="6" t="s">
        <v>105</v>
      </c>
      <c r="P19" s="35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371</v>
      </c>
      <c r="AH19" s="10" t="s">
        <v>385</v>
      </c>
      <c r="AI19" s="4" t="s">
        <v>378</v>
      </c>
      <c r="AJ19" s="4" t="s">
        <v>388</v>
      </c>
      <c r="AK19" s="11" t="s">
        <v>387</v>
      </c>
      <c r="AL19" s="5" t="s">
        <v>376</v>
      </c>
      <c r="AM19" s="11" t="s">
        <v>592</v>
      </c>
      <c r="AN19" s="11" t="s">
        <v>593</v>
      </c>
      <c r="AO19" s="33" t="s">
        <v>466</v>
      </c>
      <c r="AP19" s="36" t="s">
        <v>777</v>
      </c>
      <c r="AQ19" s="5" t="s">
        <v>77</v>
      </c>
      <c r="AR19" s="11" t="s">
        <v>386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39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7">
        <v>2</v>
      </c>
      <c r="N20" s="35">
        <v>1200</v>
      </c>
      <c r="O20" s="6" t="s">
        <v>105</v>
      </c>
      <c r="P20" s="35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371</v>
      </c>
      <c r="AH20" s="10" t="s">
        <v>385</v>
      </c>
      <c r="AI20" s="4" t="s">
        <v>378</v>
      </c>
      <c r="AJ20" s="4" t="s">
        <v>388</v>
      </c>
      <c r="AK20" s="11" t="s">
        <v>387</v>
      </c>
      <c r="AL20" s="5" t="s">
        <v>376</v>
      </c>
      <c r="AM20" s="11" t="s">
        <v>594</v>
      </c>
      <c r="AN20" s="11" t="s">
        <v>595</v>
      </c>
      <c r="AO20" s="33" t="s">
        <v>467</v>
      </c>
      <c r="AP20" s="37" t="s">
        <v>778</v>
      </c>
      <c r="AQ20" s="5" t="s">
        <v>77</v>
      </c>
      <c r="AR20" s="11" t="s">
        <v>386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39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7">
        <v>3</v>
      </c>
      <c r="N21" s="35">
        <v>549</v>
      </c>
      <c r="O21" s="6" t="s">
        <v>105</v>
      </c>
      <c r="P21" s="35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371</v>
      </c>
      <c r="AH21" s="10" t="s">
        <v>385</v>
      </c>
      <c r="AI21" s="4" t="s">
        <v>378</v>
      </c>
      <c r="AJ21" s="4" t="s">
        <v>388</v>
      </c>
      <c r="AK21" s="11" t="s">
        <v>387</v>
      </c>
      <c r="AL21" s="5" t="s">
        <v>376</v>
      </c>
      <c r="AM21" s="11" t="s">
        <v>596</v>
      </c>
      <c r="AN21" s="11" t="s">
        <v>597</v>
      </c>
      <c r="AO21" s="33" t="s">
        <v>468</v>
      </c>
      <c r="AP21" s="37" t="s">
        <v>779</v>
      </c>
      <c r="AQ21" s="5" t="s">
        <v>77</v>
      </c>
      <c r="AR21" s="11" t="s">
        <v>386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39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7">
        <v>4</v>
      </c>
      <c r="N22" s="35">
        <v>502</v>
      </c>
      <c r="O22" s="6" t="s">
        <v>105</v>
      </c>
      <c r="P22" s="35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371</v>
      </c>
      <c r="AH22" s="10" t="s">
        <v>385</v>
      </c>
      <c r="AI22" s="4" t="s">
        <v>378</v>
      </c>
      <c r="AJ22" s="4" t="s">
        <v>388</v>
      </c>
      <c r="AK22" s="11" t="s">
        <v>387</v>
      </c>
      <c r="AL22" s="5" t="s">
        <v>376</v>
      </c>
      <c r="AM22" s="11" t="s">
        <v>598</v>
      </c>
      <c r="AN22" s="11" t="s">
        <v>599</v>
      </c>
      <c r="AO22" s="33" t="s">
        <v>469</v>
      </c>
      <c r="AP22" s="37" t="s">
        <v>780</v>
      </c>
      <c r="AQ22" s="5" t="s">
        <v>77</v>
      </c>
      <c r="AR22" s="11" t="s">
        <v>386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39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7">
        <v>5</v>
      </c>
      <c r="N23" s="35">
        <v>250</v>
      </c>
      <c r="O23" s="6" t="s">
        <v>105</v>
      </c>
      <c r="P23" s="35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371</v>
      </c>
      <c r="AH23" s="10" t="s">
        <v>385</v>
      </c>
      <c r="AI23" s="4" t="s">
        <v>378</v>
      </c>
      <c r="AJ23" s="4" t="s">
        <v>388</v>
      </c>
      <c r="AK23" s="11" t="s">
        <v>387</v>
      </c>
      <c r="AL23" s="5" t="s">
        <v>376</v>
      </c>
      <c r="AM23" s="11" t="s">
        <v>600</v>
      </c>
      <c r="AN23" s="11" t="s">
        <v>601</v>
      </c>
      <c r="AO23" s="33" t="s">
        <v>470</v>
      </c>
      <c r="AP23" s="37" t="s">
        <v>781</v>
      </c>
      <c r="AQ23" s="5" t="s">
        <v>77</v>
      </c>
      <c r="AR23" s="11" t="s">
        <v>386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39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7">
        <v>6</v>
      </c>
      <c r="N24" s="35">
        <v>264</v>
      </c>
      <c r="O24" s="6" t="s">
        <v>105</v>
      </c>
      <c r="P24" s="35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371</v>
      </c>
      <c r="AH24" s="10" t="s">
        <v>385</v>
      </c>
      <c r="AI24" s="4" t="s">
        <v>378</v>
      </c>
      <c r="AJ24" s="4" t="s">
        <v>388</v>
      </c>
      <c r="AK24" s="11" t="s">
        <v>387</v>
      </c>
      <c r="AL24" s="5" t="s">
        <v>376</v>
      </c>
      <c r="AM24" s="11" t="s">
        <v>602</v>
      </c>
      <c r="AN24" s="11" t="s">
        <v>603</v>
      </c>
      <c r="AO24" s="33" t="s">
        <v>471</v>
      </c>
      <c r="AP24" s="37" t="s">
        <v>782</v>
      </c>
      <c r="AQ24" s="5" t="s">
        <v>77</v>
      </c>
      <c r="AR24" s="11" t="s">
        <v>386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39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7">
        <v>7</v>
      </c>
      <c r="N25" s="35">
        <v>486</v>
      </c>
      <c r="O25" s="6" t="s">
        <v>105</v>
      </c>
      <c r="P25" s="35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371</v>
      </c>
      <c r="AH25" s="10" t="s">
        <v>385</v>
      </c>
      <c r="AI25" s="4" t="s">
        <v>378</v>
      </c>
      <c r="AJ25" s="4" t="s">
        <v>388</v>
      </c>
      <c r="AK25" s="11" t="s">
        <v>387</v>
      </c>
      <c r="AL25" s="5" t="s">
        <v>376</v>
      </c>
      <c r="AM25" s="11" t="s">
        <v>604</v>
      </c>
      <c r="AN25" s="11" t="s">
        <v>605</v>
      </c>
      <c r="AO25" s="33" t="s">
        <v>472</v>
      </c>
      <c r="AP25" s="37" t="s">
        <v>783</v>
      </c>
      <c r="AQ25" s="5" t="s">
        <v>77</v>
      </c>
      <c r="AR25" s="11" t="s">
        <v>386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39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7">
        <v>8</v>
      </c>
      <c r="N26" s="35">
        <v>267</v>
      </c>
      <c r="O26" s="6" t="s">
        <v>105</v>
      </c>
      <c r="P26" s="35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371</v>
      </c>
      <c r="AH26" s="10" t="s">
        <v>385</v>
      </c>
      <c r="AI26" s="4" t="s">
        <v>378</v>
      </c>
      <c r="AJ26" s="4" t="s">
        <v>388</v>
      </c>
      <c r="AK26" s="11" t="s">
        <v>387</v>
      </c>
      <c r="AL26" s="5" t="s">
        <v>376</v>
      </c>
      <c r="AM26" s="11" t="s">
        <v>606</v>
      </c>
      <c r="AN26" s="11" t="s">
        <v>607</v>
      </c>
      <c r="AO26" s="33" t="s">
        <v>473</v>
      </c>
      <c r="AP26" s="37" t="s">
        <v>784</v>
      </c>
      <c r="AQ26" s="5" t="s">
        <v>77</v>
      </c>
      <c r="AR26" s="11" t="s">
        <v>386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39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7">
        <v>9</v>
      </c>
      <c r="N27" s="35">
        <v>321</v>
      </c>
      <c r="O27" s="6" t="s">
        <v>105</v>
      </c>
      <c r="P27" s="35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371</v>
      </c>
      <c r="AH27" s="10" t="s">
        <v>385</v>
      </c>
      <c r="AI27" s="4" t="s">
        <v>378</v>
      </c>
      <c r="AJ27" s="4" t="s">
        <v>388</v>
      </c>
      <c r="AK27" s="11" t="s">
        <v>387</v>
      </c>
      <c r="AL27" s="5" t="s">
        <v>376</v>
      </c>
      <c r="AM27" s="11" t="s">
        <v>608</v>
      </c>
      <c r="AN27" s="11" t="s">
        <v>609</v>
      </c>
      <c r="AO27" s="33" t="s">
        <v>474</v>
      </c>
      <c r="AP27" s="37" t="s">
        <v>785</v>
      </c>
      <c r="AQ27" s="5" t="s">
        <v>77</v>
      </c>
      <c r="AR27" s="11" t="s">
        <v>386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39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7">
        <v>10</v>
      </c>
      <c r="N28" s="35">
        <v>472</v>
      </c>
      <c r="O28" s="6" t="s">
        <v>105</v>
      </c>
      <c r="P28" s="35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371</v>
      </c>
      <c r="AH28" s="10" t="s">
        <v>385</v>
      </c>
      <c r="AI28" s="4" t="s">
        <v>378</v>
      </c>
      <c r="AJ28" s="4" t="s">
        <v>388</v>
      </c>
      <c r="AK28" s="11" t="s">
        <v>387</v>
      </c>
      <c r="AL28" s="5" t="s">
        <v>376</v>
      </c>
      <c r="AM28" s="11" t="s">
        <v>610</v>
      </c>
      <c r="AN28" s="11" t="s">
        <v>611</v>
      </c>
      <c r="AO28" s="33" t="s">
        <v>475</v>
      </c>
      <c r="AP28" s="37" t="s">
        <v>786</v>
      </c>
      <c r="AQ28" s="5" t="s">
        <v>77</v>
      </c>
      <c r="AR28" s="11" t="s">
        <v>386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39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7">
        <v>11</v>
      </c>
      <c r="N29" s="35">
        <v>1195</v>
      </c>
      <c r="O29" s="6" t="s">
        <v>105</v>
      </c>
      <c r="P29" s="35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371</v>
      </c>
      <c r="AH29" s="10" t="s">
        <v>385</v>
      </c>
      <c r="AI29" s="4" t="s">
        <v>378</v>
      </c>
      <c r="AJ29" s="4" t="s">
        <v>388</v>
      </c>
      <c r="AK29" s="11" t="s">
        <v>387</v>
      </c>
      <c r="AL29" s="5" t="s">
        <v>376</v>
      </c>
      <c r="AM29" s="11" t="s">
        <v>612</v>
      </c>
      <c r="AN29" s="11" t="s">
        <v>613</v>
      </c>
      <c r="AO29" s="33" t="s">
        <v>476</v>
      </c>
      <c r="AP29" s="37" t="s">
        <v>787</v>
      </c>
      <c r="AQ29" s="5" t="s">
        <v>77</v>
      </c>
      <c r="AR29" s="11" t="s">
        <v>386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39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7">
        <v>12</v>
      </c>
      <c r="N30" s="35">
        <v>170</v>
      </c>
      <c r="O30" s="6" t="s">
        <v>105</v>
      </c>
      <c r="P30" s="35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371</v>
      </c>
      <c r="AH30" s="10" t="s">
        <v>385</v>
      </c>
      <c r="AI30" s="4" t="s">
        <v>378</v>
      </c>
      <c r="AJ30" s="4" t="s">
        <v>388</v>
      </c>
      <c r="AK30" s="11" t="s">
        <v>387</v>
      </c>
      <c r="AL30" s="5" t="s">
        <v>376</v>
      </c>
      <c r="AM30" s="11" t="s">
        <v>614</v>
      </c>
      <c r="AN30" s="11" t="s">
        <v>615</v>
      </c>
      <c r="AO30" s="33" t="s">
        <v>477</v>
      </c>
      <c r="AP30" s="37" t="s">
        <v>788</v>
      </c>
      <c r="AQ30" s="5" t="s">
        <v>77</v>
      </c>
      <c r="AR30" s="11" t="s">
        <v>386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39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6" t="s">
        <v>313</v>
      </c>
      <c r="N31" s="35">
        <v>61</v>
      </c>
      <c r="O31" s="6" t="s">
        <v>105</v>
      </c>
      <c r="P31" s="35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371</v>
      </c>
      <c r="AH31" s="10" t="s">
        <v>54</v>
      </c>
      <c r="AI31" s="4" t="s">
        <v>377</v>
      </c>
      <c r="AJ31" s="4" t="s">
        <v>450</v>
      </c>
      <c r="AK31" s="11" t="s">
        <v>616</v>
      </c>
      <c r="AL31" s="5" t="s">
        <v>376</v>
      </c>
      <c r="AM31" s="11" t="s">
        <v>623</v>
      </c>
      <c r="AN31" s="11" t="s">
        <v>624</v>
      </c>
      <c r="AO31" s="33" t="s">
        <v>478</v>
      </c>
      <c r="AP31" s="36" t="s">
        <v>789</v>
      </c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619</v>
      </c>
      <c r="E32" s="27">
        <v>72101</v>
      </c>
      <c r="F32" s="39" t="s">
        <v>90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620</v>
      </c>
      <c r="I32" s="6" t="s">
        <v>46</v>
      </c>
      <c r="J32" s="6" t="s">
        <v>50</v>
      </c>
      <c r="K32" s="12" t="s">
        <v>105</v>
      </c>
      <c r="L32" s="12" t="s">
        <v>105</v>
      </c>
      <c r="M32" s="37" t="s">
        <v>621</v>
      </c>
      <c r="N32" s="35">
        <v>10</v>
      </c>
      <c r="O32" s="6" t="s">
        <v>105</v>
      </c>
      <c r="P32" s="35" t="s">
        <v>105</v>
      </c>
      <c r="Q32" s="6" t="s">
        <v>105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12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105</v>
      </c>
      <c r="AE32" s="6" t="s">
        <v>105</v>
      </c>
      <c r="AF32" s="6" t="s">
        <v>105</v>
      </c>
      <c r="AG32" s="6" t="s">
        <v>371</v>
      </c>
      <c r="AH32" s="10" t="s">
        <v>54</v>
      </c>
      <c r="AI32" s="4" t="s">
        <v>377</v>
      </c>
      <c r="AJ32" s="4" t="s">
        <v>450</v>
      </c>
      <c r="AK32" s="11" t="s">
        <v>618</v>
      </c>
      <c r="AL32" s="5" t="s">
        <v>376</v>
      </c>
      <c r="AM32" s="11" t="s">
        <v>625</v>
      </c>
      <c r="AN32" s="11" t="s">
        <v>626</v>
      </c>
      <c r="AO32" s="11" t="s">
        <v>479</v>
      </c>
      <c r="AP32" s="36" t="s">
        <v>789</v>
      </c>
      <c r="AQ32" s="5" t="s">
        <v>77</v>
      </c>
      <c r="AR32" s="11" t="s">
        <v>55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39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7" t="s">
        <v>314</v>
      </c>
      <c r="N33" s="35">
        <v>227</v>
      </c>
      <c r="O33" s="6" t="s">
        <v>105</v>
      </c>
      <c r="P33" s="35" t="s">
        <v>105</v>
      </c>
      <c r="Q33" s="6" t="s">
        <v>105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105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105</v>
      </c>
      <c r="AE33" s="6" t="s">
        <v>105</v>
      </c>
      <c r="AF33" s="6" t="s">
        <v>105</v>
      </c>
      <c r="AG33" s="6" t="s">
        <v>371</v>
      </c>
      <c r="AH33" s="10" t="s">
        <v>54</v>
      </c>
      <c r="AI33" s="4" t="s">
        <v>377</v>
      </c>
      <c r="AJ33" s="4" t="s">
        <v>450</v>
      </c>
      <c r="AK33" s="11" t="s">
        <v>616</v>
      </c>
      <c r="AL33" s="5" t="s">
        <v>376</v>
      </c>
      <c r="AM33" s="11" t="s">
        <v>627</v>
      </c>
      <c r="AN33" s="11" t="s">
        <v>628</v>
      </c>
      <c r="AO33" s="33" t="s">
        <v>480</v>
      </c>
      <c r="AP33" s="36" t="s">
        <v>789</v>
      </c>
      <c r="AQ33" s="5" t="s">
        <v>77</v>
      </c>
      <c r="AR33" s="11" t="s">
        <v>55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39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7" t="s">
        <v>315</v>
      </c>
      <c r="N34" s="35">
        <v>102</v>
      </c>
      <c r="O34" s="6" t="s">
        <v>105</v>
      </c>
      <c r="P34" s="35" t="s">
        <v>105</v>
      </c>
      <c r="Q34" s="6" t="s">
        <v>105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105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105</v>
      </c>
      <c r="AE34" s="6" t="s">
        <v>105</v>
      </c>
      <c r="AF34" s="6" t="s">
        <v>105</v>
      </c>
      <c r="AG34" s="6" t="s">
        <v>371</v>
      </c>
      <c r="AH34" s="10" t="s">
        <v>54</v>
      </c>
      <c r="AI34" s="4" t="s">
        <v>377</v>
      </c>
      <c r="AJ34" s="4" t="s">
        <v>450</v>
      </c>
      <c r="AK34" s="11" t="s">
        <v>617</v>
      </c>
      <c r="AL34" s="5" t="s">
        <v>376</v>
      </c>
      <c r="AM34" s="11" t="s">
        <v>629</v>
      </c>
      <c r="AN34" s="11" t="s">
        <v>630</v>
      </c>
      <c r="AO34" s="11" t="s">
        <v>481</v>
      </c>
      <c r="AP34" s="36" t="s">
        <v>789</v>
      </c>
      <c r="AQ34" s="5" t="s">
        <v>77</v>
      </c>
      <c r="AR34" s="11" t="s">
        <v>55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39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7" t="s">
        <v>316</v>
      </c>
      <c r="N35" s="35">
        <v>62</v>
      </c>
      <c r="O35" s="6" t="s">
        <v>105</v>
      </c>
      <c r="P35" s="35" t="s">
        <v>105</v>
      </c>
      <c r="Q35" s="6" t="s">
        <v>105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105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105</v>
      </c>
      <c r="AE35" s="6" t="s">
        <v>105</v>
      </c>
      <c r="AF35" s="6" t="s">
        <v>105</v>
      </c>
      <c r="AG35" s="6" t="s">
        <v>371</v>
      </c>
      <c r="AH35" s="10" t="s">
        <v>54</v>
      </c>
      <c r="AI35" s="4" t="s">
        <v>377</v>
      </c>
      <c r="AJ35" s="4" t="s">
        <v>450</v>
      </c>
      <c r="AK35" s="11" t="s">
        <v>617</v>
      </c>
      <c r="AL35" s="5" t="s">
        <v>376</v>
      </c>
      <c r="AM35" s="11" t="s">
        <v>631</v>
      </c>
      <c r="AN35" s="11" t="s">
        <v>632</v>
      </c>
      <c r="AO35" s="33" t="s">
        <v>482</v>
      </c>
      <c r="AP35" s="36" t="s">
        <v>789</v>
      </c>
      <c r="AQ35" s="5" t="s">
        <v>77</v>
      </c>
      <c r="AR35" s="11" t="s">
        <v>55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39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7" t="s">
        <v>317</v>
      </c>
      <c r="N36" s="35">
        <v>22</v>
      </c>
      <c r="O36" s="6" t="s">
        <v>105</v>
      </c>
      <c r="P36" s="35" t="s">
        <v>105</v>
      </c>
      <c r="Q36" s="6" t="s">
        <v>105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105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105</v>
      </c>
      <c r="AE36" s="6" t="s">
        <v>105</v>
      </c>
      <c r="AF36" s="6" t="s">
        <v>105</v>
      </c>
      <c r="AG36" s="6" t="s">
        <v>371</v>
      </c>
      <c r="AH36" s="10" t="s">
        <v>54</v>
      </c>
      <c r="AI36" s="4" t="s">
        <v>377</v>
      </c>
      <c r="AJ36" s="4" t="s">
        <v>450</v>
      </c>
      <c r="AK36" s="11" t="s">
        <v>617</v>
      </c>
      <c r="AL36" s="5" t="s">
        <v>376</v>
      </c>
      <c r="AM36" s="11" t="s">
        <v>633</v>
      </c>
      <c r="AN36" s="11" t="s">
        <v>634</v>
      </c>
      <c r="AO36" s="11" t="s">
        <v>483</v>
      </c>
      <c r="AP36" s="36" t="s">
        <v>789</v>
      </c>
      <c r="AQ36" s="5" t="s">
        <v>77</v>
      </c>
      <c r="AR36" s="11" t="s">
        <v>55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39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7" t="s">
        <v>318</v>
      </c>
      <c r="N37" s="35">
        <v>9</v>
      </c>
      <c r="O37" s="6" t="s">
        <v>105</v>
      </c>
      <c r="P37" s="35" t="s">
        <v>105</v>
      </c>
      <c r="Q37" s="6" t="s">
        <v>105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105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105</v>
      </c>
      <c r="AE37" s="6" t="s">
        <v>105</v>
      </c>
      <c r="AF37" s="6" t="s">
        <v>105</v>
      </c>
      <c r="AG37" s="6" t="s">
        <v>371</v>
      </c>
      <c r="AH37" s="10" t="s">
        <v>54</v>
      </c>
      <c r="AI37" s="4" t="s">
        <v>377</v>
      </c>
      <c r="AJ37" s="4" t="s">
        <v>450</v>
      </c>
      <c r="AK37" s="11" t="s">
        <v>617</v>
      </c>
      <c r="AL37" s="5" t="s">
        <v>376</v>
      </c>
      <c r="AM37" s="11" t="s">
        <v>635</v>
      </c>
      <c r="AN37" s="11" t="s">
        <v>636</v>
      </c>
      <c r="AO37" s="33" t="s">
        <v>484</v>
      </c>
      <c r="AP37" s="36" t="s">
        <v>789</v>
      </c>
      <c r="AQ37" s="5" t="s">
        <v>77</v>
      </c>
      <c r="AR37" s="11" t="s">
        <v>55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39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7" t="s">
        <v>319</v>
      </c>
      <c r="N38" s="35">
        <v>71</v>
      </c>
      <c r="O38" s="6" t="s">
        <v>105</v>
      </c>
      <c r="P38" s="35" t="s">
        <v>105</v>
      </c>
      <c r="Q38" s="6" t="s">
        <v>105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105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105</v>
      </c>
      <c r="AE38" s="6" t="s">
        <v>105</v>
      </c>
      <c r="AF38" s="6" t="s">
        <v>105</v>
      </c>
      <c r="AG38" s="6" t="s">
        <v>371</v>
      </c>
      <c r="AH38" s="10" t="s">
        <v>54</v>
      </c>
      <c r="AI38" s="4" t="s">
        <v>377</v>
      </c>
      <c r="AJ38" s="4" t="s">
        <v>450</v>
      </c>
      <c r="AK38" s="11" t="s">
        <v>617</v>
      </c>
      <c r="AL38" s="5" t="s">
        <v>376</v>
      </c>
      <c r="AM38" s="11" t="s">
        <v>637</v>
      </c>
      <c r="AN38" s="11" t="s">
        <v>638</v>
      </c>
      <c r="AO38" s="11" t="s">
        <v>485</v>
      </c>
      <c r="AP38" s="36" t="s">
        <v>789</v>
      </c>
      <c r="AQ38" s="5" t="s">
        <v>77</v>
      </c>
      <c r="AR38" s="11" t="s">
        <v>55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123</v>
      </c>
      <c r="E39" s="27">
        <v>72100</v>
      </c>
      <c r="F39" s="39" t="s">
        <v>90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56</v>
      </c>
      <c r="I39" s="6" t="s">
        <v>46</v>
      </c>
      <c r="J39" s="6" t="s">
        <v>50</v>
      </c>
      <c r="K39" s="12" t="s">
        <v>105</v>
      </c>
      <c r="L39" s="12" t="s">
        <v>105</v>
      </c>
      <c r="M39" s="37" t="s">
        <v>320</v>
      </c>
      <c r="N39" s="35">
        <v>45</v>
      </c>
      <c r="O39" s="6" t="s">
        <v>105</v>
      </c>
      <c r="P39" s="35" t="s">
        <v>105</v>
      </c>
      <c r="Q39" s="6" t="s">
        <v>105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105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105</v>
      </c>
      <c r="AA39" s="6">
        <f>IFERROR(Tableau1[[#This Row],[Marketing €/m²]]*Tableau1[[#This Row],[Surface GLA]],)</f>
        <v>0</v>
      </c>
      <c r="AB39" s="6" t="s">
        <v>105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105</v>
      </c>
      <c r="AE39" s="6" t="s">
        <v>105</v>
      </c>
      <c r="AF39" s="6" t="s">
        <v>105</v>
      </c>
      <c r="AG39" s="6" t="s">
        <v>371</v>
      </c>
      <c r="AH39" s="10" t="s">
        <v>54</v>
      </c>
      <c r="AI39" s="4" t="s">
        <v>377</v>
      </c>
      <c r="AJ39" s="4" t="s">
        <v>450</v>
      </c>
      <c r="AK39" s="11" t="s">
        <v>617</v>
      </c>
      <c r="AL39" s="5" t="s">
        <v>376</v>
      </c>
      <c r="AM39" s="11" t="s">
        <v>639</v>
      </c>
      <c r="AN39" s="11" t="s">
        <v>640</v>
      </c>
      <c r="AO39" s="33" t="s">
        <v>622</v>
      </c>
      <c r="AP39" s="36" t="s">
        <v>789</v>
      </c>
      <c r="AQ39" s="5" t="s">
        <v>77</v>
      </c>
      <c r="AR39" s="11" t="s">
        <v>55</v>
      </c>
      <c r="AS39" s="13" t="s">
        <v>40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116</v>
      </c>
      <c r="E40" s="27">
        <v>69003</v>
      </c>
      <c r="F40" s="39" t="s">
        <v>91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46</v>
      </c>
      <c r="J40" s="6" t="s">
        <v>45</v>
      </c>
      <c r="K40" s="12" t="s">
        <v>105</v>
      </c>
      <c r="L40" s="12" t="s">
        <v>105</v>
      </c>
      <c r="M40" s="36" t="s">
        <v>105</v>
      </c>
      <c r="N40" s="35">
        <v>238</v>
      </c>
      <c r="O40" s="6" t="s">
        <v>105</v>
      </c>
      <c r="P40" s="35">
        <v>200</v>
      </c>
      <c r="Q40" s="6" t="s">
        <v>105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105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105</v>
      </c>
      <c r="AE40" s="6" t="s">
        <v>105</v>
      </c>
      <c r="AF40" s="6" t="s">
        <v>105</v>
      </c>
      <c r="AG40" s="6" t="s">
        <v>390</v>
      </c>
      <c r="AH40" s="10" t="s">
        <v>77</v>
      </c>
      <c r="AI40" s="4" t="s">
        <v>378</v>
      </c>
      <c r="AJ40" s="4" t="s">
        <v>392</v>
      </c>
      <c r="AK40" s="5" t="s">
        <v>391</v>
      </c>
      <c r="AL40" s="5" t="s">
        <v>376</v>
      </c>
      <c r="AM40" s="5" t="s">
        <v>641</v>
      </c>
      <c r="AN40" s="5" t="s">
        <v>642</v>
      </c>
      <c r="AO40" s="33" t="s">
        <v>486</v>
      </c>
      <c r="AP40" s="36" t="s">
        <v>790</v>
      </c>
      <c r="AQ40" s="5" t="s">
        <v>77</v>
      </c>
      <c r="AR40" s="11" t="s">
        <v>389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39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6" t="s">
        <v>321</v>
      </c>
      <c r="N41" s="34">
        <v>168</v>
      </c>
      <c r="O41" s="6" t="s">
        <v>322</v>
      </c>
      <c r="P41" s="35">
        <v>156</v>
      </c>
      <c r="Q41" s="6" t="s">
        <v>323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105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105</v>
      </c>
      <c r="AA41" s="6">
        <f>IFERROR(Tableau1[[#This Row],[Marketing €/m²]]*Tableau1[[#This Row],[Surface GLA]],)</f>
        <v>0</v>
      </c>
      <c r="AB41" s="6" t="s">
        <v>105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105</v>
      </c>
      <c r="AE41" s="6" t="s">
        <v>105</v>
      </c>
      <c r="AF41" s="6" t="s">
        <v>105</v>
      </c>
      <c r="AG41" s="6" t="s">
        <v>371</v>
      </c>
      <c r="AH41" s="10" t="s">
        <v>77</v>
      </c>
      <c r="AI41" s="4" t="s">
        <v>378</v>
      </c>
      <c r="AJ41" s="4" t="s">
        <v>393</v>
      </c>
      <c r="AK41" s="5" t="s">
        <v>394</v>
      </c>
      <c r="AL41" s="5" t="s">
        <v>376</v>
      </c>
      <c r="AM41" s="5" t="s">
        <v>643</v>
      </c>
      <c r="AN41" s="5" t="s">
        <v>644</v>
      </c>
      <c r="AO41" s="33" t="s">
        <v>487</v>
      </c>
      <c r="AP41" s="36" t="s">
        <v>791</v>
      </c>
      <c r="AQ41" s="5" t="s">
        <v>77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39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7" t="s">
        <v>313</v>
      </c>
      <c r="N42" s="35">
        <v>87</v>
      </c>
      <c r="O42" s="12"/>
      <c r="P42" s="35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105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105</v>
      </c>
      <c r="AE42" s="6" t="s">
        <v>105</v>
      </c>
      <c r="AF42" s="6" t="s">
        <v>105</v>
      </c>
      <c r="AG42" s="6" t="s">
        <v>371</v>
      </c>
      <c r="AH42" s="10" t="s">
        <v>385</v>
      </c>
      <c r="AI42" s="4" t="s">
        <v>378</v>
      </c>
      <c r="AJ42" s="4" t="s">
        <v>393</v>
      </c>
      <c r="AK42" s="5" t="s">
        <v>394</v>
      </c>
      <c r="AL42" s="5" t="s">
        <v>376</v>
      </c>
      <c r="AM42" s="11" t="s">
        <v>645</v>
      </c>
      <c r="AN42" s="11" t="s">
        <v>646</v>
      </c>
      <c r="AO42" s="33" t="s">
        <v>488</v>
      </c>
      <c r="AP42" s="36" t="s">
        <v>792</v>
      </c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39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7" t="s">
        <v>324</v>
      </c>
      <c r="N43" s="35">
        <v>197</v>
      </c>
      <c r="O43" s="12"/>
      <c r="P43" s="35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105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105</v>
      </c>
      <c r="AE43" s="6" t="s">
        <v>105</v>
      </c>
      <c r="AF43" s="6" t="s">
        <v>105</v>
      </c>
      <c r="AG43" s="6" t="s">
        <v>371</v>
      </c>
      <c r="AH43" s="10" t="s">
        <v>385</v>
      </c>
      <c r="AI43" s="4" t="s">
        <v>378</v>
      </c>
      <c r="AJ43" s="4" t="s">
        <v>393</v>
      </c>
      <c r="AK43" s="5" t="s">
        <v>394</v>
      </c>
      <c r="AL43" s="5" t="s">
        <v>376</v>
      </c>
      <c r="AM43" s="11" t="s">
        <v>647</v>
      </c>
      <c r="AN43" s="11" t="s">
        <v>648</v>
      </c>
      <c r="AO43" s="33" t="s">
        <v>489</v>
      </c>
      <c r="AP43" s="36" t="s">
        <v>793</v>
      </c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39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7" t="s">
        <v>325</v>
      </c>
      <c r="N44" s="35">
        <v>576</v>
      </c>
      <c r="O44" s="12"/>
      <c r="P44" s="35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105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105</v>
      </c>
      <c r="AE44" s="6" t="s">
        <v>105</v>
      </c>
      <c r="AF44" s="6" t="s">
        <v>105</v>
      </c>
      <c r="AG44" s="6" t="s">
        <v>371</v>
      </c>
      <c r="AH44" s="10" t="s">
        <v>77</v>
      </c>
      <c r="AI44" s="4" t="s">
        <v>378</v>
      </c>
      <c r="AJ44" s="4" t="s">
        <v>393</v>
      </c>
      <c r="AK44" s="5" t="s">
        <v>394</v>
      </c>
      <c r="AL44" s="5" t="s">
        <v>376</v>
      </c>
      <c r="AM44" s="11" t="s">
        <v>649</v>
      </c>
      <c r="AN44" s="11" t="s">
        <v>650</v>
      </c>
      <c r="AO44" s="33" t="s">
        <v>490</v>
      </c>
      <c r="AP44" s="36" t="s">
        <v>794</v>
      </c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39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7" t="s">
        <v>326</v>
      </c>
      <c r="N45" s="35">
        <v>237</v>
      </c>
      <c r="O45" s="12" t="s">
        <v>328</v>
      </c>
      <c r="P45" s="35">
        <v>221</v>
      </c>
      <c r="Q45" s="12" t="s">
        <v>329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105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105</v>
      </c>
      <c r="AE45" s="6" t="s">
        <v>105</v>
      </c>
      <c r="AF45" s="6" t="s">
        <v>105</v>
      </c>
      <c r="AG45" s="6" t="s">
        <v>371</v>
      </c>
      <c r="AH45" s="10" t="s">
        <v>77</v>
      </c>
      <c r="AI45" s="4" t="s">
        <v>378</v>
      </c>
      <c r="AJ45" s="4" t="s">
        <v>393</v>
      </c>
      <c r="AK45" s="5" t="s">
        <v>394</v>
      </c>
      <c r="AL45" s="5" t="s">
        <v>376</v>
      </c>
      <c r="AM45" s="11" t="s">
        <v>651</v>
      </c>
      <c r="AN45" s="11" t="s">
        <v>652</v>
      </c>
      <c r="AO45" s="33" t="s">
        <v>491</v>
      </c>
      <c r="AP45" s="36" t="s">
        <v>795</v>
      </c>
      <c r="AQ45" s="5" t="s">
        <v>77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124</v>
      </c>
      <c r="E46" s="26">
        <v>78310</v>
      </c>
      <c r="F46" s="39" t="s">
        <v>92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69</v>
      </c>
      <c r="I46" s="6" t="s">
        <v>48</v>
      </c>
      <c r="J46" s="6" t="s">
        <v>51</v>
      </c>
      <c r="K46" s="12" t="s">
        <v>105</v>
      </c>
      <c r="L46" s="12" t="s">
        <v>105</v>
      </c>
      <c r="M46" s="37" t="s">
        <v>327</v>
      </c>
      <c r="N46" s="35">
        <v>236</v>
      </c>
      <c r="O46" s="12" t="s">
        <v>330</v>
      </c>
      <c r="P46" s="35">
        <v>218</v>
      </c>
      <c r="Q46" s="12" t="s">
        <v>331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105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105</v>
      </c>
      <c r="AA46" s="12">
        <f>IFERROR(Tableau1[[#This Row],[Marketing €/m²]]*Tableau1[[#This Row],[Surface GLA]],)</f>
        <v>0</v>
      </c>
      <c r="AB46" s="6" t="s">
        <v>105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105</v>
      </c>
      <c r="AE46" s="6" t="s">
        <v>105</v>
      </c>
      <c r="AF46" s="6" t="s">
        <v>105</v>
      </c>
      <c r="AG46" s="6" t="s">
        <v>371</v>
      </c>
      <c r="AH46" s="10" t="s">
        <v>77</v>
      </c>
      <c r="AI46" s="4" t="s">
        <v>378</v>
      </c>
      <c r="AJ46" s="4" t="s">
        <v>393</v>
      </c>
      <c r="AK46" s="5" t="s">
        <v>394</v>
      </c>
      <c r="AL46" s="5" t="s">
        <v>376</v>
      </c>
      <c r="AM46" s="11" t="s">
        <v>653</v>
      </c>
      <c r="AN46" s="11" t="s">
        <v>654</v>
      </c>
      <c r="AO46" s="33" t="s">
        <v>492</v>
      </c>
      <c r="AP46" s="36" t="s">
        <v>796</v>
      </c>
      <c r="AQ46" s="11" t="s">
        <v>54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39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6" t="s">
        <v>105</v>
      </c>
      <c r="N47" s="34">
        <v>370</v>
      </c>
      <c r="O47" s="4" t="s">
        <v>268</v>
      </c>
      <c r="P47" s="35" t="s">
        <v>105</v>
      </c>
      <c r="Q47" s="6" t="s">
        <v>105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105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105</v>
      </c>
      <c r="AE47" s="6" t="s">
        <v>105</v>
      </c>
      <c r="AF47" s="6" t="s">
        <v>105</v>
      </c>
      <c r="AG47" s="6" t="s">
        <v>371</v>
      </c>
      <c r="AH47" s="10" t="s">
        <v>54</v>
      </c>
      <c r="AI47" s="4" t="s">
        <v>377</v>
      </c>
      <c r="AJ47" s="4" t="s">
        <v>397</v>
      </c>
      <c r="AK47" s="5" t="s">
        <v>395</v>
      </c>
      <c r="AL47" s="5" t="s">
        <v>376</v>
      </c>
      <c r="AM47" s="5" t="s">
        <v>655</v>
      </c>
      <c r="AN47" s="5" t="s">
        <v>656</v>
      </c>
      <c r="AO47" s="33" t="s">
        <v>493</v>
      </c>
      <c r="AP47" s="36" t="s">
        <v>797</v>
      </c>
      <c r="AQ47" s="5" t="s">
        <v>77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117</v>
      </c>
      <c r="E48" s="26">
        <v>57000</v>
      </c>
      <c r="F48" s="39" t="s">
        <v>93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46</v>
      </c>
      <c r="J48" s="6" t="s">
        <v>45</v>
      </c>
      <c r="K48" s="12" t="s">
        <v>105</v>
      </c>
      <c r="L48" s="12" t="s">
        <v>105</v>
      </c>
      <c r="M48" s="36" t="s">
        <v>105</v>
      </c>
      <c r="N48" s="34">
        <v>486</v>
      </c>
      <c r="O48" s="10" t="s">
        <v>269</v>
      </c>
      <c r="P48" s="35" t="s">
        <v>105</v>
      </c>
      <c r="Q48" s="6" t="s">
        <v>105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105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105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105</v>
      </c>
      <c r="AE48" s="6" t="s">
        <v>105</v>
      </c>
      <c r="AF48" s="6" t="s">
        <v>105</v>
      </c>
      <c r="AG48" s="6" t="s">
        <v>371</v>
      </c>
      <c r="AH48" s="10" t="s">
        <v>54</v>
      </c>
      <c r="AI48" s="4" t="s">
        <v>377</v>
      </c>
      <c r="AJ48" s="4" t="s">
        <v>397</v>
      </c>
      <c r="AK48" s="11" t="s">
        <v>396</v>
      </c>
      <c r="AL48" s="5" t="s">
        <v>376</v>
      </c>
      <c r="AM48" s="11" t="s">
        <v>657</v>
      </c>
      <c r="AN48" s="11" t="s">
        <v>658</v>
      </c>
      <c r="AO48" s="33" t="s">
        <v>494</v>
      </c>
      <c r="AP48" s="36" t="s">
        <v>798</v>
      </c>
      <c r="AQ48" s="5" t="s">
        <v>77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125</v>
      </c>
      <c r="E49" s="27">
        <v>75008</v>
      </c>
      <c r="F49" s="39" t="s">
        <v>94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6" t="s">
        <v>105</v>
      </c>
      <c r="N49" s="34">
        <v>681</v>
      </c>
      <c r="O49" s="10" t="s">
        <v>270</v>
      </c>
      <c r="P49" s="35" t="s">
        <v>105</v>
      </c>
      <c r="Q49" s="6" t="s">
        <v>105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105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105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105</v>
      </c>
      <c r="AE49" s="6" t="s">
        <v>105</v>
      </c>
      <c r="AF49" s="6" t="s">
        <v>105</v>
      </c>
      <c r="AG49" s="6" t="s">
        <v>390</v>
      </c>
      <c r="AH49" s="10" t="s">
        <v>54</v>
      </c>
      <c r="AI49" s="4" t="s">
        <v>105</v>
      </c>
      <c r="AJ49" s="4" t="s">
        <v>398</v>
      </c>
      <c r="AK49" s="11" t="s">
        <v>399</v>
      </c>
      <c r="AL49" s="5" t="s">
        <v>376</v>
      </c>
      <c r="AM49" s="11" t="s">
        <v>659</v>
      </c>
      <c r="AN49" s="11" t="s">
        <v>660</v>
      </c>
      <c r="AO49" s="33" t="s">
        <v>495</v>
      </c>
      <c r="AP49" s="36" t="s">
        <v>799</v>
      </c>
      <c r="AQ49" s="5" t="s">
        <v>77</v>
      </c>
      <c r="AR49" s="11" t="s">
        <v>386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132</v>
      </c>
      <c r="E50" s="27">
        <v>75008</v>
      </c>
      <c r="F50" s="39" t="s">
        <v>94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6" t="s">
        <v>105</v>
      </c>
      <c r="N50" s="35">
        <v>672</v>
      </c>
      <c r="O50" s="6" t="s">
        <v>68</v>
      </c>
      <c r="P50" s="35" t="s">
        <v>105</v>
      </c>
      <c r="Q50" s="6" t="s">
        <v>105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105</v>
      </c>
      <c r="V50" s="12" t="s">
        <v>400</v>
      </c>
      <c r="W50" s="12" t="s">
        <v>400</v>
      </c>
      <c r="X50" s="12" t="s">
        <v>400</v>
      </c>
      <c r="Y50" s="12" t="s">
        <v>400</v>
      </c>
      <c r="Z50" s="6" t="s">
        <v>400</v>
      </c>
      <c r="AA50" s="6">
        <f>IFERROR(Tableau1[[#This Row],[Marketing €/m²]]*Tableau1[[#This Row],[Surface GLA]],)</f>
        <v>0</v>
      </c>
      <c r="AB50" s="6" t="s">
        <v>105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105</v>
      </c>
      <c r="AE50" s="6" t="s">
        <v>105</v>
      </c>
      <c r="AF50" s="6" t="s">
        <v>105</v>
      </c>
      <c r="AG50" s="6" t="s">
        <v>371</v>
      </c>
      <c r="AH50" s="10" t="s">
        <v>77</v>
      </c>
      <c r="AI50" s="4" t="s">
        <v>378</v>
      </c>
      <c r="AJ50" s="4" t="s">
        <v>401</v>
      </c>
      <c r="AK50" s="11" t="s">
        <v>402</v>
      </c>
      <c r="AL50" s="5" t="s">
        <v>376</v>
      </c>
      <c r="AM50" s="11" t="s">
        <v>661</v>
      </c>
      <c r="AN50" s="11" t="s">
        <v>662</v>
      </c>
      <c r="AO50" s="33" t="s">
        <v>313</v>
      </c>
      <c r="AP50" s="36" t="s">
        <v>800</v>
      </c>
      <c r="AQ50" s="5" t="s">
        <v>77</v>
      </c>
      <c r="AR50" s="11" t="s">
        <v>72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133</v>
      </c>
      <c r="E51" s="27">
        <v>75009</v>
      </c>
      <c r="F51" s="39" t="s">
        <v>94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279</v>
      </c>
      <c r="I51" s="12" t="s">
        <v>46</v>
      </c>
      <c r="J51" s="12" t="s">
        <v>45</v>
      </c>
      <c r="K51" s="12" t="s">
        <v>105</v>
      </c>
      <c r="L51" s="12" t="s">
        <v>105</v>
      </c>
      <c r="M51" s="36" t="s">
        <v>105</v>
      </c>
      <c r="N51" s="34">
        <v>115</v>
      </c>
      <c r="O51" s="10" t="s">
        <v>271</v>
      </c>
      <c r="P51" s="35" t="s">
        <v>105</v>
      </c>
      <c r="Q51" s="6" t="s">
        <v>105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105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105</v>
      </c>
      <c r="AE51" s="6" t="s">
        <v>105</v>
      </c>
      <c r="AF51" s="6" t="s">
        <v>105</v>
      </c>
      <c r="AG51" s="6" t="s">
        <v>371</v>
      </c>
      <c r="AH51" s="10" t="s">
        <v>54</v>
      </c>
      <c r="AI51" s="4" t="s">
        <v>105</v>
      </c>
      <c r="AJ51" s="4" t="s">
        <v>105</v>
      </c>
      <c r="AK51" s="11" t="s">
        <v>59</v>
      </c>
      <c r="AL51" s="5" t="s">
        <v>376</v>
      </c>
      <c r="AM51" s="11" t="s">
        <v>663</v>
      </c>
      <c r="AN51" s="11" t="s">
        <v>664</v>
      </c>
      <c r="AO51" s="33" t="s">
        <v>496</v>
      </c>
      <c r="AP51" s="36"/>
      <c r="AQ51" s="5" t="s">
        <v>54</v>
      </c>
      <c r="AR51" s="11" t="s">
        <v>58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118</v>
      </c>
      <c r="E52" s="27">
        <v>75010</v>
      </c>
      <c r="F52" s="39" t="s">
        <v>94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61</v>
      </c>
      <c r="I52" s="12" t="s">
        <v>46</v>
      </c>
      <c r="J52" s="12" t="s">
        <v>45</v>
      </c>
      <c r="K52" s="12" t="s">
        <v>105</v>
      </c>
      <c r="L52" s="12" t="s">
        <v>105</v>
      </c>
      <c r="M52" s="36" t="s">
        <v>105</v>
      </c>
      <c r="N52" s="34">
        <v>189</v>
      </c>
      <c r="O52" s="10" t="s">
        <v>272</v>
      </c>
      <c r="P52" s="35" t="s">
        <v>105</v>
      </c>
      <c r="Q52" s="6" t="s">
        <v>105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105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105</v>
      </c>
      <c r="AE52" s="6" t="s">
        <v>105</v>
      </c>
      <c r="AF52" s="6" t="s">
        <v>105</v>
      </c>
      <c r="AG52" s="6" t="s">
        <v>371</v>
      </c>
      <c r="AH52" s="10" t="s">
        <v>54</v>
      </c>
      <c r="AI52" s="4" t="s">
        <v>377</v>
      </c>
      <c r="AJ52" s="4" t="s">
        <v>404</v>
      </c>
      <c r="AK52" s="11" t="s">
        <v>405</v>
      </c>
      <c r="AL52" s="5" t="s">
        <v>376</v>
      </c>
      <c r="AM52" s="11" t="s">
        <v>665</v>
      </c>
      <c r="AN52" s="11" t="s">
        <v>666</v>
      </c>
      <c r="AO52" s="33" t="s">
        <v>497</v>
      </c>
      <c r="AP52" s="36" t="s">
        <v>801</v>
      </c>
      <c r="AQ52" s="5" t="s">
        <v>77</v>
      </c>
      <c r="AR52" s="11" t="s">
        <v>403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126</v>
      </c>
      <c r="E53" s="27">
        <v>75012</v>
      </c>
      <c r="F53" s="39" t="s">
        <v>94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64</v>
      </c>
      <c r="I53" s="12" t="s">
        <v>46</v>
      </c>
      <c r="J53" s="12" t="s">
        <v>45</v>
      </c>
      <c r="K53" s="12" t="s">
        <v>105</v>
      </c>
      <c r="L53" s="12" t="s">
        <v>105</v>
      </c>
      <c r="M53" s="36" t="s">
        <v>105</v>
      </c>
      <c r="N53" s="34">
        <v>177</v>
      </c>
      <c r="O53" s="10" t="s">
        <v>273</v>
      </c>
      <c r="P53" s="35" t="s">
        <v>105</v>
      </c>
      <c r="Q53" s="6" t="s">
        <v>105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105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105</v>
      </c>
      <c r="AE53" s="6" t="s">
        <v>105</v>
      </c>
      <c r="AF53" s="6" t="s">
        <v>105</v>
      </c>
      <c r="AG53" s="6" t="s">
        <v>371</v>
      </c>
      <c r="AH53" s="10" t="s">
        <v>54</v>
      </c>
      <c r="AI53" s="4" t="s">
        <v>377</v>
      </c>
      <c r="AJ53" s="4" t="s">
        <v>406</v>
      </c>
      <c r="AK53" s="11" t="s">
        <v>65</v>
      </c>
      <c r="AL53" s="5" t="s">
        <v>376</v>
      </c>
      <c r="AM53" s="11" t="s">
        <v>667</v>
      </c>
      <c r="AN53" s="11" t="s">
        <v>668</v>
      </c>
      <c r="AO53" s="33" t="s">
        <v>498</v>
      </c>
      <c r="AP53" s="36" t="s">
        <v>802</v>
      </c>
      <c r="AQ53" s="5" t="s">
        <v>77</v>
      </c>
      <c r="AR53" s="11" t="s">
        <v>66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127</v>
      </c>
      <c r="E54" s="27">
        <v>75012</v>
      </c>
      <c r="F54" s="39" t="s">
        <v>94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46</v>
      </c>
      <c r="J54" s="6" t="s">
        <v>45</v>
      </c>
      <c r="K54" s="12" t="s">
        <v>105</v>
      </c>
      <c r="L54" s="12" t="s">
        <v>105</v>
      </c>
      <c r="M54" s="36" t="s">
        <v>105</v>
      </c>
      <c r="N54" s="35">
        <v>85</v>
      </c>
      <c r="O54" s="6" t="s">
        <v>105</v>
      </c>
      <c r="P54" s="35" t="s">
        <v>105</v>
      </c>
      <c r="Q54" s="6" t="s">
        <v>105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105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105</v>
      </c>
      <c r="AE54" s="6" t="s">
        <v>105</v>
      </c>
      <c r="AF54" s="6" t="s">
        <v>105</v>
      </c>
      <c r="AG54" s="6" t="s">
        <v>371</v>
      </c>
      <c r="AH54" s="10" t="s">
        <v>385</v>
      </c>
      <c r="AI54" s="4" t="s">
        <v>378</v>
      </c>
      <c r="AJ54" s="4" t="s">
        <v>407</v>
      </c>
      <c r="AK54" s="11" t="s">
        <v>53</v>
      </c>
      <c r="AL54" s="5" t="s">
        <v>376</v>
      </c>
      <c r="AM54" s="11" t="s">
        <v>669</v>
      </c>
      <c r="AN54" s="11" t="s">
        <v>670</v>
      </c>
      <c r="AO54" s="33" t="s">
        <v>499</v>
      </c>
      <c r="AP54" s="36" t="s">
        <v>803</v>
      </c>
      <c r="AQ54" s="5" t="s">
        <v>77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128</v>
      </c>
      <c r="E55" s="27">
        <v>75016</v>
      </c>
      <c r="F55" s="39" t="s">
        <v>94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280</v>
      </c>
      <c r="I55" s="12" t="s">
        <v>46</v>
      </c>
      <c r="J55" s="12" t="s">
        <v>45</v>
      </c>
      <c r="K55" s="12" t="s">
        <v>105</v>
      </c>
      <c r="L55" s="12" t="s">
        <v>105</v>
      </c>
      <c r="M55" s="36" t="s">
        <v>105</v>
      </c>
      <c r="N55" s="34">
        <v>26</v>
      </c>
      <c r="O55" s="10" t="s">
        <v>274</v>
      </c>
      <c r="P55" s="35" t="s">
        <v>105</v>
      </c>
      <c r="Q55" s="6" t="s">
        <v>105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105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105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105</v>
      </c>
      <c r="AE55" s="6" t="s">
        <v>105</v>
      </c>
      <c r="AF55" s="6" t="s">
        <v>105</v>
      </c>
      <c r="AG55" s="6" t="s">
        <v>371</v>
      </c>
      <c r="AH55" s="10" t="s">
        <v>54</v>
      </c>
      <c r="AI55" s="4" t="s">
        <v>377</v>
      </c>
      <c r="AJ55" s="4" t="s">
        <v>408</v>
      </c>
      <c r="AK55" s="11" t="s">
        <v>74</v>
      </c>
      <c r="AL55" s="5" t="s">
        <v>376</v>
      </c>
      <c r="AM55" s="11" t="s">
        <v>671</v>
      </c>
      <c r="AN55" s="11" t="s">
        <v>672</v>
      </c>
      <c r="AO55" s="33" t="s">
        <v>500</v>
      </c>
      <c r="AP55" s="36" t="s">
        <v>804</v>
      </c>
      <c r="AQ55" s="5" t="s">
        <v>77</v>
      </c>
      <c r="AR55" s="11" t="s">
        <v>73</v>
      </c>
      <c r="AS55" s="13" t="s">
        <v>70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119</v>
      </c>
      <c r="E56" s="27">
        <v>75016</v>
      </c>
      <c r="F56" s="39" t="s">
        <v>94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281</v>
      </c>
      <c r="I56" s="12" t="s">
        <v>46</v>
      </c>
      <c r="J56" s="12" t="s">
        <v>45</v>
      </c>
      <c r="K56" s="12" t="s">
        <v>105</v>
      </c>
      <c r="L56" s="12" t="s">
        <v>105</v>
      </c>
      <c r="M56" s="36" t="s">
        <v>105</v>
      </c>
      <c r="N56" s="34">
        <v>87</v>
      </c>
      <c r="O56" s="10" t="s">
        <v>60</v>
      </c>
      <c r="P56" s="35" t="s">
        <v>105</v>
      </c>
      <c r="Q56" s="6" t="s">
        <v>105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105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105</v>
      </c>
      <c r="AE56" s="6" t="s">
        <v>105</v>
      </c>
      <c r="AF56" s="6" t="s">
        <v>105</v>
      </c>
      <c r="AG56" s="6" t="s">
        <v>371</v>
      </c>
      <c r="AH56" s="10" t="s">
        <v>54</v>
      </c>
      <c r="AI56" s="4" t="s">
        <v>377</v>
      </c>
      <c r="AJ56" s="4" t="s">
        <v>409</v>
      </c>
      <c r="AK56" s="11" t="s">
        <v>63</v>
      </c>
      <c r="AL56" s="5" t="s">
        <v>376</v>
      </c>
      <c r="AM56" s="11" t="s">
        <v>673</v>
      </c>
      <c r="AN56" s="11" t="s">
        <v>674</v>
      </c>
      <c r="AO56" s="33" t="s">
        <v>501</v>
      </c>
      <c r="AP56" s="36" t="s">
        <v>805</v>
      </c>
      <c r="AQ56" s="5" t="s">
        <v>77</v>
      </c>
      <c r="AR56" s="11" t="s">
        <v>62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39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6" t="s">
        <v>332</v>
      </c>
      <c r="N57" s="35">
        <v>110</v>
      </c>
      <c r="O57" s="6" t="s">
        <v>105</v>
      </c>
      <c r="P57" s="35" t="s">
        <v>105</v>
      </c>
      <c r="Q57" s="6" t="s">
        <v>105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105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105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105</v>
      </c>
      <c r="AE57" s="6" t="s">
        <v>105</v>
      </c>
      <c r="AF57" s="6" t="s">
        <v>105</v>
      </c>
      <c r="AG57" s="6" t="s">
        <v>390</v>
      </c>
      <c r="AH57" s="10" t="s">
        <v>385</v>
      </c>
      <c r="AI57" s="4" t="s">
        <v>378</v>
      </c>
      <c r="AJ57" s="4" t="s">
        <v>105</v>
      </c>
      <c r="AK57" s="5" t="s">
        <v>410</v>
      </c>
      <c r="AL57" s="5" t="s">
        <v>376</v>
      </c>
      <c r="AM57" s="5" t="s">
        <v>675</v>
      </c>
      <c r="AN57" s="5" t="s">
        <v>676</v>
      </c>
      <c r="AO57" s="33" t="s">
        <v>502</v>
      </c>
      <c r="AP57" s="36" t="s">
        <v>806</v>
      </c>
      <c r="AQ57" s="5" t="s">
        <v>77</v>
      </c>
      <c r="AR57" s="11" t="s">
        <v>386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39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7" t="s">
        <v>333</v>
      </c>
      <c r="N58" s="35">
        <v>66</v>
      </c>
      <c r="O58" s="12"/>
      <c r="P58" s="10"/>
      <c r="Q58" s="12"/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105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105</v>
      </c>
      <c r="AE58" s="6" t="s">
        <v>105</v>
      </c>
      <c r="AF58" s="6" t="s">
        <v>105</v>
      </c>
      <c r="AG58" s="6" t="s">
        <v>390</v>
      </c>
      <c r="AH58" s="10" t="s">
        <v>385</v>
      </c>
      <c r="AI58" s="4" t="s">
        <v>378</v>
      </c>
      <c r="AJ58" s="4" t="s">
        <v>105</v>
      </c>
      <c r="AK58" s="5" t="s">
        <v>410</v>
      </c>
      <c r="AL58" s="5" t="s">
        <v>376</v>
      </c>
      <c r="AM58" s="11" t="s">
        <v>677</v>
      </c>
      <c r="AN58" s="11" t="s">
        <v>678</v>
      </c>
      <c r="AO58" s="33" t="s">
        <v>503</v>
      </c>
      <c r="AP58" s="36" t="s">
        <v>807</v>
      </c>
      <c r="AQ58" s="5" t="s">
        <v>77</v>
      </c>
      <c r="AR58" s="11" t="s">
        <v>386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39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7" t="s">
        <v>334</v>
      </c>
      <c r="N59" s="35">
        <v>79</v>
      </c>
      <c r="O59" s="12"/>
      <c r="P59" s="10"/>
      <c r="Q59" s="12"/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105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105</v>
      </c>
      <c r="AE59" s="6" t="s">
        <v>105</v>
      </c>
      <c r="AF59" s="6" t="s">
        <v>105</v>
      </c>
      <c r="AG59" s="6" t="s">
        <v>390</v>
      </c>
      <c r="AH59" s="10" t="s">
        <v>385</v>
      </c>
      <c r="AI59" s="4" t="s">
        <v>378</v>
      </c>
      <c r="AJ59" s="4" t="s">
        <v>105</v>
      </c>
      <c r="AK59" s="5" t="s">
        <v>410</v>
      </c>
      <c r="AL59" s="5" t="s">
        <v>376</v>
      </c>
      <c r="AM59" s="11" t="s">
        <v>679</v>
      </c>
      <c r="AN59" s="11" t="s">
        <v>680</v>
      </c>
      <c r="AO59" s="33" t="s">
        <v>504</v>
      </c>
      <c r="AP59" s="36" t="s">
        <v>808</v>
      </c>
      <c r="AQ59" s="5" t="s">
        <v>77</v>
      </c>
      <c r="AR59" s="11" t="s">
        <v>386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39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7" t="s">
        <v>335</v>
      </c>
      <c r="N60" s="35">
        <v>47</v>
      </c>
      <c r="O60" s="12"/>
      <c r="P60" s="10"/>
      <c r="Q60" s="12"/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105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105</v>
      </c>
      <c r="AE60" s="6" t="s">
        <v>105</v>
      </c>
      <c r="AF60" s="6" t="s">
        <v>105</v>
      </c>
      <c r="AG60" s="6" t="s">
        <v>390</v>
      </c>
      <c r="AH60" s="10" t="s">
        <v>385</v>
      </c>
      <c r="AI60" s="4" t="s">
        <v>378</v>
      </c>
      <c r="AJ60" s="4" t="s">
        <v>105</v>
      </c>
      <c r="AK60" s="5" t="s">
        <v>410</v>
      </c>
      <c r="AL60" s="5" t="s">
        <v>376</v>
      </c>
      <c r="AM60" s="11" t="s">
        <v>681</v>
      </c>
      <c r="AN60" s="11" t="s">
        <v>682</v>
      </c>
      <c r="AO60" s="33" t="s">
        <v>505</v>
      </c>
      <c r="AP60" s="36" t="s">
        <v>809</v>
      </c>
      <c r="AQ60" s="5" t="s">
        <v>77</v>
      </c>
      <c r="AR60" s="11" t="s">
        <v>386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39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7" t="s">
        <v>336</v>
      </c>
      <c r="N61" s="35">
        <v>60</v>
      </c>
      <c r="O61" s="12"/>
      <c r="P61" s="10"/>
      <c r="Q61" s="12"/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105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105</v>
      </c>
      <c r="AE61" s="6" t="s">
        <v>105</v>
      </c>
      <c r="AF61" s="6" t="s">
        <v>105</v>
      </c>
      <c r="AG61" s="6" t="s">
        <v>390</v>
      </c>
      <c r="AH61" s="10" t="s">
        <v>385</v>
      </c>
      <c r="AI61" s="4" t="s">
        <v>378</v>
      </c>
      <c r="AJ61" s="4" t="s">
        <v>105</v>
      </c>
      <c r="AK61" s="5" t="s">
        <v>410</v>
      </c>
      <c r="AL61" s="5" t="s">
        <v>376</v>
      </c>
      <c r="AM61" s="11" t="s">
        <v>683</v>
      </c>
      <c r="AN61" s="11" t="s">
        <v>684</v>
      </c>
      <c r="AO61" s="33" t="s">
        <v>506</v>
      </c>
      <c r="AP61" s="36" t="s">
        <v>810</v>
      </c>
      <c r="AQ61" s="5" t="s">
        <v>77</v>
      </c>
      <c r="AR61" s="11" t="s">
        <v>386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39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7" t="s">
        <v>337</v>
      </c>
      <c r="N62" s="35">
        <v>81</v>
      </c>
      <c r="O62" s="12"/>
      <c r="P62" s="10"/>
      <c r="Q62" s="12"/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105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105</v>
      </c>
      <c r="AE62" s="6" t="s">
        <v>105</v>
      </c>
      <c r="AF62" s="6" t="s">
        <v>105</v>
      </c>
      <c r="AG62" s="6" t="s">
        <v>390</v>
      </c>
      <c r="AH62" s="10" t="s">
        <v>385</v>
      </c>
      <c r="AI62" s="4" t="s">
        <v>378</v>
      </c>
      <c r="AJ62" s="4" t="s">
        <v>105</v>
      </c>
      <c r="AK62" s="5" t="s">
        <v>410</v>
      </c>
      <c r="AL62" s="5" t="s">
        <v>376</v>
      </c>
      <c r="AM62" s="11" t="s">
        <v>685</v>
      </c>
      <c r="AN62" s="11" t="s">
        <v>684</v>
      </c>
      <c r="AO62" s="33" t="s">
        <v>507</v>
      </c>
      <c r="AP62" s="36" t="s">
        <v>811</v>
      </c>
      <c r="AQ62" s="5" t="s">
        <v>77</v>
      </c>
      <c r="AR62" s="11" t="s">
        <v>386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39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7" t="s">
        <v>338</v>
      </c>
      <c r="N63" s="35">
        <v>45</v>
      </c>
      <c r="O63" s="12"/>
      <c r="P63" s="10"/>
      <c r="Q63" s="12"/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105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105</v>
      </c>
      <c r="AE63" s="6" t="s">
        <v>105</v>
      </c>
      <c r="AF63" s="6" t="s">
        <v>105</v>
      </c>
      <c r="AG63" s="6" t="s">
        <v>390</v>
      </c>
      <c r="AH63" s="10" t="s">
        <v>385</v>
      </c>
      <c r="AI63" s="4" t="s">
        <v>378</v>
      </c>
      <c r="AJ63" s="4" t="s">
        <v>105</v>
      </c>
      <c r="AK63" s="5" t="s">
        <v>410</v>
      </c>
      <c r="AL63" s="5" t="s">
        <v>376</v>
      </c>
      <c r="AM63" s="11" t="s">
        <v>686</v>
      </c>
      <c r="AN63" s="11" t="s">
        <v>687</v>
      </c>
      <c r="AO63" s="33" t="s">
        <v>508</v>
      </c>
      <c r="AP63" s="36" t="s">
        <v>812</v>
      </c>
      <c r="AQ63" s="5" t="s">
        <v>77</v>
      </c>
      <c r="AR63" s="11" t="s">
        <v>386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134</v>
      </c>
      <c r="E64" s="27">
        <v>92100</v>
      </c>
      <c r="F64" s="39" t="s">
        <v>95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41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339</v>
      </c>
      <c r="N64" s="35">
        <v>73</v>
      </c>
      <c r="O64" s="12"/>
      <c r="P64" s="10"/>
      <c r="Q64" s="12"/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105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105</v>
      </c>
      <c r="AE64" s="6" t="s">
        <v>105</v>
      </c>
      <c r="AF64" s="6" t="s">
        <v>105</v>
      </c>
      <c r="AG64" s="6" t="s">
        <v>390</v>
      </c>
      <c r="AH64" s="10" t="s">
        <v>385</v>
      </c>
      <c r="AI64" s="4" t="s">
        <v>378</v>
      </c>
      <c r="AJ64" s="4" t="s">
        <v>105</v>
      </c>
      <c r="AK64" s="5" t="s">
        <v>410</v>
      </c>
      <c r="AL64" s="5" t="s">
        <v>376</v>
      </c>
      <c r="AM64" s="11" t="s">
        <v>688</v>
      </c>
      <c r="AN64" s="11" t="s">
        <v>689</v>
      </c>
      <c r="AO64" s="33" t="s">
        <v>509</v>
      </c>
      <c r="AP64" s="36" t="s">
        <v>813</v>
      </c>
      <c r="AQ64" s="5" t="s">
        <v>77</v>
      </c>
      <c r="AR64" s="11" t="s">
        <v>386</v>
      </c>
      <c r="AS64" s="13" t="s">
        <v>38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39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6" t="s">
        <v>340</v>
      </c>
      <c r="N65" s="35">
        <v>80</v>
      </c>
      <c r="O65" s="6" t="s">
        <v>105</v>
      </c>
      <c r="P65" s="35" t="s">
        <v>105</v>
      </c>
      <c r="Q65" s="6" t="s">
        <v>105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105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105</v>
      </c>
      <c r="AE65" s="6" t="s">
        <v>105</v>
      </c>
      <c r="AF65" s="6" t="s">
        <v>105</v>
      </c>
      <c r="AG65" s="6" t="s">
        <v>390</v>
      </c>
      <c r="AH65" s="10" t="s">
        <v>54</v>
      </c>
      <c r="AI65" s="4" t="s">
        <v>377</v>
      </c>
      <c r="AJ65" s="4" t="s">
        <v>414</v>
      </c>
      <c r="AK65" s="5" t="s">
        <v>411</v>
      </c>
      <c r="AL65" s="5" t="s">
        <v>376</v>
      </c>
      <c r="AM65" s="5" t="s">
        <v>690</v>
      </c>
      <c r="AN65" s="5" t="s">
        <v>691</v>
      </c>
      <c r="AO65" s="33" t="s">
        <v>510</v>
      </c>
      <c r="AP65" s="36" t="s">
        <v>814</v>
      </c>
      <c r="AQ65" s="5" t="s">
        <v>77</v>
      </c>
      <c r="AR65" s="11" t="s">
        <v>412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135</v>
      </c>
      <c r="E66" s="27">
        <v>92250</v>
      </c>
      <c r="F66" s="39" t="s">
        <v>98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341</v>
      </c>
      <c r="N66" s="35">
        <v>110</v>
      </c>
      <c r="O66" s="12"/>
      <c r="P66" s="10"/>
      <c r="Q66" s="12"/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105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105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105</v>
      </c>
      <c r="AE66" s="6" t="s">
        <v>105</v>
      </c>
      <c r="AF66" s="6" t="s">
        <v>105</v>
      </c>
      <c r="AG66" s="12" t="s">
        <v>390</v>
      </c>
      <c r="AH66" s="10" t="s">
        <v>77</v>
      </c>
      <c r="AI66" s="10" t="s">
        <v>378</v>
      </c>
      <c r="AJ66" s="4" t="s">
        <v>414</v>
      </c>
      <c r="AK66" s="5" t="s">
        <v>411</v>
      </c>
      <c r="AL66" s="5" t="s">
        <v>376</v>
      </c>
      <c r="AM66" s="11" t="s">
        <v>692</v>
      </c>
      <c r="AN66" s="11" t="s">
        <v>693</v>
      </c>
      <c r="AO66" s="33" t="s">
        <v>511</v>
      </c>
      <c r="AP66" s="37" t="s">
        <v>815</v>
      </c>
      <c r="AQ66" s="5" t="s">
        <v>77</v>
      </c>
      <c r="AR66" s="11" t="s">
        <v>413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6" t="s">
        <v>342</v>
      </c>
      <c r="N67" s="35">
        <v>321</v>
      </c>
      <c r="O67" s="6" t="s">
        <v>105</v>
      </c>
      <c r="P67" s="35" t="s">
        <v>105</v>
      </c>
      <c r="Q67" s="6" t="s">
        <v>105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105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105</v>
      </c>
      <c r="AA67" s="6">
        <f>IFERROR(Tableau1[[#This Row],[Marketing €/m²]]*Tableau1[[#This Row],[Surface GLA]],)</f>
        <v>0</v>
      </c>
      <c r="AB67" s="6" t="s">
        <v>105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105</v>
      </c>
      <c r="AE67" s="6" t="s">
        <v>105</v>
      </c>
      <c r="AF67" s="6" t="s">
        <v>105</v>
      </c>
      <c r="AG67" s="12" t="s">
        <v>390</v>
      </c>
      <c r="AH67" s="10" t="s">
        <v>77</v>
      </c>
      <c r="AI67" s="4" t="s">
        <v>105</v>
      </c>
      <c r="AJ67" s="4" t="s">
        <v>451</v>
      </c>
      <c r="AK67" s="5" t="s">
        <v>364</v>
      </c>
      <c r="AL67" s="5" t="s">
        <v>376</v>
      </c>
      <c r="AM67" s="5" t="s">
        <v>282</v>
      </c>
      <c r="AN67" s="5" t="s">
        <v>283</v>
      </c>
      <c r="AO67" s="33" t="s">
        <v>512</v>
      </c>
      <c r="AP67" s="36"/>
      <c r="AQ67" s="5" t="s">
        <v>77</v>
      </c>
      <c r="AR67" s="11" t="s">
        <v>386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7" t="s">
        <v>343</v>
      </c>
      <c r="N68" s="35">
        <v>159</v>
      </c>
      <c r="O68" s="12"/>
      <c r="P68" s="10"/>
      <c r="Q68" s="12"/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105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105</v>
      </c>
      <c r="AE68" s="6" t="s">
        <v>105</v>
      </c>
      <c r="AF68" s="6" t="s">
        <v>105</v>
      </c>
      <c r="AG68" s="12" t="s">
        <v>390</v>
      </c>
      <c r="AH68" s="10"/>
      <c r="AI68" s="10"/>
      <c r="AJ68" s="4" t="s">
        <v>451</v>
      </c>
      <c r="AK68" s="5" t="s">
        <v>364</v>
      </c>
      <c r="AL68" s="5" t="s">
        <v>376</v>
      </c>
      <c r="AM68" s="11"/>
      <c r="AN68" s="11"/>
      <c r="AO68" s="33" t="s">
        <v>513</v>
      </c>
      <c r="AP68" s="37"/>
      <c r="AQ68" s="5" t="s">
        <v>77</v>
      </c>
      <c r="AR68" s="11" t="s">
        <v>386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7" t="s">
        <v>344</v>
      </c>
      <c r="N69" s="35">
        <v>281</v>
      </c>
      <c r="O69" s="12"/>
      <c r="P69" s="10"/>
      <c r="Q69" s="12"/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105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105</v>
      </c>
      <c r="AE69" s="6" t="s">
        <v>105</v>
      </c>
      <c r="AF69" s="6" t="s">
        <v>105</v>
      </c>
      <c r="AG69" s="12" t="s">
        <v>390</v>
      </c>
      <c r="AH69" s="10"/>
      <c r="AI69" s="10"/>
      <c r="AJ69" s="4" t="s">
        <v>451</v>
      </c>
      <c r="AK69" s="5" t="s">
        <v>364</v>
      </c>
      <c r="AL69" s="5" t="s">
        <v>376</v>
      </c>
      <c r="AM69" s="11"/>
      <c r="AN69" s="11"/>
      <c r="AO69" s="33" t="s">
        <v>514</v>
      </c>
      <c r="AP69" s="37"/>
      <c r="AQ69" s="5" t="s">
        <v>77</v>
      </c>
      <c r="AR69" s="11" t="s">
        <v>386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7" t="s">
        <v>337</v>
      </c>
      <c r="N70" s="35">
        <v>168</v>
      </c>
      <c r="O70" s="12"/>
      <c r="P70" s="10"/>
      <c r="Q70" s="12"/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105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105</v>
      </c>
      <c r="AE70" s="6" t="s">
        <v>105</v>
      </c>
      <c r="AF70" s="6" t="s">
        <v>105</v>
      </c>
      <c r="AG70" s="12" t="s">
        <v>390</v>
      </c>
      <c r="AH70" s="10"/>
      <c r="AI70" s="10"/>
      <c r="AJ70" s="4" t="s">
        <v>451</v>
      </c>
      <c r="AK70" s="5" t="s">
        <v>364</v>
      </c>
      <c r="AL70" s="5" t="s">
        <v>376</v>
      </c>
      <c r="AM70" s="11"/>
      <c r="AN70" s="11"/>
      <c r="AO70" s="33" t="s">
        <v>515</v>
      </c>
      <c r="AP70" s="37"/>
      <c r="AQ70" s="5" t="s">
        <v>77</v>
      </c>
      <c r="AR70" s="11" t="s">
        <v>386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7" t="s">
        <v>345</v>
      </c>
      <c r="N71" s="35">
        <v>228</v>
      </c>
      <c r="O71" s="12"/>
      <c r="P71" s="10"/>
      <c r="Q71" s="12"/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105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105</v>
      </c>
      <c r="AE71" s="6" t="s">
        <v>105</v>
      </c>
      <c r="AF71" s="6" t="s">
        <v>105</v>
      </c>
      <c r="AG71" s="12" t="s">
        <v>390</v>
      </c>
      <c r="AH71" s="10"/>
      <c r="AI71" s="10"/>
      <c r="AJ71" s="4" t="s">
        <v>451</v>
      </c>
      <c r="AK71" s="5" t="s">
        <v>364</v>
      </c>
      <c r="AL71" s="5" t="s">
        <v>376</v>
      </c>
      <c r="AM71" s="11"/>
      <c r="AN71" s="11"/>
      <c r="AO71" s="33" t="s">
        <v>516</v>
      </c>
      <c r="AP71" s="37"/>
      <c r="AQ71" s="5" t="s">
        <v>77</v>
      </c>
      <c r="AR71" s="11" t="s">
        <v>386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7" t="s">
        <v>346</v>
      </c>
      <c r="N72" s="35">
        <v>133</v>
      </c>
      <c r="O72" s="12"/>
      <c r="P72" s="10"/>
      <c r="Q72" s="12"/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105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105</v>
      </c>
      <c r="AE72" s="6" t="s">
        <v>105</v>
      </c>
      <c r="AF72" s="6" t="s">
        <v>105</v>
      </c>
      <c r="AG72" s="12" t="s">
        <v>390</v>
      </c>
      <c r="AH72" s="10"/>
      <c r="AI72" s="10"/>
      <c r="AJ72" s="4" t="s">
        <v>451</v>
      </c>
      <c r="AK72" s="5" t="s">
        <v>364</v>
      </c>
      <c r="AL72" s="5" t="s">
        <v>376</v>
      </c>
      <c r="AM72" s="11"/>
      <c r="AN72" s="11"/>
      <c r="AO72" s="33" t="s">
        <v>517</v>
      </c>
      <c r="AP72" s="37"/>
      <c r="AQ72" s="5" t="s">
        <v>77</v>
      </c>
      <c r="AR72" s="11" t="s">
        <v>386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7" t="s">
        <v>347</v>
      </c>
      <c r="N73" s="35">
        <v>341</v>
      </c>
      <c r="O73" s="12"/>
      <c r="P73" s="10"/>
      <c r="Q73" s="12"/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105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105</v>
      </c>
      <c r="AE73" s="6" t="s">
        <v>105</v>
      </c>
      <c r="AF73" s="6" t="s">
        <v>105</v>
      </c>
      <c r="AG73" s="12" t="s">
        <v>390</v>
      </c>
      <c r="AH73" s="10"/>
      <c r="AI73" s="10"/>
      <c r="AJ73" s="4" t="s">
        <v>451</v>
      </c>
      <c r="AK73" s="5" t="s">
        <v>364</v>
      </c>
      <c r="AL73" s="5" t="s">
        <v>376</v>
      </c>
      <c r="AM73" s="11"/>
      <c r="AN73" s="11"/>
      <c r="AO73" s="33" t="s">
        <v>518</v>
      </c>
      <c r="AP73" s="37"/>
      <c r="AQ73" s="5" t="s">
        <v>77</v>
      </c>
      <c r="AR73" s="11" t="s">
        <v>386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7" t="s">
        <v>348</v>
      </c>
      <c r="N74" s="35">
        <v>444</v>
      </c>
      <c r="O74" s="12"/>
      <c r="P74" s="10"/>
      <c r="Q74" s="12"/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105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105</v>
      </c>
      <c r="AE74" s="6" t="s">
        <v>105</v>
      </c>
      <c r="AF74" s="6" t="s">
        <v>105</v>
      </c>
      <c r="AG74" s="12" t="s">
        <v>390</v>
      </c>
      <c r="AH74" s="10"/>
      <c r="AI74" s="10"/>
      <c r="AJ74" s="4" t="s">
        <v>451</v>
      </c>
      <c r="AK74" s="5" t="s">
        <v>364</v>
      </c>
      <c r="AL74" s="5" t="s">
        <v>376</v>
      </c>
      <c r="AM74" s="11"/>
      <c r="AN74" s="11"/>
      <c r="AO74" s="33" t="s">
        <v>519</v>
      </c>
      <c r="AP74" s="37"/>
      <c r="AQ74" s="5" t="s">
        <v>77</v>
      </c>
      <c r="AR74" s="11" t="s">
        <v>386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7" t="s">
        <v>349</v>
      </c>
      <c r="N75" s="35">
        <v>206</v>
      </c>
      <c r="O75" s="12"/>
      <c r="P75" s="10"/>
      <c r="Q75" s="12"/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105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105</v>
      </c>
      <c r="AE75" s="6" t="s">
        <v>105</v>
      </c>
      <c r="AF75" s="6" t="s">
        <v>105</v>
      </c>
      <c r="AG75" s="12" t="s">
        <v>390</v>
      </c>
      <c r="AH75" s="10"/>
      <c r="AI75" s="10"/>
      <c r="AJ75" s="4" t="s">
        <v>451</v>
      </c>
      <c r="AK75" s="5" t="s">
        <v>364</v>
      </c>
      <c r="AL75" s="5" t="s">
        <v>376</v>
      </c>
      <c r="AM75" s="11"/>
      <c r="AN75" s="11"/>
      <c r="AO75" s="33" t="s">
        <v>520</v>
      </c>
      <c r="AP75" s="37"/>
      <c r="AQ75" s="5" t="s">
        <v>77</v>
      </c>
      <c r="AR75" s="11" t="s">
        <v>386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7" t="s">
        <v>350</v>
      </c>
      <c r="N76" s="35">
        <v>231</v>
      </c>
      <c r="O76" s="12"/>
      <c r="P76" s="10"/>
      <c r="Q76" s="12"/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105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105</v>
      </c>
      <c r="AE76" s="6" t="s">
        <v>105</v>
      </c>
      <c r="AF76" s="6" t="s">
        <v>105</v>
      </c>
      <c r="AG76" s="12" t="s">
        <v>390</v>
      </c>
      <c r="AH76" s="10"/>
      <c r="AI76" s="10"/>
      <c r="AJ76" s="4" t="s">
        <v>451</v>
      </c>
      <c r="AK76" s="5" t="s">
        <v>364</v>
      </c>
      <c r="AL76" s="5" t="s">
        <v>376</v>
      </c>
      <c r="AM76" s="11"/>
      <c r="AN76" s="11"/>
      <c r="AO76" s="33" t="s">
        <v>521</v>
      </c>
      <c r="AP76" s="37"/>
      <c r="AQ76" s="5" t="s">
        <v>77</v>
      </c>
      <c r="AR76" s="11" t="s">
        <v>386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7" t="s">
        <v>351</v>
      </c>
      <c r="N77" s="35">
        <v>235</v>
      </c>
      <c r="O77" s="12"/>
      <c r="P77" s="10"/>
      <c r="Q77" s="12"/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105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105</v>
      </c>
      <c r="AE77" s="6" t="s">
        <v>105</v>
      </c>
      <c r="AF77" s="6" t="s">
        <v>105</v>
      </c>
      <c r="AG77" s="12" t="s">
        <v>390</v>
      </c>
      <c r="AH77" s="10"/>
      <c r="AI77" s="10"/>
      <c r="AJ77" s="4" t="s">
        <v>451</v>
      </c>
      <c r="AK77" s="5" t="s">
        <v>364</v>
      </c>
      <c r="AL77" s="5" t="s">
        <v>376</v>
      </c>
      <c r="AM77" s="11"/>
      <c r="AN77" s="11"/>
      <c r="AO77" s="33" t="s">
        <v>522</v>
      </c>
      <c r="AP77" s="37"/>
      <c r="AQ77" s="5" t="s">
        <v>77</v>
      </c>
      <c r="AR77" s="11" t="s">
        <v>386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7" t="s">
        <v>352</v>
      </c>
      <c r="N78" s="35">
        <v>333</v>
      </c>
      <c r="O78" s="12"/>
      <c r="P78" s="10"/>
      <c r="Q78" s="12"/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105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105</v>
      </c>
      <c r="AE78" s="6" t="s">
        <v>105</v>
      </c>
      <c r="AF78" s="6" t="s">
        <v>105</v>
      </c>
      <c r="AG78" s="12" t="s">
        <v>390</v>
      </c>
      <c r="AH78" s="10"/>
      <c r="AI78" s="10"/>
      <c r="AJ78" s="4" t="s">
        <v>451</v>
      </c>
      <c r="AK78" s="5" t="s">
        <v>364</v>
      </c>
      <c r="AL78" s="5" t="s">
        <v>376</v>
      </c>
      <c r="AM78" s="11"/>
      <c r="AN78" s="11"/>
      <c r="AO78" s="33" t="s">
        <v>523</v>
      </c>
      <c r="AP78" s="37"/>
      <c r="AQ78" s="5" t="s">
        <v>77</v>
      </c>
      <c r="AR78" s="11" t="s">
        <v>386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7" t="s">
        <v>353</v>
      </c>
      <c r="N79" s="35">
        <v>177</v>
      </c>
      <c r="O79" s="12"/>
      <c r="P79" s="10"/>
      <c r="Q79" s="12"/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105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105</v>
      </c>
      <c r="AE79" s="6" t="s">
        <v>105</v>
      </c>
      <c r="AF79" s="6" t="s">
        <v>105</v>
      </c>
      <c r="AG79" s="12" t="s">
        <v>390</v>
      </c>
      <c r="AH79" s="10"/>
      <c r="AI79" s="10"/>
      <c r="AJ79" s="4" t="s">
        <v>451</v>
      </c>
      <c r="AK79" s="5" t="s">
        <v>364</v>
      </c>
      <c r="AL79" s="5" t="s">
        <v>376</v>
      </c>
      <c r="AM79" s="11"/>
      <c r="AN79" s="11"/>
      <c r="AO79" s="33" t="s">
        <v>524</v>
      </c>
      <c r="AP79" s="37"/>
      <c r="AQ79" s="5" t="s">
        <v>77</v>
      </c>
      <c r="AR79" s="11" t="s">
        <v>386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7" t="s">
        <v>354</v>
      </c>
      <c r="N80" s="35">
        <v>99</v>
      </c>
      <c r="O80" s="12"/>
      <c r="P80" s="10"/>
      <c r="Q80" s="12"/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105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105</v>
      </c>
      <c r="AE80" s="6" t="s">
        <v>105</v>
      </c>
      <c r="AF80" s="6" t="s">
        <v>105</v>
      </c>
      <c r="AG80" s="12" t="s">
        <v>390</v>
      </c>
      <c r="AH80" s="10"/>
      <c r="AI80" s="10"/>
      <c r="AJ80" s="4" t="s">
        <v>451</v>
      </c>
      <c r="AK80" s="5" t="s">
        <v>364</v>
      </c>
      <c r="AL80" s="5" t="s">
        <v>376</v>
      </c>
      <c r="AM80" s="11"/>
      <c r="AN80" s="11"/>
      <c r="AO80" s="33" t="s">
        <v>525</v>
      </c>
      <c r="AP80" s="37"/>
      <c r="AQ80" s="5" t="s">
        <v>77</v>
      </c>
      <c r="AR80" s="11" t="s">
        <v>386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7" t="s">
        <v>355</v>
      </c>
      <c r="N81" s="35">
        <v>169</v>
      </c>
      <c r="O81" s="12"/>
      <c r="P81" s="10"/>
      <c r="Q81" s="12"/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105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105</v>
      </c>
      <c r="AE81" s="6" t="s">
        <v>105</v>
      </c>
      <c r="AF81" s="6" t="s">
        <v>105</v>
      </c>
      <c r="AG81" s="12" t="s">
        <v>390</v>
      </c>
      <c r="AH81" s="10"/>
      <c r="AI81" s="10"/>
      <c r="AJ81" s="4" t="s">
        <v>451</v>
      </c>
      <c r="AK81" s="5" t="s">
        <v>364</v>
      </c>
      <c r="AL81" s="5" t="s">
        <v>376</v>
      </c>
      <c r="AM81" s="11"/>
      <c r="AN81" s="11"/>
      <c r="AO81" s="33" t="s">
        <v>526</v>
      </c>
      <c r="AP81" s="37"/>
      <c r="AQ81" s="5" t="s">
        <v>77</v>
      </c>
      <c r="AR81" s="11" t="s">
        <v>386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7" t="s">
        <v>356</v>
      </c>
      <c r="N82" s="35">
        <v>196</v>
      </c>
      <c r="O82" s="12"/>
      <c r="P82" s="10"/>
      <c r="Q82" s="12"/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105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105</v>
      </c>
      <c r="AE82" s="6" t="s">
        <v>105</v>
      </c>
      <c r="AF82" s="6" t="s">
        <v>105</v>
      </c>
      <c r="AG82" s="12" t="s">
        <v>390</v>
      </c>
      <c r="AH82" s="10"/>
      <c r="AI82" s="10"/>
      <c r="AJ82" s="4" t="s">
        <v>451</v>
      </c>
      <c r="AK82" s="5" t="s">
        <v>364</v>
      </c>
      <c r="AL82" s="5" t="s">
        <v>376</v>
      </c>
      <c r="AM82" s="11"/>
      <c r="AN82" s="11"/>
      <c r="AO82" s="33" t="s">
        <v>527</v>
      </c>
      <c r="AP82" s="37"/>
      <c r="AQ82" s="5" t="s">
        <v>77</v>
      </c>
      <c r="AR82" s="11" t="s">
        <v>386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7" t="s">
        <v>357</v>
      </c>
      <c r="N83" s="35">
        <v>195</v>
      </c>
      <c r="O83" s="12"/>
      <c r="P83" s="10"/>
      <c r="Q83" s="12"/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105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105</v>
      </c>
      <c r="AE83" s="6" t="s">
        <v>105</v>
      </c>
      <c r="AF83" s="6" t="s">
        <v>105</v>
      </c>
      <c r="AG83" s="12" t="s">
        <v>390</v>
      </c>
      <c r="AH83" s="10"/>
      <c r="AI83" s="10"/>
      <c r="AJ83" s="4" t="s">
        <v>451</v>
      </c>
      <c r="AK83" s="5" t="s">
        <v>364</v>
      </c>
      <c r="AL83" s="5" t="s">
        <v>376</v>
      </c>
      <c r="AM83" s="11"/>
      <c r="AN83" s="11"/>
      <c r="AO83" s="33" t="s">
        <v>528</v>
      </c>
      <c r="AP83" s="37"/>
      <c r="AQ83" s="5" t="s">
        <v>77</v>
      </c>
      <c r="AR83" s="11" t="s">
        <v>386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7" t="s">
        <v>358</v>
      </c>
      <c r="N84" s="35">
        <v>181</v>
      </c>
      <c r="O84" s="12"/>
      <c r="P84" s="10"/>
      <c r="Q84" s="12"/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105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105</v>
      </c>
      <c r="AE84" s="6" t="s">
        <v>105</v>
      </c>
      <c r="AF84" s="6" t="s">
        <v>105</v>
      </c>
      <c r="AG84" s="12" t="s">
        <v>390</v>
      </c>
      <c r="AH84" s="10"/>
      <c r="AI84" s="10"/>
      <c r="AJ84" s="4" t="s">
        <v>451</v>
      </c>
      <c r="AK84" s="5" t="s">
        <v>364</v>
      </c>
      <c r="AL84" s="5" t="s">
        <v>376</v>
      </c>
      <c r="AM84" s="11"/>
      <c r="AN84" s="11"/>
      <c r="AO84" s="33" t="s">
        <v>529</v>
      </c>
      <c r="AP84" s="37"/>
      <c r="AQ84" s="5" t="s">
        <v>77</v>
      </c>
      <c r="AR84" s="11" t="s">
        <v>386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7" t="s">
        <v>359</v>
      </c>
      <c r="N85" s="35">
        <v>277</v>
      </c>
      <c r="O85" s="12"/>
      <c r="P85" s="10"/>
      <c r="Q85" s="12"/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105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105</v>
      </c>
      <c r="AE85" s="6" t="s">
        <v>105</v>
      </c>
      <c r="AF85" s="6" t="s">
        <v>105</v>
      </c>
      <c r="AG85" s="12" t="s">
        <v>390</v>
      </c>
      <c r="AH85" s="10"/>
      <c r="AI85" s="10"/>
      <c r="AJ85" s="4" t="s">
        <v>451</v>
      </c>
      <c r="AK85" s="5" t="s">
        <v>364</v>
      </c>
      <c r="AL85" s="5" t="s">
        <v>376</v>
      </c>
      <c r="AM85" s="11"/>
      <c r="AN85" s="11"/>
      <c r="AO85" s="33" t="s">
        <v>530</v>
      </c>
      <c r="AP85" s="37"/>
      <c r="AQ85" s="5" t="s">
        <v>77</v>
      </c>
      <c r="AR85" s="11" t="s">
        <v>386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7" t="s">
        <v>360</v>
      </c>
      <c r="N86" s="35">
        <v>142</v>
      </c>
      <c r="O86" s="12"/>
      <c r="P86" s="10"/>
      <c r="Q86" s="12"/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105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105</v>
      </c>
      <c r="AE86" s="6" t="s">
        <v>105</v>
      </c>
      <c r="AF86" s="6" t="s">
        <v>105</v>
      </c>
      <c r="AG86" s="12" t="s">
        <v>390</v>
      </c>
      <c r="AH86" s="10"/>
      <c r="AI86" s="10"/>
      <c r="AJ86" s="4" t="s">
        <v>451</v>
      </c>
      <c r="AK86" s="5" t="s">
        <v>364</v>
      </c>
      <c r="AL86" s="5" t="s">
        <v>376</v>
      </c>
      <c r="AM86" s="11"/>
      <c r="AN86" s="11"/>
      <c r="AO86" s="33" t="s">
        <v>531</v>
      </c>
      <c r="AP86" s="37"/>
      <c r="AQ86" s="5" t="s">
        <v>77</v>
      </c>
      <c r="AR86" s="11" t="s">
        <v>386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7" t="s">
        <v>361</v>
      </c>
      <c r="N87" s="35">
        <v>114</v>
      </c>
      <c r="O87" s="12"/>
      <c r="P87" s="10"/>
      <c r="Q87" s="12"/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105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105</v>
      </c>
      <c r="AE87" s="6" t="s">
        <v>105</v>
      </c>
      <c r="AF87" s="6" t="s">
        <v>105</v>
      </c>
      <c r="AG87" s="12" t="s">
        <v>390</v>
      </c>
      <c r="AH87" s="10"/>
      <c r="AI87" s="10"/>
      <c r="AJ87" s="4" t="s">
        <v>451</v>
      </c>
      <c r="AK87" s="5" t="s">
        <v>364</v>
      </c>
      <c r="AL87" s="5" t="s">
        <v>376</v>
      </c>
      <c r="AM87" s="11"/>
      <c r="AN87" s="11"/>
      <c r="AO87" s="33" t="s">
        <v>532</v>
      </c>
      <c r="AP87" s="37"/>
      <c r="AQ87" s="5" t="s">
        <v>77</v>
      </c>
      <c r="AR87" s="11" t="s">
        <v>386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7" t="s">
        <v>362</v>
      </c>
      <c r="N88" s="35">
        <v>167</v>
      </c>
      <c r="O88" s="12"/>
      <c r="P88" s="10"/>
      <c r="Q88" s="12"/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105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105</v>
      </c>
      <c r="AE88" s="6" t="s">
        <v>105</v>
      </c>
      <c r="AF88" s="6" t="s">
        <v>105</v>
      </c>
      <c r="AG88" s="12" t="s">
        <v>390</v>
      </c>
      <c r="AH88" s="10"/>
      <c r="AI88" s="10"/>
      <c r="AJ88" s="4" t="s">
        <v>451</v>
      </c>
      <c r="AK88" s="5" t="s">
        <v>364</v>
      </c>
      <c r="AL88" s="5" t="s">
        <v>376</v>
      </c>
      <c r="AM88" s="11"/>
      <c r="AN88" s="11"/>
      <c r="AO88" s="33" t="s">
        <v>533</v>
      </c>
      <c r="AP88" s="37"/>
      <c r="AQ88" s="5" t="s">
        <v>77</v>
      </c>
      <c r="AR88" s="11" t="s">
        <v>386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136</v>
      </c>
      <c r="E89" s="27">
        <v>92290</v>
      </c>
      <c r="F89" s="10" t="s">
        <v>96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37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363</v>
      </c>
      <c r="N89" s="35">
        <v>88</v>
      </c>
      <c r="O89" s="12"/>
      <c r="P89" s="10"/>
      <c r="Q89" s="12"/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105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105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105</v>
      </c>
      <c r="AE89" s="6" t="s">
        <v>105</v>
      </c>
      <c r="AF89" s="6" t="s">
        <v>105</v>
      </c>
      <c r="AG89" s="12" t="s">
        <v>390</v>
      </c>
      <c r="AH89" s="10"/>
      <c r="AI89" s="10"/>
      <c r="AJ89" s="4" t="s">
        <v>451</v>
      </c>
      <c r="AK89" s="5" t="s">
        <v>364</v>
      </c>
      <c r="AL89" s="5" t="s">
        <v>376</v>
      </c>
      <c r="AM89" s="11"/>
      <c r="AN89" s="11"/>
      <c r="AO89" s="33" t="s">
        <v>534</v>
      </c>
      <c r="AP89" s="37"/>
      <c r="AQ89" s="5" t="s">
        <v>77</v>
      </c>
      <c r="AR89" s="11" t="s">
        <v>386</v>
      </c>
      <c r="AS89" s="13" t="s">
        <v>38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39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6" t="s">
        <v>340</v>
      </c>
      <c r="N90" s="35">
        <v>372</v>
      </c>
      <c r="O90" s="6" t="s">
        <v>105</v>
      </c>
      <c r="P90" s="35" t="s">
        <v>105</v>
      </c>
      <c r="Q90" s="6" t="s">
        <v>105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105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105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105</v>
      </c>
      <c r="AE90" s="6" t="s">
        <v>105</v>
      </c>
      <c r="AF90" s="6" t="s">
        <v>105</v>
      </c>
      <c r="AG90" s="6" t="s">
        <v>390</v>
      </c>
      <c r="AH90" s="10" t="s">
        <v>77</v>
      </c>
      <c r="AI90" s="4" t="s">
        <v>378</v>
      </c>
      <c r="AJ90" s="4" t="s">
        <v>696</v>
      </c>
      <c r="AK90" s="5" t="s">
        <v>697</v>
      </c>
      <c r="AL90" s="5" t="s">
        <v>376</v>
      </c>
      <c r="AM90" s="5" t="s">
        <v>705</v>
      </c>
      <c r="AN90" s="5" t="s">
        <v>706</v>
      </c>
      <c r="AO90" s="33" t="s">
        <v>535</v>
      </c>
      <c r="AP90" s="36" t="s">
        <v>816</v>
      </c>
      <c r="AQ90" s="5" t="s">
        <v>77</v>
      </c>
      <c r="AR90" s="11" t="s">
        <v>415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39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7" t="s">
        <v>341</v>
      </c>
      <c r="N91" s="35">
        <v>106</v>
      </c>
      <c r="O91" s="6" t="s">
        <v>105</v>
      </c>
      <c r="P91" s="35" t="s">
        <v>105</v>
      </c>
      <c r="Q91" s="6" t="s">
        <v>105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105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105</v>
      </c>
      <c r="AE91" s="6" t="s">
        <v>105</v>
      </c>
      <c r="AF91" s="6" t="s">
        <v>105</v>
      </c>
      <c r="AG91" s="6" t="s">
        <v>390</v>
      </c>
      <c r="AH91" s="10" t="s">
        <v>54</v>
      </c>
      <c r="AI91" s="10" t="s">
        <v>377</v>
      </c>
      <c r="AJ91" s="4" t="s">
        <v>696</v>
      </c>
      <c r="AK91" s="5" t="s">
        <v>698</v>
      </c>
      <c r="AL91" s="5" t="s">
        <v>376</v>
      </c>
      <c r="AM91" s="11" t="s">
        <v>707</v>
      </c>
      <c r="AN91" s="11" t="s">
        <v>708</v>
      </c>
      <c r="AO91" s="33" t="s">
        <v>536</v>
      </c>
      <c r="AP91" s="36" t="s">
        <v>817</v>
      </c>
      <c r="AQ91" s="5" t="s">
        <v>77</v>
      </c>
      <c r="AR91" s="11" t="s">
        <v>416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39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7" t="s">
        <v>365</v>
      </c>
      <c r="N92" s="35">
        <v>108</v>
      </c>
      <c r="O92" s="6" t="s">
        <v>105</v>
      </c>
      <c r="P92" s="35" t="s">
        <v>105</v>
      </c>
      <c r="Q92" s="6" t="s">
        <v>105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105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105</v>
      </c>
      <c r="AE92" s="6" t="s">
        <v>105</v>
      </c>
      <c r="AF92" s="6" t="s">
        <v>105</v>
      </c>
      <c r="AG92" s="6" t="s">
        <v>390</v>
      </c>
      <c r="AH92" s="10" t="s">
        <v>54</v>
      </c>
      <c r="AI92" s="10" t="s">
        <v>377</v>
      </c>
      <c r="AJ92" s="4" t="s">
        <v>696</v>
      </c>
      <c r="AK92" s="5" t="s">
        <v>699</v>
      </c>
      <c r="AL92" s="5" t="s">
        <v>376</v>
      </c>
      <c r="AM92" s="11" t="s">
        <v>709</v>
      </c>
      <c r="AN92" s="11" t="s">
        <v>710</v>
      </c>
      <c r="AO92" s="33" t="s">
        <v>537</v>
      </c>
      <c r="AP92" s="36" t="s">
        <v>818</v>
      </c>
      <c r="AQ92" s="5" t="s">
        <v>77</v>
      </c>
      <c r="AR92" s="11" t="s">
        <v>417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39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7" t="s">
        <v>366</v>
      </c>
      <c r="N93" s="35">
        <v>424</v>
      </c>
      <c r="O93" s="6" t="s">
        <v>105</v>
      </c>
      <c r="P93" s="35" t="s">
        <v>105</v>
      </c>
      <c r="Q93" s="6" t="s">
        <v>105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105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105</v>
      </c>
      <c r="AE93" s="6" t="s">
        <v>105</v>
      </c>
      <c r="AF93" s="6" t="s">
        <v>105</v>
      </c>
      <c r="AG93" s="6" t="s">
        <v>390</v>
      </c>
      <c r="AH93" s="10" t="s">
        <v>54</v>
      </c>
      <c r="AI93" s="10" t="s">
        <v>377</v>
      </c>
      <c r="AJ93" s="4" t="s">
        <v>696</v>
      </c>
      <c r="AK93" s="5" t="s">
        <v>700</v>
      </c>
      <c r="AL93" s="5" t="s">
        <v>376</v>
      </c>
      <c r="AM93" s="11" t="s">
        <v>707</v>
      </c>
      <c r="AN93" s="11" t="s">
        <v>711</v>
      </c>
      <c r="AO93" s="33" t="s">
        <v>538</v>
      </c>
      <c r="AP93" s="37" t="s">
        <v>819</v>
      </c>
      <c r="AQ93" s="5" t="s">
        <v>77</v>
      </c>
      <c r="AR93" s="11" t="s">
        <v>418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39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7" t="s">
        <v>367</v>
      </c>
      <c r="N94" s="35">
        <v>258</v>
      </c>
      <c r="O94" s="6" t="s">
        <v>105</v>
      </c>
      <c r="P94" s="35" t="s">
        <v>105</v>
      </c>
      <c r="Q94" s="6" t="s">
        <v>105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105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105</v>
      </c>
      <c r="AE94" s="6" t="s">
        <v>105</v>
      </c>
      <c r="AF94" s="6" t="s">
        <v>105</v>
      </c>
      <c r="AG94" s="6" t="s">
        <v>390</v>
      </c>
      <c r="AH94" s="10" t="s">
        <v>54</v>
      </c>
      <c r="AI94" s="10" t="s">
        <v>377</v>
      </c>
      <c r="AJ94" s="4" t="s">
        <v>696</v>
      </c>
      <c r="AK94" s="5" t="s">
        <v>701</v>
      </c>
      <c r="AL94" s="5" t="s">
        <v>376</v>
      </c>
      <c r="AM94" s="11" t="s">
        <v>712</v>
      </c>
      <c r="AN94" s="11" t="s">
        <v>713</v>
      </c>
      <c r="AO94" s="33" t="s">
        <v>539</v>
      </c>
      <c r="AP94" s="37" t="s">
        <v>820</v>
      </c>
      <c r="AQ94" s="5" t="s">
        <v>77</v>
      </c>
      <c r="AR94" s="11" t="s">
        <v>419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39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7" t="s">
        <v>368</v>
      </c>
      <c r="N95" s="35">
        <v>152</v>
      </c>
      <c r="O95" s="6" t="s">
        <v>105</v>
      </c>
      <c r="P95" s="35" t="s">
        <v>105</v>
      </c>
      <c r="Q95" s="6" t="s">
        <v>105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105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105</v>
      </c>
      <c r="AE95" s="6" t="s">
        <v>105</v>
      </c>
      <c r="AF95" s="6" t="s">
        <v>105</v>
      </c>
      <c r="AG95" s="6" t="s">
        <v>390</v>
      </c>
      <c r="AH95" s="10" t="s">
        <v>54</v>
      </c>
      <c r="AI95" s="10" t="s">
        <v>377</v>
      </c>
      <c r="AJ95" s="4" t="s">
        <v>696</v>
      </c>
      <c r="AK95" s="5" t="s">
        <v>702</v>
      </c>
      <c r="AL95" s="5" t="s">
        <v>376</v>
      </c>
      <c r="AM95" s="11" t="s">
        <v>714</v>
      </c>
      <c r="AN95" s="11" t="s">
        <v>715</v>
      </c>
      <c r="AO95" s="33" t="s">
        <v>540</v>
      </c>
      <c r="AP95" s="37" t="s">
        <v>821</v>
      </c>
      <c r="AQ95" s="5" t="s">
        <v>77</v>
      </c>
      <c r="AR95" s="11" t="s">
        <v>420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137</v>
      </c>
      <c r="E96" s="27">
        <v>92410</v>
      </c>
      <c r="F96" s="39" t="s">
        <v>97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369</v>
      </c>
      <c r="N96" s="35">
        <v>105</v>
      </c>
      <c r="O96" s="6" t="s">
        <v>105</v>
      </c>
      <c r="P96" s="35" t="s">
        <v>105</v>
      </c>
      <c r="Q96" s="6" t="s">
        <v>105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105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105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105</v>
      </c>
      <c r="AE96" s="6" t="s">
        <v>105</v>
      </c>
      <c r="AF96" s="6" t="s">
        <v>105</v>
      </c>
      <c r="AG96" s="6" t="s">
        <v>390</v>
      </c>
      <c r="AH96" s="10" t="s">
        <v>54</v>
      </c>
      <c r="AI96" s="10" t="s">
        <v>377</v>
      </c>
      <c r="AJ96" s="4" t="s">
        <v>696</v>
      </c>
      <c r="AK96" s="5" t="s">
        <v>703</v>
      </c>
      <c r="AL96" s="5" t="s">
        <v>376</v>
      </c>
      <c r="AM96" s="11" t="s">
        <v>716</v>
      </c>
      <c r="AN96" s="11" t="s">
        <v>717</v>
      </c>
      <c r="AO96" s="33" t="s">
        <v>541</v>
      </c>
      <c r="AP96" s="37" t="s">
        <v>822</v>
      </c>
      <c r="AQ96" s="5" t="s">
        <v>77</v>
      </c>
      <c r="AR96" s="11" t="s">
        <v>421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694</v>
      </c>
      <c r="E97" s="27">
        <v>92411</v>
      </c>
      <c r="F97" s="39" t="s">
        <v>97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46</v>
      </c>
      <c r="J97" s="6" t="s">
        <v>45</v>
      </c>
      <c r="K97" s="12" t="s">
        <v>105</v>
      </c>
      <c r="L97" s="12" t="s">
        <v>105</v>
      </c>
      <c r="M97" s="37" t="s">
        <v>695</v>
      </c>
      <c r="N97" s="35">
        <v>547</v>
      </c>
      <c r="O97" s="6" t="s">
        <v>105</v>
      </c>
      <c r="P97" s="35" t="s">
        <v>105</v>
      </c>
      <c r="Q97" s="6" t="s">
        <v>105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105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105</v>
      </c>
      <c r="AE97" s="6" t="s">
        <v>105</v>
      </c>
      <c r="AF97" s="6" t="s">
        <v>105</v>
      </c>
      <c r="AG97" s="6" t="s">
        <v>390</v>
      </c>
      <c r="AH97" s="10" t="s">
        <v>54</v>
      </c>
      <c r="AI97" s="10" t="s">
        <v>377</v>
      </c>
      <c r="AJ97" s="4" t="s">
        <v>696</v>
      </c>
      <c r="AK97" s="5" t="s">
        <v>704</v>
      </c>
      <c r="AL97" s="5" t="s">
        <v>376</v>
      </c>
      <c r="AM97" s="11" t="s">
        <v>718</v>
      </c>
      <c r="AN97" s="11" t="s">
        <v>719</v>
      </c>
      <c r="AO97" s="33" t="s">
        <v>720</v>
      </c>
      <c r="AP97" s="37" t="s">
        <v>823</v>
      </c>
      <c r="AQ97" s="5" t="s">
        <v>77</v>
      </c>
      <c r="AR97" s="11" t="s">
        <v>721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39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437</v>
      </c>
      <c r="I98" s="6" t="s">
        <v>46</v>
      </c>
      <c r="J98" s="6" t="s">
        <v>45</v>
      </c>
      <c r="K98" s="12" t="s">
        <v>105</v>
      </c>
      <c r="L98" s="12" t="s">
        <v>105</v>
      </c>
      <c r="M98" s="36" t="s">
        <v>422</v>
      </c>
      <c r="N98" s="35">
        <v>286</v>
      </c>
      <c r="O98" s="6" t="s">
        <v>105</v>
      </c>
      <c r="P98" s="35" t="s">
        <v>105</v>
      </c>
      <c r="Q98" s="6" t="s">
        <v>105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105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105</v>
      </c>
      <c r="AA98" s="6">
        <f>IFERROR(Tableau1[[#This Row],[Marketing €/m²]]*Tableau1[[#This Row],[Surface GLA]],)</f>
        <v>0</v>
      </c>
      <c r="AB98" s="6" t="s">
        <v>105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105</v>
      </c>
      <c r="AE98" s="6" t="s">
        <v>105</v>
      </c>
      <c r="AF98" s="6" t="s">
        <v>105</v>
      </c>
      <c r="AG98" s="6" t="s">
        <v>390</v>
      </c>
      <c r="AH98" s="10" t="s">
        <v>385</v>
      </c>
      <c r="AI98" s="4" t="s">
        <v>378</v>
      </c>
      <c r="AJ98" s="4" t="s">
        <v>431</v>
      </c>
      <c r="AK98" s="5" t="s">
        <v>430</v>
      </c>
      <c r="AL98" s="5" t="s">
        <v>376</v>
      </c>
      <c r="AM98" s="5" t="s">
        <v>724</v>
      </c>
      <c r="AN98" s="5" t="s">
        <v>725</v>
      </c>
      <c r="AO98" s="33" t="s">
        <v>542</v>
      </c>
      <c r="AP98" s="36" t="s">
        <v>824</v>
      </c>
      <c r="AQ98" s="5" t="s">
        <v>77</v>
      </c>
      <c r="AR98" s="11" t="s">
        <v>427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39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435</v>
      </c>
      <c r="I99" s="6" t="s">
        <v>46</v>
      </c>
      <c r="J99" s="6" t="s">
        <v>45</v>
      </c>
      <c r="K99" s="12" t="s">
        <v>105</v>
      </c>
      <c r="L99" s="12" t="s">
        <v>105</v>
      </c>
      <c r="M99" s="37" t="s">
        <v>424</v>
      </c>
      <c r="N99" s="35">
        <v>84</v>
      </c>
      <c r="O99" s="6" t="s">
        <v>105</v>
      </c>
      <c r="P99" s="35" t="s">
        <v>105</v>
      </c>
      <c r="Q99" s="6" t="s">
        <v>105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105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105</v>
      </c>
      <c r="AE99" s="6" t="s">
        <v>105</v>
      </c>
      <c r="AF99" s="6" t="s">
        <v>105</v>
      </c>
      <c r="AG99" s="6" t="s">
        <v>390</v>
      </c>
      <c r="AH99" s="10" t="s">
        <v>385</v>
      </c>
      <c r="AI99" s="4" t="s">
        <v>378</v>
      </c>
      <c r="AJ99" s="4" t="s">
        <v>431</v>
      </c>
      <c r="AK99" s="5" t="s">
        <v>430</v>
      </c>
      <c r="AL99" s="5" t="s">
        <v>376</v>
      </c>
      <c r="AM99" s="11" t="s">
        <v>726</v>
      </c>
      <c r="AN99" s="11" t="s">
        <v>727</v>
      </c>
      <c r="AO99" s="33" t="s">
        <v>543</v>
      </c>
      <c r="AP99" s="36" t="s">
        <v>825</v>
      </c>
      <c r="AQ99" s="5" t="s">
        <v>77</v>
      </c>
      <c r="AR99" s="11" t="s">
        <v>428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39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433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7" t="s">
        <v>423</v>
      </c>
      <c r="N100" s="35">
        <v>272</v>
      </c>
      <c r="O100" s="6" t="s">
        <v>105</v>
      </c>
      <c r="P100" s="35" t="s">
        <v>105</v>
      </c>
      <c r="Q100" s="6" t="s">
        <v>105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105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105</v>
      </c>
      <c r="AE100" s="6" t="s">
        <v>105</v>
      </c>
      <c r="AF100" s="6" t="s">
        <v>105</v>
      </c>
      <c r="AG100" s="6" t="s">
        <v>390</v>
      </c>
      <c r="AH100" s="10" t="s">
        <v>385</v>
      </c>
      <c r="AI100" s="4" t="s">
        <v>378</v>
      </c>
      <c r="AJ100" s="4" t="s">
        <v>431</v>
      </c>
      <c r="AK100" s="5" t="s">
        <v>432</v>
      </c>
      <c r="AL100" s="5" t="s">
        <v>376</v>
      </c>
      <c r="AM100" s="11" t="s">
        <v>722</v>
      </c>
      <c r="AN100" s="11" t="s">
        <v>723</v>
      </c>
      <c r="AO100" s="33" t="s">
        <v>544</v>
      </c>
      <c r="AP100" s="36" t="s">
        <v>826</v>
      </c>
      <c r="AQ100" s="5" t="s">
        <v>77</v>
      </c>
      <c r="AR100" s="11" t="s">
        <v>429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120</v>
      </c>
      <c r="E101" s="27">
        <v>95000</v>
      </c>
      <c r="F101" s="39" t="s">
        <v>99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434</v>
      </c>
      <c r="I101" s="6" t="s">
        <v>46</v>
      </c>
      <c r="J101" s="6" t="s">
        <v>45</v>
      </c>
      <c r="K101" s="12" t="s">
        <v>105</v>
      </c>
      <c r="L101" s="12" t="s">
        <v>105</v>
      </c>
      <c r="M101" s="37" t="s">
        <v>425</v>
      </c>
      <c r="N101" s="35">
        <v>162</v>
      </c>
      <c r="O101" s="6" t="s">
        <v>105</v>
      </c>
      <c r="P101" s="35" t="s">
        <v>105</v>
      </c>
      <c r="Q101" s="6" t="s">
        <v>105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105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105</v>
      </c>
      <c r="AA101" s="12">
        <f>IFERROR(Tableau1[[#This Row],[Marketing €/m²]]*Tableau1[[#This Row],[Surface GLA]],)</f>
        <v>0</v>
      </c>
      <c r="AB101" s="6" t="s">
        <v>105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105</v>
      </c>
      <c r="AE101" s="6" t="s">
        <v>105</v>
      </c>
      <c r="AF101" s="6" t="s">
        <v>105</v>
      </c>
      <c r="AG101" s="6" t="s">
        <v>390</v>
      </c>
      <c r="AH101" s="10" t="s">
        <v>385</v>
      </c>
      <c r="AI101" s="4" t="s">
        <v>378</v>
      </c>
      <c r="AJ101" s="4" t="s">
        <v>431</v>
      </c>
      <c r="AK101" s="5" t="s">
        <v>430</v>
      </c>
      <c r="AL101" s="5" t="s">
        <v>376</v>
      </c>
      <c r="AM101" s="11" t="s">
        <v>728</v>
      </c>
      <c r="AN101" s="11" t="s">
        <v>729</v>
      </c>
      <c r="AO101" s="33" t="s">
        <v>545</v>
      </c>
      <c r="AP101" s="36" t="s">
        <v>827</v>
      </c>
      <c r="AQ101" s="5" t="s">
        <v>77</v>
      </c>
      <c r="AR101" s="11" t="s">
        <v>427</v>
      </c>
      <c r="AS101" s="13" t="s">
        <v>38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120</v>
      </c>
      <c r="E102" s="27">
        <v>95000</v>
      </c>
      <c r="F102" s="39" t="s">
        <v>99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436</v>
      </c>
      <c r="I102" s="6" t="s">
        <v>46</v>
      </c>
      <c r="J102" s="6" t="s">
        <v>45</v>
      </c>
      <c r="K102" s="12" t="s">
        <v>105</v>
      </c>
      <c r="L102" s="12" t="s">
        <v>105</v>
      </c>
      <c r="M102" s="37" t="s">
        <v>426</v>
      </c>
      <c r="N102" s="35">
        <v>271</v>
      </c>
      <c r="O102" s="6" t="s">
        <v>105</v>
      </c>
      <c r="P102" s="35" t="s">
        <v>105</v>
      </c>
      <c r="Q102" s="6" t="s">
        <v>105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105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105</v>
      </c>
      <c r="AE102" s="6" t="s">
        <v>105</v>
      </c>
      <c r="AF102" s="6" t="s">
        <v>105</v>
      </c>
      <c r="AG102" s="6" t="s">
        <v>390</v>
      </c>
      <c r="AH102" s="10" t="s">
        <v>385</v>
      </c>
      <c r="AI102" s="4" t="s">
        <v>378</v>
      </c>
      <c r="AJ102" s="4" t="s">
        <v>431</v>
      </c>
      <c r="AK102" s="5" t="s">
        <v>430</v>
      </c>
      <c r="AL102" s="5" t="s">
        <v>376</v>
      </c>
      <c r="AM102" s="11" t="s">
        <v>730</v>
      </c>
      <c r="AN102" s="11" t="s">
        <v>731</v>
      </c>
      <c r="AO102" s="33" t="s">
        <v>546</v>
      </c>
      <c r="AP102" s="36" t="s">
        <v>828</v>
      </c>
      <c r="AQ102" s="5" t="s">
        <v>77</v>
      </c>
      <c r="AR102" s="11" t="s">
        <v>427</v>
      </c>
      <c r="AS102" s="13" t="s">
        <v>38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138</v>
      </c>
      <c r="E103" s="26">
        <v>34470</v>
      </c>
      <c r="F103" s="39" t="s">
        <v>100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6" t="s">
        <v>48</v>
      </c>
      <c r="J103" s="6" t="s">
        <v>52</v>
      </c>
      <c r="K103" s="12" t="s">
        <v>105</v>
      </c>
      <c r="L103" s="12" t="s">
        <v>105</v>
      </c>
      <c r="M103" s="36" t="s">
        <v>438</v>
      </c>
      <c r="N103" s="35">
        <v>144</v>
      </c>
      <c r="O103" s="6" t="s">
        <v>105</v>
      </c>
      <c r="P103" s="35" t="s">
        <v>105</v>
      </c>
      <c r="Q103" s="6" t="s">
        <v>105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105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6">
        <f>IFERROR(Tableau1[[#This Row],[Marketing €/m²]]*Tableau1[[#This Row],[Surface GLA]],)</f>
        <v>0</v>
      </c>
      <c r="AB103" s="6" t="s">
        <v>105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105</v>
      </c>
      <c r="AE103" s="6" t="s">
        <v>105</v>
      </c>
      <c r="AF103" s="6" t="s">
        <v>105</v>
      </c>
      <c r="AG103" s="6" t="s">
        <v>371</v>
      </c>
      <c r="AH103" s="10" t="s">
        <v>385</v>
      </c>
      <c r="AI103" s="10" t="s">
        <v>378</v>
      </c>
      <c r="AJ103" s="4" t="s">
        <v>448</v>
      </c>
      <c r="AK103" s="11" t="s">
        <v>449</v>
      </c>
      <c r="AL103" s="5" t="s">
        <v>376</v>
      </c>
      <c r="AM103" s="11" t="s">
        <v>732</v>
      </c>
      <c r="AN103" s="11" t="s">
        <v>733</v>
      </c>
      <c r="AO103" s="33" t="s">
        <v>547</v>
      </c>
      <c r="AP103" s="36" t="s">
        <v>829</v>
      </c>
      <c r="AQ103" s="5" t="s">
        <v>77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40" t="str">
        <f>VLOOKUP(Tableau1[[#This Row],[N° Département]],Feuil1!$C$6:$E$106,3)</f>
        <v>Occitanie</v>
      </c>
      <c r="B104" s="40" t="str">
        <f>VLOOKUP(Tableau1[[#This Row],[N° Département]],Feuil1!$C$6:$E$106,2)</f>
        <v>Hérault</v>
      </c>
      <c r="C104" s="40">
        <f>LEFT(Tableau1[[#This Row],[Code Postal]],2)*1</f>
        <v>34</v>
      </c>
      <c r="D104" s="10" t="s">
        <v>138</v>
      </c>
      <c r="E104" s="10">
        <v>34470</v>
      </c>
      <c r="F104" s="39" t="s">
        <v>100</v>
      </c>
      <c r="G104" s="40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7" t="s">
        <v>439</v>
      </c>
      <c r="N104" s="35">
        <v>133</v>
      </c>
      <c r="O104" s="6" t="s">
        <v>105</v>
      </c>
      <c r="P104" s="35" t="s">
        <v>105</v>
      </c>
      <c r="Q104" s="6" t="s">
        <v>105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105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105</v>
      </c>
      <c r="AE104" s="6" t="s">
        <v>105</v>
      </c>
      <c r="AF104" s="6" t="s">
        <v>105</v>
      </c>
      <c r="AG104" s="6" t="s">
        <v>371</v>
      </c>
      <c r="AH104" s="10" t="s">
        <v>54</v>
      </c>
      <c r="AI104" s="10" t="s">
        <v>377</v>
      </c>
      <c r="AJ104" s="4" t="s">
        <v>448</v>
      </c>
      <c r="AK104" s="11" t="s">
        <v>449</v>
      </c>
      <c r="AL104" s="5" t="s">
        <v>376</v>
      </c>
      <c r="AM104" s="11" t="s">
        <v>734</v>
      </c>
      <c r="AN104" s="11" t="s">
        <v>735</v>
      </c>
      <c r="AO104" s="33" t="s">
        <v>548</v>
      </c>
      <c r="AP104" s="36" t="s">
        <v>829</v>
      </c>
      <c r="AQ104" s="5" t="s">
        <v>77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40" t="str">
        <f>VLOOKUP(Tableau1[[#This Row],[N° Département]],Feuil1!$C$6:$E$106,3)</f>
        <v>Occitanie</v>
      </c>
      <c r="B105" s="40" t="str">
        <f>VLOOKUP(Tableau1[[#This Row],[N° Département]],Feuil1!$C$6:$E$106,2)</f>
        <v>Hérault</v>
      </c>
      <c r="C105" s="40">
        <f>LEFT(Tableau1[[#This Row],[Code Postal]],2)*1</f>
        <v>34</v>
      </c>
      <c r="D105" s="10" t="s">
        <v>138</v>
      </c>
      <c r="E105" s="10">
        <v>34470</v>
      </c>
      <c r="F105" s="39" t="s">
        <v>100</v>
      </c>
      <c r="G105" s="40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7" t="s">
        <v>440</v>
      </c>
      <c r="N105" s="35">
        <v>114</v>
      </c>
      <c r="O105" s="6" t="s">
        <v>105</v>
      </c>
      <c r="P105" s="35" t="s">
        <v>105</v>
      </c>
      <c r="Q105" s="6" t="s">
        <v>105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105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105</v>
      </c>
      <c r="AE105" s="6" t="s">
        <v>105</v>
      </c>
      <c r="AF105" s="6" t="s">
        <v>105</v>
      </c>
      <c r="AG105" s="6" t="s">
        <v>371</v>
      </c>
      <c r="AH105" s="10" t="s">
        <v>54</v>
      </c>
      <c r="AI105" s="10" t="s">
        <v>377</v>
      </c>
      <c r="AJ105" s="4" t="s">
        <v>448</v>
      </c>
      <c r="AK105" s="11" t="s">
        <v>449</v>
      </c>
      <c r="AL105" s="5" t="s">
        <v>376</v>
      </c>
      <c r="AM105" s="11" t="s">
        <v>736</v>
      </c>
      <c r="AN105" s="11" t="s">
        <v>737</v>
      </c>
      <c r="AO105" s="33" t="s">
        <v>549</v>
      </c>
      <c r="AP105" s="36" t="s">
        <v>829</v>
      </c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0" t="str">
        <f>VLOOKUP(Tableau1[[#This Row],[N° Département]],Feuil1!$C$6:$E$106,3)</f>
        <v>Occitanie</v>
      </c>
      <c r="B106" s="40" t="str">
        <f>VLOOKUP(Tableau1[[#This Row],[N° Département]],Feuil1!$C$6:$E$106,2)</f>
        <v>Hérault</v>
      </c>
      <c r="C106" s="40">
        <f>LEFT(Tableau1[[#This Row],[Code Postal]],2)*1</f>
        <v>34</v>
      </c>
      <c r="D106" s="10" t="s">
        <v>138</v>
      </c>
      <c r="E106" s="10">
        <v>34470</v>
      </c>
      <c r="F106" s="39" t="s">
        <v>100</v>
      </c>
      <c r="G106" s="40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7"/>
      <c r="N106" s="35">
        <v>36</v>
      </c>
      <c r="O106" s="6" t="s">
        <v>105</v>
      </c>
      <c r="P106" s="35" t="s">
        <v>105</v>
      </c>
      <c r="Q106" s="6" t="s">
        <v>105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105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105</v>
      </c>
      <c r="AE106" s="6" t="s">
        <v>105</v>
      </c>
      <c r="AF106" s="6" t="s">
        <v>105</v>
      </c>
      <c r="AG106" s="6" t="s">
        <v>371</v>
      </c>
      <c r="AH106" s="10" t="s">
        <v>54</v>
      </c>
      <c r="AI106" s="10" t="s">
        <v>377</v>
      </c>
      <c r="AJ106" s="4" t="s">
        <v>448</v>
      </c>
      <c r="AK106" s="11" t="s">
        <v>449</v>
      </c>
      <c r="AL106" s="5" t="s">
        <v>376</v>
      </c>
      <c r="AM106" s="11" t="s">
        <v>738</v>
      </c>
      <c r="AN106" s="11" t="s">
        <v>739</v>
      </c>
      <c r="AO106" s="33" t="s">
        <v>550</v>
      </c>
      <c r="AP106" s="36" t="s">
        <v>829</v>
      </c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0" t="str">
        <f>VLOOKUP(Tableau1[[#This Row],[N° Département]],Feuil1!$C$6:$E$106,3)</f>
        <v>Occitanie</v>
      </c>
      <c r="B107" s="40" t="str">
        <f>VLOOKUP(Tableau1[[#This Row],[N° Département]],Feuil1!$C$6:$E$106,2)</f>
        <v>Hérault</v>
      </c>
      <c r="C107" s="40">
        <f>LEFT(Tableau1[[#This Row],[Code Postal]],2)*1</f>
        <v>34</v>
      </c>
      <c r="D107" s="10" t="s">
        <v>138</v>
      </c>
      <c r="E107" s="10">
        <v>34470</v>
      </c>
      <c r="F107" s="39" t="s">
        <v>100</v>
      </c>
      <c r="G107" s="40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7" t="s">
        <v>441</v>
      </c>
      <c r="N107" s="35">
        <v>60</v>
      </c>
      <c r="O107" s="6" t="s">
        <v>105</v>
      </c>
      <c r="P107" s="35" t="s">
        <v>105</v>
      </c>
      <c r="Q107" s="6" t="s">
        <v>105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105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105</v>
      </c>
      <c r="AE107" s="6" t="s">
        <v>105</v>
      </c>
      <c r="AF107" s="6" t="s">
        <v>105</v>
      </c>
      <c r="AG107" s="6" t="s">
        <v>371</v>
      </c>
      <c r="AH107" s="10" t="s">
        <v>54</v>
      </c>
      <c r="AI107" s="10" t="s">
        <v>377</v>
      </c>
      <c r="AJ107" s="4" t="s">
        <v>448</v>
      </c>
      <c r="AK107" s="11" t="s">
        <v>449</v>
      </c>
      <c r="AL107" s="5" t="s">
        <v>376</v>
      </c>
      <c r="AM107" s="11" t="s">
        <v>740</v>
      </c>
      <c r="AN107" s="11" t="s">
        <v>741</v>
      </c>
      <c r="AO107" s="33" t="s">
        <v>551</v>
      </c>
      <c r="AP107" s="36" t="s">
        <v>829</v>
      </c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0" t="str">
        <f>VLOOKUP(Tableau1[[#This Row],[N° Département]],Feuil1!$C$6:$E$106,3)</f>
        <v>Occitanie</v>
      </c>
      <c r="B108" s="40" t="str">
        <f>VLOOKUP(Tableau1[[#This Row],[N° Département]],Feuil1!$C$6:$E$106,2)</f>
        <v>Hérault</v>
      </c>
      <c r="C108" s="40">
        <f>LEFT(Tableau1[[#This Row],[Code Postal]],2)*1</f>
        <v>34</v>
      </c>
      <c r="D108" s="10" t="s">
        <v>138</v>
      </c>
      <c r="E108" s="10">
        <v>34470</v>
      </c>
      <c r="F108" s="39" t="s">
        <v>100</v>
      </c>
      <c r="G108" s="40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7" t="s">
        <v>442</v>
      </c>
      <c r="N108" s="35">
        <v>60</v>
      </c>
      <c r="O108" s="6" t="s">
        <v>105</v>
      </c>
      <c r="P108" s="35" t="s">
        <v>105</v>
      </c>
      <c r="Q108" s="6" t="s">
        <v>105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105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105</v>
      </c>
      <c r="AE108" s="6" t="s">
        <v>105</v>
      </c>
      <c r="AF108" s="6" t="s">
        <v>105</v>
      </c>
      <c r="AG108" s="6" t="s">
        <v>371</v>
      </c>
      <c r="AH108" s="10" t="s">
        <v>54</v>
      </c>
      <c r="AI108" s="10" t="s">
        <v>377</v>
      </c>
      <c r="AJ108" s="4" t="s">
        <v>448</v>
      </c>
      <c r="AK108" s="11" t="s">
        <v>449</v>
      </c>
      <c r="AL108" s="5" t="s">
        <v>376</v>
      </c>
      <c r="AM108" s="11" t="s">
        <v>742</v>
      </c>
      <c r="AN108" s="11" t="s">
        <v>743</v>
      </c>
      <c r="AO108" s="33" t="s">
        <v>552</v>
      </c>
      <c r="AP108" s="36" t="s">
        <v>829</v>
      </c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0" t="str">
        <f>VLOOKUP(Tableau1[[#This Row],[N° Département]],Feuil1!$C$6:$E$106,3)</f>
        <v>Occitanie</v>
      </c>
      <c r="B109" s="40" t="str">
        <f>VLOOKUP(Tableau1[[#This Row],[N° Département]],Feuil1!$C$6:$E$106,2)</f>
        <v>Hérault</v>
      </c>
      <c r="C109" s="40">
        <f>LEFT(Tableau1[[#This Row],[Code Postal]],2)*1</f>
        <v>34</v>
      </c>
      <c r="D109" s="10" t="s">
        <v>138</v>
      </c>
      <c r="E109" s="10">
        <v>34470</v>
      </c>
      <c r="F109" s="39" t="s">
        <v>100</v>
      </c>
      <c r="G109" s="40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7" t="s">
        <v>443</v>
      </c>
      <c r="N109" s="35">
        <v>96</v>
      </c>
      <c r="O109" s="6" t="s">
        <v>105</v>
      </c>
      <c r="P109" s="35" t="s">
        <v>105</v>
      </c>
      <c r="Q109" s="6" t="s">
        <v>105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105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105</v>
      </c>
      <c r="AE109" s="6" t="s">
        <v>105</v>
      </c>
      <c r="AF109" s="6" t="s">
        <v>105</v>
      </c>
      <c r="AG109" s="6" t="s">
        <v>371</v>
      </c>
      <c r="AH109" s="10" t="s">
        <v>54</v>
      </c>
      <c r="AI109" s="10" t="s">
        <v>377</v>
      </c>
      <c r="AJ109" s="4" t="s">
        <v>448</v>
      </c>
      <c r="AK109" s="11" t="s">
        <v>449</v>
      </c>
      <c r="AL109" s="5" t="s">
        <v>376</v>
      </c>
      <c r="AM109" s="11" t="s">
        <v>744</v>
      </c>
      <c r="AN109" s="11" t="s">
        <v>745</v>
      </c>
      <c r="AO109" s="33" t="s">
        <v>553</v>
      </c>
      <c r="AP109" s="36" t="s">
        <v>829</v>
      </c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0" t="str">
        <f>VLOOKUP(Tableau1[[#This Row],[N° Département]],Feuil1!$C$6:$E$106,3)</f>
        <v>Occitanie</v>
      </c>
      <c r="B110" s="40" t="str">
        <f>VLOOKUP(Tableau1[[#This Row],[N° Département]],Feuil1!$C$6:$E$106,2)</f>
        <v>Hérault</v>
      </c>
      <c r="C110" s="40">
        <f>LEFT(Tableau1[[#This Row],[Code Postal]],2)*1</f>
        <v>34</v>
      </c>
      <c r="D110" s="10" t="s">
        <v>138</v>
      </c>
      <c r="E110" s="10">
        <v>34470</v>
      </c>
      <c r="F110" s="39" t="s">
        <v>100</v>
      </c>
      <c r="G110" s="40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7" t="s">
        <v>340</v>
      </c>
      <c r="N110" s="35">
        <v>265</v>
      </c>
      <c r="O110" s="6" t="s">
        <v>105</v>
      </c>
      <c r="P110" s="35" t="s">
        <v>105</v>
      </c>
      <c r="Q110" s="6" t="s">
        <v>105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105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105</v>
      </c>
      <c r="AE110" s="6" t="s">
        <v>105</v>
      </c>
      <c r="AF110" s="6" t="s">
        <v>105</v>
      </c>
      <c r="AG110" s="6" t="s">
        <v>371</v>
      </c>
      <c r="AH110" s="10" t="s">
        <v>54</v>
      </c>
      <c r="AI110" s="10" t="s">
        <v>377</v>
      </c>
      <c r="AJ110" s="4" t="s">
        <v>448</v>
      </c>
      <c r="AK110" s="11" t="s">
        <v>449</v>
      </c>
      <c r="AL110" s="5" t="s">
        <v>376</v>
      </c>
      <c r="AM110" s="11" t="s">
        <v>746</v>
      </c>
      <c r="AN110" s="11" t="s">
        <v>747</v>
      </c>
      <c r="AO110" s="33" t="s">
        <v>554</v>
      </c>
      <c r="AP110" s="36" t="s">
        <v>829</v>
      </c>
      <c r="AQ110" s="5" t="s">
        <v>77</v>
      </c>
      <c r="AR110" s="11" t="s">
        <v>28</v>
      </c>
      <c r="AS110" s="7" t="s">
        <v>18</v>
      </c>
      <c r="AT110" s="14"/>
    </row>
    <row r="111" spans="1:56" ht="25.5">
      <c r="A111" s="40" t="str">
        <f>VLOOKUP(Tableau1[[#This Row],[N° Département]],Feuil1!$C$6:$E$106,3)</f>
        <v>Occitanie</v>
      </c>
      <c r="B111" s="40" t="str">
        <f>VLOOKUP(Tableau1[[#This Row],[N° Département]],Feuil1!$C$6:$E$106,2)</f>
        <v>Hérault</v>
      </c>
      <c r="C111" s="40">
        <f>LEFT(Tableau1[[#This Row],[Code Postal]],2)*1</f>
        <v>34</v>
      </c>
      <c r="D111" s="10" t="s">
        <v>138</v>
      </c>
      <c r="E111" s="10">
        <v>34470</v>
      </c>
      <c r="F111" s="39" t="s">
        <v>100</v>
      </c>
      <c r="G111" s="40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7" t="s">
        <v>341</v>
      </c>
      <c r="N111" s="35">
        <v>63</v>
      </c>
      <c r="O111" s="6" t="s">
        <v>105</v>
      </c>
      <c r="P111" s="35" t="s">
        <v>105</v>
      </c>
      <c r="Q111" s="6" t="s">
        <v>105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105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105</v>
      </c>
      <c r="AE111" s="6" t="s">
        <v>105</v>
      </c>
      <c r="AF111" s="6" t="s">
        <v>105</v>
      </c>
      <c r="AG111" s="6" t="s">
        <v>371</v>
      </c>
      <c r="AH111" s="10" t="s">
        <v>54</v>
      </c>
      <c r="AI111" s="10" t="s">
        <v>377</v>
      </c>
      <c r="AJ111" s="4" t="s">
        <v>448</v>
      </c>
      <c r="AK111" s="11" t="s">
        <v>449</v>
      </c>
      <c r="AL111" s="5" t="s">
        <v>376</v>
      </c>
      <c r="AM111" s="11" t="s">
        <v>748</v>
      </c>
      <c r="AN111" s="11" t="s">
        <v>749</v>
      </c>
      <c r="AO111" s="33" t="s">
        <v>555</v>
      </c>
      <c r="AP111" s="36" t="s">
        <v>829</v>
      </c>
      <c r="AQ111" s="5" t="s">
        <v>77</v>
      </c>
      <c r="AR111" s="11" t="s">
        <v>28</v>
      </c>
      <c r="AS111" s="7" t="s">
        <v>18</v>
      </c>
      <c r="AT111" s="14"/>
    </row>
    <row r="112" spans="1:56" ht="25.5">
      <c r="A112" s="40" t="str">
        <f>VLOOKUP(Tableau1[[#This Row],[N° Département]],Feuil1!$C$6:$E$106,3)</f>
        <v>Occitanie</v>
      </c>
      <c r="B112" s="40" t="str">
        <f>VLOOKUP(Tableau1[[#This Row],[N° Département]],Feuil1!$C$6:$E$106,2)</f>
        <v>Hérault</v>
      </c>
      <c r="C112" s="40">
        <f>LEFT(Tableau1[[#This Row],[Code Postal]],2)*1</f>
        <v>34</v>
      </c>
      <c r="D112" s="10" t="s">
        <v>138</v>
      </c>
      <c r="E112" s="10">
        <v>34470</v>
      </c>
      <c r="F112" s="39" t="s">
        <v>100</v>
      </c>
      <c r="G112" s="40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7" t="s">
        <v>367</v>
      </c>
      <c r="N112" s="35">
        <v>120</v>
      </c>
      <c r="O112" s="6" t="s">
        <v>105</v>
      </c>
      <c r="P112" s="35" t="s">
        <v>105</v>
      </c>
      <c r="Q112" s="6" t="s">
        <v>105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105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105</v>
      </c>
      <c r="AE112" s="6" t="s">
        <v>105</v>
      </c>
      <c r="AF112" s="6" t="s">
        <v>105</v>
      </c>
      <c r="AG112" s="6" t="s">
        <v>371</v>
      </c>
      <c r="AH112" s="10" t="s">
        <v>54</v>
      </c>
      <c r="AI112" s="10" t="s">
        <v>377</v>
      </c>
      <c r="AJ112" s="4" t="s">
        <v>448</v>
      </c>
      <c r="AK112" s="11" t="s">
        <v>449</v>
      </c>
      <c r="AL112" s="5" t="s">
        <v>376</v>
      </c>
      <c r="AM112" s="11" t="s">
        <v>750</v>
      </c>
      <c r="AN112" s="11" t="s">
        <v>751</v>
      </c>
      <c r="AO112" s="33" t="s">
        <v>556</v>
      </c>
      <c r="AP112" s="36" t="s">
        <v>829</v>
      </c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0" t="str">
        <f>VLOOKUP(Tableau1[[#This Row],[N° Département]],Feuil1!$C$6:$E$106,3)</f>
        <v>Occitanie</v>
      </c>
      <c r="B113" s="40" t="str">
        <f>VLOOKUP(Tableau1[[#This Row],[N° Département]],Feuil1!$C$6:$E$106,2)</f>
        <v>Hérault</v>
      </c>
      <c r="C113" s="40">
        <f>LEFT(Tableau1[[#This Row],[Code Postal]],2)*1</f>
        <v>34</v>
      </c>
      <c r="D113" s="10" t="s">
        <v>138</v>
      </c>
      <c r="E113" s="10">
        <v>34470</v>
      </c>
      <c r="F113" s="39" t="s">
        <v>100</v>
      </c>
      <c r="G113" s="40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7" t="s">
        <v>444</v>
      </c>
      <c r="N113" s="35">
        <v>176</v>
      </c>
      <c r="O113" s="6" t="s">
        <v>105</v>
      </c>
      <c r="P113" s="35" t="s">
        <v>105</v>
      </c>
      <c r="Q113" s="6" t="s">
        <v>105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105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105</v>
      </c>
      <c r="AE113" s="6" t="s">
        <v>105</v>
      </c>
      <c r="AF113" s="6" t="s">
        <v>105</v>
      </c>
      <c r="AG113" s="6" t="s">
        <v>371</v>
      </c>
      <c r="AH113" s="10" t="s">
        <v>54</v>
      </c>
      <c r="AI113" s="10" t="s">
        <v>377</v>
      </c>
      <c r="AJ113" s="4" t="s">
        <v>448</v>
      </c>
      <c r="AK113" s="11" t="s">
        <v>449</v>
      </c>
      <c r="AL113" s="5" t="s">
        <v>376</v>
      </c>
      <c r="AM113" s="11" t="s">
        <v>752</v>
      </c>
      <c r="AN113" s="11" t="s">
        <v>753</v>
      </c>
      <c r="AO113" s="33" t="s">
        <v>557</v>
      </c>
      <c r="AP113" s="36" t="s">
        <v>829</v>
      </c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0" t="str">
        <f>VLOOKUP(Tableau1[[#This Row],[N° Département]],Feuil1!$C$6:$E$106,3)</f>
        <v>Occitanie</v>
      </c>
      <c r="B114" s="40" t="str">
        <f>VLOOKUP(Tableau1[[#This Row],[N° Département]],Feuil1!$C$6:$E$106,2)</f>
        <v>Hérault</v>
      </c>
      <c r="C114" s="40">
        <f>LEFT(Tableau1[[#This Row],[Code Postal]],2)*1</f>
        <v>34</v>
      </c>
      <c r="D114" s="10" t="s">
        <v>138</v>
      </c>
      <c r="E114" s="10">
        <v>34470</v>
      </c>
      <c r="F114" s="39" t="s">
        <v>100</v>
      </c>
      <c r="G114" s="40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7" t="s">
        <v>445</v>
      </c>
      <c r="N114" s="35">
        <v>86</v>
      </c>
      <c r="O114" s="6" t="s">
        <v>105</v>
      </c>
      <c r="P114" s="35" t="s">
        <v>105</v>
      </c>
      <c r="Q114" s="6" t="s">
        <v>105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105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105</v>
      </c>
      <c r="AE114" s="6" t="s">
        <v>105</v>
      </c>
      <c r="AF114" s="6" t="s">
        <v>105</v>
      </c>
      <c r="AG114" s="6" t="s">
        <v>371</v>
      </c>
      <c r="AH114" s="10" t="s">
        <v>385</v>
      </c>
      <c r="AI114" s="10" t="s">
        <v>378</v>
      </c>
      <c r="AJ114" s="4" t="s">
        <v>448</v>
      </c>
      <c r="AK114" s="11" t="s">
        <v>449</v>
      </c>
      <c r="AL114" s="5" t="s">
        <v>376</v>
      </c>
      <c r="AM114" s="11" t="s">
        <v>754</v>
      </c>
      <c r="AN114" s="11" t="s">
        <v>755</v>
      </c>
      <c r="AO114" s="33" t="s">
        <v>558</v>
      </c>
      <c r="AP114" s="36" t="s">
        <v>829</v>
      </c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40" t="str">
        <f>VLOOKUP(Tableau1[[#This Row],[N° Département]],Feuil1!$C$6:$E$106,3)</f>
        <v>Occitanie</v>
      </c>
      <c r="B115" s="40" t="str">
        <f>VLOOKUP(Tableau1[[#This Row],[N° Département]],Feuil1!$C$6:$E$106,2)</f>
        <v>Hérault</v>
      </c>
      <c r="C115" s="40">
        <f>LEFT(Tableau1[[#This Row],[Code Postal]],2)*1</f>
        <v>34</v>
      </c>
      <c r="D115" s="10" t="s">
        <v>138</v>
      </c>
      <c r="E115" s="10">
        <v>34470</v>
      </c>
      <c r="F115" s="39" t="s">
        <v>100</v>
      </c>
      <c r="G115" s="40" t="str">
        <f>Tableau1[[#This Row],[Rue]]&amp;CHAR(10)&amp;Tableau1[[#This Row],[Code Postal]]&amp;" - "&amp;Tableau1[[#This Row],[Ville]]</f>
        <v>C.C. Auchan Avenue Georges Frêche
34470 - Pérols</v>
      </c>
      <c r="H115" s="15" t="s">
        <v>71</v>
      </c>
      <c r="I115" s="12" t="s">
        <v>48</v>
      </c>
      <c r="J115" s="12" t="s">
        <v>52</v>
      </c>
      <c r="K115" s="12" t="s">
        <v>105</v>
      </c>
      <c r="L115" s="12" t="s">
        <v>105</v>
      </c>
      <c r="M115" s="37" t="s">
        <v>446</v>
      </c>
      <c r="N115" s="35">
        <v>86</v>
      </c>
      <c r="O115" s="6" t="s">
        <v>105</v>
      </c>
      <c r="P115" s="35" t="s">
        <v>105</v>
      </c>
      <c r="Q115" s="6" t="s">
        <v>105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105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105</v>
      </c>
      <c r="AA115" s="12">
        <f>IFERROR(Tableau1[[#This Row],[Marketing €/m²]]*Tableau1[[#This Row],[Surface GLA]],)</f>
        <v>0</v>
      </c>
      <c r="AB115" s="6" t="s">
        <v>105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105</v>
      </c>
      <c r="AE115" s="6" t="s">
        <v>105</v>
      </c>
      <c r="AF115" s="6" t="s">
        <v>105</v>
      </c>
      <c r="AG115" s="6" t="s">
        <v>371</v>
      </c>
      <c r="AH115" s="10" t="s">
        <v>385</v>
      </c>
      <c r="AI115" s="10" t="s">
        <v>378</v>
      </c>
      <c r="AJ115" s="4" t="s">
        <v>448</v>
      </c>
      <c r="AK115" s="11" t="s">
        <v>449</v>
      </c>
      <c r="AL115" s="5" t="s">
        <v>376</v>
      </c>
      <c r="AM115" s="11" t="s">
        <v>756</v>
      </c>
      <c r="AN115" s="11" t="s">
        <v>757</v>
      </c>
      <c r="AO115" s="33" t="s">
        <v>559</v>
      </c>
      <c r="AP115" s="36" t="s">
        <v>829</v>
      </c>
      <c r="AQ115" s="5" t="s">
        <v>77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40" t="str">
        <f>VLOOKUP(Tableau1[[#This Row],[N° Département]],Feuil1!$C$6:$E$106,3)</f>
        <v>Occitanie</v>
      </c>
      <c r="B116" s="40" t="str">
        <f>VLOOKUP(Tableau1[[#This Row],[N° Département]],Feuil1!$C$6:$E$106,2)</f>
        <v>Hérault</v>
      </c>
      <c r="C116" s="40">
        <f>LEFT(Tableau1[[#This Row],[Code Postal]],2)*1</f>
        <v>34</v>
      </c>
      <c r="D116" s="10" t="s">
        <v>138</v>
      </c>
      <c r="E116" s="10">
        <v>34470</v>
      </c>
      <c r="F116" s="39" t="s">
        <v>100</v>
      </c>
      <c r="G116" s="40" t="str">
        <f>Tableau1[[#This Row],[Rue]]&amp;CHAR(10)&amp;Tableau1[[#This Row],[Code Postal]]&amp;" - "&amp;Tableau1[[#This Row],[Ville]]</f>
        <v>C.C. Auchan Avenue Georges Frêche
34470 - Pérols</v>
      </c>
      <c r="H116" s="15" t="s">
        <v>71</v>
      </c>
      <c r="I116" s="12" t="s">
        <v>48</v>
      </c>
      <c r="J116" s="12" t="s">
        <v>52</v>
      </c>
      <c r="K116" s="12" t="s">
        <v>105</v>
      </c>
      <c r="L116" s="12" t="s">
        <v>105</v>
      </c>
      <c r="M116" s="37" t="s">
        <v>447</v>
      </c>
      <c r="N116" s="35">
        <v>90</v>
      </c>
      <c r="O116" s="6" t="s">
        <v>105</v>
      </c>
      <c r="P116" s="35" t="s">
        <v>105</v>
      </c>
      <c r="Q116" s="6" t="s">
        <v>105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105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105</v>
      </c>
      <c r="AA116" s="12">
        <f>IFERROR(Tableau1[[#This Row],[Marketing €/m²]]*Tableau1[[#This Row],[Surface GLA]],)</f>
        <v>0</v>
      </c>
      <c r="AB116" s="6" t="s">
        <v>105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105</v>
      </c>
      <c r="AE116" s="6" t="s">
        <v>105</v>
      </c>
      <c r="AF116" s="6" t="s">
        <v>105</v>
      </c>
      <c r="AG116" s="6" t="s">
        <v>371</v>
      </c>
      <c r="AH116" s="10" t="s">
        <v>385</v>
      </c>
      <c r="AI116" s="10" t="s">
        <v>378</v>
      </c>
      <c r="AJ116" s="4" t="s">
        <v>448</v>
      </c>
      <c r="AK116" s="11" t="s">
        <v>449</v>
      </c>
      <c r="AL116" s="5" t="s">
        <v>376</v>
      </c>
      <c r="AM116" s="11" t="s">
        <v>758</v>
      </c>
      <c r="AN116" s="11" t="s">
        <v>759</v>
      </c>
      <c r="AO116" s="33" t="s">
        <v>560</v>
      </c>
      <c r="AP116" s="36" t="s">
        <v>829</v>
      </c>
      <c r="AQ116" s="5" t="s">
        <v>77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67" r:id="rId13" xr:uid="{6489742E-6CB7-4B2D-9BD5-BCE583DA02E1}"/>
    <hyperlink ref="H103" r:id="rId14" xr:uid="{824D5FB0-BFE1-4BA8-97C3-CDB2631ADD8E}"/>
    <hyperlink ref="H31" r:id="rId15" xr:uid="{82681F26-76E5-47ED-BE60-56D53DBAB160}"/>
    <hyperlink ref="H49" r:id="rId16" xr:uid="{85341D4C-8FE9-4F0D-BD3D-CD952268444D}"/>
    <hyperlink ref="H51" r:id="rId17" xr:uid="{B7F2B0BA-1DF5-499B-ADDF-A27F6468EBB3}"/>
    <hyperlink ref="H52" r:id="rId18" xr:uid="{7CB92180-45AB-4B57-BDBB-7AC67F29B668}"/>
    <hyperlink ref="H53" r:id="rId19" xr:uid="{8304414E-0B5C-4D5A-8539-E67F32B13039}"/>
    <hyperlink ref="H50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3" r:id="rId46" xr:uid="{82250E71-A89D-43E9-9C31-05DF3ACC0140}"/>
    <hyperlink ref="H34" r:id="rId47" xr:uid="{EB417570-7288-4848-ACAA-C6AD3AD14EA8}"/>
    <hyperlink ref="H35" r:id="rId48" xr:uid="{6AFF0330-3C7D-4B35-A95C-20C19DDDEBD1}"/>
    <hyperlink ref="H36" r:id="rId49" xr:uid="{06A967BC-6091-4015-BC55-92BB58B153F4}"/>
    <hyperlink ref="H37" r:id="rId50" xr:uid="{41C2498A-FB43-4B65-BD81-2C5D75E50581}"/>
    <hyperlink ref="H38" r:id="rId51" xr:uid="{A832C356-D78E-4ED7-96FC-DD5F799FAC17}"/>
    <hyperlink ref="H39" r:id="rId52" xr:uid="{ABBB35B4-B177-43B5-95FC-9B01E81DAD25}"/>
    <hyperlink ref="H42" r:id="rId53" xr:uid="{0B06EA8A-6A40-4707-BFBE-F2819E8E8960}"/>
    <hyperlink ref="H43" r:id="rId54" xr:uid="{55736F9E-86E6-4C28-9CBC-7CAA0A1A6D5D}"/>
    <hyperlink ref="H44" r:id="rId55" xr:uid="{3B65D258-37D0-44BA-9F88-39F4248AC586}"/>
    <hyperlink ref="H45" r:id="rId56" xr:uid="{B82388A1-9FAC-4567-8150-32501444D9B9}"/>
    <hyperlink ref="H46" r:id="rId57" xr:uid="{386F3AEB-394F-4F21-88D5-7D22D4B69340}"/>
    <hyperlink ref="H58" r:id="rId58" xr:uid="{494E2701-2339-47CF-8EB5-D93C85C38F68}"/>
    <hyperlink ref="H59" r:id="rId59" xr:uid="{56A23CE2-06BE-426E-A7AC-791B4FCBF447}"/>
    <hyperlink ref="H60" r:id="rId60" xr:uid="{0DD08474-37DF-467F-9F3F-8C8300F601A2}"/>
    <hyperlink ref="H61" r:id="rId61" xr:uid="{65EA1E42-720F-4B48-8519-123AD718D39C}"/>
    <hyperlink ref="H62" r:id="rId62" xr:uid="{28EA12BE-1DF7-4C7E-8090-88CF1D8FBBDC}"/>
    <hyperlink ref="H63" r:id="rId63" xr:uid="{1F80D65D-3532-4854-BD44-E501F72D2163}"/>
    <hyperlink ref="H64" r:id="rId64" xr:uid="{D535FC11-C176-497E-BF60-73255DB13894}"/>
    <hyperlink ref="H66" r:id="rId65" xr:uid="{FF990D47-C98D-4294-A3A3-7FEE790B1BEB}"/>
    <hyperlink ref="H68" r:id="rId66" xr:uid="{3164CD8B-4D49-4B46-8D7E-641EB14A28AA}"/>
    <hyperlink ref="H69" r:id="rId67" xr:uid="{3CA2F6AE-D51D-4D23-BD19-43E8A33544E2}"/>
    <hyperlink ref="H70" r:id="rId68" xr:uid="{68DE4CD2-5031-473B-9931-B98E9ACC6057}"/>
    <hyperlink ref="H71" r:id="rId69" xr:uid="{201AED88-1043-4888-BF9B-05BBF3AA3A33}"/>
    <hyperlink ref="H72" r:id="rId70" xr:uid="{63834394-D1BA-4414-8B6C-D3FD204E6B02}"/>
    <hyperlink ref="H73" r:id="rId71" xr:uid="{95CE5CFE-4E0A-4EE1-B843-B96F9DD6B058}"/>
    <hyperlink ref="H74" r:id="rId72" xr:uid="{F0010B60-E39C-44B7-9D31-DAA9A176153B}"/>
    <hyperlink ref="H75" r:id="rId73" xr:uid="{868E0785-EE28-47C9-AA54-9A9D823A6B64}"/>
    <hyperlink ref="H76" r:id="rId74" xr:uid="{730732B3-3929-4CB4-9115-D254856D892B}"/>
    <hyperlink ref="H77" r:id="rId75" xr:uid="{AB495857-272C-4BBF-8B94-A81413121F0E}"/>
    <hyperlink ref="H78" r:id="rId76" xr:uid="{7DC9338B-AFEA-4026-969F-AD49D3196594}"/>
    <hyperlink ref="H79" r:id="rId77" xr:uid="{715958BE-C030-41CC-9CB8-46F92AFAD0BD}"/>
    <hyperlink ref="H80" r:id="rId78" xr:uid="{154B63FB-C6AD-46F0-A21A-4A5FFEA6B76F}"/>
    <hyperlink ref="H81" r:id="rId79" xr:uid="{44FD399C-CBF9-496E-B223-28BD72F8EE73}"/>
    <hyperlink ref="H82" r:id="rId80" xr:uid="{5A32B48F-0225-40EE-B378-B82592B910AD}"/>
    <hyperlink ref="H83" r:id="rId81" xr:uid="{F1FC6A5C-1EC1-4E3F-80D9-2BB951F9E7C5}"/>
    <hyperlink ref="H84" r:id="rId82" xr:uid="{7F7A9712-8BD1-47E9-B539-D5F409D8A8BC}"/>
    <hyperlink ref="H85" r:id="rId83" xr:uid="{CC25B473-C2DA-4295-94F9-707658D541B4}"/>
    <hyperlink ref="H86" r:id="rId84" xr:uid="{B6E7CAF8-8839-4CF4-B498-90B9588484BF}"/>
    <hyperlink ref="H87" r:id="rId85" xr:uid="{C094682B-E2A7-4954-B5F3-9ABA12744284}"/>
    <hyperlink ref="H88" r:id="rId86" xr:uid="{CDC7DE15-415E-4BA7-A56E-5583B5EEA707}"/>
    <hyperlink ref="H89" r:id="rId87" xr:uid="{F08C70E0-9CC4-4043-804E-78970AA78B9F}"/>
    <hyperlink ref="H91" r:id="rId88" xr:uid="{7897FDF7-1515-446E-8647-187D2457287B}"/>
    <hyperlink ref="H92" r:id="rId89" xr:uid="{5F72DA5B-DCF4-4374-BE50-D36AB51A2086}"/>
    <hyperlink ref="H93" r:id="rId90" xr:uid="{411472FA-50B1-46F0-B9EA-D8EB086BA592}"/>
    <hyperlink ref="H94" r:id="rId91" xr:uid="{35731495-A8E0-4875-BB28-0CE84D224616}"/>
    <hyperlink ref="H95" r:id="rId92" xr:uid="{5D5AC90C-4EC9-4DE2-85F0-09D58FCC814C}"/>
    <hyperlink ref="H96" r:id="rId93" xr:uid="{B06ADFE1-6942-47FF-ADF0-13152FD8AE4F}"/>
    <hyperlink ref="H55" r:id="rId94" xr:uid="{D83C2E59-5E2B-4D99-B462-98B177A604B1}"/>
    <hyperlink ref="H56" r:id="rId95" xr:uid="{BEA173B9-604F-4C68-80C1-9A5A05F2EF41}"/>
    <hyperlink ref="H100" r:id="rId96" xr:uid="{5C44C030-D88E-4D20-86CB-02DE2D7B044D}"/>
    <hyperlink ref="H101" r:id="rId97" xr:uid="{B269D60E-52F3-4843-A72D-61EA63B4CDF5}"/>
    <hyperlink ref="H99" r:id="rId98" xr:uid="{A2D9AC59-64B4-4E9C-A9E7-CC95DE12A932}"/>
    <hyperlink ref="H102" r:id="rId99" xr:uid="{BEC6281A-F62A-45AB-A11D-47F0453F7267}"/>
    <hyperlink ref="H98" r:id="rId100" xr:uid="{686A0569-32A2-4F8A-972F-AB095BBA02CF}"/>
    <hyperlink ref="H104:H116" r:id="rId101" display="https://maps.app.goo.gl/jcUuEcShVcUDuB7A6" xr:uid="{D73C8CDA-4191-4A7A-B741-F9A08ED644C3}"/>
    <hyperlink ref="H32" r:id="rId102" display="https://maps.app.goo.gl/ngVAd1ZcuWEZcS5U8" xr:uid="{5610D621-CDF7-4A3E-BFE2-6901194FE258}"/>
    <hyperlink ref="H97" r:id="rId103" xr:uid="{608E3307-F4E0-41E9-95DE-85AE35C837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2025-11-26T18:59:27Z</dcterms:modified>
</cp:coreProperties>
</file>