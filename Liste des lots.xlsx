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55D4AF62-A788-418D-9CD8-EEB8EB41CECC}"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6" i="2" l="1"/>
  <c r="C166" i="2"/>
  <c r="B166" i="2" s="1"/>
  <c r="G165" i="2"/>
  <c r="C165" i="2"/>
  <c r="B165" i="2" s="1"/>
  <c r="G164" i="2"/>
  <c r="C164" i="2"/>
  <c r="B164" i="2" s="1"/>
  <c r="G163" i="2"/>
  <c r="C163" i="2"/>
  <c r="B163" i="2" s="1"/>
  <c r="G162" i="2"/>
  <c r="C162" i="2"/>
  <c r="B162" i="2" s="1"/>
  <c r="V162" i="2"/>
  <c r="W162" i="2"/>
  <c r="V163" i="2"/>
  <c r="W163" i="2"/>
  <c r="V164" i="2"/>
  <c r="W164" i="2"/>
  <c r="V165" i="2"/>
  <c r="W165" i="2"/>
  <c r="V166" i="2"/>
  <c r="W166" i="2" s="1"/>
  <c r="AD162" i="2"/>
  <c r="AD163" i="2"/>
  <c r="AD164" i="2"/>
  <c r="AD165" i="2"/>
  <c r="AD166" i="2"/>
  <c r="R162" i="2"/>
  <c r="S162" i="2" s="1"/>
  <c r="R163" i="2"/>
  <c r="S163" i="2" s="1"/>
  <c r="R164" i="2"/>
  <c r="S164" i="2" s="1"/>
  <c r="R165" i="2"/>
  <c r="S165" i="2" s="1"/>
  <c r="R166" i="2"/>
  <c r="S166" i="2" s="1"/>
  <c r="Y162" i="2"/>
  <c r="Y163" i="2"/>
  <c r="Y164" i="2"/>
  <c r="Y165" i="2"/>
  <c r="Y166" i="2"/>
  <c r="AA162" i="2"/>
  <c r="AA163" i="2"/>
  <c r="AA164" i="2"/>
  <c r="AA165" i="2"/>
  <c r="AA166" i="2"/>
  <c r="A164" i="2" l="1"/>
  <c r="A165" i="2"/>
  <c r="A162" i="2"/>
  <c r="A163" i="2"/>
  <c r="A166" i="2"/>
  <c r="AC165" i="2"/>
  <c r="AC162" i="2"/>
  <c r="AC166" i="2"/>
  <c r="AC164" i="2"/>
  <c r="AC163" i="2"/>
  <c r="G173" i="2" l="1"/>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R153" i="2"/>
  <c r="S153" i="2" s="1"/>
  <c r="R154" i="2"/>
  <c r="S154" i="2" s="1"/>
  <c r="R155" i="2"/>
  <c r="S155" i="2" s="1"/>
  <c r="R156" i="2"/>
  <c r="S156" i="2" s="1"/>
  <c r="R157" i="2"/>
  <c r="S157" i="2" s="1"/>
  <c r="R158" i="2"/>
  <c r="AD158" i="2" s="1"/>
  <c r="R159" i="2"/>
  <c r="AD159" i="2" s="1"/>
  <c r="R160" i="2"/>
  <c r="AD160" i="2" s="1"/>
  <c r="R161" i="2"/>
  <c r="S161" i="2" s="1"/>
  <c r="R167" i="2"/>
  <c r="S167" i="2" s="1"/>
  <c r="R168" i="2"/>
  <c r="S168" i="2" s="1"/>
  <c r="R169" i="2"/>
  <c r="S169" i="2" s="1"/>
  <c r="R170" i="2"/>
  <c r="R171" i="2"/>
  <c r="AD171" i="2" s="1"/>
  <c r="R172" i="2"/>
  <c r="AD172" i="2" s="1"/>
  <c r="R173" i="2"/>
  <c r="S173" i="2" s="1"/>
  <c r="R174" i="2"/>
  <c r="S174" i="2" s="1"/>
  <c r="R175" i="2"/>
  <c r="AD175" i="2" s="1"/>
  <c r="R176" i="2"/>
  <c r="AD176" i="2" s="1"/>
  <c r="R177" i="2"/>
  <c r="AD177" i="2" s="1"/>
  <c r="Y154" i="2"/>
  <c r="Y155" i="2"/>
  <c r="Y156" i="2"/>
  <c r="AA154" i="2"/>
  <c r="AA155" i="2"/>
  <c r="AA156" i="2"/>
  <c r="G177" i="2"/>
  <c r="C177" i="2"/>
  <c r="A177" i="2" s="1"/>
  <c r="Y177" i="2"/>
  <c r="AA177" i="2"/>
  <c r="G157" i="2"/>
  <c r="G158" i="2"/>
  <c r="G159" i="2"/>
  <c r="G160" i="2"/>
  <c r="G161" i="2"/>
  <c r="G167" i="2"/>
  <c r="G168" i="2"/>
  <c r="G169" i="2"/>
  <c r="G170" i="2"/>
  <c r="G171" i="2"/>
  <c r="G172" i="2"/>
  <c r="G174" i="2"/>
  <c r="G175" i="2"/>
  <c r="G176" i="2"/>
  <c r="C175" i="2"/>
  <c r="A175" i="2" s="1"/>
  <c r="Y175" i="2"/>
  <c r="AA175" i="2"/>
  <c r="C173" i="2"/>
  <c r="A173" i="2" s="1"/>
  <c r="Y173" i="2"/>
  <c r="AA173" i="2"/>
  <c r="C171" i="2"/>
  <c r="A171" i="2" s="1"/>
  <c r="Y171" i="2"/>
  <c r="AA171" i="2"/>
  <c r="C159" i="2"/>
  <c r="A159" i="2" s="1"/>
  <c r="Y159" i="2"/>
  <c r="AA159" i="2"/>
  <c r="G153" i="2"/>
  <c r="C176" i="2"/>
  <c r="A176" i="2" s="1"/>
  <c r="Y176" i="2"/>
  <c r="AA176" i="2"/>
  <c r="C174" i="2"/>
  <c r="A174" i="2" s="1"/>
  <c r="Y174" i="2"/>
  <c r="AA174" i="2"/>
  <c r="C172" i="2"/>
  <c r="A172" i="2" s="1"/>
  <c r="Y172" i="2"/>
  <c r="AA172" i="2"/>
  <c r="C170" i="2"/>
  <c r="A170" i="2" s="1"/>
  <c r="Y170" i="2"/>
  <c r="AA170" i="2"/>
  <c r="C169" i="2"/>
  <c r="A169" i="2" s="1"/>
  <c r="Y169" i="2"/>
  <c r="AA169" i="2"/>
  <c r="C168" i="2"/>
  <c r="A168" i="2" s="1"/>
  <c r="Y168" i="2"/>
  <c r="AA168" i="2"/>
  <c r="C167" i="2"/>
  <c r="A167" i="2" s="1"/>
  <c r="Y167" i="2"/>
  <c r="AA167"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0" i="2" l="1"/>
  <c r="AE170" i="2"/>
  <c r="AE175" i="2"/>
  <c r="AE176" i="2"/>
  <c r="AE173" i="2"/>
  <c r="AE174" i="2"/>
  <c r="AE172" i="2"/>
  <c r="AE171" i="2"/>
  <c r="S160" i="2"/>
  <c r="AE157" i="2"/>
  <c r="S175" i="2"/>
  <c r="S158" i="2"/>
  <c r="S172" i="2"/>
  <c r="B156" i="2"/>
  <c r="B155" i="2"/>
  <c r="AD174" i="2"/>
  <c r="AD169" i="2"/>
  <c r="S170" i="2"/>
  <c r="AD168" i="2"/>
  <c r="AD157" i="2"/>
  <c r="S176" i="2"/>
  <c r="AD167" i="2"/>
  <c r="AD161" i="2"/>
  <c r="S177" i="2"/>
  <c r="S171" i="2"/>
  <c r="AC155" i="2"/>
  <c r="S159" i="2"/>
  <c r="AD173" i="2"/>
  <c r="AD156" i="2"/>
  <c r="AD155" i="2"/>
  <c r="AD153" i="2"/>
  <c r="AD154" i="2"/>
  <c r="B154" i="2"/>
  <c r="AC154" i="2"/>
  <c r="AC156" i="2"/>
  <c r="AC177" i="2"/>
  <c r="B177"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5" i="2"/>
  <c r="AC173" i="2"/>
  <c r="B175" i="2"/>
  <c r="B173" i="2"/>
  <c r="AC171" i="2"/>
  <c r="B171" i="2"/>
  <c r="AC159" i="2"/>
  <c r="B159" i="2"/>
  <c r="AC174" i="2"/>
  <c r="AC176" i="2"/>
  <c r="AC170" i="2"/>
  <c r="AC169" i="2"/>
  <c r="B176" i="2"/>
  <c r="AC172" i="2"/>
  <c r="AC168" i="2"/>
  <c r="B174" i="2"/>
  <c r="B172" i="2"/>
  <c r="AC161" i="2"/>
  <c r="B170" i="2"/>
  <c r="B169" i="2"/>
  <c r="AC167" i="2"/>
  <c r="B168" i="2"/>
  <c r="B167"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s="1"/>
</calcChain>
</file>

<file path=xl/sharedStrings.xml><?xml version="1.0" encoding="utf-8"?>
<sst xmlns="http://schemas.openxmlformats.org/spreadsheetml/2006/main" count="5202" uniqueCount="1312">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</sst>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48">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77" totalsRowShown="0" headerRowCellStyle="Normal 2" dataCellStyle="Normal 2">
  <autoFilter ref="A1:AU177"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table" Target="../tables/table1.xm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183"/>
  <sheetViews>
    <sheetView showZeros="0" tabSelected="1" zoomScale="80" zoomScaleNormal="80" workbookViewId="0">
      <pane xSplit="6" ySplit="1" topLeftCell="AC159" activePane="bottomRight" state="frozen"/>
      <selection pane="topRight" activeCell="G1" sqref="G1"/>
      <selection pane="bottomLeft" activeCell="A2" sqref="A2"/>
      <selection pane="bottomRight" activeCell="AI165" sqref="AI165"/>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1106</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1310</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1271</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1311</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1077</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1078</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1079</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1080</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1081</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1082</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1083</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1084</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1085</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1086</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1087</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1088</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1089</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1090</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1091</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1092</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1093</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1094</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1095</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1096</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1097</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1098</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1099</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10">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10">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10">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10">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10">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10">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10">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10">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10">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10">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10">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10">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10">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10">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10">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10">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10">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1037</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10">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1037</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10">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1037</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10">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1037</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10">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1037</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10">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1037</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10">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1037</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10">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1037</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10">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1037</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10">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1037</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10">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1037</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10">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1037</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10">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1037</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10">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1037</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10">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1037</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10">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1037</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10">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1037</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992</v>
      </c>
      <c r="E138" s="10">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994</v>
      </c>
      <c r="N138" s="34">
        <v>60</v>
      </c>
      <c r="O138" s="6" t="s">
        <v>103</v>
      </c>
      <c r="P138" s="34" t="s">
        <v>103</v>
      </c>
      <c r="Q138" s="6" t="s">
        <v>103</v>
      </c>
      <c r="R138" s="12">
        <f>Tableau1[[#This Row],[Loyer €/m²]]*Tableau1[[#This Row],[Surface GLA]]</f>
        <v>48000</v>
      </c>
      <c r="S138" s="12">
        <f>IFERROR(Tableau1[[#This Row],[Loyer annuel]]/12,"")</f>
        <v>4000</v>
      </c>
      <c r="T138" s="12">
        <v>800</v>
      </c>
      <c r="U138" s="6" t="s">
        <v>103</v>
      </c>
      <c r="V138" s="6">
        <f>Tableau1[[#This Row],[Charges €/m²]]*Tableau1[[#This Row],[Surface GLA]]</f>
        <v>6000</v>
      </c>
      <c r="W138" s="12">
        <f>Tableau1[[#This Row],[Charges annuelles]]/12</f>
        <v>500</v>
      </c>
      <c r="X138" s="12">
        <v>100</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54000</v>
      </c>
      <c r="AD138" s="12" t="str">
        <f>"3 mois = "&amp;TEXT(ROUND(3/12*R138,0),"### ### ##0 €")</f>
        <v>3 mois = 12 000 €</v>
      </c>
      <c r="AE138" s="6" t="s">
        <v>103</v>
      </c>
      <c r="AF138" s="6" t="s">
        <v>103</v>
      </c>
      <c r="AG138" s="6" t="s">
        <v>363</v>
      </c>
      <c r="AH138" s="10" t="s">
        <v>53</v>
      </c>
      <c r="AI138" s="10" t="s">
        <v>369</v>
      </c>
      <c r="AJ138" s="10" t="s">
        <v>995</v>
      </c>
      <c r="AK138" s="11" t="s">
        <v>999</v>
      </c>
      <c r="AL138" s="5" t="s">
        <v>368</v>
      </c>
      <c r="AM138" s="11" t="s">
        <v>997</v>
      </c>
      <c r="AN138" s="11" t="s">
        <v>998</v>
      </c>
      <c r="AO138" s="11">
        <v>30</v>
      </c>
      <c r="AP138" s="36" t="s">
        <v>1000</v>
      </c>
      <c r="AQ138" s="11" t="s">
        <v>75</v>
      </c>
      <c r="AR138" s="11" t="s">
        <v>996</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1002</v>
      </c>
      <c r="E139" s="10">
        <v>95260</v>
      </c>
      <c r="F139" s="10" t="s">
        <v>1001</v>
      </c>
      <c r="G139" s="39" t="str">
        <f>Tableau1[[#This Row],[Rue]]&amp;CHAR(10)&amp;Tableau1[[#This Row],[Code Postal]]&amp;" - "&amp;Tableau1[[#This Row],[Ville]]</f>
        <v>Parc d’activités Col’Vert Rue du Kiosque
95260 - Mours</v>
      </c>
      <c r="H139" s="15" t="s">
        <v>1008</v>
      </c>
      <c r="I139" s="12" t="s">
        <v>47</v>
      </c>
      <c r="J139" s="12" t="s">
        <v>50</v>
      </c>
      <c r="K139" s="12" t="s">
        <v>103</v>
      </c>
      <c r="L139" s="12" t="s">
        <v>103</v>
      </c>
      <c r="M139" s="36" t="s">
        <v>335</v>
      </c>
      <c r="N139" s="34">
        <v>620</v>
      </c>
      <c r="O139" s="6" t="s">
        <v>103</v>
      </c>
      <c r="P139" s="34" t="s">
        <v>103</v>
      </c>
      <c r="Q139" s="6" t="s">
        <v>103</v>
      </c>
      <c r="R139" s="12">
        <f>Tableau1[[#This Row],[Loyer €/m²]]*Tableau1[[#This Row],[Surface GLA]]</f>
        <v>0</v>
      </c>
      <c r="S139" s="12">
        <f>IFERROR(Tableau1[[#This Row],[Loyer annuel]]/12,"")</f>
        <v>0</v>
      </c>
      <c r="T139" s="12"/>
      <c r="U139" s="6" t="s">
        <v>103</v>
      </c>
      <c r="V139" s="6">
        <f>Tableau1[[#This Row],[Charges €/m²]]*Tableau1[[#This Row],[Surface GLA]]</f>
        <v>0</v>
      </c>
      <c r="W139" s="12">
        <f>Tableau1[[#This Row],[Charges annuelles]]/12</f>
        <v>0</v>
      </c>
      <c r="X139" s="12"/>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0</v>
      </c>
      <c r="AD139" s="12"/>
      <c r="AE139" s="6" t="s">
        <v>103</v>
      </c>
      <c r="AF139" s="6" t="s">
        <v>103</v>
      </c>
      <c r="AG139" s="12" t="s">
        <v>382</v>
      </c>
      <c r="AH139" s="10" t="s">
        <v>377</v>
      </c>
      <c r="AI139" s="10" t="s">
        <v>370</v>
      </c>
      <c r="AJ139" s="10" t="s">
        <v>1009</v>
      </c>
      <c r="AK139" s="11" t="s">
        <v>1010</v>
      </c>
      <c r="AL139" s="5" t="s">
        <v>368</v>
      </c>
      <c r="AM139" s="11" t="s">
        <v>1011</v>
      </c>
      <c r="AN139" s="11" t="s">
        <v>1012</v>
      </c>
      <c r="AO139" s="11" t="s">
        <v>1003</v>
      </c>
      <c r="AP139" s="36" t="s">
        <v>1038</v>
      </c>
      <c r="AQ139" s="11" t="s">
        <v>75</v>
      </c>
      <c r="AR139" s="11"/>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1002</v>
      </c>
      <c r="E140" s="10">
        <v>95260</v>
      </c>
      <c r="F140" s="10" t="s">
        <v>1001</v>
      </c>
      <c r="G140" s="39" t="str">
        <f>Tableau1[[#This Row],[Rue]]&amp;CHAR(10)&amp;Tableau1[[#This Row],[Code Postal]]&amp;" - "&amp;Tableau1[[#This Row],[Ville]]</f>
        <v>Parc d’activités Col’Vert Rue du Kiosque
95260 - Mours</v>
      </c>
      <c r="H140" s="15" t="s">
        <v>1008</v>
      </c>
      <c r="I140" s="12" t="s">
        <v>47</v>
      </c>
      <c r="J140" s="12" t="s">
        <v>50</v>
      </c>
      <c r="K140" s="12" t="s">
        <v>103</v>
      </c>
      <c r="L140" s="12" t="s">
        <v>103</v>
      </c>
      <c r="M140" s="36" t="s">
        <v>336</v>
      </c>
      <c r="N140" s="34">
        <v>620</v>
      </c>
      <c r="O140" s="6" t="s">
        <v>103</v>
      </c>
      <c r="P140" s="34" t="s">
        <v>103</v>
      </c>
      <c r="Q140" s="6" t="s">
        <v>103</v>
      </c>
      <c r="R140" s="12">
        <f>Tableau1[[#This Row],[Loyer €/m²]]*Tableau1[[#This Row],[Surface GLA]]</f>
        <v>0</v>
      </c>
      <c r="S140" s="12">
        <f>IFERROR(Tableau1[[#This Row],[Loyer annuel]]/12,"")</f>
        <v>0</v>
      </c>
      <c r="T140" s="12"/>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0</v>
      </c>
      <c r="AD140" s="12"/>
      <c r="AE140" s="6" t="s">
        <v>103</v>
      </c>
      <c r="AF140" s="6" t="s">
        <v>103</v>
      </c>
      <c r="AG140" s="12" t="s">
        <v>382</v>
      </c>
      <c r="AH140" s="10" t="s">
        <v>377</v>
      </c>
      <c r="AI140" s="10" t="s">
        <v>370</v>
      </c>
      <c r="AJ140" s="10" t="s">
        <v>1009</v>
      </c>
      <c r="AK140" s="11" t="s">
        <v>1010</v>
      </c>
      <c r="AL140" s="5" t="s">
        <v>368</v>
      </c>
      <c r="AM140" s="11" t="s">
        <v>1013</v>
      </c>
      <c r="AN140" s="11" t="s">
        <v>1014</v>
      </c>
      <c r="AO140" s="11" t="s">
        <v>1004</v>
      </c>
      <c r="AP140" s="36" t="s">
        <v>1038</v>
      </c>
      <c r="AQ140" s="11" t="s">
        <v>75</v>
      </c>
      <c r="AR140" s="11"/>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1002</v>
      </c>
      <c r="E141" s="10">
        <v>95260</v>
      </c>
      <c r="F141" s="10" t="s">
        <v>1001</v>
      </c>
      <c r="G141" s="39" t="str">
        <f>Tableau1[[#This Row],[Rue]]&amp;CHAR(10)&amp;Tableau1[[#This Row],[Code Postal]]&amp;" - "&amp;Tableau1[[#This Row],[Ville]]</f>
        <v>Parc d’activités Col’Vert Rue du Kiosque
95260 - Mours</v>
      </c>
      <c r="H141" s="15" t="s">
        <v>1008</v>
      </c>
      <c r="I141" s="12" t="s">
        <v>47</v>
      </c>
      <c r="J141" s="12" t="s">
        <v>50</v>
      </c>
      <c r="K141" s="12" t="s">
        <v>103</v>
      </c>
      <c r="L141" s="12" t="s">
        <v>103</v>
      </c>
      <c r="M141" s="36" t="s">
        <v>357</v>
      </c>
      <c r="N141" s="34">
        <v>620</v>
      </c>
      <c r="O141" s="6" t="s">
        <v>103</v>
      </c>
      <c r="P141" s="34" t="s">
        <v>103</v>
      </c>
      <c r="Q141" s="6" t="s">
        <v>103</v>
      </c>
      <c r="R141" s="12">
        <f>Tableau1[[#This Row],[Loyer €/m²]]*Tableau1[[#This Row],[Surface GLA]]</f>
        <v>0</v>
      </c>
      <c r="S141" s="12">
        <f>IFERROR(Tableau1[[#This Row],[Loyer annuel]]/12,"")</f>
        <v>0</v>
      </c>
      <c r="T141" s="12"/>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0</v>
      </c>
      <c r="AD141" s="12"/>
      <c r="AE141" s="6" t="s">
        <v>103</v>
      </c>
      <c r="AF141" s="6" t="s">
        <v>103</v>
      </c>
      <c r="AG141" s="12" t="s">
        <v>382</v>
      </c>
      <c r="AH141" s="10" t="s">
        <v>377</v>
      </c>
      <c r="AI141" s="10" t="s">
        <v>370</v>
      </c>
      <c r="AJ141" s="10" t="s">
        <v>1009</v>
      </c>
      <c r="AK141" s="11" t="s">
        <v>1010</v>
      </c>
      <c r="AL141" s="5" t="s">
        <v>368</v>
      </c>
      <c r="AM141" s="11" t="s">
        <v>1015</v>
      </c>
      <c r="AN141" s="11" t="s">
        <v>1016</v>
      </c>
      <c r="AO141" s="11" t="s">
        <v>1005</v>
      </c>
      <c r="AP141" s="36" t="s">
        <v>1038</v>
      </c>
      <c r="AQ141" s="11" t="s">
        <v>75</v>
      </c>
      <c r="AR141" s="11"/>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1002</v>
      </c>
      <c r="E142" s="10">
        <v>95260</v>
      </c>
      <c r="F142" s="10" t="s">
        <v>1001</v>
      </c>
      <c r="G142" s="39" t="str">
        <f>Tableau1[[#This Row],[Rue]]&amp;CHAR(10)&amp;Tableau1[[#This Row],[Code Postal]]&amp;" - "&amp;Tableau1[[#This Row],[Ville]]</f>
        <v>Parc d’activités Col’Vert Rue du Kiosque
95260 - Mours</v>
      </c>
      <c r="H142" s="15" t="s">
        <v>1008</v>
      </c>
      <c r="I142" s="12" t="s">
        <v>47</v>
      </c>
      <c r="J142" s="12" t="s">
        <v>50</v>
      </c>
      <c r="K142" s="12" t="s">
        <v>103</v>
      </c>
      <c r="L142" s="12" t="s">
        <v>103</v>
      </c>
      <c r="M142" s="36" t="s">
        <v>358</v>
      </c>
      <c r="N142" s="34">
        <v>628</v>
      </c>
      <c r="O142" s="6" t="s">
        <v>103</v>
      </c>
      <c r="P142" s="34" t="s">
        <v>103</v>
      </c>
      <c r="Q142" s="6" t="s">
        <v>103</v>
      </c>
      <c r="R142" s="12">
        <f>Tableau1[[#This Row],[Loyer €/m²]]*Tableau1[[#This Row],[Surface GLA]]</f>
        <v>0</v>
      </c>
      <c r="S142" s="12">
        <f>IFERROR(Tableau1[[#This Row],[Loyer annuel]]/12,"")</f>
        <v>0</v>
      </c>
      <c r="T142" s="12"/>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0</v>
      </c>
      <c r="AD142" s="12"/>
      <c r="AE142" s="6" t="s">
        <v>103</v>
      </c>
      <c r="AF142" s="6" t="s">
        <v>103</v>
      </c>
      <c r="AG142" s="12" t="s">
        <v>382</v>
      </c>
      <c r="AH142" s="10" t="s">
        <v>377</v>
      </c>
      <c r="AI142" s="10" t="s">
        <v>370</v>
      </c>
      <c r="AJ142" s="10" t="s">
        <v>1009</v>
      </c>
      <c r="AK142" s="11" t="s">
        <v>1010</v>
      </c>
      <c r="AL142" s="5" t="s">
        <v>368</v>
      </c>
      <c r="AM142" s="11" t="s">
        <v>1017</v>
      </c>
      <c r="AN142" s="11" t="s">
        <v>1018</v>
      </c>
      <c r="AO142" s="11" t="s">
        <v>1006</v>
      </c>
      <c r="AP142" s="36" t="s">
        <v>1038</v>
      </c>
      <c r="AQ142" s="11" t="s">
        <v>75</v>
      </c>
      <c r="AR142" s="11"/>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1002</v>
      </c>
      <c r="E143" s="10">
        <v>95260</v>
      </c>
      <c r="F143" s="10" t="s">
        <v>1001</v>
      </c>
      <c r="G143" s="39" t="str">
        <f>Tableau1[[#This Row],[Rue]]&amp;CHAR(10)&amp;Tableau1[[#This Row],[Code Postal]]&amp;" - "&amp;Tableau1[[#This Row],[Ville]]</f>
        <v>Parc d’activités Col’Vert Rue du Kiosque
95260 - Mours</v>
      </c>
      <c r="H143" s="15" t="s">
        <v>1008</v>
      </c>
      <c r="I143" s="12" t="s">
        <v>47</v>
      </c>
      <c r="J143" s="12" t="s">
        <v>50</v>
      </c>
      <c r="K143" s="12" t="s">
        <v>103</v>
      </c>
      <c r="L143" s="12" t="s">
        <v>103</v>
      </c>
      <c r="M143" s="36" t="s">
        <v>359</v>
      </c>
      <c r="N143" s="34"/>
      <c r="O143" s="6" t="s">
        <v>103</v>
      </c>
      <c r="P143" s="34" t="s">
        <v>103</v>
      </c>
      <c r="Q143" s="6" t="s">
        <v>103</v>
      </c>
      <c r="R143" s="12">
        <f>Tableau1[[#This Row],[Loyer €/m²]]*Tableau1[[#This Row],[Surface GLA]]</f>
        <v>0</v>
      </c>
      <c r="S143" s="12">
        <f>IFERROR(Tableau1[[#This Row],[Loyer annuel]]/12,"")</f>
        <v>0</v>
      </c>
      <c r="T143" s="12"/>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0</v>
      </c>
      <c r="AD143" s="12"/>
      <c r="AE143" s="6" t="s">
        <v>103</v>
      </c>
      <c r="AF143" s="6" t="s">
        <v>103</v>
      </c>
      <c r="AG143" s="12" t="s">
        <v>382</v>
      </c>
      <c r="AH143" s="10" t="s">
        <v>377</v>
      </c>
      <c r="AI143" s="10" t="s">
        <v>370</v>
      </c>
      <c r="AJ143" s="10" t="s">
        <v>1009</v>
      </c>
      <c r="AK143" s="11" t="s">
        <v>1010</v>
      </c>
      <c r="AL143" s="5" t="s">
        <v>368</v>
      </c>
      <c r="AM143" s="11" t="s">
        <v>1019</v>
      </c>
      <c r="AN143" s="11" t="s">
        <v>1020</v>
      </c>
      <c r="AO143" s="11" t="s">
        <v>1007</v>
      </c>
      <c r="AP143" s="36" t="s">
        <v>1039</v>
      </c>
      <c r="AQ143" s="11" t="s">
        <v>75</v>
      </c>
      <c r="AR143" s="11"/>
      <c r="AS143" s="13" t="s">
        <v>954</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1024</v>
      </c>
      <c r="E144" s="10">
        <v>44200</v>
      </c>
      <c r="F144" s="10" t="s">
        <v>1025</v>
      </c>
      <c r="G144" s="39" t="str">
        <f>Tableau1[[#This Row],[Rue]]&amp;CHAR(10)&amp;Tableau1[[#This Row],[Code Postal]]&amp;" - "&amp;Tableau1[[#This Row],[Ville]]</f>
        <v>15 Boulevard Léon Bureau
44200 - Nantes</v>
      </c>
      <c r="H144" s="15" t="s">
        <v>1023</v>
      </c>
      <c r="I144" s="12" t="s">
        <v>45</v>
      </c>
      <c r="J144" s="12" t="s">
        <v>44</v>
      </c>
      <c r="K144" s="12" t="s">
        <v>103</v>
      </c>
      <c r="L144" s="12" t="s">
        <v>103</v>
      </c>
      <c r="M144" s="36" t="s">
        <v>335</v>
      </c>
      <c r="N144" s="34">
        <v>285</v>
      </c>
      <c r="O144" s="6" t="s">
        <v>103</v>
      </c>
      <c r="P144" s="34" t="s">
        <v>103</v>
      </c>
      <c r="Q144" s="6" t="s">
        <v>103</v>
      </c>
      <c r="R144" s="12">
        <f>Tableau1[[#This Row],[Loyer €/m²]]*Tableau1[[#This Row],[Surface GLA]]</f>
        <v>128250</v>
      </c>
      <c r="S144" s="12">
        <f>IFERROR(Tableau1[[#This Row],[Loyer annuel]]/12,"")</f>
        <v>10687.5</v>
      </c>
      <c r="T144" s="12">
        <v>450</v>
      </c>
      <c r="U144" s="6" t="s">
        <v>103</v>
      </c>
      <c r="V144" s="6">
        <f>Tableau1[[#This Row],[Charges €/m²]]*Tableau1[[#This Row],[Surface GLA]]</f>
        <v>8550</v>
      </c>
      <c r="W144" s="12">
        <f>Tableau1[[#This Row],[Charges annuelles]]/12</f>
        <v>712.5</v>
      </c>
      <c r="X144" s="12">
        <v>30</v>
      </c>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136800</v>
      </c>
      <c r="AD144" s="12" t="str">
        <f t="shared" ref="AD144:AD145" si="5">"3 mois = "&amp;TEXT(ROUND(3/12*R144,0),"### ### ##0 €")</f>
        <v>3 mois = 32 063 €</v>
      </c>
      <c r="AE144" s="6" t="s">
        <v>103</v>
      </c>
      <c r="AF144" s="6" t="s">
        <v>103</v>
      </c>
      <c r="AG144" s="12" t="s">
        <v>382</v>
      </c>
      <c r="AH144" s="10" t="s">
        <v>75</v>
      </c>
      <c r="AI144" s="10" t="s">
        <v>370</v>
      </c>
      <c r="AJ144" s="10" t="s">
        <v>1032</v>
      </c>
      <c r="AK144" s="11" t="s">
        <v>1190</v>
      </c>
      <c r="AL144" s="5" t="s">
        <v>368</v>
      </c>
      <c r="AM144" s="11" t="s">
        <v>1028</v>
      </c>
      <c r="AN144" s="11" t="s">
        <v>1029</v>
      </c>
      <c r="AO144" s="11" t="s">
        <v>1021</v>
      </c>
      <c r="AP144" s="36" t="s">
        <v>1036</v>
      </c>
      <c r="AQ144" s="11" t="s">
        <v>75</v>
      </c>
      <c r="AR144" s="11" t="s">
        <v>1026</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1024</v>
      </c>
      <c r="E145" s="10">
        <v>44200</v>
      </c>
      <c r="F145" s="10" t="s">
        <v>1025</v>
      </c>
      <c r="G145" s="39" t="str">
        <f>Tableau1[[#This Row],[Rue]]&amp;CHAR(10)&amp;Tableau1[[#This Row],[Code Postal]]&amp;" - "&amp;Tableau1[[#This Row],[Ville]]</f>
        <v>15 Boulevard Léon Bureau
44200 - Nantes</v>
      </c>
      <c r="H145" s="15" t="s">
        <v>1023</v>
      </c>
      <c r="I145" s="12" t="s">
        <v>45</v>
      </c>
      <c r="J145" s="12" t="s">
        <v>44</v>
      </c>
      <c r="K145" s="12" t="s">
        <v>103</v>
      </c>
      <c r="L145" s="12" t="s">
        <v>103</v>
      </c>
      <c r="M145" s="36" t="s">
        <v>336</v>
      </c>
      <c r="N145" s="34">
        <v>224</v>
      </c>
      <c r="O145" s="6" t="s">
        <v>103</v>
      </c>
      <c r="P145" s="34" t="s">
        <v>103</v>
      </c>
      <c r="Q145" s="6" t="s">
        <v>103</v>
      </c>
      <c r="R145" s="12">
        <f>Tableau1[[#This Row],[Loyer €/m²]]*Tableau1[[#This Row],[Surface GLA]]</f>
        <v>78400</v>
      </c>
      <c r="S145" s="12">
        <f>IFERROR(Tableau1[[#This Row],[Loyer annuel]]/12,"")</f>
        <v>6533.333333333333</v>
      </c>
      <c r="T145" s="12">
        <v>350</v>
      </c>
      <c r="U145" s="6" t="s">
        <v>103</v>
      </c>
      <c r="V145" s="6">
        <f>Tableau1[[#This Row],[Charges €/m²]]*Tableau1[[#This Row],[Surface GLA]]</f>
        <v>6720</v>
      </c>
      <c r="W145" s="12">
        <f>Tableau1[[#This Row],[Charges annuelles]]/12</f>
        <v>560</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85120</v>
      </c>
      <c r="AD145" s="12" t="str">
        <f t="shared" si="5"/>
        <v>3 mois = 19 600 €</v>
      </c>
      <c r="AE145" s="6" t="s">
        <v>103</v>
      </c>
      <c r="AF145" s="6" t="s">
        <v>103</v>
      </c>
      <c r="AG145" s="12" t="s">
        <v>382</v>
      </c>
      <c r="AH145" s="10" t="s">
        <v>53</v>
      </c>
      <c r="AI145" s="10" t="s">
        <v>369</v>
      </c>
      <c r="AJ145" s="10" t="s">
        <v>1032</v>
      </c>
      <c r="AK145" s="11" t="s">
        <v>1191</v>
      </c>
      <c r="AL145" s="5" t="s">
        <v>368</v>
      </c>
      <c r="AM145" s="11" t="s">
        <v>1030</v>
      </c>
      <c r="AN145" s="11" t="s">
        <v>1031</v>
      </c>
      <c r="AO145" s="11" t="s">
        <v>1022</v>
      </c>
      <c r="AP145" s="36" t="s">
        <v>1033</v>
      </c>
      <c r="AQ145" s="11" t="s">
        <v>75</v>
      </c>
      <c r="AR145" s="11" t="s">
        <v>1027</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1040</v>
      </c>
      <c r="E146" s="10">
        <v>68330</v>
      </c>
      <c r="F146" s="10" t="s">
        <v>900</v>
      </c>
      <c r="G146" s="39" t="str">
        <f>Tableau1[[#This Row],[Rue]]&amp;CHAR(10)&amp;Tableau1[[#This Row],[Code Postal]]&amp;" - "&amp;Tableau1[[#This Row],[Ville]]</f>
        <v>5 avenue d'Alsace
68330 - Huningue</v>
      </c>
      <c r="H146" s="15" t="s">
        <v>1042</v>
      </c>
      <c r="I146" s="12" t="s">
        <v>45</v>
      </c>
      <c r="J146" s="12" t="s">
        <v>50</v>
      </c>
      <c r="K146" s="12" t="s">
        <v>103</v>
      </c>
      <c r="L146" s="12" t="s">
        <v>103</v>
      </c>
      <c r="M146" s="36" t="s">
        <v>1041</v>
      </c>
      <c r="N146" s="34">
        <v>287</v>
      </c>
      <c r="O146" s="6" t="s">
        <v>103</v>
      </c>
      <c r="P146" s="34" t="s">
        <v>103</v>
      </c>
      <c r="Q146" s="6" t="s">
        <v>103</v>
      </c>
      <c r="R146" s="12">
        <f>Tableau1[[#This Row],[Loyer €/m²]]*Tableau1[[#This Row],[Surface GLA]]</f>
        <v>0</v>
      </c>
      <c r="S146" s="12">
        <f>IFERROR(Tableau1[[#This Row],[Loyer annuel]]/12,"")</f>
        <v>0</v>
      </c>
      <c r="T146" s="12"/>
      <c r="U146" s="6" t="s">
        <v>103</v>
      </c>
      <c r="V146" s="6">
        <f>Tableau1[[#This Row],[Charges €/m²]]*Tableau1[[#This Row],[Surface GLA]]</f>
        <v>0</v>
      </c>
      <c r="W146" s="12">
        <f>Tableau1[[#This Row],[Charges annuelles]]/12</f>
        <v>0</v>
      </c>
      <c r="X146" s="12"/>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0</v>
      </c>
      <c r="AD146" s="12"/>
      <c r="AE146" s="6" t="s">
        <v>103</v>
      </c>
      <c r="AF146" s="6" t="s">
        <v>103</v>
      </c>
      <c r="AG146" s="12"/>
      <c r="AH146" s="10"/>
      <c r="AI146" s="10"/>
      <c r="AJ146" s="10"/>
      <c r="AK146" s="11" t="s">
        <v>1054</v>
      </c>
      <c r="AL146" s="5" t="s">
        <v>368</v>
      </c>
      <c r="AM146" s="11" t="s">
        <v>1043</v>
      </c>
      <c r="AN146" s="11" t="s">
        <v>1044</v>
      </c>
      <c r="AO146" s="11">
        <v>33</v>
      </c>
      <c r="AP146" s="36" t="s">
        <v>1055</v>
      </c>
      <c r="AQ146" s="11" t="s">
        <v>75</v>
      </c>
      <c r="AR146" s="11"/>
      <c r="AS146" s="13" t="s">
        <v>1051</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1046</v>
      </c>
      <c r="E147" s="10">
        <v>37600</v>
      </c>
      <c r="F147" s="10" t="s">
        <v>901</v>
      </c>
      <c r="G147" s="39" t="str">
        <f>Tableau1[[#This Row],[Rue]]&amp;CHAR(10)&amp;Tableau1[[#This Row],[Code Postal]]&amp;" - "&amp;Tableau1[[#This Row],[Ville]]</f>
        <v>Super U 38 Route de Vauzelles, Rue du Bon Raisin
37600 - Loches</v>
      </c>
      <c r="H147" s="15" t="s">
        <v>1045</v>
      </c>
      <c r="I147" s="12" t="s">
        <v>47</v>
      </c>
      <c r="J147" s="12" t="s">
        <v>51</v>
      </c>
      <c r="K147" s="12" t="s">
        <v>103</v>
      </c>
      <c r="L147" s="12">
        <v>25000</v>
      </c>
      <c r="M147" s="36" t="s">
        <v>335</v>
      </c>
      <c r="N147" s="34">
        <v>73</v>
      </c>
      <c r="O147" s="6" t="s">
        <v>103</v>
      </c>
      <c r="P147" s="34" t="s">
        <v>103</v>
      </c>
      <c r="Q147" s="6" t="s">
        <v>103</v>
      </c>
      <c r="R147" s="12">
        <f>Tableau1[[#This Row],[Loyer €/m²]]*Tableau1[[#This Row],[Surface GLA]]</f>
        <v>25550</v>
      </c>
      <c r="S147" s="12">
        <f>IFERROR(Tableau1[[#This Row],[Loyer annuel]]/12,"")</f>
        <v>2129.1666666666665</v>
      </c>
      <c r="T147" s="12">
        <v>350</v>
      </c>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25550</v>
      </c>
      <c r="AD147" s="12" t="str">
        <f>"3 mois = "&amp;TEXT(ROUND(3/12*R147,0),"### ### ##0 €")</f>
        <v>3 mois = 6 388 €</v>
      </c>
      <c r="AE147" s="6" t="s">
        <v>103</v>
      </c>
      <c r="AF147" s="6" t="s">
        <v>103</v>
      </c>
      <c r="AG147" s="12" t="s">
        <v>363</v>
      </c>
      <c r="AH147" s="10" t="s">
        <v>53</v>
      </c>
      <c r="AI147" s="10" t="s">
        <v>103</v>
      </c>
      <c r="AJ147" s="10" t="s">
        <v>1047</v>
      </c>
      <c r="AK147" s="11" t="s">
        <v>1053</v>
      </c>
      <c r="AL147" s="5" t="s">
        <v>368</v>
      </c>
      <c r="AM147" s="11" t="s">
        <v>1048</v>
      </c>
      <c r="AN147" s="11" t="s">
        <v>1049</v>
      </c>
      <c r="AO147" s="11">
        <v>34</v>
      </c>
      <c r="AP147" s="36" t="s">
        <v>1056</v>
      </c>
      <c r="AQ147" s="11" t="s">
        <v>75</v>
      </c>
      <c r="AR147" s="43" t="s">
        <v>1052</v>
      </c>
      <c r="AS147" s="13" t="s">
        <v>1050</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1046</v>
      </c>
      <c r="E148" s="10">
        <v>37600</v>
      </c>
      <c r="F148" s="10" t="s">
        <v>901</v>
      </c>
      <c r="G148" s="39" t="str">
        <f>Tableau1[[#This Row],[Rue]]&amp;CHAR(10)&amp;Tableau1[[#This Row],[Code Postal]]&amp;" - "&amp;Tableau1[[#This Row],[Ville]]</f>
        <v>Super U 38 Route de Vauzelles, Rue du Bon Raisin
37600 - Loches</v>
      </c>
      <c r="H148" s="15" t="s">
        <v>1057</v>
      </c>
      <c r="I148" s="12" t="s">
        <v>47</v>
      </c>
      <c r="J148" s="12" t="s">
        <v>50</v>
      </c>
      <c r="K148" s="12" t="s">
        <v>103</v>
      </c>
      <c r="L148" s="12">
        <f>100*Tableau1[[#This Row],[Surface GLA]]</f>
        <v>20000</v>
      </c>
      <c r="M148" s="36" t="s">
        <v>335</v>
      </c>
      <c r="N148" s="34">
        <v>200</v>
      </c>
      <c r="O148" s="6" t="s">
        <v>103</v>
      </c>
      <c r="P148" s="34" t="s">
        <v>103</v>
      </c>
      <c r="Q148" s="6" t="s">
        <v>103</v>
      </c>
      <c r="R148" s="12">
        <f>Tableau1[[#This Row],[Loyer €/m²]]*Tableau1[[#This Row],[Surface GLA]]</f>
        <v>40000</v>
      </c>
      <c r="S148" s="12">
        <f>IFERROR(Tableau1[[#This Row],[Loyer annuel]]/12,"")</f>
        <v>3333.3333333333335</v>
      </c>
      <c r="T148" s="12">
        <v>200</v>
      </c>
      <c r="U148" s="6" t="s">
        <v>103</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103</v>
      </c>
      <c r="AC148" s="12">
        <f>IFERROR(Tableau1[[#This Row],[Loyer annuel]]+Tableau1[[#This Row],[Charges annuelles]]+Tableau1[[#This Row],[Taxe foncière]]+Tableau1[[#This Row],[Marketing]],"")</f>
        <v>56000</v>
      </c>
      <c r="AD148" s="12" t="str">
        <f t="shared" ref="AD148:AD177" si="6">"3 mois = "&amp;TEXT(ROUND(3/12*R148,0),"### ### ##0 €")</f>
        <v>3 mois = 10 000 €</v>
      </c>
      <c r="AE148" s="6" t="s">
        <v>103</v>
      </c>
      <c r="AF148" s="6" t="s">
        <v>103</v>
      </c>
      <c r="AG148" s="12" t="s">
        <v>382</v>
      </c>
      <c r="AH148" s="10" t="s">
        <v>53</v>
      </c>
      <c r="AI148" s="10" t="s">
        <v>103</v>
      </c>
      <c r="AJ148" s="10" t="s">
        <v>1061</v>
      </c>
      <c r="AK148" s="11" t="s">
        <v>1058</v>
      </c>
      <c r="AL148" s="5" t="s">
        <v>368</v>
      </c>
      <c r="AM148" s="11" t="s">
        <v>1066</v>
      </c>
      <c r="AN148" s="11" t="s">
        <v>1067</v>
      </c>
      <c r="AO148" s="11" t="s">
        <v>1059</v>
      </c>
      <c r="AP148" s="36" t="s">
        <v>1076</v>
      </c>
      <c r="AQ148" s="11" t="s">
        <v>75</v>
      </c>
      <c r="AR148" s="11" t="s">
        <v>1060</v>
      </c>
      <c r="AS148" s="13" t="s">
        <v>1050</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1046</v>
      </c>
      <c r="E149" s="10">
        <v>37601</v>
      </c>
      <c r="F149" s="10" t="s">
        <v>901</v>
      </c>
      <c r="G149" s="39" t="str">
        <f>Tableau1[[#This Row],[Rue]]&amp;CHAR(10)&amp;Tableau1[[#This Row],[Code Postal]]&amp;" - "&amp;Tableau1[[#This Row],[Ville]]</f>
        <v>Super U 38 Route de Vauzelles, Rue du Bon Raisin
37601 - Loches</v>
      </c>
      <c r="H149" s="15" t="s">
        <v>1057</v>
      </c>
      <c r="I149" s="12" t="s">
        <v>47</v>
      </c>
      <c r="J149" s="12" t="s">
        <v>50</v>
      </c>
      <c r="K149" s="12" t="s">
        <v>103</v>
      </c>
      <c r="L149" s="12">
        <f>100*Tableau1[[#This Row],[Surface GLA]]</f>
        <v>50000</v>
      </c>
      <c r="M149" s="36" t="s">
        <v>336</v>
      </c>
      <c r="N149" s="34">
        <v>500</v>
      </c>
      <c r="O149" s="6" t="s">
        <v>103</v>
      </c>
      <c r="P149" s="34" t="s">
        <v>103</v>
      </c>
      <c r="Q149" s="6" t="s">
        <v>103</v>
      </c>
      <c r="R149" s="12">
        <f>Tableau1[[#This Row],[Loyer €/m²]]*Tableau1[[#This Row],[Surface GLA]]</f>
        <v>100000</v>
      </c>
      <c r="S149" s="12">
        <f>IFERROR(Tableau1[[#This Row],[Loyer annuel]]/12,"")</f>
        <v>8333.3333333333339</v>
      </c>
      <c r="T149" s="12">
        <v>200</v>
      </c>
      <c r="U149" s="6" t="s">
        <v>103</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103</v>
      </c>
      <c r="AC149" s="12">
        <f>IFERROR(Tableau1[[#This Row],[Loyer annuel]]+Tableau1[[#This Row],[Charges annuelles]]+Tableau1[[#This Row],[Taxe foncière]]+Tableau1[[#This Row],[Marketing]],"")</f>
        <v>140000</v>
      </c>
      <c r="AD149" s="12" t="str">
        <f t="shared" si="6"/>
        <v>3 mois = 25 000 €</v>
      </c>
      <c r="AE149" s="6" t="s">
        <v>103</v>
      </c>
      <c r="AF149" s="6" t="s">
        <v>103</v>
      </c>
      <c r="AG149" s="12" t="s">
        <v>382</v>
      </c>
      <c r="AH149" s="10" t="s">
        <v>53</v>
      </c>
      <c r="AI149" s="10" t="s">
        <v>103</v>
      </c>
      <c r="AJ149" s="10" t="s">
        <v>1061</v>
      </c>
      <c r="AK149" s="11" t="s">
        <v>1058</v>
      </c>
      <c r="AL149" s="5" t="s">
        <v>368</v>
      </c>
      <c r="AM149" s="11" t="s">
        <v>1068</v>
      </c>
      <c r="AN149" s="11" t="s">
        <v>1069</v>
      </c>
      <c r="AO149" s="11" t="s">
        <v>1062</v>
      </c>
      <c r="AP149" s="36" t="s">
        <v>1076</v>
      </c>
      <c r="AQ149" s="11" t="s">
        <v>75</v>
      </c>
      <c r="AR149" s="11" t="s">
        <v>1060</v>
      </c>
      <c r="AS149" s="13" t="s">
        <v>1050</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1046</v>
      </c>
      <c r="E150" s="10">
        <v>37602</v>
      </c>
      <c r="F150" s="10" t="s">
        <v>901</v>
      </c>
      <c r="G150" s="39" t="str">
        <f>Tableau1[[#This Row],[Rue]]&amp;CHAR(10)&amp;Tableau1[[#This Row],[Code Postal]]&amp;" - "&amp;Tableau1[[#This Row],[Ville]]</f>
        <v>Super U 38 Route de Vauzelles, Rue du Bon Raisin
37602 - Loches</v>
      </c>
      <c r="H150" s="15" t="s">
        <v>1057</v>
      </c>
      <c r="I150" s="12" t="s">
        <v>47</v>
      </c>
      <c r="J150" s="12" t="s">
        <v>50</v>
      </c>
      <c r="K150" s="12" t="s">
        <v>103</v>
      </c>
      <c r="L150" s="12">
        <f>100*Tableau1[[#This Row],[Surface GLA]]</f>
        <v>100000</v>
      </c>
      <c r="M150" s="36" t="s">
        <v>357</v>
      </c>
      <c r="N150" s="34">
        <v>1000</v>
      </c>
      <c r="O150" s="6" t="s">
        <v>103</v>
      </c>
      <c r="P150" s="34" t="s">
        <v>103</v>
      </c>
      <c r="Q150" s="6" t="s">
        <v>103</v>
      </c>
      <c r="R150" s="12">
        <f>Tableau1[[#This Row],[Loyer €/m²]]*Tableau1[[#This Row],[Surface GLA]]</f>
        <v>200000</v>
      </c>
      <c r="S150" s="12">
        <f>IFERROR(Tableau1[[#This Row],[Loyer annuel]]/12,"")</f>
        <v>16666.666666666668</v>
      </c>
      <c r="T150" s="12">
        <v>200</v>
      </c>
      <c r="U150" s="6" t="s">
        <v>103</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103</v>
      </c>
      <c r="AC150" s="12">
        <f>IFERROR(Tableau1[[#This Row],[Loyer annuel]]+Tableau1[[#This Row],[Charges annuelles]]+Tableau1[[#This Row],[Taxe foncière]]+Tableau1[[#This Row],[Marketing]],"")</f>
        <v>280000</v>
      </c>
      <c r="AD150" s="12" t="str">
        <f t="shared" si="6"/>
        <v>3 mois = 50 000 €</v>
      </c>
      <c r="AE150" s="6" t="s">
        <v>103</v>
      </c>
      <c r="AF150" s="6" t="s">
        <v>103</v>
      </c>
      <c r="AG150" s="12" t="s">
        <v>382</v>
      </c>
      <c r="AH150" s="10" t="s">
        <v>53</v>
      </c>
      <c r="AI150" s="10" t="s">
        <v>103</v>
      </c>
      <c r="AJ150" s="10" t="s">
        <v>1061</v>
      </c>
      <c r="AK150" s="11" t="s">
        <v>1058</v>
      </c>
      <c r="AL150" s="5" t="s">
        <v>368</v>
      </c>
      <c r="AM150" s="11" t="s">
        <v>1070</v>
      </c>
      <c r="AN150" s="11" t="s">
        <v>1071</v>
      </c>
      <c r="AO150" s="11" t="s">
        <v>1063</v>
      </c>
      <c r="AP150" s="36" t="s">
        <v>1076</v>
      </c>
      <c r="AQ150" s="11" t="s">
        <v>75</v>
      </c>
      <c r="AR150" s="11" t="s">
        <v>1060</v>
      </c>
      <c r="AS150" s="13" t="s">
        <v>1050</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1046</v>
      </c>
      <c r="E151" s="10">
        <v>37603</v>
      </c>
      <c r="F151" s="10" t="s">
        <v>901</v>
      </c>
      <c r="G151" s="39" t="str">
        <f>Tableau1[[#This Row],[Rue]]&amp;CHAR(10)&amp;Tableau1[[#This Row],[Code Postal]]&amp;" - "&amp;Tableau1[[#This Row],[Ville]]</f>
        <v>Super U 38 Route de Vauzelles, Rue du Bon Raisin
37603 - Loches</v>
      </c>
      <c r="H151" s="15" t="s">
        <v>1057</v>
      </c>
      <c r="I151" s="12" t="s">
        <v>47</v>
      </c>
      <c r="J151" s="12" t="s">
        <v>50</v>
      </c>
      <c r="K151" s="12" t="s">
        <v>103</v>
      </c>
      <c r="L151" s="12">
        <f>100*Tableau1[[#This Row],[Surface GLA]]</f>
        <v>200000</v>
      </c>
      <c r="M151" s="36" t="s">
        <v>358</v>
      </c>
      <c r="N151" s="34">
        <v>2000</v>
      </c>
      <c r="O151" s="6" t="s">
        <v>103</v>
      </c>
      <c r="P151" s="34" t="s">
        <v>103</v>
      </c>
      <c r="Q151" s="6" t="s">
        <v>103</v>
      </c>
      <c r="R151" s="12">
        <f>Tableau1[[#This Row],[Loyer €/m²]]*Tableau1[[#This Row],[Surface GLA]]</f>
        <v>400000</v>
      </c>
      <c r="S151" s="12">
        <f>IFERROR(Tableau1[[#This Row],[Loyer annuel]]/12,"")</f>
        <v>33333.333333333336</v>
      </c>
      <c r="T151" s="12">
        <v>200</v>
      </c>
      <c r="U151" s="6" t="s">
        <v>103</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103</v>
      </c>
      <c r="AC151" s="12">
        <f>IFERROR(Tableau1[[#This Row],[Loyer annuel]]+Tableau1[[#This Row],[Charges annuelles]]+Tableau1[[#This Row],[Taxe foncière]]+Tableau1[[#This Row],[Marketing]],"")</f>
        <v>560000</v>
      </c>
      <c r="AD151" s="12" t="str">
        <f t="shared" si="6"/>
        <v>3 mois = 100 000 €</v>
      </c>
      <c r="AE151" s="6" t="s">
        <v>103</v>
      </c>
      <c r="AF151" s="6" t="s">
        <v>103</v>
      </c>
      <c r="AG151" s="12" t="s">
        <v>382</v>
      </c>
      <c r="AH151" s="10" t="s">
        <v>53</v>
      </c>
      <c r="AI151" s="10" t="s">
        <v>103</v>
      </c>
      <c r="AJ151" s="10" t="s">
        <v>1061</v>
      </c>
      <c r="AK151" s="11" t="s">
        <v>1058</v>
      </c>
      <c r="AL151" s="5" t="s">
        <v>368</v>
      </c>
      <c r="AM151" s="11" t="s">
        <v>1072</v>
      </c>
      <c r="AN151" s="11" t="s">
        <v>1073</v>
      </c>
      <c r="AO151" s="11" t="s">
        <v>1064</v>
      </c>
      <c r="AP151" s="36" t="s">
        <v>1076</v>
      </c>
      <c r="AQ151" s="11" t="s">
        <v>75</v>
      </c>
      <c r="AR151" s="11" t="s">
        <v>1060</v>
      </c>
      <c r="AS151" s="13" t="s">
        <v>1050</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1046</v>
      </c>
      <c r="E152" s="10">
        <v>37604</v>
      </c>
      <c r="F152" s="10" t="s">
        <v>901</v>
      </c>
      <c r="G152" s="39" t="str">
        <f>Tableau1[[#This Row],[Rue]]&amp;CHAR(10)&amp;Tableau1[[#This Row],[Code Postal]]&amp;" - "&amp;Tableau1[[#This Row],[Ville]]</f>
        <v>Super U 38 Route de Vauzelles, Rue du Bon Raisin
37604 - Loches</v>
      </c>
      <c r="H152" s="15" t="s">
        <v>1057</v>
      </c>
      <c r="I152" s="12" t="s">
        <v>47</v>
      </c>
      <c r="J152" s="12" t="s">
        <v>50</v>
      </c>
      <c r="K152" s="12" t="s">
        <v>103</v>
      </c>
      <c r="L152" s="12">
        <f>100*Tableau1[[#This Row],[Surface GLA]]</f>
        <v>500000</v>
      </c>
      <c r="M152" s="36" t="s">
        <v>359</v>
      </c>
      <c r="N152" s="34">
        <v>5000</v>
      </c>
      <c r="O152" s="6" t="s">
        <v>103</v>
      </c>
      <c r="P152" s="34" t="s">
        <v>103</v>
      </c>
      <c r="Q152" s="6" t="s">
        <v>103</v>
      </c>
      <c r="R152" s="12">
        <f>Tableau1[[#This Row],[Loyer €/m²]]*Tableau1[[#This Row],[Surface GLA]]</f>
        <v>1000000</v>
      </c>
      <c r="S152" s="12">
        <f>IFERROR(Tableau1[[#This Row],[Loyer annuel]]/12,"")</f>
        <v>83333.333333333328</v>
      </c>
      <c r="T152" s="12">
        <v>200</v>
      </c>
      <c r="U152" s="6" t="s">
        <v>103</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103</v>
      </c>
      <c r="AC152" s="12">
        <f>IFERROR(Tableau1[[#This Row],[Loyer annuel]]+Tableau1[[#This Row],[Charges annuelles]]+Tableau1[[#This Row],[Taxe foncière]]+Tableau1[[#This Row],[Marketing]],"")</f>
        <v>1400000</v>
      </c>
      <c r="AD152" s="12" t="str">
        <f t="shared" si="6"/>
        <v>3 mois = 250 000 €</v>
      </c>
      <c r="AE152" s="6" t="s">
        <v>103</v>
      </c>
      <c r="AF152" s="6" t="s">
        <v>103</v>
      </c>
      <c r="AG152" s="12" t="s">
        <v>382</v>
      </c>
      <c r="AH152" s="10" t="s">
        <v>53</v>
      </c>
      <c r="AI152" s="10" t="s">
        <v>103</v>
      </c>
      <c r="AJ152" s="10" t="s">
        <v>1061</v>
      </c>
      <c r="AK152" s="11" t="s">
        <v>1058</v>
      </c>
      <c r="AL152" s="5" t="s">
        <v>368</v>
      </c>
      <c r="AM152" s="11" t="s">
        <v>1074</v>
      </c>
      <c r="AN152" s="11" t="s">
        <v>1075</v>
      </c>
      <c r="AO152" s="11" t="s">
        <v>1065</v>
      </c>
      <c r="AP152" s="36" t="s">
        <v>1076</v>
      </c>
      <c r="AQ152" s="11" t="s">
        <v>75</v>
      </c>
      <c r="AR152" s="11" t="s">
        <v>1060</v>
      </c>
      <c r="AS152" s="13" t="s">
        <v>1050</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1104</v>
      </c>
      <c r="E153" s="10">
        <v>13127</v>
      </c>
      <c r="F153" s="10" t="s">
        <v>1100</v>
      </c>
      <c r="G153" s="39" t="str">
        <f>Tableau1[[#This Row],[Rue]]&amp;CHAR(10)&amp;Tableau1[[#This Row],[Code Postal]]&amp;" - "&amp;Tableau1[[#This Row],[Ville]]</f>
        <v>14 Boulevard de l'Europe
13127 - Vitrolles</v>
      </c>
      <c r="H153" s="15" t="s">
        <v>1105</v>
      </c>
      <c r="I153" s="12" t="s">
        <v>47</v>
      </c>
      <c r="J153" s="12" t="s">
        <v>48</v>
      </c>
      <c r="K153" s="10" t="s">
        <v>103</v>
      </c>
      <c r="L153" s="12" t="s">
        <v>103</v>
      </c>
      <c r="M153" s="36" t="s">
        <v>1204</v>
      </c>
      <c r="N153" s="34">
        <v>181</v>
      </c>
      <c r="O153" s="6" t="s">
        <v>103</v>
      </c>
      <c r="P153" s="34" t="s">
        <v>103</v>
      </c>
      <c r="Q153" s="6" t="s">
        <v>103</v>
      </c>
      <c r="R153" s="12">
        <f>Tableau1[[#This Row],[Loyer €/m²]]*Tableau1[[#This Row],[Surface GLA]]</f>
        <v>45250</v>
      </c>
      <c r="S153" s="12">
        <f>IFERROR(Tableau1[[#This Row],[Loyer annuel]]/12,"")</f>
        <v>3770.8333333333335</v>
      </c>
      <c r="T153" s="12">
        <v>250</v>
      </c>
      <c r="U153" s="6" t="s">
        <v>103</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103</v>
      </c>
      <c r="AC153" s="12">
        <f>IFERROR(Tableau1[[#This Row],[Loyer annuel]]+Tableau1[[#This Row],[Charges annuelles]]+Tableau1[[#This Row],[Taxe foncière]]+Tableau1[[#This Row],[Marketing]],"")</f>
        <v>48917.06</v>
      </c>
      <c r="AD153" s="12" t="str">
        <f t="shared" si="6"/>
        <v>3 mois = 11 313 €</v>
      </c>
      <c r="AE153" s="6" t="s">
        <v>103</v>
      </c>
      <c r="AF153" s="46">
        <v>0.05</v>
      </c>
      <c r="AG153" s="12" t="s">
        <v>363</v>
      </c>
      <c r="AH153" s="10" t="s">
        <v>75</v>
      </c>
      <c r="AI153" s="10" t="s">
        <v>370</v>
      </c>
      <c r="AJ153" s="10" t="s">
        <v>1149</v>
      </c>
      <c r="AK153" s="11" t="s">
        <v>1203</v>
      </c>
      <c r="AL153" s="5" t="s">
        <v>368</v>
      </c>
      <c r="AM153" s="11">
        <v>43.4393873</v>
      </c>
      <c r="AN153" s="11">
        <v>5.2419589999999996</v>
      </c>
      <c r="AO153" s="11" t="s">
        <v>1208</v>
      </c>
      <c r="AP153" s="36" t="s">
        <v>1270</v>
      </c>
      <c r="AQ153" s="11" t="s">
        <v>75</v>
      </c>
      <c r="AR153" s="11" t="s">
        <v>1202</v>
      </c>
      <c r="AS153" s="13" t="s">
        <v>1146</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1104</v>
      </c>
      <c r="E154" s="10">
        <v>13128</v>
      </c>
      <c r="F154" s="10" t="s">
        <v>1100</v>
      </c>
      <c r="G154" s="39" t="str">
        <f>Tableau1[[#This Row],[Rue]]&amp;CHAR(10)&amp;Tableau1[[#This Row],[Code Postal]]&amp;" - "&amp;Tableau1[[#This Row],[Ville]]</f>
        <v>14 Boulevard de l'Europe
13128 - Vitrolles</v>
      </c>
      <c r="H154" s="15" t="s">
        <v>1105</v>
      </c>
      <c r="I154" s="12" t="s">
        <v>47</v>
      </c>
      <c r="J154" s="12" t="s">
        <v>48</v>
      </c>
      <c r="K154" s="10" t="s">
        <v>1223</v>
      </c>
      <c r="L154" s="12" t="s">
        <v>103</v>
      </c>
      <c r="M154" s="36" t="s">
        <v>1205</v>
      </c>
      <c r="N154" s="34">
        <v>100</v>
      </c>
      <c r="O154" s="6" t="s">
        <v>103</v>
      </c>
      <c r="P154" s="34" t="s">
        <v>103</v>
      </c>
      <c r="Q154" s="6" t="s">
        <v>103</v>
      </c>
      <c r="R154" s="12">
        <f>Tableau1[[#This Row],[Loyer €/m²]]*Tableau1[[#This Row],[Surface GLA]]</f>
        <v>20000</v>
      </c>
      <c r="S154" s="12">
        <f>IFERROR(Tableau1[[#This Row],[Loyer annuel]]/12,"")</f>
        <v>1666.6666666666667</v>
      </c>
      <c r="T154" s="12">
        <v>200</v>
      </c>
      <c r="U154" s="6" t="s">
        <v>103</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103</v>
      </c>
      <c r="AC154" s="12">
        <f>IFERROR(Tableau1[[#This Row],[Loyer annuel]]+Tableau1[[#This Row],[Charges annuelles]]+Tableau1[[#This Row],[Taxe foncière]]+Tableau1[[#This Row],[Marketing]],"")</f>
        <v>22026</v>
      </c>
      <c r="AD154" s="12" t="str">
        <f t="shared" si="6"/>
        <v>3 mois = 5 000 €</v>
      </c>
      <c r="AE154" s="6" t="s">
        <v>103</v>
      </c>
      <c r="AF154" s="46">
        <v>0.05</v>
      </c>
      <c r="AG154" s="12" t="s">
        <v>363</v>
      </c>
      <c r="AH154" s="10" t="s">
        <v>75</v>
      </c>
      <c r="AI154" s="10" t="s">
        <v>370</v>
      </c>
      <c r="AJ154" s="10" t="s">
        <v>1149</v>
      </c>
      <c r="AK154" s="11" t="s">
        <v>1211</v>
      </c>
      <c r="AL154" s="5" t="s">
        <v>368</v>
      </c>
      <c r="AM154" s="11" t="s">
        <v>1206</v>
      </c>
      <c r="AN154" s="11" t="s">
        <v>1207</v>
      </c>
      <c r="AO154" s="11" t="s">
        <v>1209</v>
      </c>
      <c r="AP154" s="36" t="s">
        <v>1253</v>
      </c>
      <c r="AQ154" s="11" t="s">
        <v>75</v>
      </c>
      <c r="AR154" s="11" t="s">
        <v>1212</v>
      </c>
      <c r="AS154" s="13" t="s">
        <v>1146</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1104</v>
      </c>
      <c r="E155" s="10">
        <v>13129</v>
      </c>
      <c r="F155" s="10" t="s">
        <v>1100</v>
      </c>
      <c r="G155" s="39" t="str">
        <f>Tableau1[[#This Row],[Rue]]&amp;CHAR(10)&amp;Tableau1[[#This Row],[Code Postal]]&amp;" - "&amp;Tableau1[[#This Row],[Ville]]</f>
        <v>14 Boulevard de l'Europe
13129 - Vitrolles</v>
      </c>
      <c r="H155" s="15" t="s">
        <v>1105</v>
      </c>
      <c r="I155" s="12" t="s">
        <v>47</v>
      </c>
      <c r="J155" s="12" t="s">
        <v>48</v>
      </c>
      <c r="K155" s="10" t="s">
        <v>1223</v>
      </c>
      <c r="L155" s="12" t="s">
        <v>103</v>
      </c>
      <c r="M155" s="36" t="s">
        <v>1216</v>
      </c>
      <c r="N155" s="34">
        <v>446</v>
      </c>
      <c r="O155" s="6" t="s">
        <v>103</v>
      </c>
      <c r="P155" s="34" t="s">
        <v>103</v>
      </c>
      <c r="Q155" s="6" t="s">
        <v>103</v>
      </c>
      <c r="R155" s="12">
        <f>Tableau1[[#This Row],[Loyer €/m²]]*Tableau1[[#This Row],[Surface GLA]]</f>
        <v>55750</v>
      </c>
      <c r="S155" s="12">
        <f>IFERROR(Tableau1[[#This Row],[Loyer annuel]]/12,"")</f>
        <v>4645.833333333333</v>
      </c>
      <c r="T155" s="12">
        <v>125</v>
      </c>
      <c r="U155" s="6" t="s">
        <v>103</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103</v>
      </c>
      <c r="AC155" s="12">
        <f>IFERROR(Tableau1[[#This Row],[Loyer annuel]]+Tableau1[[#This Row],[Charges annuelles]]+Tableau1[[#This Row],[Taxe foncière]]+Tableau1[[#This Row],[Marketing]],"")</f>
        <v>64785.96</v>
      </c>
      <c r="AD155" s="12" t="str">
        <f t="shared" si="6"/>
        <v>3 mois = 13 938 €</v>
      </c>
      <c r="AE155" s="6" t="s">
        <v>103</v>
      </c>
      <c r="AF155" s="46">
        <v>0.05</v>
      </c>
      <c r="AG155" s="12" t="s">
        <v>363</v>
      </c>
      <c r="AH155" s="10" t="s">
        <v>53</v>
      </c>
      <c r="AI155" s="10" t="s">
        <v>103</v>
      </c>
      <c r="AJ155" s="10" t="s">
        <v>1149</v>
      </c>
      <c r="AK155" s="11" t="s">
        <v>1210</v>
      </c>
      <c r="AL155" s="5" t="s">
        <v>368</v>
      </c>
      <c r="AM155" s="11" t="s">
        <v>1213</v>
      </c>
      <c r="AN155" s="11" t="s">
        <v>1214</v>
      </c>
      <c r="AO155" s="11" t="s">
        <v>1218</v>
      </c>
      <c r="AP155" s="36" t="s">
        <v>1254</v>
      </c>
      <c r="AQ155" s="11" t="s">
        <v>75</v>
      </c>
      <c r="AR155" s="11" t="s">
        <v>1215</v>
      </c>
      <c r="AS155" s="13" t="s">
        <v>1146</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1104</v>
      </c>
      <c r="E156" s="10">
        <v>13130</v>
      </c>
      <c r="F156" s="10" t="s">
        <v>1100</v>
      </c>
      <c r="G156" s="39" t="str">
        <f>Tableau1[[#This Row],[Rue]]&amp;CHAR(10)&amp;Tableau1[[#This Row],[Code Postal]]&amp;" - "&amp;Tableau1[[#This Row],[Ville]]</f>
        <v>14 Boulevard de l'Europe
13130 - Vitrolles</v>
      </c>
      <c r="H156" s="15" t="s">
        <v>1105</v>
      </c>
      <c r="I156" s="12" t="s">
        <v>47</v>
      </c>
      <c r="J156" s="12" t="s">
        <v>48</v>
      </c>
      <c r="K156" s="10" t="s">
        <v>1223</v>
      </c>
      <c r="L156" s="12" t="s">
        <v>103</v>
      </c>
      <c r="M156" s="36" t="s">
        <v>1217</v>
      </c>
      <c r="N156" s="34">
        <v>567</v>
      </c>
      <c r="O156" s="6" t="s">
        <v>103</v>
      </c>
      <c r="P156" s="34" t="s">
        <v>103</v>
      </c>
      <c r="Q156" s="6" t="s">
        <v>103</v>
      </c>
      <c r="R156" s="12">
        <f>Tableau1[[#This Row],[Loyer €/m²]]*Tableau1[[#This Row],[Surface GLA]]</f>
        <v>70875</v>
      </c>
      <c r="S156" s="12">
        <f>IFERROR(Tableau1[[#This Row],[Loyer annuel]]/12,"")</f>
        <v>5906.25</v>
      </c>
      <c r="T156" s="12">
        <v>125</v>
      </c>
      <c r="U156" s="6" t="s">
        <v>103</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103</v>
      </c>
      <c r="AC156" s="12">
        <f>IFERROR(Tableau1[[#This Row],[Loyer annuel]]+Tableau1[[#This Row],[Charges annuelles]]+Tableau1[[#This Row],[Taxe foncière]]+Tableau1[[#This Row],[Marketing]],"")</f>
        <v>82362.42</v>
      </c>
      <c r="AD156" s="12" t="str">
        <f t="shared" si="6"/>
        <v>3 mois = 17 719 €</v>
      </c>
      <c r="AE156" s="6" t="s">
        <v>103</v>
      </c>
      <c r="AF156" s="46">
        <v>0.05</v>
      </c>
      <c r="AG156" s="12" t="s">
        <v>363</v>
      </c>
      <c r="AH156" s="10" t="s">
        <v>53</v>
      </c>
      <c r="AI156" s="10" t="s">
        <v>103</v>
      </c>
      <c r="AJ156" s="10" t="s">
        <v>1149</v>
      </c>
      <c r="AK156" s="11" t="s">
        <v>1210</v>
      </c>
      <c r="AL156" s="5" t="s">
        <v>368</v>
      </c>
      <c r="AM156" s="11" t="s">
        <v>1221</v>
      </c>
      <c r="AN156" s="11" t="s">
        <v>1222</v>
      </c>
      <c r="AO156" s="11" t="s">
        <v>1220</v>
      </c>
      <c r="AP156" s="36" t="s">
        <v>1255</v>
      </c>
      <c r="AQ156" s="11" t="s">
        <v>75</v>
      </c>
      <c r="AR156" s="11" t="s">
        <v>1219</v>
      </c>
      <c r="AS156" s="13" t="s">
        <v>1146</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1138</v>
      </c>
      <c r="E157" s="10">
        <v>13170</v>
      </c>
      <c r="F157" s="10" t="s">
        <v>1126</v>
      </c>
      <c r="G157" s="39" t="str">
        <f>Tableau1[[#This Row],[Rue]]&amp;CHAR(10)&amp;Tableau1[[#This Row],[Code Postal]]&amp;" - "&amp;Tableau1[[#This Row],[Ville]]</f>
        <v>Plan de Campagne, Chemin des Pennes CD6
13170 - Les Pennes-Mirabeau</v>
      </c>
      <c r="H157" s="2" t="s">
        <v>1107</v>
      </c>
      <c r="I157" s="12" t="s">
        <v>47</v>
      </c>
      <c r="J157" s="12" t="s">
        <v>48</v>
      </c>
      <c r="K157" s="10" t="s">
        <v>103</v>
      </c>
      <c r="L157" s="12" t="s">
        <v>103</v>
      </c>
      <c r="M157" s="36"/>
      <c r="N157" s="34">
        <v>1390</v>
      </c>
      <c r="O157" s="6" t="s">
        <v>1225</v>
      </c>
      <c r="P157" s="34" t="s">
        <v>103</v>
      </c>
      <c r="Q157" s="6" t="s">
        <v>103</v>
      </c>
      <c r="R157" s="12">
        <f>Tableau1[[#This Row],[Loyer €/m²]]*Tableau1[[#This Row],[Surface GLA]]</f>
        <v>312750</v>
      </c>
      <c r="S157" s="12">
        <f>IFERROR(Tableau1[[#This Row],[Loyer annuel]]/12,"")</f>
        <v>26062.5</v>
      </c>
      <c r="T157" s="12">
        <v>225</v>
      </c>
      <c r="U157" s="6" t="s">
        <v>103</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103</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363</v>
      </c>
      <c r="AH157" s="10" t="s">
        <v>377</v>
      </c>
      <c r="AI157" s="10" t="s">
        <v>370</v>
      </c>
      <c r="AJ157" s="10" t="s">
        <v>1150</v>
      </c>
      <c r="AK157" s="11" t="s">
        <v>1226</v>
      </c>
      <c r="AL157" s="5" t="s">
        <v>368</v>
      </c>
      <c r="AM157" s="11" t="s">
        <v>1139</v>
      </c>
      <c r="AN157" s="11" t="s">
        <v>1140</v>
      </c>
      <c r="AO157" s="11">
        <v>37</v>
      </c>
      <c r="AP157" s="36" t="s">
        <v>1256</v>
      </c>
      <c r="AQ157" s="11" t="s">
        <v>75</v>
      </c>
      <c r="AR157" s="11" t="s">
        <v>1224</v>
      </c>
      <c r="AS157" s="13" t="s">
        <v>1146</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1127</v>
      </c>
      <c r="E158" s="10">
        <v>18390</v>
      </c>
      <c r="F158" s="10" t="s">
        <v>1128</v>
      </c>
      <c r="G158" s="39" t="str">
        <f>Tableau1[[#This Row],[Rue]]&amp;CHAR(10)&amp;Tableau1[[#This Row],[Code Postal]]&amp;" - "&amp;Tableau1[[#This Row],[Ville]]</f>
        <v>8 Rue des Vignes
18390 - Saint-Germain-du-Puy</v>
      </c>
      <c r="H158" s="15" t="s">
        <v>1108</v>
      </c>
      <c r="I158" s="12" t="s">
        <v>47</v>
      </c>
      <c r="J158" s="12" t="s">
        <v>48</v>
      </c>
      <c r="K158" s="10" t="s">
        <v>103</v>
      </c>
      <c r="L158" s="12" t="s">
        <v>103</v>
      </c>
      <c r="M158" s="36"/>
      <c r="N158" s="34">
        <v>1000</v>
      </c>
      <c r="O158" s="6" t="s">
        <v>103</v>
      </c>
      <c r="P158" s="34" t="s">
        <v>103</v>
      </c>
      <c r="Q158" s="6" t="s">
        <v>103</v>
      </c>
      <c r="R158" s="12">
        <f>Tableau1[[#This Row],[Loyer €/m²]]*Tableau1[[#This Row],[Surface GLA]]</f>
        <v>150000</v>
      </c>
      <c r="S158" s="12">
        <f>IFERROR(Tableau1[[#This Row],[Loyer annuel]]/12,"")</f>
        <v>12500</v>
      </c>
      <c r="T158" s="12">
        <v>150</v>
      </c>
      <c r="U158" s="6" t="s">
        <v>103</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103</v>
      </c>
      <c r="AC158" s="12">
        <f>IFERROR(Tableau1[[#This Row],[Loyer annuel]]+Tableau1[[#This Row],[Charges annuelles]]+Tableau1[[#This Row],[Taxe foncière]]+Tableau1[[#This Row],[Marketing]],"")</f>
        <v>166150</v>
      </c>
      <c r="AD158" s="12" t="str">
        <f t="shared" si="6"/>
        <v>3 mois = 37 500 €</v>
      </c>
      <c r="AE158" s="6" t="s">
        <v>103</v>
      </c>
      <c r="AF158" s="46">
        <v>0.05</v>
      </c>
      <c r="AG158" s="12" t="s">
        <v>363</v>
      </c>
      <c r="AH158" s="10" t="s">
        <v>377</v>
      </c>
      <c r="AI158" s="10" t="s">
        <v>370</v>
      </c>
      <c r="AJ158" s="10" t="s">
        <v>1151</v>
      </c>
      <c r="AK158" s="11" t="s">
        <v>1152</v>
      </c>
      <c r="AL158" s="5" t="s">
        <v>368</v>
      </c>
      <c r="AM158" s="11" t="s">
        <v>1153</v>
      </c>
      <c r="AN158" s="11" t="s">
        <v>1154</v>
      </c>
      <c r="AO158" s="11">
        <v>38</v>
      </c>
      <c r="AP158" s="36" t="s">
        <v>1257</v>
      </c>
      <c r="AQ158" s="11" t="s">
        <v>75</v>
      </c>
      <c r="AR158" s="11" t="s">
        <v>1227</v>
      </c>
      <c r="AS158" s="13" t="s">
        <v>1146</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1130</v>
      </c>
      <c r="E159" s="10">
        <v>18230</v>
      </c>
      <c r="F159" s="10" t="s">
        <v>1129</v>
      </c>
      <c r="G159" s="39" t="str">
        <f>Tableau1[[#This Row],[Rue]]&amp;CHAR(10)&amp;Tableau1[[#This Row],[Code Postal]]&amp;" - "&amp;Tableau1[[#This Row],[Ville]]</f>
        <v>Centre Commercial Géant,  548 Route d'Orléans
18230 -  Saint-Doulchard</v>
      </c>
      <c r="H159" s="15" t="s">
        <v>1109</v>
      </c>
      <c r="I159" s="12" t="s">
        <v>47</v>
      </c>
      <c r="J159" s="12" t="s">
        <v>49</v>
      </c>
      <c r="K159" s="10" t="s">
        <v>103</v>
      </c>
      <c r="L159" s="12"/>
      <c r="M159" s="36"/>
      <c r="N159" s="34">
        <v>5000</v>
      </c>
      <c r="O159" s="6" t="s">
        <v>103</v>
      </c>
      <c r="P159" s="34" t="s">
        <v>103</v>
      </c>
      <c r="Q159" s="6" t="s">
        <v>103</v>
      </c>
      <c r="R159" s="12">
        <f>Tableau1[[#This Row],[Loyer €/m²]]*Tableau1[[#This Row],[Surface GLA]]</f>
        <v>0</v>
      </c>
      <c r="S159" s="12">
        <f>IFERROR(Tableau1[[#This Row],[Loyer annuel]]/12,"")</f>
        <v>0</v>
      </c>
      <c r="T159" s="12"/>
      <c r="U159" s="6" t="s">
        <v>103</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103</v>
      </c>
      <c r="AC159" s="12">
        <f>IFERROR(Tableau1[[#This Row],[Loyer annuel]]+Tableau1[[#This Row],[Charges annuelles]]+Tableau1[[#This Row],[Taxe foncière]]+Tableau1[[#This Row],[Marketing]],"")</f>
        <v>0</v>
      </c>
      <c r="AD159" s="12" t="str">
        <f t="shared" si="6"/>
        <v>3 mois = 0 €</v>
      </c>
      <c r="AE159" s="6" t="s">
        <v>103</v>
      </c>
      <c r="AF159" s="6" t="s">
        <v>103</v>
      </c>
      <c r="AG159" s="12" t="s">
        <v>363</v>
      </c>
      <c r="AH159" s="10" t="s">
        <v>53</v>
      </c>
      <c r="AI159" s="10" t="s">
        <v>103</v>
      </c>
      <c r="AJ159" s="10" t="s">
        <v>1155</v>
      </c>
      <c r="AK159" s="11" t="s">
        <v>1158</v>
      </c>
      <c r="AL159" s="5" t="s">
        <v>368</v>
      </c>
      <c r="AM159" s="11" t="s">
        <v>1156</v>
      </c>
      <c r="AN159" s="11" t="s">
        <v>1157</v>
      </c>
      <c r="AO159" s="11">
        <v>39</v>
      </c>
      <c r="AP159" s="36" t="s">
        <v>1188</v>
      </c>
      <c r="AQ159" s="11" t="s">
        <v>75</v>
      </c>
      <c r="AR159" s="11"/>
      <c r="AS159" s="13" t="s">
        <v>1146</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1131</v>
      </c>
      <c r="E160" s="10">
        <v>54000</v>
      </c>
      <c r="F160" s="10" t="s">
        <v>1101</v>
      </c>
      <c r="G160" s="39" t="str">
        <f>Tableau1[[#This Row],[Rue]]&amp;CHAR(10)&amp;Tableau1[[#This Row],[Code Postal]]&amp;" - "&amp;Tableau1[[#This Row],[Ville]]</f>
        <v>50 Rue Saint-Dizier
54000 - Nancy</v>
      </c>
      <c r="H160" s="15" t="s">
        <v>1110</v>
      </c>
      <c r="I160" s="12" t="s">
        <v>45</v>
      </c>
      <c r="J160" s="12" t="s">
        <v>44</v>
      </c>
      <c r="K160" s="10" t="s">
        <v>103</v>
      </c>
      <c r="L160" s="12" t="s">
        <v>103</v>
      </c>
      <c r="M160" s="36"/>
      <c r="N160" s="34">
        <v>550</v>
      </c>
      <c r="O160" s="6" t="s">
        <v>1229</v>
      </c>
      <c r="P160" s="34" t="s">
        <v>103</v>
      </c>
      <c r="Q160" s="6" t="s">
        <v>103</v>
      </c>
      <c r="R160" s="12">
        <f>Tableau1[[#This Row],[Loyer €/m²]]*Tableau1[[#This Row],[Surface GLA]]</f>
        <v>330000</v>
      </c>
      <c r="S160" s="12">
        <f>IFERROR(Tableau1[[#This Row],[Loyer annuel]]/12,"")</f>
        <v>27500</v>
      </c>
      <c r="T160" s="12">
        <v>600</v>
      </c>
      <c r="U160" s="6" t="s">
        <v>103</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103</v>
      </c>
      <c r="AC160" s="12">
        <f>IFERROR(Tableau1[[#This Row],[Loyer annuel]]+Tableau1[[#This Row],[Charges annuelles]]+Tableau1[[#This Row],[Taxe foncière]]+Tableau1[[#This Row],[Marketing]],"")</f>
        <v>341000</v>
      </c>
      <c r="AD160" s="12" t="str">
        <f t="shared" si="6"/>
        <v>3 mois = 82 500 €</v>
      </c>
      <c r="AE160" s="6" t="s">
        <v>103</v>
      </c>
      <c r="AF160" s="46">
        <v>0.05</v>
      </c>
      <c r="AG160" s="12" t="s">
        <v>363</v>
      </c>
      <c r="AH160" s="10" t="s">
        <v>75</v>
      </c>
      <c r="AI160" s="10" t="s">
        <v>370</v>
      </c>
      <c r="AJ160" s="10" t="s">
        <v>1161</v>
      </c>
      <c r="AK160" s="11" t="s">
        <v>1230</v>
      </c>
      <c r="AL160" s="5" t="s">
        <v>368</v>
      </c>
      <c r="AM160" s="11" t="s">
        <v>1159</v>
      </c>
      <c r="AN160" s="11" t="s">
        <v>1160</v>
      </c>
      <c r="AO160" s="11">
        <v>40</v>
      </c>
      <c r="AP160" s="36" t="s">
        <v>1258</v>
      </c>
      <c r="AQ160" s="11" t="s">
        <v>75</v>
      </c>
      <c r="AR160" s="11" t="s">
        <v>1228</v>
      </c>
      <c r="AS160" s="13" t="s">
        <v>1146</v>
      </c>
      <c r="AT160" s="14"/>
      <c r="AU160" s="44">
        <v>46003</v>
      </c>
    </row>
    <row r="161" spans="1:47" ht="38.25">
      <c r="A161" s="38" t="str">
        <f>VLOOKUP(Tableau1[[#This Row],[N° Département]],Feuil1!$C$6:$E$106,3)</f>
        <v>Hauts-de-France</v>
      </c>
      <c r="B161" s="38" t="str">
        <f>VLOOKUP(Tableau1[[#This Row],[N° Département]],Feuil1!$C$6:$E$106,2)</f>
        <v>Nord</v>
      </c>
      <c r="C161" s="38">
        <f>LEFT(Tableau1[[#This Row],[Code Postal]],2)*1</f>
        <v>59</v>
      </c>
      <c r="D161" s="10" t="s">
        <v>1132</v>
      </c>
      <c r="E161" s="10">
        <v>59300</v>
      </c>
      <c r="F161" s="10" t="s">
        <v>1133</v>
      </c>
      <c r="G161" s="47" t="str">
        <f>Tableau1[[#This Row],[Rue]]&amp;CHAR(10)&amp;Tableau1[[#This Row],[Code Postal]]&amp;" - "&amp;Tableau1[[#This Row],[Ville]]</f>
        <v>ZAC D'Aulnoy
59300 - Aulnoy-lez-Valenciennes</v>
      </c>
      <c r="H161" s="15" t="s">
        <v>1298</v>
      </c>
      <c r="I161" s="12" t="s">
        <v>47</v>
      </c>
      <c r="J161" s="12" t="s">
        <v>49</v>
      </c>
      <c r="K161" s="10" t="s">
        <v>103</v>
      </c>
      <c r="L161" s="12" t="s">
        <v>103</v>
      </c>
      <c r="M161" s="36"/>
      <c r="N161" s="34">
        <v>480</v>
      </c>
      <c r="O161" s="6" t="s">
        <v>103</v>
      </c>
      <c r="P161" s="34" t="s">
        <v>103</v>
      </c>
      <c r="Q161" s="6" t="s">
        <v>103</v>
      </c>
      <c r="R161" s="12">
        <f>Tableau1[[#This Row],[Loyer €/m²]]*Tableau1[[#This Row],[Surface GLA]]</f>
        <v>144000</v>
      </c>
      <c r="S161" s="12">
        <f>IFERROR(Tableau1[[#This Row],[Loyer annuel]]/12,"")</f>
        <v>12000</v>
      </c>
      <c r="T161" s="12">
        <v>300</v>
      </c>
      <c r="U161" s="46">
        <v>0.08</v>
      </c>
      <c r="V161" s="6">
        <f>Tableau1[[#This Row],[Charges €/m²]]*Tableau1[[#This Row],[Surface GLA]]</f>
        <v>32880</v>
      </c>
      <c r="W161" s="12">
        <f>Tableau1[[#This Row],[Charges annuelles]]/12</f>
        <v>2740</v>
      </c>
      <c r="X161" s="12">
        <v>68.5</v>
      </c>
      <c r="Y161" s="12">
        <f>IFERROR(Tableau1[[#This Row],[Taxe foncière €/m²]]*Tableau1[[#This Row],[Surface GLA]],)</f>
        <v>16800</v>
      </c>
      <c r="Z161" s="12">
        <v>35</v>
      </c>
      <c r="AA161" s="12">
        <f>IFERROR(Tableau1[[#This Row],[Marketing €/m²]]*Tableau1[[#This Row],[Surface GLA]],)</f>
        <v>12000</v>
      </c>
      <c r="AB161" s="6">
        <v>25</v>
      </c>
      <c r="AC161" s="12">
        <f>IFERROR(Tableau1[[#This Row],[Loyer annuel]]+Tableau1[[#This Row],[Charges annuelles]]+Tableau1[[#This Row],[Taxe foncière]]+Tableau1[[#This Row],[Marketing]],"")</f>
        <v>205680</v>
      </c>
      <c r="AD161" s="12" t="str">
        <f t="shared" si="6"/>
        <v>3 mois = 36 000 €</v>
      </c>
      <c r="AE161" s="6" t="s">
        <v>103</v>
      </c>
      <c r="AF161" s="46">
        <v>0.05</v>
      </c>
      <c r="AG161" s="12" t="s">
        <v>363</v>
      </c>
      <c r="AH161" s="10" t="s">
        <v>377</v>
      </c>
      <c r="AI161" s="10" t="s">
        <v>370</v>
      </c>
      <c r="AJ161" s="10" t="s">
        <v>1300</v>
      </c>
      <c r="AK161" s="11" t="s">
        <v>1301</v>
      </c>
      <c r="AL161" s="5" t="s">
        <v>368</v>
      </c>
      <c r="AM161" s="11" t="s">
        <v>1287</v>
      </c>
      <c r="AN161" s="11" t="s">
        <v>1288</v>
      </c>
      <c r="AO161" s="11" t="s">
        <v>1275</v>
      </c>
      <c r="AP161" s="36" t="s">
        <v>1303</v>
      </c>
      <c r="AQ161" s="11" t="s">
        <v>75</v>
      </c>
      <c r="AR161" s="11" t="s">
        <v>1281</v>
      </c>
      <c r="AS161" s="13" t="s">
        <v>1146</v>
      </c>
      <c r="AT161" s="14"/>
      <c r="AU161" s="44">
        <v>46003</v>
      </c>
    </row>
    <row r="162" spans="1:47" ht="25.5">
      <c r="A162" s="38" t="str">
        <f>VLOOKUP(Tableau1[[#This Row],[N° Département]],Feuil1!$C$6:$E$106,3)</f>
        <v>Hauts-de-France</v>
      </c>
      <c r="B162" s="38" t="str">
        <f>VLOOKUP(Tableau1[[#This Row],[N° Département]],Feuil1!$C$6:$E$106,2)</f>
        <v>Nord</v>
      </c>
      <c r="C162" s="38">
        <f>LEFT(Tableau1[[#This Row],[Code Postal]],2)*1</f>
        <v>59</v>
      </c>
      <c r="D162" s="10" t="s">
        <v>1132</v>
      </c>
      <c r="E162" s="10">
        <v>59300</v>
      </c>
      <c r="F162" s="10" t="s">
        <v>1133</v>
      </c>
      <c r="G162" s="47" t="str">
        <f>Tableau1[[#This Row],[Rue]]&amp;CHAR(10)&amp;Tableau1[[#This Row],[Code Postal]]&amp;" - "&amp;Tableau1[[#This Row],[Ville]]</f>
        <v>ZAC D'Aulnoy
59300 - Aulnoy-lez-Valenciennes</v>
      </c>
      <c r="H162" s="15" t="s">
        <v>1298</v>
      </c>
      <c r="I162" s="12" t="s">
        <v>47</v>
      </c>
      <c r="J162" s="12" t="s">
        <v>49</v>
      </c>
      <c r="K162" s="10" t="s">
        <v>103</v>
      </c>
      <c r="L162" s="12" t="s">
        <v>103</v>
      </c>
      <c r="M162" s="36"/>
      <c r="N162" s="34">
        <v>200</v>
      </c>
      <c r="O162" s="6" t="s">
        <v>103</v>
      </c>
      <c r="P162" s="34" t="s">
        <v>103</v>
      </c>
      <c r="Q162" s="6" t="s">
        <v>103</v>
      </c>
      <c r="R162" s="12">
        <f>Tableau1[[#This Row],[Loyer €/m²]]*Tableau1[[#This Row],[Surface GLA]]</f>
        <v>110000</v>
      </c>
      <c r="S162" s="12">
        <f>IFERROR(Tableau1[[#This Row],[Loyer annuel]]/12,"")</f>
        <v>9166.6666666666661</v>
      </c>
      <c r="T162" s="12">
        <v>550</v>
      </c>
      <c r="U162" s="46">
        <v>0.08</v>
      </c>
      <c r="V162" s="6">
        <f>Tableau1[[#This Row],[Charges €/m²]]*Tableau1[[#This Row],[Surface GLA]]</f>
        <v>13700</v>
      </c>
      <c r="W162" s="12">
        <f>Tableau1[[#This Row],[Charges annuelles]]/12</f>
        <v>1141.6666666666667</v>
      </c>
      <c r="X162" s="12">
        <v>68.5</v>
      </c>
      <c r="Y162" s="12">
        <f>IFERROR(Tableau1[[#This Row],[Taxe foncière €/m²]]*Tableau1[[#This Row],[Surface GLA]],)</f>
        <v>7000</v>
      </c>
      <c r="Z162" s="12">
        <v>35</v>
      </c>
      <c r="AA162" s="12">
        <f>IFERROR(Tableau1[[#This Row],[Marketing €/m²]]*Tableau1[[#This Row],[Surface GLA]],)</f>
        <v>5000</v>
      </c>
      <c r="AB162" s="6">
        <v>25</v>
      </c>
      <c r="AC162" s="12">
        <f>IFERROR(Tableau1[[#This Row],[Loyer annuel]]+Tableau1[[#This Row],[Charges annuelles]]+Tableau1[[#This Row],[Taxe foncière]]+Tableau1[[#This Row],[Marketing]],"")</f>
        <v>135700</v>
      </c>
      <c r="AD162" s="12" t="str">
        <f t="shared" si="6"/>
        <v>3 mois = 27 500 €</v>
      </c>
      <c r="AE162" s="6" t="s">
        <v>103</v>
      </c>
      <c r="AF162" s="46">
        <v>0.05</v>
      </c>
      <c r="AG162" s="12" t="s">
        <v>363</v>
      </c>
      <c r="AH162" s="10" t="s">
        <v>377</v>
      </c>
      <c r="AI162" s="10" t="s">
        <v>370</v>
      </c>
      <c r="AJ162" s="10" t="s">
        <v>1300</v>
      </c>
      <c r="AK162" s="11" t="s">
        <v>1302</v>
      </c>
      <c r="AL162" s="5" t="s">
        <v>368</v>
      </c>
      <c r="AM162" s="11" t="s">
        <v>1289</v>
      </c>
      <c r="AN162" s="11" t="s">
        <v>1290</v>
      </c>
      <c r="AO162" s="11" t="s">
        <v>1276</v>
      </c>
      <c r="AP162" s="36" t="s">
        <v>1304</v>
      </c>
      <c r="AQ162" s="11" t="s">
        <v>75</v>
      </c>
      <c r="AR162" s="11" t="s">
        <v>1282</v>
      </c>
      <c r="AS162" s="13" t="s">
        <v>1146</v>
      </c>
      <c r="AT162" s="14"/>
      <c r="AU162" s="44"/>
    </row>
    <row r="163" spans="1:47" ht="25.5">
      <c r="A163" s="38" t="str">
        <f>VLOOKUP(Tableau1[[#This Row],[N° Département]],Feuil1!$C$6:$E$106,3)</f>
        <v>Hauts-de-France</v>
      </c>
      <c r="B163" s="38" t="str">
        <f>VLOOKUP(Tableau1[[#This Row],[N° Département]],Feuil1!$C$6:$E$106,2)</f>
        <v>Nord</v>
      </c>
      <c r="C163" s="38">
        <f>LEFT(Tableau1[[#This Row],[Code Postal]],2)*1</f>
        <v>59</v>
      </c>
      <c r="D163" s="10" t="s">
        <v>1132</v>
      </c>
      <c r="E163" s="10">
        <v>59300</v>
      </c>
      <c r="F163" s="10" t="s">
        <v>1133</v>
      </c>
      <c r="G163" s="47" t="str">
        <f>Tableau1[[#This Row],[Rue]]&amp;CHAR(10)&amp;Tableau1[[#This Row],[Code Postal]]&amp;" - "&amp;Tableau1[[#This Row],[Ville]]</f>
        <v>ZAC D'Aulnoy
59300 - Aulnoy-lez-Valenciennes</v>
      </c>
      <c r="H163" s="15" t="s">
        <v>1298</v>
      </c>
      <c r="I163" s="12" t="s">
        <v>47</v>
      </c>
      <c r="J163" s="12" t="s">
        <v>49</v>
      </c>
      <c r="K163" s="10" t="s">
        <v>103</v>
      </c>
      <c r="L163" s="12" t="s">
        <v>103</v>
      </c>
      <c r="M163" s="36"/>
      <c r="N163" s="34">
        <v>90</v>
      </c>
      <c r="O163" s="6" t="s">
        <v>103</v>
      </c>
      <c r="P163" s="34" t="s">
        <v>103</v>
      </c>
      <c r="Q163" s="6" t="s">
        <v>103</v>
      </c>
      <c r="R163" s="12">
        <f>Tableau1[[#This Row],[Loyer €/m²]]*Tableau1[[#This Row],[Surface GLA]]</f>
        <v>54000</v>
      </c>
      <c r="S163" s="12">
        <f>IFERROR(Tableau1[[#This Row],[Loyer annuel]]/12,"")</f>
        <v>4500</v>
      </c>
      <c r="T163" s="12">
        <v>600</v>
      </c>
      <c r="U163" s="46">
        <v>0.08</v>
      </c>
      <c r="V163" s="6">
        <f>Tableau1[[#This Row],[Charges €/m²]]*Tableau1[[#This Row],[Surface GLA]]</f>
        <v>6165</v>
      </c>
      <c r="W163" s="12">
        <f>Tableau1[[#This Row],[Charges annuelles]]/12</f>
        <v>513.75</v>
      </c>
      <c r="X163" s="12">
        <v>68.5</v>
      </c>
      <c r="Y163" s="12">
        <f>IFERROR(Tableau1[[#This Row],[Taxe foncière €/m²]]*Tableau1[[#This Row],[Surface GLA]],)</f>
        <v>3150</v>
      </c>
      <c r="Z163" s="12">
        <v>35</v>
      </c>
      <c r="AA163" s="12">
        <f>IFERROR(Tableau1[[#This Row],[Marketing €/m²]]*Tableau1[[#This Row],[Surface GLA]],)</f>
        <v>2250</v>
      </c>
      <c r="AB163" s="6">
        <v>25</v>
      </c>
      <c r="AC163" s="12">
        <f>IFERROR(Tableau1[[#This Row],[Loyer annuel]]+Tableau1[[#This Row],[Charges annuelles]]+Tableau1[[#This Row],[Taxe foncière]]+Tableau1[[#This Row],[Marketing]],"")</f>
        <v>65565</v>
      </c>
      <c r="AD163" s="12" t="str">
        <f t="shared" si="6"/>
        <v>3 mois = 13 500 €</v>
      </c>
      <c r="AE163" s="6" t="s">
        <v>103</v>
      </c>
      <c r="AF163" s="46">
        <v>0.05</v>
      </c>
      <c r="AG163" s="12" t="s">
        <v>363</v>
      </c>
      <c r="AH163" s="10" t="s">
        <v>377</v>
      </c>
      <c r="AI163" s="10" t="s">
        <v>370</v>
      </c>
      <c r="AJ163" s="10" t="s">
        <v>1300</v>
      </c>
      <c r="AK163" s="11" t="s">
        <v>1302</v>
      </c>
      <c r="AL163" s="5" t="s">
        <v>368</v>
      </c>
      <c r="AM163" s="11" t="s">
        <v>1289</v>
      </c>
      <c r="AN163" s="11" t="s">
        <v>1291</v>
      </c>
      <c r="AO163" s="11" t="s">
        <v>1277</v>
      </c>
      <c r="AP163" s="36" t="s">
        <v>1305</v>
      </c>
      <c r="AQ163" s="11" t="s">
        <v>75</v>
      </c>
      <c r="AR163" s="11" t="s">
        <v>1283</v>
      </c>
      <c r="AS163" s="13" t="s">
        <v>1146</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1132</v>
      </c>
      <c r="E164" s="10">
        <v>59300</v>
      </c>
      <c r="F164" s="10" t="s">
        <v>1133</v>
      </c>
      <c r="G164" s="47" t="str">
        <f>Tableau1[[#This Row],[Rue]]&amp;CHAR(10)&amp;Tableau1[[#This Row],[Code Postal]]&amp;" - "&amp;Tableau1[[#This Row],[Ville]]</f>
        <v>ZAC D'Aulnoy
59300 - Aulnoy-lez-Valenciennes</v>
      </c>
      <c r="H164" s="15" t="s">
        <v>1298</v>
      </c>
      <c r="I164" s="12" t="s">
        <v>47</v>
      </c>
      <c r="J164" s="12" t="s">
        <v>49</v>
      </c>
      <c r="K164" s="10" t="s">
        <v>103</v>
      </c>
      <c r="L164" s="12" t="s">
        <v>103</v>
      </c>
      <c r="M164" s="36"/>
      <c r="N164" s="34">
        <v>78</v>
      </c>
      <c r="O164" s="6" t="s">
        <v>103</v>
      </c>
      <c r="P164" s="34" t="s">
        <v>103</v>
      </c>
      <c r="Q164" s="6" t="s">
        <v>103</v>
      </c>
      <c r="R164" s="12">
        <f>Tableau1[[#This Row],[Loyer €/m²]]*Tableau1[[#This Row],[Surface GLA]]</f>
        <v>46800</v>
      </c>
      <c r="S164" s="12">
        <f>IFERROR(Tableau1[[#This Row],[Loyer annuel]]/12,"")</f>
        <v>3900</v>
      </c>
      <c r="T164" s="12">
        <v>600</v>
      </c>
      <c r="U164" s="46">
        <v>0.08</v>
      </c>
      <c r="V164" s="6">
        <f>Tableau1[[#This Row],[Charges €/m²]]*Tableau1[[#This Row],[Surface GLA]]</f>
        <v>5343</v>
      </c>
      <c r="W164" s="12">
        <f>Tableau1[[#This Row],[Charges annuelles]]/12</f>
        <v>445.25</v>
      </c>
      <c r="X164" s="12">
        <v>68.5</v>
      </c>
      <c r="Y164" s="12">
        <f>IFERROR(Tableau1[[#This Row],[Taxe foncière €/m²]]*Tableau1[[#This Row],[Surface GLA]],)</f>
        <v>2730</v>
      </c>
      <c r="Z164" s="12">
        <v>35</v>
      </c>
      <c r="AA164" s="12">
        <f>IFERROR(Tableau1[[#This Row],[Marketing €/m²]]*Tableau1[[#This Row],[Surface GLA]],)</f>
        <v>1950</v>
      </c>
      <c r="AB164" s="6">
        <v>25</v>
      </c>
      <c r="AC164" s="12">
        <f>IFERROR(Tableau1[[#This Row],[Loyer annuel]]+Tableau1[[#This Row],[Charges annuelles]]+Tableau1[[#This Row],[Taxe foncière]]+Tableau1[[#This Row],[Marketing]],"")</f>
        <v>56823</v>
      </c>
      <c r="AD164" s="12" t="str">
        <f t="shared" si="6"/>
        <v>3 mois = 11 700 €</v>
      </c>
      <c r="AE164" s="6" t="s">
        <v>103</v>
      </c>
      <c r="AF164" s="46">
        <v>0.05</v>
      </c>
      <c r="AG164" s="12" t="s">
        <v>363</v>
      </c>
      <c r="AH164" s="10" t="s">
        <v>53</v>
      </c>
      <c r="AI164" s="10" t="s">
        <v>369</v>
      </c>
      <c r="AJ164" s="10" t="s">
        <v>1300</v>
      </c>
      <c r="AK164" s="11" t="s">
        <v>1302</v>
      </c>
      <c r="AL164" s="5" t="s">
        <v>368</v>
      </c>
      <c r="AM164" s="11" t="s">
        <v>1292</v>
      </c>
      <c r="AN164" s="11" t="s">
        <v>1293</v>
      </c>
      <c r="AO164" s="11" t="s">
        <v>1278</v>
      </c>
      <c r="AP164" s="36" t="s">
        <v>1306</v>
      </c>
      <c r="AQ164" s="11" t="s">
        <v>75</v>
      </c>
      <c r="AR164" s="11" t="s">
        <v>1284</v>
      </c>
      <c r="AS164" s="13" t="s">
        <v>1146</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1132</v>
      </c>
      <c r="E165" s="10">
        <v>59300</v>
      </c>
      <c r="F165" s="10" t="s">
        <v>1133</v>
      </c>
      <c r="G165" s="47" t="str">
        <f>Tableau1[[#This Row],[Rue]]&amp;CHAR(10)&amp;Tableau1[[#This Row],[Code Postal]]&amp;" - "&amp;Tableau1[[#This Row],[Ville]]</f>
        <v>ZAC D'Aulnoy
59300 - Aulnoy-lez-Valenciennes</v>
      </c>
      <c r="H165" s="15" t="s">
        <v>1298</v>
      </c>
      <c r="I165" s="12" t="s">
        <v>47</v>
      </c>
      <c r="J165" s="12" t="s">
        <v>49</v>
      </c>
      <c r="K165" s="10" t="s">
        <v>103</v>
      </c>
      <c r="L165" s="12" t="s">
        <v>103</v>
      </c>
      <c r="M165" s="36"/>
      <c r="N165" s="34">
        <v>70</v>
      </c>
      <c r="O165" s="6" t="s">
        <v>103</v>
      </c>
      <c r="P165" s="34" t="s">
        <v>103</v>
      </c>
      <c r="Q165" s="6" t="s">
        <v>103</v>
      </c>
      <c r="R165" s="12">
        <f>Tableau1[[#This Row],[Loyer €/m²]]*Tableau1[[#This Row],[Surface GLA]]</f>
        <v>38500</v>
      </c>
      <c r="S165" s="12">
        <f>IFERROR(Tableau1[[#This Row],[Loyer annuel]]/12,"")</f>
        <v>3208.3333333333335</v>
      </c>
      <c r="T165" s="12">
        <v>550</v>
      </c>
      <c r="U165" s="46">
        <v>0.08</v>
      </c>
      <c r="V165" s="6">
        <f>Tableau1[[#This Row],[Charges €/m²]]*Tableau1[[#This Row],[Surface GLA]]</f>
        <v>4795</v>
      </c>
      <c r="W165" s="12">
        <f>Tableau1[[#This Row],[Charges annuelles]]/12</f>
        <v>399.58333333333331</v>
      </c>
      <c r="X165" s="12">
        <v>68.5</v>
      </c>
      <c r="Y165" s="12">
        <f>IFERROR(Tableau1[[#This Row],[Taxe foncière €/m²]]*Tableau1[[#This Row],[Surface GLA]],)</f>
        <v>2450</v>
      </c>
      <c r="Z165" s="12">
        <v>35</v>
      </c>
      <c r="AA165" s="12">
        <f>IFERROR(Tableau1[[#This Row],[Marketing €/m²]]*Tableau1[[#This Row],[Surface GLA]],)</f>
        <v>1750</v>
      </c>
      <c r="AB165" s="6">
        <v>25</v>
      </c>
      <c r="AC165" s="12">
        <f>IFERROR(Tableau1[[#This Row],[Loyer annuel]]+Tableau1[[#This Row],[Charges annuelles]]+Tableau1[[#This Row],[Taxe foncière]]+Tableau1[[#This Row],[Marketing]],"")</f>
        <v>47495</v>
      </c>
      <c r="AD165" s="12" t="str">
        <f t="shared" si="6"/>
        <v>3 mois = 9 625 €</v>
      </c>
      <c r="AE165" s="6" t="s">
        <v>103</v>
      </c>
      <c r="AF165" s="46">
        <v>0.05</v>
      </c>
      <c r="AG165" s="12" t="s">
        <v>363</v>
      </c>
      <c r="AH165" s="10" t="s">
        <v>377</v>
      </c>
      <c r="AI165" s="10" t="s">
        <v>370</v>
      </c>
      <c r="AJ165" s="10" t="s">
        <v>1300</v>
      </c>
      <c r="AK165" s="11" t="s">
        <v>1302</v>
      </c>
      <c r="AL165" s="5" t="s">
        <v>368</v>
      </c>
      <c r="AM165" s="11" t="s">
        <v>1294</v>
      </c>
      <c r="AN165" s="11" t="s">
        <v>1295</v>
      </c>
      <c r="AO165" s="11" t="s">
        <v>1279</v>
      </c>
      <c r="AP165" s="36" t="s">
        <v>1307</v>
      </c>
      <c r="AQ165" s="11" t="s">
        <v>75</v>
      </c>
      <c r="AR165" s="11" t="s">
        <v>1285</v>
      </c>
      <c r="AS165" s="13" t="s">
        <v>1146</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1132</v>
      </c>
      <c r="E166" s="10">
        <v>59300</v>
      </c>
      <c r="F166" s="10" t="s">
        <v>1133</v>
      </c>
      <c r="G166" s="47" t="str">
        <f>Tableau1[[#This Row],[Rue]]&amp;CHAR(10)&amp;Tableau1[[#This Row],[Code Postal]]&amp;" - "&amp;Tableau1[[#This Row],[Ville]]</f>
        <v>ZAC D'Aulnoy
59300 - Aulnoy-lez-Valenciennes</v>
      </c>
      <c r="H166" s="15" t="s">
        <v>1298</v>
      </c>
      <c r="I166" s="12" t="s">
        <v>47</v>
      </c>
      <c r="J166" s="12" t="s">
        <v>49</v>
      </c>
      <c r="K166" s="10" t="s">
        <v>1309</v>
      </c>
      <c r="L166" s="12" t="s">
        <v>103</v>
      </c>
      <c r="M166" s="36"/>
      <c r="N166" s="34">
        <v>20</v>
      </c>
      <c r="O166" s="6" t="s">
        <v>103</v>
      </c>
      <c r="P166" s="34" t="s">
        <v>103</v>
      </c>
      <c r="Q166" s="6" t="s">
        <v>103</v>
      </c>
      <c r="R166" s="12">
        <f>Tableau1[[#This Row],[Loyer €/m²]]*Tableau1[[#This Row],[Surface GLA]]</f>
        <v>24000</v>
      </c>
      <c r="S166" s="12">
        <f>IFERROR(Tableau1[[#This Row],[Loyer annuel]]/12,"")</f>
        <v>2000</v>
      </c>
      <c r="T166" s="12">
        <v>1200</v>
      </c>
      <c r="U166" s="46">
        <v>0.08</v>
      </c>
      <c r="V166" s="6">
        <f>Tableau1[[#This Row],[Charges €/m²]]*Tableau1[[#This Row],[Surface GLA]]</f>
        <v>1370</v>
      </c>
      <c r="W166" s="12">
        <f>Tableau1[[#This Row],[Charges annuelles]]/12</f>
        <v>114.16666666666667</v>
      </c>
      <c r="X166" s="12">
        <v>68.5</v>
      </c>
      <c r="Y166" s="12">
        <f>IFERROR(Tableau1[[#This Row],[Taxe foncière €/m²]]*Tableau1[[#This Row],[Surface GLA]],)</f>
        <v>700</v>
      </c>
      <c r="Z166" s="12">
        <v>35</v>
      </c>
      <c r="AA166" s="12">
        <f>IFERROR(Tableau1[[#This Row],[Marketing €/m²]]*Tableau1[[#This Row],[Surface GLA]],)</f>
        <v>500</v>
      </c>
      <c r="AB166" s="6">
        <v>25</v>
      </c>
      <c r="AC166" s="12">
        <f>IFERROR(Tableau1[[#This Row],[Loyer annuel]]+Tableau1[[#This Row],[Charges annuelles]]+Tableau1[[#This Row],[Taxe foncière]]+Tableau1[[#This Row],[Marketing]],"")</f>
        <v>26570</v>
      </c>
      <c r="AD166" s="12" t="str">
        <f t="shared" si="6"/>
        <v>3 mois = 6 000 €</v>
      </c>
      <c r="AE166" s="6" t="s">
        <v>103</v>
      </c>
      <c r="AF166" s="46">
        <v>0.05</v>
      </c>
      <c r="AG166" s="12" t="s">
        <v>363</v>
      </c>
      <c r="AH166" s="10" t="s">
        <v>53</v>
      </c>
      <c r="AI166" s="10" t="s">
        <v>369</v>
      </c>
      <c r="AJ166" s="10" t="s">
        <v>1300</v>
      </c>
      <c r="AK166" s="11" t="s">
        <v>1302</v>
      </c>
      <c r="AL166" s="5" t="s">
        <v>368</v>
      </c>
      <c r="AM166" s="11" t="s">
        <v>1296</v>
      </c>
      <c r="AN166" s="11" t="s">
        <v>1297</v>
      </c>
      <c r="AO166" s="11" t="s">
        <v>1280</v>
      </c>
      <c r="AP166" s="36" t="s">
        <v>1308</v>
      </c>
      <c r="AQ166" s="11" t="s">
        <v>75</v>
      </c>
      <c r="AR166" s="11" t="s">
        <v>1286</v>
      </c>
      <c r="AS166" s="13" t="s">
        <v>1146</v>
      </c>
      <c r="AT166" s="14"/>
      <c r="AU166" s="44"/>
    </row>
    <row r="167" spans="1:47" ht="38.25">
      <c r="A167" s="38" t="str">
        <f>VLOOKUP(Tableau1[[#This Row],[N° Département]],Feuil1!$C$6:$E$106,3)</f>
        <v>Hauts-de-France</v>
      </c>
      <c r="B167" s="38" t="str">
        <f>VLOOKUP(Tableau1[[#This Row],[N° Département]],Feuil1!$C$6:$E$106,2)</f>
        <v>Nord</v>
      </c>
      <c r="C167" s="38">
        <f>LEFT(Tableau1[[#This Row],[Code Postal]],2)*1</f>
        <v>59</v>
      </c>
      <c r="D167" s="10" t="s">
        <v>1231</v>
      </c>
      <c r="E167" s="10">
        <v>59320</v>
      </c>
      <c r="F167" s="10" t="s">
        <v>1134</v>
      </c>
      <c r="G167" s="39" t="str">
        <f>Tableau1[[#This Row],[Rue]]&amp;CHAR(10)&amp;Tableau1[[#This Row],[Code Postal]]&amp;" - "&amp;Tableau1[[#This Row],[Ville]]</f>
        <v>5001 Rue des Fusillés de 1940
59320 - Ennetières-en-Weppes</v>
      </c>
      <c r="H167" s="15" t="s">
        <v>1163</v>
      </c>
      <c r="I167" s="12" t="s">
        <v>47</v>
      </c>
      <c r="J167" s="12" t="s">
        <v>48</v>
      </c>
      <c r="K167" s="10" t="s">
        <v>103</v>
      </c>
      <c r="L167" s="12" t="s">
        <v>103</v>
      </c>
      <c r="M167" s="36"/>
      <c r="N167" s="34">
        <v>750</v>
      </c>
      <c r="O167" s="6" t="s">
        <v>103</v>
      </c>
      <c r="P167" s="34" t="s">
        <v>103</v>
      </c>
      <c r="Q167" s="6" t="s">
        <v>103</v>
      </c>
      <c r="R167" s="12">
        <f>Tableau1[[#This Row],[Loyer €/m²]]*Tableau1[[#This Row],[Surface GLA]]</f>
        <v>262500</v>
      </c>
      <c r="S167" s="12">
        <f>IFERROR(Tableau1[[#This Row],[Loyer annuel]]/12,"")</f>
        <v>21875</v>
      </c>
      <c r="T167" s="12">
        <v>350</v>
      </c>
      <c r="U167" s="6" t="s">
        <v>103</v>
      </c>
      <c r="V167" s="6">
        <f>Tableau1[[#This Row],[Charges €/m²]]*Tableau1[[#This Row],[Surface GLA]]</f>
        <v>10725</v>
      </c>
      <c r="W167" s="12">
        <f>Tableau1[[#This Row],[Charges annuelles]]/12</f>
        <v>893.75</v>
      </c>
      <c r="X167" s="12">
        <v>14.3</v>
      </c>
      <c r="Y167" s="12">
        <f>IFERROR(Tableau1[[#This Row],[Taxe foncière €/m²]]*Tableau1[[#This Row],[Surface GLA]],)</f>
        <v>13200.000000000002</v>
      </c>
      <c r="Z167" s="12">
        <v>17.600000000000001</v>
      </c>
      <c r="AA167" s="12">
        <f>IFERROR(Tableau1[[#This Row],[Marketing €/m²]]*Tableau1[[#This Row],[Surface GLA]],)</f>
        <v>0</v>
      </c>
      <c r="AB167" s="6" t="s">
        <v>103</v>
      </c>
      <c r="AC167" s="12">
        <f>IFERROR(Tableau1[[#This Row],[Loyer annuel]]+Tableau1[[#This Row],[Charges annuelles]]+Tableau1[[#This Row],[Taxe foncière]]+Tableau1[[#This Row],[Marketing]],"")</f>
        <v>286425</v>
      </c>
      <c r="AD167" s="12" t="str">
        <f t="shared" si="6"/>
        <v>3 mois = 65 625 €</v>
      </c>
      <c r="AE167" s="6" t="s">
        <v>103</v>
      </c>
      <c r="AF167" s="46">
        <v>0.05</v>
      </c>
      <c r="AG167" s="12" t="s">
        <v>363</v>
      </c>
      <c r="AH167" s="10" t="s">
        <v>75</v>
      </c>
      <c r="AI167" s="10" t="s">
        <v>370</v>
      </c>
      <c r="AJ167" s="10" t="s">
        <v>1162</v>
      </c>
      <c r="AK167" s="11" t="s">
        <v>1232</v>
      </c>
      <c r="AL167" s="5" t="s">
        <v>368</v>
      </c>
      <c r="AM167" s="11" t="s">
        <v>1147</v>
      </c>
      <c r="AN167" s="11" t="s">
        <v>1148</v>
      </c>
      <c r="AO167" s="11">
        <v>42</v>
      </c>
      <c r="AP167" s="36" t="s">
        <v>1259</v>
      </c>
      <c r="AQ167" s="11" t="s">
        <v>75</v>
      </c>
      <c r="AR167" s="11" t="s">
        <v>1272</v>
      </c>
      <c r="AS167" s="13" t="s">
        <v>1146</v>
      </c>
      <c r="AT167" s="14"/>
      <c r="AU167" s="44">
        <v>46003</v>
      </c>
    </row>
    <row r="168" spans="1:47" ht="25.5">
      <c r="A168" s="38" t="str">
        <f>VLOOKUP(Tableau1[[#This Row],[N° Département]],Feuil1!$C$6:$E$106,3)</f>
        <v>Grand Est</v>
      </c>
      <c r="B168" s="38" t="str">
        <f>VLOOKUP(Tableau1[[#This Row],[N° Département]],Feuil1!$C$6:$E$106,2)</f>
        <v>Haut-Rhin</v>
      </c>
      <c r="C168" s="38">
        <f>LEFT(Tableau1[[#This Row],[Code Postal]],2)*1</f>
        <v>68</v>
      </c>
      <c r="D168" s="10" t="s">
        <v>1135</v>
      </c>
      <c r="E168" s="10">
        <v>68270</v>
      </c>
      <c r="F168" s="10" t="s">
        <v>1136</v>
      </c>
      <c r="G168" s="39" t="str">
        <f>Tableau1[[#This Row],[Rue]]&amp;CHAR(10)&amp;Tableau1[[#This Row],[Code Postal]]&amp;" - "&amp;Tableau1[[#This Row],[Ville]]</f>
        <v>11 Rue de Soultz
68270 - Wittenheim</v>
      </c>
      <c r="H168" s="15" t="s">
        <v>1111</v>
      </c>
      <c r="I168" s="12" t="s">
        <v>47</v>
      </c>
      <c r="J168" s="12" t="s">
        <v>48</v>
      </c>
      <c r="K168" s="10" t="s">
        <v>103</v>
      </c>
      <c r="L168" s="12" t="s">
        <v>103</v>
      </c>
      <c r="M168" s="36"/>
      <c r="N168" s="34">
        <v>930</v>
      </c>
      <c r="O168" s="6" t="s">
        <v>103</v>
      </c>
      <c r="P168" s="34" t="s">
        <v>103</v>
      </c>
      <c r="Q168" s="6" t="s">
        <v>103</v>
      </c>
      <c r="R168" s="12">
        <f>Tableau1[[#This Row],[Loyer €/m²]]*Tableau1[[#This Row],[Surface GLA]]</f>
        <v>209250</v>
      </c>
      <c r="S168" s="12">
        <f>IFERROR(Tableau1[[#This Row],[Loyer annuel]]/12,"")</f>
        <v>17437.5</v>
      </c>
      <c r="T168" s="12">
        <v>225</v>
      </c>
      <c r="U168" s="6" t="s">
        <v>103</v>
      </c>
      <c r="V168" s="6">
        <f>Tableau1[[#This Row],[Charges €/m²]]*Tableau1[[#This Row],[Surface GLA]]</f>
        <v>3069</v>
      </c>
      <c r="W168" s="12">
        <f>Tableau1[[#This Row],[Charges annuelles]]/12</f>
        <v>255.75</v>
      </c>
      <c r="X168" s="12">
        <v>3.3</v>
      </c>
      <c r="Y168" s="12">
        <f>IFERROR(Tableau1[[#This Row],[Taxe foncière €/m²]]*Tableau1[[#This Row],[Surface GLA]],)</f>
        <v>12276</v>
      </c>
      <c r="Z168" s="12">
        <v>13.2</v>
      </c>
      <c r="AA168" s="12">
        <f>IFERROR(Tableau1[[#This Row],[Marketing €/m²]]*Tableau1[[#This Row],[Surface GLA]],)</f>
        <v>0</v>
      </c>
      <c r="AB168" s="6" t="s">
        <v>103</v>
      </c>
      <c r="AC168" s="12">
        <f>IFERROR(Tableau1[[#This Row],[Loyer annuel]]+Tableau1[[#This Row],[Charges annuelles]]+Tableau1[[#This Row],[Taxe foncière]]+Tableau1[[#This Row],[Marketing]],"")</f>
        <v>224595</v>
      </c>
      <c r="AD168" s="12" t="str">
        <f t="shared" si="6"/>
        <v>3 mois = 52 313 €</v>
      </c>
      <c r="AE168" s="6" t="s">
        <v>103</v>
      </c>
      <c r="AF168" s="46">
        <v>0.05</v>
      </c>
      <c r="AG168" s="12" t="s">
        <v>363</v>
      </c>
      <c r="AH168" s="10" t="s">
        <v>377</v>
      </c>
      <c r="AI168" s="10" t="s">
        <v>370</v>
      </c>
      <c r="AJ168" s="10" t="s">
        <v>1234</v>
      </c>
      <c r="AK168" s="11" t="s">
        <v>1189</v>
      </c>
      <c r="AL168" s="5" t="s">
        <v>368</v>
      </c>
      <c r="AM168" s="11" t="s">
        <v>1164</v>
      </c>
      <c r="AN168" s="11" t="s">
        <v>1165</v>
      </c>
      <c r="AO168" s="11">
        <v>43</v>
      </c>
      <c r="AP168" s="36" t="s">
        <v>1260</v>
      </c>
      <c r="AQ168" s="11" t="s">
        <v>75</v>
      </c>
      <c r="AR168" s="11" t="s">
        <v>1233</v>
      </c>
      <c r="AS168" s="13" t="s">
        <v>1146</v>
      </c>
      <c r="AT168" s="14"/>
      <c r="AU168" s="44">
        <v>46003</v>
      </c>
    </row>
    <row r="169" spans="1:47" ht="25.5">
      <c r="A169" s="38" t="str">
        <f>VLOOKUP(Tableau1[[#This Row],[N° Département]],Feuil1!$C$6:$E$106,3)</f>
        <v>Ile-de-France</v>
      </c>
      <c r="B169" s="38" t="str">
        <f>VLOOKUP(Tableau1[[#This Row],[N° Département]],Feuil1!$C$6:$E$106,2)</f>
        <v>Seine-et-Marne</v>
      </c>
      <c r="C169" s="38">
        <f>LEFT(Tableau1[[#This Row],[Code Postal]],2)*1</f>
        <v>77</v>
      </c>
      <c r="D169" s="10" t="s">
        <v>1137</v>
      </c>
      <c r="E169" s="10">
        <v>77140</v>
      </c>
      <c r="F169" s="10" t="s">
        <v>1102</v>
      </c>
      <c r="G169" s="39" t="str">
        <f>Tableau1[[#This Row],[Rue]]&amp;CHAR(10)&amp;Tableau1[[#This Row],[Code Postal]]&amp;" - "&amp;Tableau1[[#This Row],[Ville]]</f>
        <v>31 Rue de Montargis
77140 - Nemours</v>
      </c>
      <c r="H169" s="15" t="s">
        <v>1112</v>
      </c>
      <c r="I169" s="12" t="s">
        <v>47</v>
      </c>
      <c r="J169" s="12" t="s">
        <v>48</v>
      </c>
      <c r="K169" s="10" t="s">
        <v>103</v>
      </c>
      <c r="L169" s="12" t="s">
        <v>103</v>
      </c>
      <c r="M169" s="36"/>
      <c r="N169" s="34">
        <v>760</v>
      </c>
      <c r="O169" s="6" t="s">
        <v>1236</v>
      </c>
      <c r="P169" s="34" t="s">
        <v>103</v>
      </c>
      <c r="Q169" s="6" t="s">
        <v>103</v>
      </c>
      <c r="R169" s="12">
        <f>Tableau1[[#This Row],[Loyer €/m²]]*Tableau1[[#This Row],[Surface GLA]]</f>
        <v>95000</v>
      </c>
      <c r="S169" s="12">
        <f>IFERROR(Tableau1[[#This Row],[Loyer annuel]]/12,"")</f>
        <v>7916.666666666667</v>
      </c>
      <c r="T169" s="12">
        <v>125</v>
      </c>
      <c r="U169" s="6" t="s">
        <v>103</v>
      </c>
      <c r="V169" s="6">
        <f>Tableau1[[#This Row],[Charges €/m²]]*Tableau1[[#This Row],[Surface GLA]]</f>
        <v>3800</v>
      </c>
      <c r="W169" s="12">
        <f>Tableau1[[#This Row],[Charges annuelles]]/12</f>
        <v>316.66666666666669</v>
      </c>
      <c r="X169" s="12">
        <v>5</v>
      </c>
      <c r="Y169" s="12">
        <f>IFERROR(Tableau1[[#This Row],[Taxe foncière €/m²]]*Tableau1[[#This Row],[Surface GLA]],)</f>
        <v>17480</v>
      </c>
      <c r="Z169" s="12">
        <v>23</v>
      </c>
      <c r="AA169" s="12">
        <f>IFERROR(Tableau1[[#This Row],[Marketing €/m²]]*Tableau1[[#This Row],[Surface GLA]],)</f>
        <v>0</v>
      </c>
      <c r="AB169" s="6" t="s">
        <v>103</v>
      </c>
      <c r="AC169" s="12">
        <f>IFERROR(Tableau1[[#This Row],[Loyer annuel]]+Tableau1[[#This Row],[Charges annuelles]]+Tableau1[[#This Row],[Taxe foncière]]+Tableau1[[#This Row],[Marketing]],"")</f>
        <v>116280</v>
      </c>
      <c r="AD169" s="12" t="str">
        <f t="shared" si="6"/>
        <v>3 mois = 23 750 €</v>
      </c>
      <c r="AE169" s="6" t="s">
        <v>103</v>
      </c>
      <c r="AF169" s="46">
        <v>0.05</v>
      </c>
      <c r="AG169" s="12" t="s">
        <v>363</v>
      </c>
      <c r="AH169" s="10" t="s">
        <v>377</v>
      </c>
      <c r="AI169" s="10" t="s">
        <v>370</v>
      </c>
      <c r="AJ169" s="10" t="s">
        <v>1168</v>
      </c>
      <c r="AK169" s="11" t="s">
        <v>1237</v>
      </c>
      <c r="AL169" s="5" t="s">
        <v>368</v>
      </c>
      <c r="AM169" s="11" t="s">
        <v>1166</v>
      </c>
      <c r="AN169" s="11" t="s">
        <v>1167</v>
      </c>
      <c r="AO169" s="11">
        <v>44</v>
      </c>
      <c r="AP169" s="36" t="s">
        <v>1261</v>
      </c>
      <c r="AQ169" s="11" t="s">
        <v>75</v>
      </c>
      <c r="AR169" s="11" t="s">
        <v>1235</v>
      </c>
      <c r="AS169" s="13" t="s">
        <v>1146</v>
      </c>
      <c r="AT169" s="14"/>
      <c r="AU169" s="44">
        <v>46003</v>
      </c>
    </row>
    <row r="170" spans="1:47" ht="38.25">
      <c r="A170" s="38" t="str">
        <f>VLOOKUP(Tableau1[[#This Row],[N° Département]],Feuil1!$C$6:$E$106,3)</f>
        <v>Provence-Alpes-Côte d'Azur</v>
      </c>
      <c r="B170" s="38" t="str">
        <f>VLOOKUP(Tableau1[[#This Row],[N° Département]],Feuil1!$C$6:$E$106,2)</f>
        <v>Var</v>
      </c>
      <c r="C170" s="38">
        <f>LEFT(Tableau1[[#This Row],[Code Postal]],2)*1</f>
        <v>83</v>
      </c>
      <c r="D170" s="10" t="s">
        <v>1119</v>
      </c>
      <c r="E170" s="10">
        <v>83160</v>
      </c>
      <c r="F170" s="10" t="s">
        <v>1118</v>
      </c>
      <c r="G170" s="39" t="str">
        <f>Tableau1[[#This Row],[Rue]]&amp;CHAR(10)&amp;Tableau1[[#This Row],[Code Postal]]&amp;" - "&amp;Tableau1[[#This Row],[Ville]]</f>
        <v>23 Avenue des Frères Lumière
83160 - La Valette-du-Var</v>
      </c>
      <c r="H170" s="15" t="s">
        <v>1113</v>
      </c>
      <c r="I170" s="12" t="s">
        <v>45</v>
      </c>
      <c r="J170" s="12" t="s">
        <v>50</v>
      </c>
      <c r="K170" s="10" t="s">
        <v>103</v>
      </c>
      <c r="L170" s="12"/>
      <c r="M170" s="36"/>
      <c r="N170" s="34">
        <v>276</v>
      </c>
      <c r="O170" s="6" t="s">
        <v>1238</v>
      </c>
      <c r="P170" s="34" t="s">
        <v>103</v>
      </c>
      <c r="Q170" s="6" t="s">
        <v>103</v>
      </c>
      <c r="R170" s="12">
        <f>Tableau1[[#This Row],[Loyer €/m²]]*Tableau1[[#This Row],[Surface GLA]]</f>
        <v>151800</v>
      </c>
      <c r="S170" s="12">
        <f>IFERROR(Tableau1[[#This Row],[Loyer annuel]]/12,"")</f>
        <v>12650</v>
      </c>
      <c r="T170" s="12">
        <v>550</v>
      </c>
      <c r="U170" s="6" t="s">
        <v>103</v>
      </c>
      <c r="V170" s="6">
        <f>Tableau1[[#This Row],[Charges €/m²]]*Tableau1[[#This Row],[Surface GLA]]</f>
        <v>2760</v>
      </c>
      <c r="W170" s="12">
        <f>Tableau1[[#This Row],[Charges annuelles]]/12</f>
        <v>230</v>
      </c>
      <c r="X170" s="12">
        <v>10</v>
      </c>
      <c r="Y170" s="12">
        <f>IFERROR(Tableau1[[#This Row],[Taxe foncière €/m²]]*Tableau1[[#This Row],[Surface GLA]],)</f>
        <v>6348</v>
      </c>
      <c r="Z170" s="12">
        <v>23</v>
      </c>
      <c r="AA170" s="12">
        <f>IFERROR(Tableau1[[#This Row],[Marketing €/m²]]*Tableau1[[#This Row],[Surface GLA]],)</f>
        <v>0</v>
      </c>
      <c r="AB170" s="6" t="s">
        <v>103</v>
      </c>
      <c r="AC170" s="12">
        <f>IFERROR(Tableau1[[#This Row],[Loyer annuel]]+Tableau1[[#This Row],[Charges annuelles]]+Tableau1[[#This Row],[Taxe foncière]]+Tableau1[[#This Row],[Marketing]],"")</f>
        <v>160908</v>
      </c>
      <c r="AD170" s="12" t="str">
        <f t="shared" si="6"/>
        <v>3 mois = 37 950 €</v>
      </c>
      <c r="AE170" s="12" t="str">
        <f t="shared" ref="AE170:AE176" si="7">"6 mois = "&amp;TEXT(ROUND(6/12*R170,0),"### ### ##0 €")</f>
        <v>6 mois = 75 900 €</v>
      </c>
      <c r="AF170" s="46">
        <v>0.05</v>
      </c>
      <c r="AG170" s="12" t="s">
        <v>363</v>
      </c>
      <c r="AH170" s="10" t="s">
        <v>75</v>
      </c>
      <c r="AI170" s="10" t="s">
        <v>370</v>
      </c>
      <c r="AJ170" s="10" t="s">
        <v>1171</v>
      </c>
      <c r="AK170" s="11" t="s">
        <v>1299</v>
      </c>
      <c r="AL170" s="5" t="s">
        <v>368</v>
      </c>
      <c r="AM170" s="11" t="s">
        <v>1169</v>
      </c>
      <c r="AN170" s="11" t="s">
        <v>1170</v>
      </c>
      <c r="AO170" s="11" t="s">
        <v>1142</v>
      </c>
      <c r="AP170" s="36" t="s">
        <v>1262</v>
      </c>
      <c r="AQ170" s="11" t="s">
        <v>75</v>
      </c>
      <c r="AR170" s="11" t="s">
        <v>1273</v>
      </c>
      <c r="AS170" s="13" t="s">
        <v>1146</v>
      </c>
      <c r="AT170" s="14"/>
      <c r="AU170" s="44">
        <v>46003</v>
      </c>
    </row>
    <row r="171" spans="1:47" ht="25.5">
      <c r="A171" s="38" t="str">
        <f>VLOOKUP(Tableau1[[#This Row],[N° Département]],Feuil1!$C$6:$E$106,3)</f>
        <v>Provence-Alpes-Côte d'Azur</v>
      </c>
      <c r="B171" s="38" t="str">
        <f>VLOOKUP(Tableau1[[#This Row],[N° Département]],Feuil1!$C$6:$E$106,2)</f>
        <v>Var</v>
      </c>
      <c r="C171" s="38">
        <f>LEFT(Tableau1[[#This Row],[Code Postal]],2)*1</f>
        <v>83</v>
      </c>
      <c r="D171" s="10" t="s">
        <v>1239</v>
      </c>
      <c r="E171" s="10">
        <v>83161</v>
      </c>
      <c r="F171" s="10" t="s">
        <v>1118</v>
      </c>
      <c r="G171" s="39" t="str">
        <f>Tableau1[[#This Row],[Rue]]&amp;CHAR(10)&amp;Tableau1[[#This Row],[Code Postal]]&amp;" - "&amp;Tableau1[[#This Row],[Ville]]</f>
        <v>83 Avenue de l'Université
83161 - La Valette-du-Var</v>
      </c>
      <c r="H171" s="15" t="s">
        <v>1114</v>
      </c>
      <c r="I171" s="12" t="s">
        <v>45</v>
      </c>
      <c r="J171" s="12" t="s">
        <v>50</v>
      </c>
      <c r="K171" s="10" t="s">
        <v>103</v>
      </c>
      <c r="L171" s="12">
        <v>60000</v>
      </c>
      <c r="M171" s="36"/>
      <c r="N171" s="34">
        <v>470</v>
      </c>
      <c r="O171" s="6" t="s">
        <v>103</v>
      </c>
      <c r="P171" s="34" t="s">
        <v>103</v>
      </c>
      <c r="Q171" s="6" t="s">
        <v>103</v>
      </c>
      <c r="R171" s="12">
        <f>Tableau1[[#This Row],[Loyer €/m²]]*Tableau1[[#This Row],[Surface GLA]]</f>
        <v>188000</v>
      </c>
      <c r="S171" s="12">
        <f>IFERROR(Tableau1[[#This Row],[Loyer annuel]]/12,"")</f>
        <v>15666.666666666666</v>
      </c>
      <c r="T171" s="12">
        <v>400</v>
      </c>
      <c r="U171" s="46">
        <v>0.08</v>
      </c>
      <c r="V171" s="6">
        <f>Tableau1[[#This Row],[Charges €/m²]]*Tableau1[[#This Row],[Surface GLA]]</f>
        <v>2350</v>
      </c>
      <c r="W171" s="12">
        <f>Tableau1[[#This Row],[Charges annuelles]]/12</f>
        <v>195.83333333333334</v>
      </c>
      <c r="X171" s="12">
        <v>5</v>
      </c>
      <c r="Y171" s="12">
        <f>IFERROR(Tableau1[[#This Row],[Taxe foncière €/m²]]*Tableau1[[#This Row],[Surface GLA]],)</f>
        <v>16450</v>
      </c>
      <c r="Z171" s="12">
        <v>35</v>
      </c>
      <c r="AA171" s="12">
        <f>IFERROR(Tableau1[[#This Row],[Marketing €/m²]]*Tableau1[[#This Row],[Surface GLA]],)</f>
        <v>0</v>
      </c>
      <c r="AB171" s="6" t="s">
        <v>103</v>
      </c>
      <c r="AC171" s="12">
        <f>IFERROR(Tableau1[[#This Row],[Loyer annuel]]+Tableau1[[#This Row],[Charges annuelles]]+Tableau1[[#This Row],[Taxe foncière]]+Tableau1[[#This Row],[Marketing]],"")</f>
        <v>206800</v>
      </c>
      <c r="AD171" s="12" t="str">
        <f t="shared" si="6"/>
        <v>3 mois = 47 000 €</v>
      </c>
      <c r="AE171" s="12" t="str">
        <f t="shared" si="7"/>
        <v>6 mois = 94 000 €</v>
      </c>
      <c r="AF171" s="46">
        <v>0.05</v>
      </c>
      <c r="AG171" s="12" t="s">
        <v>363</v>
      </c>
      <c r="AH171" s="10" t="s">
        <v>377</v>
      </c>
      <c r="AI171" s="10" t="s">
        <v>370</v>
      </c>
      <c r="AJ171" s="10" t="s">
        <v>1172</v>
      </c>
      <c r="AK171" s="11" t="s">
        <v>1241</v>
      </c>
      <c r="AL171" s="5" t="s">
        <v>368</v>
      </c>
      <c r="AM171" s="11" t="s">
        <v>1173</v>
      </c>
      <c r="AN171" s="11" t="s">
        <v>1174</v>
      </c>
      <c r="AO171" s="11" t="s">
        <v>1141</v>
      </c>
      <c r="AP171" s="36" t="s">
        <v>1263</v>
      </c>
      <c r="AQ171" s="11" t="s">
        <v>75</v>
      </c>
      <c r="AR171" s="11" t="s">
        <v>1240</v>
      </c>
      <c r="AS171" s="13" t="s">
        <v>1146</v>
      </c>
      <c r="AT171" s="14"/>
      <c r="AU171" s="44">
        <v>46003</v>
      </c>
    </row>
    <row r="172" spans="1:47" ht="51">
      <c r="A172" s="38" t="str">
        <f>VLOOKUP(Tableau1[[#This Row],[N° Département]],Feuil1!$C$6:$E$106,3)</f>
        <v>Provence-Alpes-Côte d'Azur</v>
      </c>
      <c r="B172" s="38" t="str">
        <f>VLOOKUP(Tableau1[[#This Row],[N° Département]],Feuil1!$C$6:$E$106,2)</f>
        <v>Vaucluse</v>
      </c>
      <c r="C172" s="38">
        <f>LEFT(Tableau1[[#This Row],[Code Postal]],2)*1</f>
        <v>84</v>
      </c>
      <c r="D172" s="10" t="s">
        <v>1120</v>
      </c>
      <c r="E172" s="10">
        <v>84140</v>
      </c>
      <c r="F172" s="10" t="s">
        <v>1103</v>
      </c>
      <c r="G172" s="39" t="str">
        <f>Tableau1[[#This Row],[Rue]]&amp;CHAR(10)&amp;Tableau1[[#This Row],[Code Postal]]&amp;" - "&amp;Tableau1[[#This Row],[Ville]]</f>
        <v>330 Avenue Marcou Delanglade
84140 - Avignon</v>
      </c>
      <c r="H172" s="15" t="s">
        <v>1178</v>
      </c>
      <c r="I172" s="12" t="s">
        <v>47</v>
      </c>
      <c r="J172" s="12" t="s">
        <v>48</v>
      </c>
      <c r="K172" s="10" t="s">
        <v>103</v>
      </c>
      <c r="L172" s="12" t="s">
        <v>103</v>
      </c>
      <c r="M172" s="36"/>
      <c r="N172" s="34">
        <v>616</v>
      </c>
      <c r="O172" s="6" t="s">
        <v>1243</v>
      </c>
      <c r="P172" s="34" t="s">
        <v>103</v>
      </c>
      <c r="Q172" s="6" t="s">
        <v>103</v>
      </c>
      <c r="R172" s="12">
        <f>Tableau1[[#This Row],[Loyer €/m²]]*Tableau1[[#This Row],[Surface GLA]]</f>
        <v>123200</v>
      </c>
      <c r="S172" s="12">
        <f>IFERROR(Tableau1[[#This Row],[Loyer annuel]]/12,"")</f>
        <v>10266.666666666666</v>
      </c>
      <c r="T172" s="12">
        <v>200</v>
      </c>
      <c r="U172" s="6" t="s">
        <v>103</v>
      </c>
      <c r="V172" s="6">
        <f>Tableau1[[#This Row],[Charges €/m²]]*Tableau1[[#This Row],[Surface GLA]]</f>
        <v>11088</v>
      </c>
      <c r="W172" s="12">
        <f>Tableau1[[#This Row],[Charges annuelles]]/12</f>
        <v>924</v>
      </c>
      <c r="X172" s="12">
        <v>18</v>
      </c>
      <c r="Y172" s="12">
        <f>IFERROR(Tableau1[[#This Row],[Taxe foncière €/m²]]*Tableau1[[#This Row],[Surface GLA]],)</f>
        <v>8624</v>
      </c>
      <c r="Z172" s="12">
        <v>14</v>
      </c>
      <c r="AA172" s="12">
        <f>IFERROR(Tableau1[[#This Row],[Marketing €/m²]]*Tableau1[[#This Row],[Surface GLA]],)</f>
        <v>0</v>
      </c>
      <c r="AB172" s="6" t="s">
        <v>103</v>
      </c>
      <c r="AC172" s="12">
        <f>IFERROR(Tableau1[[#This Row],[Loyer annuel]]+Tableau1[[#This Row],[Charges annuelles]]+Tableau1[[#This Row],[Taxe foncière]]+Tableau1[[#This Row],[Marketing]],"")</f>
        <v>142912</v>
      </c>
      <c r="AD172" s="12" t="str">
        <f t="shared" si="6"/>
        <v>3 mois = 30 800 €</v>
      </c>
      <c r="AE172" s="12" t="str">
        <f t="shared" si="7"/>
        <v>6 mois = 61 600 €</v>
      </c>
      <c r="AF172" s="46">
        <v>0.05</v>
      </c>
      <c r="AG172" s="12" t="s">
        <v>363</v>
      </c>
      <c r="AH172" s="10" t="s">
        <v>75</v>
      </c>
      <c r="AI172" s="10" t="s">
        <v>370</v>
      </c>
      <c r="AJ172" s="10" t="s">
        <v>1177</v>
      </c>
      <c r="AK172" s="11" t="s">
        <v>1244</v>
      </c>
      <c r="AL172" s="5" t="s">
        <v>368</v>
      </c>
      <c r="AM172" s="11" t="s">
        <v>1175</v>
      </c>
      <c r="AN172" s="11" t="s">
        <v>1176</v>
      </c>
      <c r="AO172" s="11">
        <v>46</v>
      </c>
      <c r="AP172" s="45" t="s">
        <v>1264</v>
      </c>
      <c r="AQ172" s="11" t="s">
        <v>75</v>
      </c>
      <c r="AR172" s="11" t="s">
        <v>1242</v>
      </c>
      <c r="AS172" s="13" t="s">
        <v>1146</v>
      </c>
      <c r="AT172" s="14"/>
      <c r="AU172" s="44">
        <v>46003</v>
      </c>
    </row>
    <row r="173" spans="1:47" ht="38.25">
      <c r="A173" s="38" t="str">
        <f>VLOOKUP(Tableau1[[#This Row],[N° Département]],Feuil1!$C$6:$E$106,3)</f>
        <v>Ile-de-France</v>
      </c>
      <c r="B173" s="38" t="str">
        <f>VLOOKUP(Tableau1[[#This Row],[N° Département]],Feuil1!$C$6:$E$106,2)</f>
        <v>Val-de-Marne</v>
      </c>
      <c r="C173" s="38">
        <f>LEFT(Tableau1[[#This Row],[Code Postal]],2)*1</f>
        <v>94</v>
      </c>
      <c r="D173" s="10" t="s">
        <v>1123</v>
      </c>
      <c r="E173" s="10">
        <v>94500</v>
      </c>
      <c r="F173" s="10" t="s">
        <v>1122</v>
      </c>
      <c r="G173" s="39" t="str">
        <f>Tableau1[[#This Row],[Rue]]&amp;CHAR(10)&amp;Tableau1[[#This Row],[Code Postal]]&amp;" - "&amp;Tableau1[[#This Row],[Ville]]</f>
        <v>14 Rue Serpente
94500 - Champigny-sur-Marne</v>
      </c>
      <c r="H173" s="15" t="s">
        <v>1117</v>
      </c>
      <c r="I173" s="12" t="s">
        <v>45</v>
      </c>
      <c r="J173" s="12" t="s">
        <v>48</v>
      </c>
      <c r="K173" s="10" t="s">
        <v>103</v>
      </c>
      <c r="L173" s="12" t="s">
        <v>103</v>
      </c>
      <c r="M173" s="36"/>
      <c r="N173" s="34">
        <v>875</v>
      </c>
      <c r="O173" s="6" t="s">
        <v>103</v>
      </c>
      <c r="P173" s="34" t="s">
        <v>103</v>
      </c>
      <c r="Q173" s="6" t="s">
        <v>103</v>
      </c>
      <c r="R173" s="12">
        <f>Tableau1[[#This Row],[Loyer €/m²]]*Tableau1[[#This Row],[Surface GLA]]</f>
        <v>196875</v>
      </c>
      <c r="S173" s="12">
        <f>IFERROR(Tableau1[[#This Row],[Loyer annuel]]/12,"")</f>
        <v>16406.25</v>
      </c>
      <c r="T173" s="12">
        <v>225</v>
      </c>
      <c r="U173" s="6" t="s">
        <v>103</v>
      </c>
      <c r="V173" s="6">
        <f>Tableau1[[#This Row],[Charges €/m²]]*Tableau1[[#This Row],[Surface GLA]]</f>
        <v>5250</v>
      </c>
      <c r="W173" s="12">
        <f>Tableau1[[#This Row],[Charges annuelles]]/12</f>
        <v>437.5</v>
      </c>
      <c r="X173" s="12">
        <v>6</v>
      </c>
      <c r="Y173" s="12">
        <f>IFERROR(Tableau1[[#This Row],[Taxe foncière €/m²]]*Tableau1[[#This Row],[Surface GLA]],)</f>
        <v>11375</v>
      </c>
      <c r="Z173" s="12">
        <v>13</v>
      </c>
      <c r="AA173" s="12">
        <f>IFERROR(Tableau1[[#This Row],[Marketing €/m²]]*Tableau1[[#This Row],[Surface GLA]],)</f>
        <v>0</v>
      </c>
      <c r="AB173" s="6" t="s">
        <v>103</v>
      </c>
      <c r="AC173" s="12">
        <f>IFERROR(Tableau1[[#This Row],[Loyer annuel]]+Tableau1[[#This Row],[Charges annuelles]]+Tableau1[[#This Row],[Taxe foncière]]+Tableau1[[#This Row],[Marketing]],"")</f>
        <v>213500</v>
      </c>
      <c r="AD173" s="12" t="str">
        <f t="shared" si="6"/>
        <v>3 mois = 49 219 €</v>
      </c>
      <c r="AE173" s="12" t="str">
        <f t="shared" si="7"/>
        <v>6 mois = 98 438 €</v>
      </c>
      <c r="AF173" s="46">
        <v>0.05</v>
      </c>
      <c r="AG173" s="12" t="s">
        <v>363</v>
      </c>
      <c r="AH173" s="10" t="s">
        <v>377</v>
      </c>
      <c r="AI173" s="10" t="s">
        <v>370</v>
      </c>
      <c r="AJ173" s="10" t="s">
        <v>1183</v>
      </c>
      <c r="AK173" s="11" t="s">
        <v>1250</v>
      </c>
      <c r="AL173" s="5" t="s">
        <v>368</v>
      </c>
      <c r="AM173" s="11" t="s">
        <v>1179</v>
      </c>
      <c r="AN173" s="11" t="s">
        <v>1180</v>
      </c>
      <c r="AO173" s="11" t="s">
        <v>1143</v>
      </c>
      <c r="AP173" s="45" t="s">
        <v>1265</v>
      </c>
      <c r="AQ173" s="11" t="s">
        <v>75</v>
      </c>
      <c r="AR173" s="11" t="s">
        <v>1274</v>
      </c>
      <c r="AS173" s="13" t="s">
        <v>1146</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1121</v>
      </c>
      <c r="E174" s="10">
        <v>94500</v>
      </c>
      <c r="F174" s="10" t="s">
        <v>1122</v>
      </c>
      <c r="G174" s="39" t="str">
        <f>Tableau1[[#This Row],[Rue]]&amp;CHAR(10)&amp;Tableau1[[#This Row],[Code Postal]]&amp;" - "&amp;Tableau1[[#This Row],[Ville]]</f>
        <v>13 Rue Serpente
94500 - Champigny-sur-Marne</v>
      </c>
      <c r="H174" s="15" t="s">
        <v>1115</v>
      </c>
      <c r="I174" s="12" t="s">
        <v>45</v>
      </c>
      <c r="J174" s="12" t="s">
        <v>48</v>
      </c>
      <c r="K174" s="10" t="s">
        <v>103</v>
      </c>
      <c r="L174" s="12" t="s">
        <v>103</v>
      </c>
      <c r="M174" s="36"/>
      <c r="N174" s="34">
        <v>387</v>
      </c>
      <c r="O174" s="6" t="s">
        <v>103</v>
      </c>
      <c r="P174" s="34" t="s">
        <v>103</v>
      </c>
      <c r="Q174" s="6" t="s">
        <v>103</v>
      </c>
      <c r="R174" s="12">
        <f>Tableau1[[#This Row],[Loyer €/m²]]*Tableau1[[#This Row],[Surface GLA]]</f>
        <v>96750</v>
      </c>
      <c r="S174" s="12">
        <f>IFERROR(Tableau1[[#This Row],[Loyer annuel]]/12,"")</f>
        <v>8062.5</v>
      </c>
      <c r="T174" s="12">
        <v>250</v>
      </c>
      <c r="U174" s="6" t="s">
        <v>103</v>
      </c>
      <c r="V174" s="6">
        <f>Tableau1[[#This Row],[Charges €/m²]]*Tableau1[[#This Row],[Surface GLA]]</f>
        <v>2322</v>
      </c>
      <c r="W174" s="12">
        <f>Tableau1[[#This Row],[Charges annuelles]]/12</f>
        <v>193.5</v>
      </c>
      <c r="X174" s="12">
        <v>6</v>
      </c>
      <c r="Y174" s="12">
        <f>IFERROR(Tableau1[[#This Row],[Taxe foncière €/m²]]*Tableau1[[#This Row],[Surface GLA]],)</f>
        <v>5418</v>
      </c>
      <c r="Z174" s="12">
        <v>14</v>
      </c>
      <c r="AA174" s="12">
        <f>IFERROR(Tableau1[[#This Row],[Marketing €/m²]]*Tableau1[[#This Row],[Surface GLA]],)</f>
        <v>0</v>
      </c>
      <c r="AB174" s="6" t="s">
        <v>103</v>
      </c>
      <c r="AC174" s="12">
        <f>IFERROR(Tableau1[[#This Row],[Loyer annuel]]+Tableau1[[#This Row],[Charges annuelles]]+Tableau1[[#This Row],[Taxe foncière]]+Tableau1[[#This Row],[Marketing]],"")</f>
        <v>104490</v>
      </c>
      <c r="AD174" s="12" t="str">
        <f t="shared" si="6"/>
        <v>3 mois = 24 188 €</v>
      </c>
      <c r="AE174" s="12" t="str">
        <f t="shared" si="7"/>
        <v>6 mois = 48 375 €</v>
      </c>
      <c r="AF174" s="46">
        <v>0.05</v>
      </c>
      <c r="AG174" s="12" t="s">
        <v>363</v>
      </c>
      <c r="AH174" s="10" t="s">
        <v>377</v>
      </c>
      <c r="AI174" s="10" t="s">
        <v>370</v>
      </c>
      <c r="AJ174" s="10" t="s">
        <v>1183</v>
      </c>
      <c r="AK174" s="11" t="s">
        <v>1250</v>
      </c>
      <c r="AL174" s="5" t="s">
        <v>368</v>
      </c>
      <c r="AM174" s="11" t="s">
        <v>1246</v>
      </c>
      <c r="AN174" s="11" t="s">
        <v>1247</v>
      </c>
      <c r="AO174" s="11" t="s">
        <v>1144</v>
      </c>
      <c r="AP174" s="36" t="s">
        <v>1266</v>
      </c>
      <c r="AQ174" s="11" t="s">
        <v>75</v>
      </c>
      <c r="AR174" s="11" t="s">
        <v>1245</v>
      </c>
      <c r="AS174" s="13" t="s">
        <v>1146</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1123</v>
      </c>
      <c r="E175" s="10">
        <v>94500</v>
      </c>
      <c r="F175" s="10" t="s">
        <v>1122</v>
      </c>
      <c r="G175" s="39" t="str">
        <f>Tableau1[[#This Row],[Rue]]&amp;CHAR(10)&amp;Tableau1[[#This Row],[Code Postal]]&amp;" - "&amp;Tableau1[[#This Row],[Ville]]</f>
        <v>14 Rue Serpente
94500 - Champigny-sur-Marne</v>
      </c>
      <c r="H175" s="15" t="s">
        <v>1116</v>
      </c>
      <c r="I175" s="12" t="s">
        <v>45</v>
      </c>
      <c r="J175" s="12" t="s">
        <v>48</v>
      </c>
      <c r="K175" s="10" t="s">
        <v>103</v>
      </c>
      <c r="L175" s="12" t="s">
        <v>103</v>
      </c>
      <c r="M175" s="36"/>
      <c r="N175" s="34">
        <v>723</v>
      </c>
      <c r="O175" s="6" t="s">
        <v>103</v>
      </c>
      <c r="P175" s="34" t="s">
        <v>103</v>
      </c>
      <c r="Q175" s="6" t="s">
        <v>103</v>
      </c>
      <c r="R175" s="12">
        <f>Tableau1[[#This Row],[Loyer €/m²]]*Tableau1[[#This Row],[Surface GLA]]</f>
        <v>162675</v>
      </c>
      <c r="S175" s="12">
        <f>IFERROR(Tableau1[[#This Row],[Loyer annuel]]/12,"")</f>
        <v>13556.25</v>
      </c>
      <c r="T175" s="12">
        <v>225</v>
      </c>
      <c r="U175" s="6" t="s">
        <v>103</v>
      </c>
      <c r="V175" s="6">
        <f>Tableau1[[#This Row],[Charges €/m²]]*Tableau1[[#This Row],[Surface GLA]]</f>
        <v>4338</v>
      </c>
      <c r="W175" s="12">
        <f>Tableau1[[#This Row],[Charges annuelles]]/12</f>
        <v>361.5</v>
      </c>
      <c r="X175" s="12">
        <v>6</v>
      </c>
      <c r="Y175" s="12">
        <f>IFERROR(Tableau1[[#This Row],[Taxe foncière €/m²]]*Tableau1[[#This Row],[Surface GLA]],)</f>
        <v>9399</v>
      </c>
      <c r="Z175" s="12">
        <v>13</v>
      </c>
      <c r="AA175" s="12">
        <f>IFERROR(Tableau1[[#This Row],[Marketing €/m²]]*Tableau1[[#This Row],[Surface GLA]],)</f>
        <v>0</v>
      </c>
      <c r="AB175" s="6" t="s">
        <v>103</v>
      </c>
      <c r="AC175" s="12">
        <f>IFERROR(Tableau1[[#This Row],[Loyer annuel]]+Tableau1[[#This Row],[Charges annuelles]]+Tableau1[[#This Row],[Taxe foncière]]+Tableau1[[#This Row],[Marketing]],"")</f>
        <v>176412</v>
      </c>
      <c r="AD175" s="12" t="str">
        <f t="shared" si="6"/>
        <v>3 mois = 40 669 €</v>
      </c>
      <c r="AE175" s="12" t="str">
        <f t="shared" si="7"/>
        <v>6 mois = 81 338 €</v>
      </c>
      <c r="AF175" s="46">
        <v>0.05</v>
      </c>
      <c r="AG175" s="12" t="s">
        <v>363</v>
      </c>
      <c r="AH175" s="10" t="s">
        <v>377</v>
      </c>
      <c r="AI175" s="10" t="s">
        <v>370</v>
      </c>
      <c r="AJ175" s="10" t="s">
        <v>1183</v>
      </c>
      <c r="AK175" s="11" t="s">
        <v>1250</v>
      </c>
      <c r="AL175" s="5" t="s">
        <v>368</v>
      </c>
      <c r="AM175" s="11" t="s">
        <v>1181</v>
      </c>
      <c r="AN175" s="11" t="s">
        <v>1182</v>
      </c>
      <c r="AO175" s="11" t="s">
        <v>1145</v>
      </c>
      <c r="AP175" s="36" t="s">
        <v>1267</v>
      </c>
      <c r="AQ175" s="11" t="s">
        <v>75</v>
      </c>
      <c r="AR175" s="11" t="s">
        <v>1248</v>
      </c>
      <c r="AS175" s="13" t="s">
        <v>1146</v>
      </c>
      <c r="AT175" s="14"/>
      <c r="AU175" s="44">
        <v>46003</v>
      </c>
    </row>
    <row r="176" spans="1:47" ht="25.5">
      <c r="A176" s="38" t="str">
        <f>VLOOKUP(Tableau1[[#This Row],[N° Département]],Feuil1!$C$6:$E$106,3)</f>
        <v>Ile-de-France</v>
      </c>
      <c r="B176" s="38" t="str">
        <f>VLOOKUP(Tableau1[[#This Row],[N° Département]],Feuil1!$C$6:$E$106,2)</f>
        <v>Val-D'Oise</v>
      </c>
      <c r="C176" s="38">
        <f>LEFT(Tableau1[[#This Row],[Code Postal]],2)*1</f>
        <v>95</v>
      </c>
      <c r="D176" s="10" t="s">
        <v>1125</v>
      </c>
      <c r="E176" s="10">
        <v>95220</v>
      </c>
      <c r="F176" s="10" t="s">
        <v>1124</v>
      </c>
      <c r="G176" s="39" t="str">
        <f>Tableau1[[#This Row],[Rue]]&amp;CHAR(10)&amp;Tableau1[[#This Row],[Code Postal]]&amp;" - "&amp;Tableau1[[#This Row],[Ville]]</f>
        <v>8 Avenue Paul Langevin
95220 - Herblay-sur-Seine</v>
      </c>
      <c r="H176" s="15" t="s">
        <v>1184</v>
      </c>
      <c r="I176" s="12" t="s">
        <v>47</v>
      </c>
      <c r="J176" s="12" t="s">
        <v>48</v>
      </c>
      <c r="K176" s="10" t="s">
        <v>103</v>
      </c>
      <c r="L176" s="12" t="s">
        <v>103</v>
      </c>
      <c r="M176" s="36"/>
      <c r="N176" s="34">
        <v>402</v>
      </c>
      <c r="O176" s="6" t="s">
        <v>103</v>
      </c>
      <c r="P176" s="34" t="s">
        <v>103</v>
      </c>
      <c r="Q176" s="6" t="s">
        <v>103</v>
      </c>
      <c r="R176" s="12">
        <f>Tableau1[[#This Row],[Loyer €/m²]]*Tableau1[[#This Row],[Surface GLA]]</f>
        <v>180900</v>
      </c>
      <c r="S176" s="12">
        <f>IFERROR(Tableau1[[#This Row],[Loyer annuel]]/12,"")</f>
        <v>15075</v>
      </c>
      <c r="T176" s="12">
        <v>450</v>
      </c>
      <c r="U176" s="6" t="s">
        <v>103</v>
      </c>
      <c r="V176" s="6">
        <f>Tableau1[[#This Row],[Charges €/m²]]*Tableau1[[#This Row],[Surface GLA]]</f>
        <v>3618</v>
      </c>
      <c r="W176" s="12">
        <f>Tableau1[[#This Row],[Charges annuelles]]/12</f>
        <v>301.5</v>
      </c>
      <c r="X176" s="12">
        <v>9</v>
      </c>
      <c r="Y176" s="12">
        <f>IFERROR(Tableau1[[#This Row],[Taxe foncière €/m²]]*Tableau1[[#This Row],[Surface GLA]],)</f>
        <v>5226</v>
      </c>
      <c r="Z176" s="12">
        <v>13</v>
      </c>
      <c r="AA176" s="12">
        <f>IFERROR(Tableau1[[#This Row],[Marketing €/m²]]*Tableau1[[#This Row],[Surface GLA]],)</f>
        <v>0</v>
      </c>
      <c r="AB176" s="6" t="s">
        <v>103</v>
      </c>
      <c r="AC176" s="12">
        <f>IFERROR(Tableau1[[#This Row],[Loyer annuel]]+Tableau1[[#This Row],[Charges annuelles]]+Tableau1[[#This Row],[Taxe foncière]]+Tableau1[[#This Row],[Marketing]],"")</f>
        <v>189744</v>
      </c>
      <c r="AD176" s="12" t="str">
        <f t="shared" si="6"/>
        <v>3 mois = 45 225 €</v>
      </c>
      <c r="AE176" s="12" t="str">
        <f t="shared" si="7"/>
        <v>6 mois = 90 450 €</v>
      </c>
      <c r="AF176" s="46">
        <v>0.05</v>
      </c>
      <c r="AG176" s="12" t="s">
        <v>363</v>
      </c>
      <c r="AH176" s="10" t="s">
        <v>377</v>
      </c>
      <c r="AI176" s="10" t="s">
        <v>370</v>
      </c>
      <c r="AJ176" s="10" t="s">
        <v>1187</v>
      </c>
      <c r="AK176" s="11" t="s">
        <v>1251</v>
      </c>
      <c r="AL176" s="5" t="s">
        <v>368</v>
      </c>
      <c r="AM176" s="11" t="s">
        <v>1185</v>
      </c>
      <c r="AN176" s="11" t="s">
        <v>1186</v>
      </c>
      <c r="AO176" s="11">
        <v>48</v>
      </c>
      <c r="AP176" s="36" t="s">
        <v>1268</v>
      </c>
      <c r="AQ176" s="11" t="s">
        <v>75</v>
      </c>
      <c r="AR176" s="11" t="s">
        <v>1249</v>
      </c>
      <c r="AS176" s="13" t="s">
        <v>1146</v>
      </c>
      <c r="AT176" s="14"/>
      <c r="AU176" s="44">
        <v>46003</v>
      </c>
    </row>
    <row r="177" spans="1:47" ht="38.25">
      <c r="A177" s="38" t="str">
        <f>VLOOKUP(Tableau1[[#This Row],[N° Département]],Feuil1!$C$6:$E$106,3)</f>
        <v>Grand Est</v>
      </c>
      <c r="B177" s="38" t="str">
        <f>VLOOKUP(Tableau1[[#This Row],[N° Département]],Feuil1!$C$6:$E$106,2)</f>
        <v>Bas-Rhin</v>
      </c>
      <c r="C177" s="38">
        <f>LEFT(Tableau1[[#This Row],[Code Postal]],2)*1</f>
        <v>67</v>
      </c>
      <c r="D177" s="11" t="s">
        <v>1193</v>
      </c>
      <c r="E177" s="10">
        <v>6700</v>
      </c>
      <c r="F177" s="10" t="s">
        <v>1192</v>
      </c>
      <c r="G177" s="47" t="str">
        <f>Tableau1[[#This Row],[Rue]]&amp;CHAR(10)&amp;Tableau1[[#This Row],[Code Postal]]&amp;" - "&amp;Tableau1[[#This Row],[Ville]]</f>
        <v>CAP 3000
217 Av. Eugène Donadeï
6700 - Saint-Laurent-du-Var</v>
      </c>
      <c r="H177" s="15" t="s">
        <v>1194</v>
      </c>
      <c r="I177" s="12" t="s">
        <v>47</v>
      </c>
      <c r="J177" s="12" t="s">
        <v>49</v>
      </c>
      <c r="K177" s="10" t="s">
        <v>103</v>
      </c>
      <c r="L177" s="12" t="s">
        <v>1195</v>
      </c>
      <c r="M177" s="36"/>
      <c r="N177" s="34">
        <v>126</v>
      </c>
      <c r="O177" s="6" t="s">
        <v>1252</v>
      </c>
      <c r="P177" s="34" t="s">
        <v>103</v>
      </c>
      <c r="Q177" s="6" t="s">
        <v>103</v>
      </c>
      <c r="R177" s="12">
        <f>Tableau1[[#This Row],[Loyer €/m²]]*Tableau1[[#This Row],[Surface GLA]]</f>
        <v>139986</v>
      </c>
      <c r="S177" s="12">
        <f>IFERROR(Tableau1[[#This Row],[Loyer annuel]]/12,"")</f>
        <v>11665.5</v>
      </c>
      <c r="T177" s="12">
        <v>1111</v>
      </c>
      <c r="U177" s="6" t="s">
        <v>103</v>
      </c>
      <c r="V177" s="6">
        <f>Tableau1[[#This Row],[Charges €/m²]]*Tableau1[[#This Row],[Surface GLA]]</f>
        <v>20790</v>
      </c>
      <c r="W177" s="12">
        <f>Tableau1[[#This Row],[Charges annuelles]]/12</f>
        <v>1732.5</v>
      </c>
      <c r="X177" s="12">
        <v>165</v>
      </c>
      <c r="Y177" s="12">
        <f>IFERROR(Tableau1[[#This Row],[Taxe foncière €/m²]]*Tableau1[[#This Row],[Surface GLA]],)</f>
        <v>4536</v>
      </c>
      <c r="Z177" s="12">
        <v>36</v>
      </c>
      <c r="AA177" s="12">
        <f>IFERROR(Tableau1[[#This Row],[Marketing €/m²]]*Tableau1[[#This Row],[Surface GLA]],)</f>
        <v>0</v>
      </c>
      <c r="AB177" s="6" t="s">
        <v>103</v>
      </c>
      <c r="AC177" s="12">
        <f>IFERROR(Tableau1[[#This Row],[Loyer annuel]]+Tableau1[[#This Row],[Charges annuelles]]+Tableau1[[#This Row],[Taxe foncière]]+Tableau1[[#This Row],[Marketing]],"")</f>
        <v>165312</v>
      </c>
      <c r="AD177" s="12" t="str">
        <f t="shared" si="6"/>
        <v>3 mois = 34 997 €</v>
      </c>
      <c r="AE177" s="6" t="s">
        <v>103</v>
      </c>
      <c r="AF177" s="6" t="s">
        <v>103</v>
      </c>
      <c r="AG177" s="12" t="s">
        <v>363</v>
      </c>
      <c r="AH177" s="10" t="s">
        <v>53</v>
      </c>
      <c r="AI177" s="10" t="s">
        <v>103</v>
      </c>
      <c r="AJ177" s="10" t="s">
        <v>1197</v>
      </c>
      <c r="AK177" s="11" t="s">
        <v>1196</v>
      </c>
      <c r="AL177" s="5" t="s">
        <v>1201</v>
      </c>
      <c r="AM177" s="11" t="s">
        <v>1198</v>
      </c>
      <c r="AN177" s="11" t="s">
        <v>1199</v>
      </c>
      <c r="AO177" s="11">
        <v>49</v>
      </c>
      <c r="AP177" s="36" t="s">
        <v>1269</v>
      </c>
      <c r="AQ177" s="11" t="s">
        <v>75</v>
      </c>
      <c r="AR177" s="11"/>
      <c r="AS177" s="13" t="s">
        <v>1200</v>
      </c>
      <c r="AT177" s="14"/>
      <c r="AU177" s="44">
        <v>46010</v>
      </c>
    </row>
    <row r="182" spans="1:47">
      <c r="F182" s="1" t="s">
        <v>1034</v>
      </c>
    </row>
    <row r="183" spans="1:47">
      <c r="F183" s="1" t="s">
        <v>1035</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7" r:id="rId124" xr:uid="{D9CEB66C-2A2B-4C50-90E4-25DDB2866B82}"/>
    <hyperlink ref="H168" r:id="rId125" xr:uid="{77194CDF-321B-4F1D-8892-C65AB2918B74}"/>
    <hyperlink ref="H169" r:id="rId126" xr:uid="{A510C509-E61B-4228-AC93-D0093532C7D2}"/>
    <hyperlink ref="H170" r:id="rId127" xr:uid="{13D66F57-470F-41F4-93A6-03D5A2A4CCDB}"/>
    <hyperlink ref="H171" r:id="rId128" xr:uid="{5B7EA501-9646-45C8-A6A4-6075F4FADE70}"/>
    <hyperlink ref="H172" r:id="rId129" xr:uid="{6D822EC9-F492-4D93-A1BA-8FA65E1327B7}"/>
    <hyperlink ref="H174" r:id="rId130" xr:uid="{3C8BCE0A-AAD1-4E3F-915C-B7BFA9B07703}"/>
    <hyperlink ref="H175" r:id="rId131" xr:uid="{EB1761D0-DA2C-4FCB-8A87-DC3BF56A199A}"/>
    <hyperlink ref="H173" r:id="rId132" xr:uid="{AC7B9731-155A-409D-B7DE-6A2C81027D18}"/>
    <hyperlink ref="H176" r:id="rId133" xr:uid="{ED7C6A33-7CA0-4B59-BFC3-713467DF5837}"/>
    <hyperlink ref="H154" r:id="rId134" xr:uid="{84DBA056-5C11-4ECE-9D32-78D0DE5AACCA}"/>
    <hyperlink ref="H155" r:id="rId135" xr:uid="{3F6F7192-2423-4CFD-AC54-5D69482DCDAA}"/>
    <hyperlink ref="H156" r:id="rId136" xr:uid="{34F05E83-B67A-4D2E-97A2-715EF4DB16F0}"/>
    <hyperlink ref="H177" r:id="rId137" xr:uid="{0DCDD234-61DD-4535-96A0-1CB0ED1C39E2}"/>
    <hyperlink ref="H161" r:id="rId138" xr:uid="{69AC0ECC-2E2A-4A8B-BC81-EF4428A37640}"/>
    <hyperlink ref="H162:H166" r:id="rId139" display="https://maps.app.goo.gl/jjHUN2H4tKUGyBEQ7" xr:uid="{2DDA41A9-46D6-46F1-BFA4-95D30FE5988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2026-01-16T18:35:46Z</dcterms:modified>
</cp:coreProperties>
</file>