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A4AB779C-8142-4B68-A49D-236327EAC3FF}"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84" i="2" l="1"/>
  <c r="A284" i="2" s="1"/>
  <c r="G284" i="2"/>
  <c r="H284" i="2" a="1"/>
  <c r="H284" i="2" s="1"/>
  <c r="U284" i="2"/>
  <c r="Y284" i="2"/>
  <c r="AA284" i="2"/>
  <c r="AC284" i="2"/>
  <c r="AE284" i="2"/>
  <c r="AF263" i="2"/>
  <c r="AF266" i="2"/>
  <c r="AF270" i="2"/>
  <c r="AF274" i="2"/>
  <c r="AF275" i="2"/>
  <c r="T261" i="2"/>
  <c r="U261" i="2" s="1"/>
  <c r="T262" i="2"/>
  <c r="U262" i="2" s="1"/>
  <c r="T263" i="2"/>
  <c r="U263" i="2" s="1"/>
  <c r="T264" i="2"/>
  <c r="U264" i="2" s="1"/>
  <c r="T265" i="2"/>
  <c r="U265" i="2" s="1"/>
  <c r="T266" i="2"/>
  <c r="T267" i="2"/>
  <c r="U267" i="2" s="1"/>
  <c r="T268" i="2"/>
  <c r="U268" i="2" s="1"/>
  <c r="T269" i="2"/>
  <c r="U269" i="2" s="1"/>
  <c r="T270" i="2"/>
  <c r="U270" i="2" s="1"/>
  <c r="T271" i="2"/>
  <c r="U271" i="2" s="1"/>
  <c r="T272" i="2"/>
  <c r="U272" i="2" s="1"/>
  <c r="T273" i="2"/>
  <c r="U273" i="2" s="1"/>
  <c r="T274" i="2"/>
  <c r="U274" i="2" s="1"/>
  <c r="T275" i="2"/>
  <c r="U275" i="2"/>
  <c r="T276" i="2"/>
  <c r="AF276" i="2" s="1"/>
  <c r="U276" i="2"/>
  <c r="T277" i="2"/>
  <c r="U277" i="2" s="1"/>
  <c r="T278" i="2"/>
  <c r="U278" i="2" s="1"/>
  <c r="T279" i="2"/>
  <c r="U279" i="2" s="1"/>
  <c r="T280" i="2"/>
  <c r="U280" i="2" s="1"/>
  <c r="X264" i="2"/>
  <c r="Y264" i="2"/>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c r="AA270" i="2"/>
  <c r="AC270" i="2"/>
  <c r="X271" i="2"/>
  <c r="Y271" i="2" s="1"/>
  <c r="AA271" i="2"/>
  <c r="AC271" i="2"/>
  <c r="X272" i="2"/>
  <c r="AA272" i="2"/>
  <c r="AC272" i="2"/>
  <c r="X273" i="2"/>
  <c r="Y273" i="2"/>
  <c r="AA273" i="2"/>
  <c r="AC273" i="2"/>
  <c r="X274" i="2"/>
  <c r="Y274" i="2" s="1"/>
  <c r="AA274" i="2"/>
  <c r="AC274" i="2"/>
  <c r="X275" i="2"/>
  <c r="Y275" i="2" s="1"/>
  <c r="AA275" i="2"/>
  <c r="AC275" i="2"/>
  <c r="X276" i="2"/>
  <c r="Y276" i="2"/>
  <c r="AA276" i="2"/>
  <c r="AC276" i="2"/>
  <c r="X277" i="2"/>
  <c r="Y277" i="2" s="1"/>
  <c r="AA277" i="2"/>
  <c r="AC277" i="2"/>
  <c r="X278" i="2"/>
  <c r="AA278" i="2"/>
  <c r="AC278" i="2"/>
  <c r="X279" i="2"/>
  <c r="Y279" i="2" s="1"/>
  <c r="AA279" i="2"/>
  <c r="AC279" i="2"/>
  <c r="X280" i="2"/>
  <c r="Y280" i="2" s="1"/>
  <c r="AA280" i="2"/>
  <c r="AC280" i="2"/>
  <c r="X281" i="2"/>
  <c r="AA281" i="2"/>
  <c r="AC281" i="2"/>
  <c r="X263" i="2"/>
  <c r="Y263" i="2"/>
  <c r="AA263" i="2"/>
  <c r="AC263" i="2"/>
  <c r="X259" i="2"/>
  <c r="Y259" i="2"/>
  <c r="X260" i="2"/>
  <c r="Y260" i="2"/>
  <c r="X261" i="2"/>
  <c r="Y261" i="2"/>
  <c r="X262" i="2"/>
  <c r="Y262" i="2" s="1"/>
  <c r="X282" i="2"/>
  <c r="AE282" i="2" s="1"/>
  <c r="Y282" i="2"/>
  <c r="X283" i="2"/>
  <c r="Y283" i="2"/>
  <c r="U281" i="2"/>
  <c r="U282" i="2"/>
  <c r="U283" i="2"/>
  <c r="AA282" i="2"/>
  <c r="AA283" i="2"/>
  <c r="AC282" i="2"/>
  <c r="AC283" i="2"/>
  <c r="C264" i="2"/>
  <c r="A264" i="2" s="1"/>
  <c r="G264" i="2"/>
  <c r="C265" i="2"/>
  <c r="A265" i="2" s="1"/>
  <c r="G265" i="2"/>
  <c r="C266" i="2"/>
  <c r="A266" i="2" s="1"/>
  <c r="G266" i="2"/>
  <c r="C267" i="2"/>
  <c r="A267" i="2" s="1"/>
  <c r="G267" i="2"/>
  <c r="C268" i="2"/>
  <c r="A268" i="2" s="1"/>
  <c r="G268" i="2"/>
  <c r="C269" i="2"/>
  <c r="A269" i="2" s="1"/>
  <c r="G269" i="2"/>
  <c r="C270" i="2"/>
  <c r="A270" i="2" s="1"/>
  <c r="G270" i="2"/>
  <c r="A271" i="2"/>
  <c r="B271" i="2"/>
  <c r="C271" i="2"/>
  <c r="G271" i="2"/>
  <c r="C272" i="2"/>
  <c r="B272" i="2" s="1"/>
  <c r="G272" i="2"/>
  <c r="A273" i="2"/>
  <c r="C273" i="2"/>
  <c r="B273" i="2" s="1"/>
  <c r="G273" i="2"/>
  <c r="A274" i="2"/>
  <c r="B274" i="2"/>
  <c r="C274" i="2"/>
  <c r="G274" i="2"/>
  <c r="C275" i="2"/>
  <c r="B275" i="2" s="1"/>
  <c r="G275" i="2"/>
  <c r="A276" i="2"/>
  <c r="C276" i="2"/>
  <c r="B276" i="2" s="1"/>
  <c r="G276" i="2"/>
  <c r="C277" i="2"/>
  <c r="B277" i="2" s="1"/>
  <c r="G277" i="2"/>
  <c r="C278" i="2"/>
  <c r="B278" i="2" s="1"/>
  <c r="G278" i="2"/>
  <c r="A279" i="2"/>
  <c r="C279" i="2"/>
  <c r="B279" i="2" s="1"/>
  <c r="G279" i="2"/>
  <c r="B280" i="2"/>
  <c r="C280" i="2"/>
  <c r="A280" i="2" s="1"/>
  <c r="G280" i="2"/>
  <c r="A281" i="2"/>
  <c r="C281" i="2"/>
  <c r="B281" i="2" s="1"/>
  <c r="G281" i="2"/>
  <c r="A282" i="2"/>
  <c r="C282" i="2"/>
  <c r="B282" i="2" s="1"/>
  <c r="G282" i="2"/>
  <c r="A283" i="2"/>
  <c r="B283" i="2"/>
  <c r="C283" i="2"/>
  <c r="G283" i="2"/>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281" i="2" l="1"/>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<sst xmlns="http://schemas.openxmlformats.org/spreadsheetml/2006/main" count="8092" uniqueCount="1922">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</sst>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84" totalsRowShown="0" headerRowCellStyle="Normal 2" dataCellStyle="Normal 2">
  <autoFilter ref="A1:AX284"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ZB7EoAbkDh1u5HFp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ZB7EoAbkDh1u5HFp8"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217" Type="http://schemas.openxmlformats.org/officeDocument/2006/relationships/hyperlink" Target="https://maps.app.goo.gl/ZB7EoAbkDh1u5HFp8"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12" Type="http://schemas.openxmlformats.org/officeDocument/2006/relationships/hyperlink" Target="https://maps.app.goo.gl/ZB7EoAbkDh1u5HFp8"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223" Type="http://schemas.openxmlformats.org/officeDocument/2006/relationships/hyperlink" Target="https://maps.app.goo.gl/ZB7EoAbkDh1u5HFp8" TargetMode="External"/><Relationship Id="rId228" Type="http://schemas.openxmlformats.org/officeDocument/2006/relationships/hyperlink" Target="https://maps.app.goo.gl/ZB7EoAbkDh1u5HFp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3" Type="http://schemas.openxmlformats.org/officeDocument/2006/relationships/hyperlink" Target="https://maps.app.goo.gl/ZB7EoAbkDh1u5HFp8" TargetMode="External"/><Relationship Id="rId218" Type="http://schemas.openxmlformats.org/officeDocument/2006/relationships/hyperlink" Target="https://maps.app.goo.gl/ZB7EoAbkDh1u5HFp8"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ZB7EoAbkDh1u5HFp8"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table" Target="../tables/table1.xm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ZB7EoAbkDh1u5HFp8"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99"/>
  <sheetViews>
    <sheetView showZeros="0" tabSelected="1" zoomScale="80" zoomScaleNormal="80" workbookViewId="0">
      <pane xSplit="6" ySplit="1" topLeftCell="AO258" activePane="bottomRight" state="frozen"/>
      <selection pane="topRight" activeCell="G1" sqref="G1"/>
      <selection pane="bottomLeft" activeCell="A2" sqref="A2"/>
      <selection pane="bottomRight" activeCell="AS269" sqref="AS269"/>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27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Pays de la Loire</v>
      </c>
      <c r="B278" s="38" t="str">
        <f>VLOOKUP(Tableau1[[#This Row],[N° Département]],Feuil1!$C$6:$E$106,2)</f>
        <v>Maine-et-Loire</v>
      </c>
      <c r="C278" s="38">
        <f>LEFT(Tableau1[[#This Row],[Code Postal]],2)*1</f>
        <v>49</v>
      </c>
      <c r="D278" s="10" t="s">
        <v>1853</v>
      </c>
      <c r="E278" s="26">
        <v>49000</v>
      </c>
      <c r="F278" s="10" t="s">
        <v>1852</v>
      </c>
      <c r="G278" s="39" t="str">
        <f>Tableau1[[#This Row],[Rue]]&amp;CHAR(10)&amp;Tableau1[[#This Row],[Code Postal]]&amp;" - "&amp;Tableau1[[#This Row],[Ville]]</f>
        <v>10 Rue du Grand Launay
49000 - Angers</v>
      </c>
      <c r="H278" s="15" t="s">
        <v>1854</v>
      </c>
      <c r="I278" s="12" t="s">
        <v>47</v>
      </c>
      <c r="J278" s="12" t="s">
        <v>49</v>
      </c>
      <c r="K278" s="10"/>
      <c r="L278" s="10"/>
      <c r="M278" s="12"/>
      <c r="N278" s="36"/>
      <c r="O278" s="34"/>
      <c r="P278" s="12"/>
      <c r="Q278" s="34"/>
      <c r="R278" s="10"/>
      <c r="S278" s="12"/>
      <c r="T278" s="12">
        <f>Tableau1[[#This Row],[Loyer €/m²]]*Tableau1[[#This Row],[Surface GLA]]</f>
        <v>0</v>
      </c>
      <c r="U278" s="12">
        <f>IFERROR(Tableau1[[#This Row],[Loyer annuel]]/12,"")</f>
        <v>0</v>
      </c>
      <c r="V278" s="12"/>
      <c r="W278" s="12"/>
      <c r="X278" s="6">
        <f>Tableau1[[#This Row],[Charges €/m²]]*Tableau1[[#This Row],[Surface GLA]]</f>
        <v>0</v>
      </c>
      <c r="Y278" s="12">
        <f>Tableau1[[#This Row],[Charges annuelles]]/12</f>
        <v>0</v>
      </c>
      <c r="Z278" s="12"/>
      <c r="AA278" s="12">
        <f>IFERROR(Tableau1[[#This Row],[Taxe foncière €/m²]]*Tableau1[[#This Row],[Surface GLA]],)</f>
        <v>0</v>
      </c>
      <c r="AB278" s="12"/>
      <c r="AC278" s="12">
        <f>IFERROR(Tableau1[[#This Row],[Marketing €/m²]]*Tableau1[[#This Row],[Surface GLA]],)</f>
        <v>0</v>
      </c>
      <c r="AD278" s="12"/>
      <c r="AE278" s="12">
        <f>IFERROR(Tableau1[[#This Row],[Loyer annuel]]+Tableau1[[#This Row],[Charges annuelles]]+Tableau1[[#This Row],[Taxe foncière]]+Tableau1[[#This Row],[Marketing]],"")</f>
        <v>0</v>
      </c>
      <c r="AF278" s="12"/>
      <c r="AG278" s="12"/>
      <c r="AH278" s="12"/>
      <c r="AI278" s="12"/>
      <c r="AJ278" s="10"/>
      <c r="AK278" s="10"/>
      <c r="AL278" s="10"/>
      <c r="AM278" s="11"/>
      <c r="AN278" s="11" t="s">
        <v>1386</v>
      </c>
      <c r="AO278" s="5" t="s">
        <v>361</v>
      </c>
      <c r="AP278" s="11"/>
      <c r="AQ278" s="11"/>
      <c r="AR278" s="11"/>
      <c r="AS278" s="36"/>
      <c r="AT278" s="11" t="s">
        <v>70</v>
      </c>
      <c r="AU278" s="11" t="s">
        <v>370</v>
      </c>
      <c r="AV278" s="13" t="s">
        <v>1871</v>
      </c>
      <c r="AW278" s="14"/>
      <c r="AX278" s="44"/>
    </row>
    <row r="279" spans="1:50" ht="25.5">
      <c r="A279" s="38" t="str">
        <f>VLOOKUP(Tableau1[[#This Row],[N° Département]],Feuil1!$C$6:$E$106,3)</f>
        <v>Pays de la Loire</v>
      </c>
      <c r="B279" s="38" t="str">
        <f>VLOOKUP(Tableau1[[#This Row],[N° Département]],Feuil1!$C$6:$E$106,2)</f>
        <v>Maine-et-Loire</v>
      </c>
      <c r="C279" s="38">
        <f>LEFT(Tableau1[[#This Row],[Code Postal]],2)*1</f>
        <v>49</v>
      </c>
      <c r="D279" s="10" t="s">
        <v>1853</v>
      </c>
      <c r="E279" s="26">
        <v>49000</v>
      </c>
      <c r="F279" s="10" t="s">
        <v>1852</v>
      </c>
      <c r="G279" s="39" t="str">
        <f>Tableau1[[#This Row],[Rue]]&amp;CHAR(10)&amp;Tableau1[[#This Row],[Code Postal]]&amp;" - "&amp;Tableau1[[#This Row],[Ville]]</f>
        <v>10 Rue du Grand Launay
49000 - Angers</v>
      </c>
      <c r="H279" s="15" t="s">
        <v>1854</v>
      </c>
      <c r="I279" s="12" t="s">
        <v>47</v>
      </c>
      <c r="J279" s="12" t="s">
        <v>49</v>
      </c>
      <c r="K279" s="10"/>
      <c r="L279" s="10"/>
      <c r="M279" s="12"/>
      <c r="N279" s="36"/>
      <c r="O279" s="34"/>
      <c r="P279" s="12"/>
      <c r="Q279" s="34"/>
      <c r="R279" s="10"/>
      <c r="S279" s="12"/>
      <c r="T279" s="12">
        <f>Tableau1[[#This Row],[Loyer €/m²]]*Tableau1[[#This Row],[Surface GLA]]</f>
        <v>0</v>
      </c>
      <c r="U279" s="12">
        <f>IFERROR(Tableau1[[#This Row],[Loyer annuel]]/12,"")</f>
        <v>0</v>
      </c>
      <c r="V279" s="12"/>
      <c r="W279" s="12"/>
      <c r="X279" s="6">
        <f>Tableau1[[#This Row],[Charges €/m²]]*Tableau1[[#This Row],[Surface GLA]]</f>
        <v>0</v>
      </c>
      <c r="Y279" s="12">
        <f>Tableau1[[#This Row],[Charges annuelles]]/12</f>
        <v>0</v>
      </c>
      <c r="Z279" s="12"/>
      <c r="AA279" s="12">
        <f>IFERROR(Tableau1[[#This Row],[Taxe foncière €/m²]]*Tableau1[[#This Row],[Surface GLA]],)</f>
        <v>0</v>
      </c>
      <c r="AB279" s="12"/>
      <c r="AC279" s="12">
        <f>IFERROR(Tableau1[[#This Row],[Marketing €/m²]]*Tableau1[[#This Row],[Surface GLA]],)</f>
        <v>0</v>
      </c>
      <c r="AD279" s="12"/>
      <c r="AE279" s="12">
        <f>IFERROR(Tableau1[[#This Row],[Loyer annuel]]+Tableau1[[#This Row],[Charges annuelles]]+Tableau1[[#This Row],[Taxe foncière]]+Tableau1[[#This Row],[Marketing]],"")</f>
        <v>0</v>
      </c>
      <c r="AF279" s="12"/>
      <c r="AG279" s="12"/>
      <c r="AH279" s="12"/>
      <c r="AI279" s="12"/>
      <c r="AJ279" s="10"/>
      <c r="AK279" s="10"/>
      <c r="AL279" s="10"/>
      <c r="AM279" s="11"/>
      <c r="AN279" s="11" t="s">
        <v>1386</v>
      </c>
      <c r="AO279" s="5" t="s">
        <v>361</v>
      </c>
      <c r="AP279" s="11"/>
      <c r="AQ279" s="11"/>
      <c r="AR279" s="11"/>
      <c r="AS279" s="36"/>
      <c r="AT279" s="11" t="s">
        <v>70</v>
      </c>
      <c r="AU279" s="11" t="s">
        <v>370</v>
      </c>
      <c r="AV279" s="13" t="s">
        <v>1871</v>
      </c>
      <c r="AW279" s="14"/>
      <c r="AX279" s="44"/>
    </row>
    <row r="280" spans="1:50" ht="25.5">
      <c r="A280" s="38" t="str">
        <f>VLOOKUP(Tableau1[[#This Row],[N° Département]],Feuil1!$C$6:$E$106,3)</f>
        <v>Pays de la Loire</v>
      </c>
      <c r="B280" s="38" t="str">
        <f>VLOOKUP(Tableau1[[#This Row],[N° Département]],Feuil1!$C$6:$E$106,2)</f>
        <v>Maine-et-Loire</v>
      </c>
      <c r="C280" s="38">
        <f>LEFT(Tableau1[[#This Row],[Code Postal]],2)*1</f>
        <v>49</v>
      </c>
      <c r="D280" s="10" t="s">
        <v>1853</v>
      </c>
      <c r="E280" s="26">
        <v>49000</v>
      </c>
      <c r="F280" s="10" t="s">
        <v>1852</v>
      </c>
      <c r="G280" s="39" t="str">
        <f>Tableau1[[#This Row],[Rue]]&amp;CHAR(10)&amp;Tableau1[[#This Row],[Code Postal]]&amp;" - "&amp;Tableau1[[#This Row],[Ville]]</f>
        <v>10 Rue du Grand Launay
49000 - Angers</v>
      </c>
      <c r="H280" s="15" t="s">
        <v>1854</v>
      </c>
      <c r="I280" s="12" t="s">
        <v>47</v>
      </c>
      <c r="J280" s="12" t="s">
        <v>49</v>
      </c>
      <c r="K280" s="10"/>
      <c r="L280" s="10"/>
      <c r="M280" s="12"/>
      <c r="N280" s="36"/>
      <c r="O280" s="34"/>
      <c r="P280" s="12"/>
      <c r="Q280" s="34"/>
      <c r="R280" s="10"/>
      <c r="S280" s="12"/>
      <c r="T280" s="12">
        <f>Tableau1[[#This Row],[Loyer €/m²]]*Tableau1[[#This Row],[Surface GLA]]</f>
        <v>0</v>
      </c>
      <c r="U280" s="12">
        <f>IFERROR(Tableau1[[#This Row],[Loyer annuel]]/12,"")</f>
        <v>0</v>
      </c>
      <c r="V280" s="12"/>
      <c r="W280" s="12"/>
      <c r="X280" s="6">
        <f>Tableau1[[#This Row],[Charges €/m²]]*Tableau1[[#This Row],[Surface GLA]]</f>
        <v>0</v>
      </c>
      <c r="Y280" s="12">
        <f>Tableau1[[#This Row],[Charges annuelles]]/12</f>
        <v>0</v>
      </c>
      <c r="Z280" s="12"/>
      <c r="AA280" s="12">
        <f>IFERROR(Tableau1[[#This Row],[Taxe foncière €/m²]]*Tableau1[[#This Row],[Surface GLA]],)</f>
        <v>0</v>
      </c>
      <c r="AB280" s="12"/>
      <c r="AC280" s="12">
        <f>IFERROR(Tableau1[[#This Row],[Marketing €/m²]]*Tableau1[[#This Row],[Surface GLA]],)</f>
        <v>0</v>
      </c>
      <c r="AD280" s="12"/>
      <c r="AE280" s="12">
        <f>IFERROR(Tableau1[[#This Row],[Loyer annuel]]+Tableau1[[#This Row],[Charges annuelles]]+Tableau1[[#This Row],[Taxe foncière]]+Tableau1[[#This Row],[Marketing]],"")</f>
        <v>0</v>
      </c>
      <c r="AF280" s="12"/>
      <c r="AG280" s="12"/>
      <c r="AH280" s="12"/>
      <c r="AI280" s="12"/>
      <c r="AJ280" s="10"/>
      <c r="AK280" s="10"/>
      <c r="AL280" s="10"/>
      <c r="AM280" s="11"/>
      <c r="AN280" s="11" t="s">
        <v>1386</v>
      </c>
      <c r="AO280" s="5" t="s">
        <v>361</v>
      </c>
      <c r="AP280" s="11"/>
      <c r="AQ280" s="11"/>
      <c r="AR280" s="11"/>
      <c r="AS280" s="36"/>
      <c r="AT280" s="11" t="s">
        <v>70</v>
      </c>
      <c r="AU280" s="11" t="s">
        <v>370</v>
      </c>
      <c r="AV280" s="13" t="s">
        <v>1871</v>
      </c>
      <c r="AW280" s="14"/>
      <c r="AX280" s="44"/>
    </row>
    <row r="281" spans="1:50" ht="25.5">
      <c r="A281" s="38" t="str">
        <f>VLOOKUP(Tableau1[[#This Row],[N° Département]],Feuil1!$C$6:$E$106,3)</f>
        <v>Pays de la Loire</v>
      </c>
      <c r="B281" s="38" t="str">
        <f>VLOOKUP(Tableau1[[#This Row],[N° Département]],Feuil1!$C$6:$E$106,2)</f>
        <v>Maine-et-Loire</v>
      </c>
      <c r="C281" s="38">
        <f>LEFT(Tableau1[[#This Row],[Code Postal]],2)*1</f>
        <v>49</v>
      </c>
      <c r="D281" s="10" t="s">
        <v>1853</v>
      </c>
      <c r="E281" s="26">
        <v>49000</v>
      </c>
      <c r="F281" s="10" t="s">
        <v>1852</v>
      </c>
      <c r="G281" s="39" t="str">
        <f>Tableau1[[#This Row],[Rue]]&amp;CHAR(10)&amp;Tableau1[[#This Row],[Code Postal]]&amp;" - "&amp;Tableau1[[#This Row],[Ville]]</f>
        <v>10 Rue du Grand Launay
49000 - Angers</v>
      </c>
      <c r="H281" s="15" t="s">
        <v>1854</v>
      </c>
      <c r="I281" s="12" t="s">
        <v>47</v>
      </c>
      <c r="J281" s="12" t="s">
        <v>49</v>
      </c>
      <c r="K281" s="10"/>
      <c r="L281" s="10"/>
      <c r="M281" s="12"/>
      <c r="N281" s="36"/>
      <c r="O281" s="34"/>
      <c r="P281" s="12"/>
      <c r="Q281" s="34"/>
      <c r="R281" s="10"/>
      <c r="S281" s="12"/>
      <c r="T281" s="12"/>
      <c r="U281" s="12">
        <f>IFERROR(Tableau1[[#This Row],[Loyer annuel]]/12,"")</f>
        <v>0</v>
      </c>
      <c r="V281" s="12"/>
      <c r="W281" s="12"/>
      <c r="X281" s="6">
        <f>Tableau1[[#This Row],[Charges €/m²]]*Tableau1[[#This Row],[Surface GLA]]</f>
        <v>0</v>
      </c>
      <c r="Y281" s="12">
        <f>Tableau1[[#This Row],[Charges annuelles]]/12</f>
        <v>0</v>
      </c>
      <c r="Z281" s="12"/>
      <c r="AA281" s="12">
        <f>IFERROR(Tableau1[[#This Row],[Taxe foncière €/m²]]*Tableau1[[#This Row],[Surface GLA]],)</f>
        <v>0</v>
      </c>
      <c r="AB281" s="12"/>
      <c r="AC281" s="12">
        <f>IFERROR(Tableau1[[#This Row],[Marketing €/m²]]*Tableau1[[#This Row],[Surface GLA]],)</f>
        <v>0</v>
      </c>
      <c r="AD281" s="12"/>
      <c r="AE281" s="12">
        <f>IFERROR(Tableau1[[#This Row],[Loyer annuel]]+Tableau1[[#This Row],[Charges annuelles]]+Tableau1[[#This Row],[Taxe foncière]]+Tableau1[[#This Row],[Marketing]],"")</f>
        <v>0</v>
      </c>
      <c r="AF281" s="12"/>
      <c r="AG281" s="12"/>
      <c r="AH281" s="12"/>
      <c r="AI281" s="12"/>
      <c r="AJ281" s="10"/>
      <c r="AK281" s="10"/>
      <c r="AL281" s="10"/>
      <c r="AM281" s="11"/>
      <c r="AN281" s="11" t="s">
        <v>1386</v>
      </c>
      <c r="AO281" s="5" t="s">
        <v>361</v>
      </c>
      <c r="AP281" s="11"/>
      <c r="AQ281" s="11"/>
      <c r="AR281" s="11"/>
      <c r="AS281" s="36"/>
      <c r="AT281" s="11" t="s">
        <v>70</v>
      </c>
      <c r="AU281" s="11" t="s">
        <v>370</v>
      </c>
      <c r="AV281" s="13" t="s">
        <v>1871</v>
      </c>
      <c r="AW281" s="14"/>
      <c r="AX281" s="44"/>
    </row>
    <row r="282" spans="1:50" ht="25.5">
      <c r="A282" s="38" t="str">
        <f>VLOOKUP(Tableau1[[#This Row],[N° Département]],Feuil1!$C$6:$E$106,3)</f>
        <v>Pays de la Loire</v>
      </c>
      <c r="B282" s="38" t="str">
        <f>VLOOKUP(Tableau1[[#This Row],[N° Département]],Feuil1!$C$6:$E$106,2)</f>
        <v>Maine-et-Loire</v>
      </c>
      <c r="C282" s="38">
        <f>LEFT(Tableau1[[#This Row],[Code Postal]],2)*1</f>
        <v>49</v>
      </c>
      <c r="D282" s="10" t="s">
        <v>1853</v>
      </c>
      <c r="E282" s="26">
        <v>49000</v>
      </c>
      <c r="F282" s="10" t="s">
        <v>1852</v>
      </c>
      <c r="G282" s="39" t="str">
        <f>Tableau1[[#This Row],[Rue]]&amp;CHAR(10)&amp;Tableau1[[#This Row],[Code Postal]]&amp;" - "&amp;Tableau1[[#This Row],[Ville]]</f>
        <v>10 Rue du Grand Launay
49000 - Angers</v>
      </c>
      <c r="H282" s="15" t="s">
        <v>1854</v>
      </c>
      <c r="I282" s="12" t="s">
        <v>47</v>
      </c>
      <c r="J282" s="12" t="s">
        <v>49</v>
      </c>
      <c r="K282" s="10"/>
      <c r="L282" s="10"/>
      <c r="M282" s="12"/>
      <c r="N282" s="36"/>
      <c r="O282" s="34"/>
      <c r="P282" s="12"/>
      <c r="Q282" s="34"/>
      <c r="R282" s="10"/>
      <c r="S282" s="12"/>
      <c r="T282" s="12"/>
      <c r="U282" s="12">
        <f>IFERROR(Tableau1[[#This Row],[Loyer annuel]]/12,"")</f>
        <v>0</v>
      </c>
      <c r="V282" s="12"/>
      <c r="W282" s="12"/>
      <c r="X282" s="6">
        <f>Tableau1[[#This Row],[Charges €/m²]]*Tableau1[[#This Row],[Surface GLA]]</f>
        <v>0</v>
      </c>
      <c r="Y282" s="12">
        <f>Tableau1[[#This Row],[Charges annuelles]]/12</f>
        <v>0</v>
      </c>
      <c r="Z282" s="12"/>
      <c r="AA282" s="12">
        <f>IFERROR(Tableau1[[#This Row],[Taxe foncière €/m²]]*Tableau1[[#This Row],[Surface GLA]],)</f>
        <v>0</v>
      </c>
      <c r="AB282" s="12"/>
      <c r="AC282" s="12">
        <f>IFERROR(Tableau1[[#This Row],[Marketing €/m²]]*Tableau1[[#This Row],[Surface GLA]],)</f>
        <v>0</v>
      </c>
      <c r="AD282" s="12"/>
      <c r="AE282" s="12">
        <f>IFERROR(Tableau1[[#This Row],[Loyer annuel]]+Tableau1[[#This Row],[Charges annuelles]]+Tableau1[[#This Row],[Taxe foncière]]+Tableau1[[#This Row],[Marketing]],"")</f>
        <v>0</v>
      </c>
      <c r="AF282" s="12"/>
      <c r="AG282" s="12"/>
      <c r="AH282" s="12"/>
      <c r="AI282" s="12"/>
      <c r="AJ282" s="10"/>
      <c r="AK282" s="10"/>
      <c r="AL282" s="10"/>
      <c r="AM282" s="11"/>
      <c r="AN282" s="11" t="s">
        <v>1386</v>
      </c>
      <c r="AO282" s="5" t="s">
        <v>361</v>
      </c>
      <c r="AP282" s="11"/>
      <c r="AQ282" s="11"/>
      <c r="AR282" s="11"/>
      <c r="AS282" s="36"/>
      <c r="AT282" s="11" t="s">
        <v>70</v>
      </c>
      <c r="AU282" s="11" t="s">
        <v>370</v>
      </c>
      <c r="AV282" s="13" t="s">
        <v>1871</v>
      </c>
      <c r="AW282" s="14"/>
      <c r="AX282" s="44"/>
    </row>
    <row r="283" spans="1:50" ht="25.5">
      <c r="A283" s="38" t="str">
        <f>VLOOKUP(Tableau1[[#This Row],[N° Département]],Feuil1!$C$6:$E$106,3)</f>
        <v>Pays de la Loire</v>
      </c>
      <c r="B283" s="38" t="str">
        <f>VLOOKUP(Tableau1[[#This Row],[N° Département]],Feuil1!$C$6:$E$106,2)</f>
        <v>Maine-et-Loire</v>
      </c>
      <c r="C283" s="38">
        <f>LEFT(Tableau1[[#This Row],[Code Postal]],2)*1</f>
        <v>49</v>
      </c>
      <c r="D283" s="10" t="s">
        <v>1853</v>
      </c>
      <c r="E283" s="26">
        <v>49000</v>
      </c>
      <c r="F283" s="10" t="s">
        <v>1852</v>
      </c>
      <c r="G283" s="39" t="str">
        <f>Tableau1[[#This Row],[Rue]]&amp;CHAR(10)&amp;Tableau1[[#This Row],[Code Postal]]&amp;" - "&amp;Tableau1[[#This Row],[Ville]]</f>
        <v>10 Rue du Grand Launay
49000 - Angers</v>
      </c>
      <c r="H283" s="15" t="s">
        <v>1854</v>
      </c>
      <c r="I283" s="12" t="s">
        <v>47</v>
      </c>
      <c r="J283" s="12" t="s">
        <v>49</v>
      </c>
      <c r="K283" s="10"/>
      <c r="L283" s="10"/>
      <c r="M283" s="12"/>
      <c r="N283" s="36"/>
      <c r="O283" s="34"/>
      <c r="P283" s="12"/>
      <c r="Q283" s="34"/>
      <c r="R283" s="10"/>
      <c r="S283" s="12"/>
      <c r="T283" s="12"/>
      <c r="U283" s="12">
        <f>IFERROR(Tableau1[[#This Row],[Loyer annuel]]/12,"")</f>
        <v>0</v>
      </c>
      <c r="V283" s="12"/>
      <c r="W283" s="12"/>
      <c r="X283" s="6">
        <f>Tableau1[[#This Row],[Charges €/m²]]*Tableau1[[#This Row],[Surface GLA]]</f>
        <v>0</v>
      </c>
      <c r="Y283" s="12">
        <f>Tableau1[[#This Row],[Charges annuelles]]/12</f>
        <v>0</v>
      </c>
      <c r="Z283" s="12"/>
      <c r="AA283" s="12">
        <f>IFERROR(Tableau1[[#This Row],[Taxe foncière €/m²]]*Tableau1[[#This Row],[Surface GLA]],)</f>
        <v>0</v>
      </c>
      <c r="AB283" s="12"/>
      <c r="AC283" s="12">
        <f>IFERROR(Tableau1[[#This Row],[Marketing €/m²]]*Tableau1[[#This Row],[Surface GLA]],)</f>
        <v>0</v>
      </c>
      <c r="AD283" s="12"/>
      <c r="AE283" s="12">
        <f>IFERROR(Tableau1[[#This Row],[Loyer annuel]]+Tableau1[[#This Row],[Charges annuelles]]+Tableau1[[#This Row],[Taxe foncière]]+Tableau1[[#This Row],[Marketing]],"")</f>
        <v>0</v>
      </c>
      <c r="AF283" s="12"/>
      <c r="AG283" s="12"/>
      <c r="AH283" s="12"/>
      <c r="AI283" s="12"/>
      <c r="AJ283" s="10"/>
      <c r="AK283" s="10"/>
      <c r="AL283" s="10"/>
      <c r="AM283" s="11"/>
      <c r="AN283" s="11" t="s">
        <v>1386</v>
      </c>
      <c r="AO283" s="5" t="s">
        <v>361</v>
      </c>
      <c r="AP283" s="11"/>
      <c r="AQ283" s="11"/>
      <c r="AR283" s="11"/>
      <c r="AS283" s="36"/>
      <c r="AT283" s="11" t="s">
        <v>70</v>
      </c>
      <c r="AU283" s="11" t="s">
        <v>370</v>
      </c>
      <c r="AV283" s="13" t="s">
        <v>1871</v>
      </c>
      <c r="AW283" s="14"/>
      <c r="AX283" s="44"/>
    </row>
    <row r="284" spans="1:50">
      <c r="A284" s="38" t="e">
        <f>VLOOKUP(Tableau1[[#This Row],[N° Département]],Feuil1!$C$6:$E$106,3)</f>
        <v>#VALUE!</v>
      </c>
      <c r="B284" s="38" t="e">
        <f>VLOOKUP(Tableau1[[#This Row],[N° Département]],Feuil1!$C$6:$E$106,2)</f>
        <v>#VALUE!</v>
      </c>
      <c r="C284" s="38" t="e">
        <f>LEFT(Tableau1[[#This Row],[Code Postal]],2)*1</f>
        <v>#VALUE!</v>
      </c>
      <c r="D284" s="10"/>
      <c r="E284" s="10"/>
      <c r="F284" s="10"/>
      <c r="G284" s="39" t="str">
        <f>Tableau1[[#This Row],[Rue]]&amp;Tableau1[[#This Row],[Code Postal]]&amp;Tableau1[[#This Row],[Ville]]</f>
        <v/>
      </c>
      <c r="H284" s="52" t="e" cm="1">
        <f t="array" aca="1" ref="H284" ca="1">Extrait_hyperlien(#REF!)</f>
        <v>#NAME?</v>
      </c>
      <c r="I284" s="12"/>
      <c r="J284" s="12"/>
      <c r="K284" s="10"/>
      <c r="L284" s="10"/>
      <c r="M284" s="12"/>
      <c r="N284" s="36"/>
      <c r="O284" s="34"/>
      <c r="P284" s="12"/>
      <c r="Q284" s="34"/>
      <c r="R284" s="10"/>
      <c r="S284" s="12"/>
      <c r="T284" s="12"/>
      <c r="U284" s="12">
        <f>IFERROR(Tableau1[[#This Row],[Loyer annuel]]/12,"")</f>
        <v>0</v>
      </c>
      <c r="V284" s="12"/>
      <c r="W284" s="12"/>
      <c r="X284" s="12"/>
      <c r="Y284" s="12">
        <f>Tableau1[[#This Row],[Charges annuelles]]/12</f>
        <v>0</v>
      </c>
      <c r="Z284" s="12"/>
      <c r="AA284" s="12">
        <f>IFERROR(Tableau1[[#This Row],[Taxe foncière €/m²]]*Tableau1[[#This Row],[Surface GLA]],)</f>
        <v>0</v>
      </c>
      <c r="AB284" s="12"/>
      <c r="AC284" s="12">
        <f>IFERROR(Tableau1[[#This Row],[Marketing €/m²]]*Tableau1[[#This Row],[Surface GLA]],)</f>
        <v>0</v>
      </c>
      <c r="AD284" s="12"/>
      <c r="AE284" s="12">
        <f>IFERROR(Tableau1[[#This Row],[Loyer annuel]]+Tableau1[[#This Row],[Charges annuelles]]+Tableau1[[#This Row],[Taxe foncière]]+Tableau1[[#This Row],[Marketing]],"")</f>
        <v>0</v>
      </c>
      <c r="AF284" s="12"/>
      <c r="AG284" s="12"/>
      <c r="AH284" s="12"/>
      <c r="AI284" s="12"/>
      <c r="AJ284" s="10"/>
      <c r="AK284" s="10"/>
      <c r="AL284" s="10"/>
      <c r="AM284" s="11"/>
      <c r="AN284" s="11" t="s">
        <v>1386</v>
      </c>
      <c r="AO284" s="5" t="s">
        <v>361</v>
      </c>
      <c r="AP284" s="11"/>
      <c r="AQ284" s="11"/>
      <c r="AR284" s="11"/>
      <c r="AS284" s="36"/>
      <c r="AT284" s="11"/>
      <c r="AU284" s="11"/>
      <c r="AV284" s="13"/>
      <c r="AW284" s="14"/>
      <c r="AX284" s="44"/>
    </row>
    <row r="298" spans="6:6">
      <c r="F298" s="1" t="s">
        <v>995</v>
      </c>
    </row>
    <row r="299" spans="6:6">
      <c r="F299"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80" r:id="rId218" xr:uid="{C6CC8D32-EFB7-4427-BBEE-6847C3DB7F5A}"/>
    <hyperlink ref="H282" r:id="rId219" xr:uid="{108D86F9-0E5F-49CA-9DAB-BF55C9E582F7}"/>
    <hyperlink ref="H265" r:id="rId220" xr:uid="{3760C67A-B702-490D-B7BF-10D045F6DBCA}"/>
    <hyperlink ref="H267" r:id="rId221" xr:uid="{74366FF4-BD79-4A4E-95B6-ACBE8796C1CD}"/>
    <hyperlink ref="H269" r:id="rId222" xr:uid="{6387CEAD-2485-4AAD-A042-A804233A8F62}"/>
    <hyperlink ref="H271" r:id="rId223" xr:uid="{95B81931-1443-4FA3-B65D-1E58CD1E85CD}"/>
    <hyperlink ref="H273" r:id="rId224" xr:uid="{D3CFA2EC-4DC9-42C4-AA87-F31AA4632399}"/>
    <hyperlink ref="H275" r:id="rId225" xr:uid="{1026C532-9542-4C3D-807F-C730F1C6A6E0}"/>
    <hyperlink ref="H277" r:id="rId226" xr:uid="{575408C7-3CD2-4A9F-B53A-B6A883510B8A}"/>
    <hyperlink ref="H279" r:id="rId227" xr:uid="{2E771A86-F027-4A08-960E-356EF9406F5D}"/>
    <hyperlink ref="H281" r:id="rId228" xr:uid="{9A7BCA4F-0249-4D3F-BEE5-3C570496DF04}"/>
    <hyperlink ref="H283" r:id="rId229" xr:uid="{4D14BC35-53D9-45D8-A88E-10076DA549C4}"/>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3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2026-06-05T18:05:57Z</dcterms:modified>
</cp:coreProperties>
</file>