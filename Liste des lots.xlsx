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394606E2-CA7B-4FDC-9247-20715E382D29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148" i="2" l="1"/>
  <c r="AD149" i="2"/>
  <c r="AD150" i="2"/>
  <c r="AD151" i="2"/>
  <c r="AD152" i="2"/>
  <c r="V139" i="2"/>
  <c r="W139" i="2" s="1"/>
  <c r="V140" i="2"/>
  <c r="W140" i="2" s="1"/>
  <c r="V141" i="2"/>
  <c r="W141" i="2"/>
  <c r="V142" i="2"/>
  <c r="W142" i="2"/>
  <c r="V143" i="2"/>
  <c r="W143" i="2" s="1"/>
  <c r="V144" i="2"/>
  <c r="W144" i="2"/>
  <c r="V145" i="2"/>
  <c r="W145" i="2" s="1"/>
  <c r="V146" i="2"/>
  <c r="W146" i="2" s="1"/>
  <c r="V147" i="2"/>
  <c r="W147" i="2"/>
  <c r="V148" i="2"/>
  <c r="W148" i="2"/>
  <c r="V149" i="2"/>
  <c r="W149" i="2" s="1"/>
  <c r="V150" i="2"/>
  <c r="W150" i="2"/>
  <c r="V151" i="2"/>
  <c r="W151" i="2" s="1"/>
  <c r="V152" i="2"/>
  <c r="R149" i="2"/>
  <c r="S149" i="2" s="1"/>
  <c r="R150" i="2"/>
  <c r="S150" i="2" s="1"/>
  <c r="R151" i="2"/>
  <c r="S151" i="2"/>
  <c r="R152" i="2"/>
  <c r="S152" i="2"/>
  <c r="C149" i="2"/>
  <c r="A149" i="2" s="1"/>
  <c r="G149" i="2"/>
  <c r="C150" i="2"/>
  <c r="A150" i="2" s="1"/>
  <c r="G150" i="2"/>
  <c r="C151" i="2"/>
  <c r="A151" i="2" s="1"/>
  <c r="G151" i="2"/>
  <c r="C152" i="2"/>
  <c r="A152" i="2" s="1"/>
  <c r="G152" i="2"/>
  <c r="L149" i="2"/>
  <c r="L150" i="2"/>
  <c r="L151" i="2"/>
  <c r="L152" i="2"/>
  <c r="Y152" i="2"/>
  <c r="AA152" i="2"/>
  <c r="Y151" i="2"/>
  <c r="AA151" i="2"/>
  <c r="Y150" i="2"/>
  <c r="AA150" i="2"/>
  <c r="Y149" i="2"/>
  <c r="AA149" i="2"/>
  <c r="L148" i="2"/>
  <c r="R144" i="2"/>
  <c r="S144" i="2" s="1"/>
  <c r="R145" i="2"/>
  <c r="S145" i="2" s="1"/>
  <c r="R146" i="2"/>
  <c r="S146" i="2" s="1"/>
  <c r="R147" i="2"/>
  <c r="S147" i="2" s="1"/>
  <c r="R148" i="2"/>
  <c r="S148" i="2" s="1"/>
  <c r="Y148" i="2"/>
  <c r="AA148" i="2"/>
  <c r="G148" i="2"/>
  <c r="C148" i="2"/>
  <c r="B148" i="2" s="1"/>
  <c r="G146" i="2"/>
  <c r="G147" i="2"/>
  <c r="C147" i="2"/>
  <c r="A147" i="2" s="1"/>
  <c r="Y147" i="2"/>
  <c r="AA147" i="2"/>
  <c r="C146" i="2"/>
  <c r="A146" i="2" s="1"/>
  <c r="Y146" i="2"/>
  <c r="AA146" i="2"/>
  <c r="R139" i="2"/>
  <c r="S139" i="2" s="1"/>
  <c r="R140" i="2"/>
  <c r="S140" i="2" s="1"/>
  <c r="R141" i="2"/>
  <c r="S141" i="2" s="1"/>
  <c r="R142" i="2"/>
  <c r="S142" i="2" s="1"/>
  <c r="R143" i="2"/>
  <c r="S143" i="2" s="1"/>
  <c r="G138" i="2"/>
  <c r="G139" i="2"/>
  <c r="G140" i="2"/>
  <c r="G141" i="2"/>
  <c r="G142" i="2"/>
  <c r="G143" i="2"/>
  <c r="G144" i="2"/>
  <c r="G145" i="2"/>
  <c r="C145" i="2"/>
  <c r="B145" i="2" s="1"/>
  <c r="Y145" i="2"/>
  <c r="AA145" i="2"/>
  <c r="C144" i="2"/>
  <c r="A144" i="2" s="1"/>
  <c r="Y144" i="2"/>
  <c r="AA144" i="2"/>
  <c r="C140" i="2"/>
  <c r="A140" i="2" s="1"/>
  <c r="C141" i="2"/>
  <c r="A141" i="2" s="1"/>
  <c r="C142" i="2"/>
  <c r="A142" i="2" s="1"/>
  <c r="C143" i="2"/>
  <c r="B143" i="2" s="1"/>
  <c r="Y141" i="2"/>
  <c r="Y142" i="2"/>
  <c r="Y143" i="2"/>
  <c r="AA141" i="2"/>
  <c r="AA142" i="2"/>
  <c r="AA143" i="2"/>
  <c r="Y140" i="2"/>
  <c r="AA140" i="2"/>
  <c r="C139" i="2"/>
  <c r="A139" i="2" s="1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52" i="2" l="1"/>
  <c r="W152" i="2"/>
  <c r="B151" i="2"/>
  <c r="B150" i="2"/>
  <c r="B152" i="2"/>
  <c r="B149" i="2"/>
  <c r="AC151" i="2"/>
  <c r="AC150" i="2"/>
  <c r="AC149" i="2"/>
  <c r="AC148" i="2"/>
  <c r="AD134" i="2"/>
  <c r="AD122" i="2"/>
  <c r="A148" i="2"/>
  <c r="AD147" i="2"/>
  <c r="AC147" i="2"/>
  <c r="B147" i="2"/>
  <c r="AC146" i="2"/>
  <c r="AD131" i="2"/>
  <c r="AD118" i="2"/>
  <c r="AD130" i="2"/>
  <c r="AD129" i="2"/>
  <c r="AD128" i="2"/>
  <c r="AD127" i="2"/>
  <c r="AD138" i="2"/>
  <c r="AD126" i="2"/>
  <c r="AD137" i="2"/>
  <c r="AD125" i="2"/>
  <c r="AD136" i="2"/>
  <c r="AD124" i="2"/>
  <c r="AD135" i="2"/>
  <c r="AD123" i="2"/>
  <c r="AD133" i="2"/>
  <c r="AD121" i="2"/>
  <c r="B146" i="2"/>
  <c r="AD132" i="2"/>
  <c r="AD117" i="2"/>
  <c r="AC145" i="2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<sst xmlns="http://schemas.openxmlformats.org/spreadsheetml/2006/main" count="4619" uniqueCount="1105">
  <si>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</si>
  <si>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</si>
  <si>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</si>
  <si>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</si>
  <si>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</si>
  <si>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</si>
  <si>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</si>
  <si>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</si>
  <si>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</si>
  <si>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</si>
  <si>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</si>
  <si>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</si>
  <si>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</si>
  <si>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</si>
  <si>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</si>
  <si>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</si>
  <si>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</si>
  <si>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</si>
  <si>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</si>
  <si>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</si>
  <si>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</si>
  <si>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</si>
  <si>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</si>
  <si>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</si>
  <si>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</si>
  <si>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</si>
  <si>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</si>
  <si>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</si>
  <si>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</si>
  <si>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</si>
  <si>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</si>
  <si>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</si>
  <si>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</si>
  <si>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</si>
  <si>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</si>
  <si>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</si>
  <si>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</si>
  <si>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</si>
  <si>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</si>
  <si>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</si>
  <si>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</si>
  <si>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</si>
  <si>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</si>
  <si>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</si>
  <si>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</si>
  <si>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</si>
  <si>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</si>
  <si>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</si>
  <si>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</si>
  <si>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</si>
  <si>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</si>
  <si>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</si>
  <si>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</si>
  <si>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</si>
  <si>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</si>
  <si>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</si>
  <si>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</si>
  <si>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</si>
  <si>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</si>
  <si>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</si>
  <si>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</si>
  <si>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</si>
  <si>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</si>
  <si>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</si>
  <si>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</si>
  <si>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</si>
  <si>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</si>
  <si>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</si>
  <si>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</si>
  <si>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</si>
  <si>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</si>
  <si>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</si>
  <si>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</si>
  <si>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</si>
  <si>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</si>
  <si>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</si>
  <si>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</si>
  <si>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</si>
  <si>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</si>
  <si>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</si>
  <si>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</si>
  <si>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</si>
  <si>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</si>
  <si>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</si>
  <si>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</si>
  <si>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</si>
  <si>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</si>
  <si>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</si>
  <si>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</si>
  <si>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</si>
  <si>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</si>
  <si>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</si>
  <si>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</si>
  <si>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</si>
  <si>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</si>
  <si>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</si>
  <si>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</si>
  <si>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</si>
  <si>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</si>
  <si>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</si>
  <si>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</si>
  <si>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</si>
  <si>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</si>
  <si>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</si>
  <si>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</si>
  <si>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</si>
  <si>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</si>
  <si>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</si>
  <si>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</si>
  <si>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</si>
  <si>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</si>
  <si>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</si>
  <si>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</si>
  <si>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</si>
  <si>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</si>
  <si>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</si>
  <si>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</si>
  <si>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</si>
  <si>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</si>
  <si>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</si>
  <si>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</si>
  <si>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</si>
  <si>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</si>
  <si>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</si>
  <si>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</si>
  <si>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</si>
  <si>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</si>
  <si>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</si>
  <si>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</si>
  <si>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</si>
  <si>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</si>
  <si>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</si>
  <si>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</si>
  <si>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</si>
  <si>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</si>
  <si>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</si>
  <si>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</si>
  <si>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</si>
  <si>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</si>
  <si>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</si>
  <si>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</si>
  <si>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</si>
  <si>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</si>
  <si>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</si>
  <si>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</si>
  <si>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</si>
  <si>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</si>
  <si>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</si>
  <si>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</si>
  <si>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</si>
  <si>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</si>
  <si>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</si>
  <si>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</si>
  <si>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</si>
  <si>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</si>
  <si>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</si>
  <si>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</si>
  <si>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</si>
  <si>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</si>
  <si>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</si>
  <si>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</si>
  <si>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</si>
  <si>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</si>
  <si>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</si>
  <si>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</si>
  <si>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</si>
  <si>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</si>
  <si>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</si>
  <si>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</si>
  <si>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</si>
  <si>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</si>
  <si>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</si>
  <si>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</si>
  <si>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</si>
  <si>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</si>
  <si>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</si>
  <si>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</si>
  <si>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</si>
  <si>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</si>
  <si>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</si>
  <si>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</si>
  <si>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</si>
  <si>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</si>
  <si>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</si>
  <si>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</si>
  <si>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</si>
  <si>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</si>
  <si>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</si>
  <si>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</si>
  <si>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</si>
  <si>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</si>
  <si>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</si>
  <si>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</si>
  <si>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</si>
  <si>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</si>
  <si>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</si>
  <si>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</si>
  <si>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</si>
  <si>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</si>
  <si>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</si>
  <si>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</si>
  <si>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</si>
  <si>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</si>
  <si>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</si>
  <si>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</si>
  <si>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</si>
  <si>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</si>
  <si>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</si>
  <si>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</si>
  <si>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</si>
  <si>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</si>
  <si>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</si>
  <si>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</si>
  <si>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</si>
  <si>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</si>
  <si>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</si>
  <si>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</si>
  <si>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</si>
  <si>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</si>
  <si>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</si>
  <si>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</si>
  <si>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</si>
  <si>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</si>
  <si>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</si>
  <si>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</si>
  <si>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</si>
  <si>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</si>
  <si>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</si>
  <si>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</si>
  <si>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</si>
  <si>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</si>
  <si>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</si>
  <si>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</si>
  <si>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</si>
  <si>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</si>
  <si>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</si>
  <si>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</si>
  <si>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</si>
  <si>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</si>
  <si>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</si>
  <si>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</si>
  <si>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</si>
  <si>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</si>
  <si>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</si>
  <si>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</si>
  <si>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</si>
  <si>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</si>
  <si>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</si>
  <si>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</si>
  <si>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</si>
  <si>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</si>
  <si>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</si>
  <si>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</si>
  <si>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</si>
  <si>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</si>
  <si>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</si>
  <si>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</si>
  <si>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</si>
  <si>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</si>
  <si>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</si>
  <si>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</si>
  <si>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</si>
  <si>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</si>
  <si>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</si>
  <si>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</si>
  <si>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</si>
  <si>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</si>
  <si>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</si>
  <si>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</si>
  <si>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</si>
  <si>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</si>
  <si>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</si>
  <si>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</si>
  <si>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</si>
  <si>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</si>
  <si>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</si>
  <si>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</si>
  <si>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</si>
  <si>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</si>
  <si>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</si>
  <si>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</si>
  <si>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</si>
  <si>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</si>
  <si>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</si>
  <si>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</si>
  <si>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</si>
  <si>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</si>
  <si>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</si>
  <si>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</si>
  <si>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</si>
  <si>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</si>
  <si>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</si>
  <si>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</si>
  <si>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</si>
  <si>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</si>
  <si>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</si>
  <si>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</si>
  <si>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</si>
  <si>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</si>
  <si>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</si>
  <si>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</si>
  <si>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</si>
  <si>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</si>
  <si>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</si>
  <si>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</si>
  <si>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</si>
  <si>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</si>
  <si>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</si>
  <si>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</si>
  <si>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</si>
  <si>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</si>
  <si>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</si>
  <si>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</si>
  <si>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</si>
  <si>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</si>
  <si>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</si>
  <si>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</si>
  <si>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</si>
  <si>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</si>
  <si>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</si>
  <si>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</si>
  <si>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</si>
  <si>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</si>
  <si>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</si>
  <si>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</si>
  <si>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</si>
  <si>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</si>
  <si>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</si>
  <si>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</si>
  <si>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</si>
  <si>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</si>
  <si>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</si>
  <si>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</si>
  <si>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</si>
  <si>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</si>
  <si>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</si>
  <si>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</si>
  <si>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</si>
  <si>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</si>
  <si>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</si>
  <si>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</si>
  <si>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</si>
  <si>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</si>
  <si>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</si>
  <si>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</si>
  <si>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</si>
  <si>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</si>
  <si>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</si>
  <si>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</si>
  <si>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</si>
  <si>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</si>
  <si>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</si>
  <si>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</si>
  <si>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</si>
  <si>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</si>
  <si>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</si>
  <si>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</si>
  <si>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</si>
  <si>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</si>
  <si>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</si>
  <si>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</si>
  <si>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</si>
  <si>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</si>
  <si>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</si>
  <si>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</si>
  <si>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</si>
  <si>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</si>
  <si>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</si>
  <si>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</si>
  <si>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</si>
  <si>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</si>
  <si>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</si>
  <si>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</si>
  <si>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</si>
  <si>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</si>
  <si>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</si>
  <si>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</si>
  <si>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</si>
  <si>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</si>
  <si>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</si>
  <si>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</si>
  <si>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</si>
  <si>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</si>
  <si>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</si>
  <si>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</si>
  <si>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</si>
  <si>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</si>
  <si>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</si>
  <si>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</si>
  <si>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</si>
  <si>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</si>
  <si>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</si>
  <si>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</si>
  <si>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</si>
  <si>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</si>
  <si>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</si>
  <si>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</si>
  <si>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</si>
  <si>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</si>
  <si>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</si>
  <si>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</si>
  <si>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</si>
  <si>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</si>
  <si>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</si>
  <si>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</si>
  <si>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</si>
  <si>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</si>
  <si>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</si>
  <si>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</si>
  <si>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</si>
  <si>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</si>
  <si>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</si>
  <si>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</si>
  <si>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</si>
  <si>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</si>
  <si>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</si>
  <si>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</si>
  <si>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</si>
  <si>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</si>
  <si>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</si>
  <si>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</si>
  <si>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</si>
  <si>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</si>
  <si>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</si>
  <si>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</si>
  <si>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</si>
  <si>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</si>
  <si>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</si>
  <si>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</si>
  <si>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</si>
  <si>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</si>
  <si>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</si>
  <si>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</si>
  <si>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</si>
  <si>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</si>
  <si>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</si>
  <si>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</si>
  <si>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</si>
  <si>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</si>
  <si>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</si>
  <si>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</si>
  <si>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</si>
  <si>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</si>
  <si>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</si>
  <si>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</si>
  <si>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</si>
  <si>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</si>
  <si>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</si>
  <si>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</si>
  <si>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</si>
  <si>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</si>
  <si>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</si>
  <si>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</si>
  <si>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</si>
  <si>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</si>
  <si>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</si>
  <si>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</si>
  <si>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</si>
  <si>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</si>
  <si>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</si>
  <si>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</si>
  <si>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</si>
  <si>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</si>
  <si>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</si>
  <si>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</si>
  <si>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</si>
  <si>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</si>
  <si>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</si>
  <si>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</si>
  <si>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</si>
  <si>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</si>
  <si>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</si>
  <si>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</si>
  <si>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</si>
  <si>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</si>
  <si>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</si>
  <si>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</si>
  <si>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</si>
  <si>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</si>
  <si>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</si>
  <si>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</si>
  <si>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</si>
  <si>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</si>
  <si>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</si>
  <si>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</si>
  <si>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</si>
  <si>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</si>
  <si>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</si>
  <si>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</si>
  <si>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</si>
  <si>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</si>
  <si>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</si>
  <si>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</si>
  <si>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</si>
  <si>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</si>
  <si>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</si>
  <si>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</si>
  <si>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</si>
  <si>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</si>
  <si>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</si>
  <si>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</si>
  <si>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</si>
  <si>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</si>
  <si>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</si>
  <si>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</si>
  <si>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</si>
  <si>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</si>
  <si>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</si>
  <si>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</si>
  <si>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</si>
  <si>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</si>
  <si>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</si>
  <si>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</si>
  <si>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</si>
  <si>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</si>
  <si>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</si>
  <si>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</si>
  <si>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</si>
  <si>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</si>
  <si>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</si>
  <si>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</si>
  <si>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</si>
  <si>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</si>
  <si>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</si>
  <si>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</si>
  <si>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</si>
  <si>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</si>
  <si>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</si>
  <si>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</si>
  <si>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</si>
  <si>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</si>
  <si>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</si>
  <si>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</si>
  <si>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</si>
  <si>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</si>
  <si>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</si>
  <si>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</si>
  <si>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</si>
  <si>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</si>
  <si>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</si>
  <si>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</si>
  <si>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</si>
  <si>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</si>
  <si>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</si>
  <si>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</si>
  <si>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</si>
  <si>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</si>
  <si>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</si>
  <si>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</si>
  <si>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</si>
  <si>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</si>
  <si>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</si>
  <si>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</si>
  <si>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</si>
  <si>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</si>
  <si>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</si>
  <si>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</si>
  <si>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</si>
  <si>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</si>
  <si>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</si>
  <si>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</si>
  <si>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</si>
  <si>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</si>
  <si>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</si>
  <si>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</si>
  <si>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</si>
  <si>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</si>
  <si>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</si>
  <si>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</si>
  <si>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</si>
  <si>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</si>
  <si>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</si>
  <si>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</si>
  <si>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</si>
  <si>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</si>
  <si>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</si>
  <si>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</si>
  <si>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</si>
  <si>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</si>
  <si>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</si>
  <si>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</si>
  <si>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</si>
  <si>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</si>
  <si>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</si>
  <si>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</si>
  <si>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</si>
  <si>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</si>
  <si>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</si>
  <si>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</si>
  <si>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</si>
  <si>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</si>
  <si>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</si>
  <si>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</si>
  <si>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</si>
  <si>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</si>
  <si>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</si>
  <si>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</si>
  <si>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</si>
  <si>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</si>
  <si>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</si>
  <si>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</si>
  <si>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</si>
  <si>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</si>
  <si>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</si>
  <si>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</si>
  <si>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</si>
  <si>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</si>
  <si>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</si>
  <si>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</si>
  <si>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</si>
  <si>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</si>
  <si>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</si>
  <si>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</si>
  <si>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</si>
  <si>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</si>
  <si>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</si>
  <si>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</si>
  <si>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</si>
  <si>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</si>
  <si>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</si>
  <si>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</si>
  <si>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</si>
  <si>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</si>
  <si>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</si>
  <si>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</si>
  <si>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</si>
  <si>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</si>
  <si>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</si>
  <si>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</si>
  <si>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</si>
  <si>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</si>
  <si>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</si>
  <si>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</si>
  <si>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</si>
  <si>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</si>
  <si>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</si>
  <si>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</si>
  <si>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</si>
  <si>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</si>
  <si>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</si>
  <si>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</si>
  <si>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</si>
  <si>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</si>
  <si>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</si>
  <si>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</si>
  <si>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</si>
  <si>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</si>
  <si>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</si>
  <si>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</si>
  <si>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</si>
  <si>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</si>
  <si>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</si>
  <si>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</si>
  <si>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</si>
  <si>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</si>
  <si>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</si>
  <si>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</si>
  <si>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</si>
  <si>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</si>
  <si>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</si>
  <si>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</si>
  <si>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</si>
  <si>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</si>
  <si>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</si>
  <si>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</si>
  <si>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</si>
  <si>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</si>
  <si>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</si>
  <si>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</si>
  <si>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</si>
  <si>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</si>
  <si>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</si>
  <si>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</si>
  <si>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</si>
  <si>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</si>
  <si>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</si>
  <si>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</si>
  <si>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</si>
  <si>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</si>
  <si>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</si>
  <si>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</si>
  <si>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</si>
  <si>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</si>
  <si>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</si>
  <si>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</si>
  <si>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</si>
  <si>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</si>
  <si>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</si>
  <si>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</si>
  <si>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</si>
  <si>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</si>
  <si>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</si>
  <si>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</si>
  <si>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</si>
  <si>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</si>
  <si>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</si>
  <si>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</si>
  <si>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</si>
  <si>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</si>
  <si>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</si>
  <si>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</si>
  <si>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</si>
  <si>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</si>
  <si>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</si>
  <si>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</si>
  <si>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</si>
  <si>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</si>
  <si>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</si>
  <si>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</si>
  <si>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</si>
  <si>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</si>
  <si>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</si>
  <si>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</si>
  <si>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</si>
  <si>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</si>
  <si>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</si>
  <si>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</si>
  <si>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</si>
  <si>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</si>
  <si>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</si>
  <si>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</si>
  <si>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</si>
  <si>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</si>
  <si>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</si>
  <si>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</si>
  <si>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</si>
  <si>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</si>
  <si>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</si>
  <si>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</si>
  <si>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</si>
  <si>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</si>
  <si>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</si>
  <si>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</si>
  <si>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</si>
  <si>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</si>
  <si>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</si>
  <si>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</si>
  <si>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</si>
  <si>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</si>
  <si>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</si>
  <si>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</si>
  <si>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</si>
  <si>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</si>
  <si>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</si>
  <si>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</si>
  <si>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</si>
  <si>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</si>
  <si>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</si>
  <si>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</si>
  <si>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</si>
  <si>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</si>
  <si>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</si>
  <si>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</si>
  <si>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</si>
  <si>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</si>
  <si>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</si>
  <si>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</si>
  <si>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</si>
  <si>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</si>
  <si>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</si>
  <si>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</si>
  <si>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</si>
  <si>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</si>
  <si>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</si>
  <si>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</si>
  <si>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</si>
  <si>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</si>
  <si>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</si>
  <si>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</si>
  <si>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</si>
  <si>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</si>
  <si>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</si>
  <si>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</si>
  <si>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</si>
  <si>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</si>
  <si>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</si>
  <si>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</si>
  <si>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</si>
  <si>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</si>
  <si>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</si>
  <si>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</si>
  <si>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</si>
  <si>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</si>
  <si>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</si>
  <si>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</si>
  <si>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</si>
  <si>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</si>
  <si>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</si>
  <si>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</si>
  <si>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</si>
  <si>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</si>
  <si>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</si>
  <si>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</si>
  <si>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</si>
  <si>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</si>
  <si>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</si>
  <si>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</si>
  <si>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</si>
  <si>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</si>
  <si>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</si>
  <si>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</si>
  <si>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</si>
  <si>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</si>
  <si>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</si>
  <si>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</si>
  <si>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</si>
  <si>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</si>
  <si>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</si>
  <si>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</si>
  <si>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</si>
  <si>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</si>
  <si>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</si>
  <si>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</si>
  <si>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</si>
  <si>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</si>
  <si>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</si>
  <si>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</si>
  <si>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</si>
  <si>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</si>
  <si>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</si>
  <si>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</si>
  <si>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</si>
  <si>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</si>
  <si>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</si>
  <si>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</si>
  <si>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</si>
  <si>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</si>
  <si>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</si>
  <si>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</si>
  <si>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</si>
  <si>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</si>
  <si>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</si>
  <si>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</si>
  <si>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</si>
  <si>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</si>
  <si>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</si>
  <si>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</si>
  <si>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</si>
  <si>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</si>
  <si>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</si>
  <si>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</si>
  <si>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</si>
  <si>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</si>
  <si>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</si>
  <si>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</si>
  <si>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</si>
  <si>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</si>
  <si>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</si>
  <si>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</si>
  <si>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</si>
  <si>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</si>
  <si>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</si>
  <si>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</si>
  <si>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</si>
  <si>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</si>
  <si>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</si>
  <si>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</si>
  <si>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</si>
  <si>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</si>
  <si>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</si>
  <si>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</si>
  <si>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</si>
  <si>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</si>
  <si>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</si>
  <si>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</si>
  <si>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</si>
  <si>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</si>
  <si>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</si>
  <si>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</si>
  <si>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</si>
  <si>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</si>
  <si>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</si>
  <si>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</si>
  <si>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</si>
  <si>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</si>
  <si>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</si>
  <si>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</si>
  <si>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</si>
  <si>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</si>
  <si>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</si>
  <si>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</si>
  <si>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</si>
  <si>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</si>
  <si>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</si>
  <si>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</si>
  <si>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</si>
  <si>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</si>
  <si>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</si>
  <si>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</si>
  <si>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</si>
  <si>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</si>
  <si>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</si>
  <si>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</si>
  <si>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</si>
  <si>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</si>
  <si>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</si>
  <si>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</si>
  <si>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</si>
  <si>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</si>
  <si>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</si>
  <si>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</si>
  <si>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</si>
  <si>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</si>
  <si>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</si>
  <si>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</si>
  <si>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</si>
  <si>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</si>
  <si>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</si>
  <si>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</si>
  <si>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</si>
  <si>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</si>
  <si>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</si>
  <si>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</si>
  <si>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</si>
  <si>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</si>
  <si>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</si>
  <si>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</si>
  <si>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</si>
  <si>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</si>
  <si>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</si>
  <si>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</si>
  <si>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</si>
  <si>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</si>
  <si>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</si>
  <si>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</si>
  <si>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</si>
  <si>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</si>
  <si>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</si>
  <si>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</si>
  <si>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</si>
  <si>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</si>
  <si>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</si>
  <si>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</si>
  <si>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</si>
  <si>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</si>
  <si>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</si>
  <si>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</si>
  <si>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</si>
  <si>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</si>
  <si>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</si>
  <si>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</si>
  <si>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</si>
  <si>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</si>
  <si>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</si>
  <si>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</si>
  <si>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</si>
  <si>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</si>
  <si>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</si>
  <si>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</si>
  <si>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</si>
  <si>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</si>
  <si>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</si>
  <si>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</si>
  <si>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</si>
  <si>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</si>
  <si>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</si>
  <si>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</si>
  <si>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</si>
  <si>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</si>
  <si>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</si>
  <si>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</si>
  <si>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</si>
  <si>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</si>
  <si>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</si>
  <si>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</si>
  <si>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</si>
  <si>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</si>
  <si>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</si>
  <si>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</si>
  <si>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</si>
  <si>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</si>
  <si>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</si>
  <si>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</si>
  <si>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</si>
  <si>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</si>
  <si>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</si>
  <si>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</si>
  <si>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</si>
  <si>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</si>
  <si>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</si>
  <si>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</si>
  <si>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</si>
  <si>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</si>
  <si>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</si>
  <si>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</si>
  <si>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</si>
  <si>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</si>
  <si>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</si>
  <si>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</si>
  <si>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</si>
  <si>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</si>
  <si>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</si>
  <si>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</si>
  <si>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</si>
  <si>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</si>
  <si>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</si>
  <si>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</si>
  <si>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</si>
  <si>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</si>
  <si>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</si>
  <si>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</si>
  <si>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</si>
  <si>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</si>
  <si>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</si>
  <si>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</si>
  <si>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</si>
  <si>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</si>
  <si>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</si>
  <si>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</si>
  <si>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</si>
  <si>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</si>
  <si>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</si>
  <si>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</si>
  <si>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</si>
  <si>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</si>
  <si>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</si>
  <si>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</si>
  <si>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</si>
  <si>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</si>
  <si>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</si>
  <si>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</si>
  <si>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</si>
  <si>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</si>
  <si>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</si>
  <si>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</si>
  <si>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</si>
  <si>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</si>
  <si>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</si>
  <si>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</si>
  <si>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</si>
  <si>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</si>
  <si>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</si>
  <si>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</si>
  <si>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</si>
  <si>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</si>
  <si>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</si>
  <si>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</si>
  <si>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</si>
  <si>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</si>
  <si>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</si>
  <si>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</si>
  <si>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</si>
  <si>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</si>
  <si>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</si>
  <si>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</si>
  <si>
    <t>5 avenue d'Alsace</t>
  </si>
  <si>
    <t>C1</t>
  </si>
  <si>
    <t>https://maps.app.goo.gl/Li1LEavQXMdoEcnp6</t>
  </si>
  <si>
    <t>47.596972</t>
  </si>
  <si>
    <t>7.583361</t>
  </si>
  <si>
    <t>https://maps.app.goo.gl/x6dcSwrDVoZjnYt46</t>
  </si>
  <si>
    <t>Super U 38 Route de Vauzelles, Rue du Bon Raisin</t>
  </si>
  <si>
    <t>Coiffeur, Restaurant, Atol, services</t>
  </si>
  <si>
    <t>47.134859</t>
  </si>
  <si>
    <t>0.981750</t>
  </si>
  <si>
    <t>Super U Loches</t>
  </si>
  <si>
    <t>Leclerc Saint-Louis</t>
  </si>
  <si>
    <t>300 €/m² = 21 900 €</t>
  </si>
  <si>
    <t>Charges et taxes comprises. Local en angle d'un supermarché de 50 M€ dans une très belle zone 100% commercialisée (Intersport, Bricomarché, V&amp;B, Maxizoo, Chaussea, Optical Centre, etc.)</t>
  </si>
  <si>
    <t>Dans un retail Park avec drive Leclerc, à la frontière avec l'Allemagne et la Suisse</t>
  </si>
  <si>
    <t>https://pub-843c46afc4cb41489909bce00c9b143d.r2.dev/33%20-%20Huningue/1.jpg; https://pub-843c46afc4cb41489909bce00c9b143d.r2.dev/33%20-%20Huningue/2.jpg; https://pub-843c46afc4cb41489909bce00c9b143d.r2.dev/33%20-%20Huningue/3.png</t>
  </si>
  <si>
    <t>https://pub-843c46afc4cb41489909bce00c9b143d.r2.dev/34.1%20-%20Loches/1.jpg; https://pub-843c46afc4cb41489909bce00c9b143d.r2.dev/34.1%20-%20Loches/2.jpg; https://pub-843c46afc4cb41489909bce00c9b143d.r2.dev/34.1%20-%20Loches/3.jpg; https://pub-843c46afc4cb41489909bce00c9b143d.r2.dev/34.1%20-%20Loches/4.jpg; https://pub-843c46afc4cb41489909bce00c9b143d.r2.dev/34.1%20-%20Loches/5%20plan%20cellules%20magasin.jpg</t>
  </si>
  <si>
    <t>https://maps.app.goo.gl/K9R5sQxCB3Rf4pa6A</t>
  </si>
  <si>
    <t>Extension de 7 000 m² d'un retail Park commercialisé à 100 % autour d'un supermarché U de 50 M€ hors essence Intersport, Bricomarché, V&amp;B, Maxizoo, Chaussea, Optical Centre, etc.</t>
  </si>
  <si>
    <t>35.1</t>
  </si>
  <si>
    <t>135 €/m²</t>
  </si>
  <si>
    <t>Projet à définir</t>
  </si>
  <si>
    <t>35.2</t>
  </si>
  <si>
    <t>35.3</t>
  </si>
  <si>
    <t>35.4</t>
  </si>
  <si>
    <t>35.5</t>
  </si>
  <si>
    <t>47.134100</t>
  </si>
  <si>
    <t>0.980457</t>
  </si>
  <si>
    <t>47.134252</t>
  </si>
  <si>
    <t>0.980154</t>
  </si>
  <si>
    <t>47.134410</t>
  </si>
  <si>
    <t>0.979889</t>
  </si>
  <si>
    <t>47.134735</t>
  </si>
  <si>
    <t>0.979787</t>
  </si>
  <si>
    <t>47.134934</t>
  </si>
  <si>
    <t>0.980034</t>
  </si>
  <si>
    <t>https://pub-843c46afc4cb41489909bce00c9b143d.r2.dev/35.1%20Loches/1.jpg; https://pub-843c46afc4cb41489909bce00c9b143d.r2.dev/35.1%20Loches/2%20Aper%C3%A7u%20Projet%20Retail%20Park%20Loches.jpg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</si>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</sst>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1" fillId="3" borderId="0" xfId="1" applyFill="1" applyAlignment="1">
      <alignment horizontal="center" vertical="center"/>
    </xf>
    <xf numFmtId="6" fontId="1" fillId="0" borderId="0" xfId="1" applyNumberFormat="1" applyFill="1" applyAlignment="1">
      <alignment horizontal="center" vertical="center"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52" totalsRowShown="0" headerRowCellStyle="Normal 2" dataCellStyle="Normal 2">
  <autoFilter ref="A1:AT152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117" Type="http://schemas.openxmlformats.org/officeDocument/2006/relationships/hyperlink" Target="https://maps.app.goo.gl/K9R5sQxCB3Rf4pa6A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hyperlink" Target="https://maps.app.goo.gl/Li1LEavQXMdoEcnp6" TargetMode="External"/><Relationship Id="rId16" Type="http://schemas.openxmlformats.org/officeDocument/2006/relationships/hyperlink" Target="https://maps.app.goo.gl/wJkBLPh5R3fTCHhg8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115" Type="http://schemas.openxmlformats.org/officeDocument/2006/relationships/hyperlink" Target="https://maps.app.goo.gl/K9R5sQxCB3Rf4pa6A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113" Type="http://schemas.openxmlformats.org/officeDocument/2006/relationships/hyperlink" Target="https://maps.app.goo.gl/x6dcSwrDVoZjnYt46" TargetMode="External"/><Relationship Id="rId118" Type="http://schemas.openxmlformats.org/officeDocument/2006/relationships/hyperlink" Target="https://maps.app.goo.gl/K9R5sQxCB3Rf4pa6A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116" Type="http://schemas.openxmlformats.org/officeDocument/2006/relationships/hyperlink" Target="https://maps.app.goo.gl/K9R5sQxCB3Rf4pa6A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14" Type="http://schemas.openxmlformats.org/officeDocument/2006/relationships/hyperlink" Target="https://maps.app.goo.gl/K9R5sQxCB3Rf4pa6A" TargetMode="External"/><Relationship Id="rId119" Type="http://schemas.openxmlformats.org/officeDocument/2006/relationships/table" Target="../tables/table1.xm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Relationship Id="rId2" Type="http://schemas.openxmlformats.org/officeDocument/2006/relationships/hyperlink" Target="https://www.google.com/maps/place/44+Grande+Rue,+25000+Besan%C3%A7on" TargetMode="External"/><Relationship Id="rId29" Type="http://schemas.openxmlformats.org/officeDocument/2006/relationships/hyperlink" Target="https://maps.app.goo.gl/yRNFdK1p6sWPThzm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4"/>
  <sheetViews>
    <sheetView showZeros="0" tabSelected="1" zoomScale="80" zoomScaleNormal="80" workbookViewId="0">
      <pane xSplit="6" ySplit="1" topLeftCell="AM67" activePane="bottomRight" state="frozen"/>
      <selection pane="topRight" activeCell="G1" sqref="G1"/>
      <selection pane="bottomLeft" activeCell="A2" sqref="A2"/>
      <selection pane="bottomRight" activeCell="AP90" sqref="AP90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1082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1083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1084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1085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1086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1087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1088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1089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1090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1091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1092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1093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1094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1095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1096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1097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1098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1099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1100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1101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1102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1103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1104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907</v>
      </c>
      <c r="E117" s="10">
        <v>67600</v>
      </c>
      <c r="F117" s="10" t="s">
        <v>894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895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896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901</v>
      </c>
      <c r="AK117" s="11" t="s">
        <v>897</v>
      </c>
      <c r="AL117" s="5" t="s">
        <v>370</v>
      </c>
      <c r="AM117" s="11" t="s">
        <v>898</v>
      </c>
      <c r="AN117" s="11" t="s">
        <v>899</v>
      </c>
      <c r="AO117" s="11">
        <v>25</v>
      </c>
      <c r="AP117" s="36" t="s">
        <v>902</v>
      </c>
      <c r="AQ117" s="11" t="s">
        <v>76</v>
      </c>
      <c r="AR117" s="11" t="s">
        <v>380</v>
      </c>
      <c r="AS117" s="13" t="s">
        <v>900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908</v>
      </c>
      <c r="E118" s="26">
        <v>84507</v>
      </c>
      <c r="F118" s="10" t="s">
        <v>905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906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909</v>
      </c>
      <c r="AK118" s="11" t="s">
        <v>910</v>
      </c>
      <c r="AL118" s="5" t="s">
        <v>370</v>
      </c>
      <c r="AM118" s="11" t="s">
        <v>911</v>
      </c>
      <c r="AN118" s="11" t="s">
        <v>912</v>
      </c>
      <c r="AO118" s="11">
        <v>26</v>
      </c>
      <c r="AP118" s="36" t="s">
        <v>914</v>
      </c>
      <c r="AQ118" s="11" t="s">
        <v>76</v>
      </c>
      <c r="AR118" s="11" t="s">
        <v>913</v>
      </c>
      <c r="AS118" s="13" t="s">
        <v>900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918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915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916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917</v>
      </c>
      <c r="AL119" s="5" t="s">
        <v>370</v>
      </c>
      <c r="AM119" s="11" t="s">
        <v>919</v>
      </c>
      <c r="AN119" s="11" t="s">
        <v>920</v>
      </c>
      <c r="AO119" s="11">
        <v>27</v>
      </c>
      <c r="AP119" s="36" t="s">
        <v>927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921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922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923</v>
      </c>
      <c r="AK120" s="11" t="s">
        <v>929</v>
      </c>
      <c r="AL120" s="5" t="s">
        <v>370</v>
      </c>
      <c r="AM120" s="11" t="s">
        <v>924</v>
      </c>
      <c r="AN120" s="11" t="s">
        <v>925</v>
      </c>
      <c r="AO120" s="11">
        <v>28</v>
      </c>
      <c r="AP120" s="36" t="s">
        <v>928</v>
      </c>
      <c r="AQ120" s="11" t="s">
        <v>76</v>
      </c>
      <c r="AR120" s="11" t="s">
        <v>926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931</v>
      </c>
      <c r="E121" s="10">
        <v>93430</v>
      </c>
      <c r="F121" s="10" t="s">
        <v>930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932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933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0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955</v>
      </c>
      <c r="AK121" s="11" t="s">
        <v>992</v>
      </c>
      <c r="AL121" s="5" t="s">
        <v>370</v>
      </c>
      <c r="AM121" s="11" t="s">
        <v>958</v>
      </c>
      <c r="AN121" s="11" t="s">
        <v>959</v>
      </c>
      <c r="AO121" s="11" t="s">
        <v>938</v>
      </c>
      <c r="AP121" s="36" t="s">
        <v>1042</v>
      </c>
      <c r="AQ121" s="11" t="s">
        <v>76</v>
      </c>
      <c r="AR121" s="11" t="s">
        <v>956</v>
      </c>
      <c r="AS121" s="13" t="s">
        <v>957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931</v>
      </c>
      <c r="E122" s="10">
        <v>93430</v>
      </c>
      <c r="F122" s="10" t="s">
        <v>930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932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0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955</v>
      </c>
      <c r="AK122" s="11" t="s">
        <v>992</v>
      </c>
      <c r="AL122" s="5" t="s">
        <v>370</v>
      </c>
      <c r="AM122" s="11" t="s">
        <v>960</v>
      </c>
      <c r="AN122" s="11" t="s">
        <v>961</v>
      </c>
      <c r="AO122" s="11" t="s">
        <v>939</v>
      </c>
      <c r="AP122" s="36" t="s">
        <v>1042</v>
      </c>
      <c r="AQ122" s="11" t="s">
        <v>76</v>
      </c>
      <c r="AR122" s="11" t="s">
        <v>956</v>
      </c>
      <c r="AS122" s="13" t="s">
        <v>957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931</v>
      </c>
      <c r="E123" s="10">
        <v>93430</v>
      </c>
      <c r="F123" s="10" t="s">
        <v>930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932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0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955</v>
      </c>
      <c r="AK123" s="11" t="s">
        <v>992</v>
      </c>
      <c r="AL123" s="5" t="s">
        <v>370</v>
      </c>
      <c r="AM123" s="11" t="s">
        <v>962</v>
      </c>
      <c r="AN123" s="11" t="s">
        <v>963</v>
      </c>
      <c r="AO123" s="11" t="s">
        <v>940</v>
      </c>
      <c r="AP123" s="36" t="s">
        <v>1042</v>
      </c>
      <c r="AQ123" s="11" t="s">
        <v>76</v>
      </c>
      <c r="AR123" s="11" t="s">
        <v>956</v>
      </c>
      <c r="AS123" s="13" t="s">
        <v>957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931</v>
      </c>
      <c r="E124" s="10">
        <v>93430</v>
      </c>
      <c r="F124" s="10" t="s">
        <v>930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932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934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0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955</v>
      </c>
      <c r="AK124" s="11" t="s">
        <v>993</v>
      </c>
      <c r="AL124" s="5" t="s">
        <v>370</v>
      </c>
      <c r="AM124" s="11" t="s">
        <v>964</v>
      </c>
      <c r="AN124" s="11" t="s">
        <v>965</v>
      </c>
      <c r="AO124" s="11" t="s">
        <v>941</v>
      </c>
      <c r="AP124" s="36" t="s">
        <v>1042</v>
      </c>
      <c r="AQ124" s="11" t="s">
        <v>76</v>
      </c>
      <c r="AR124" s="11" t="s">
        <v>956</v>
      </c>
      <c r="AS124" s="13" t="s">
        <v>957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931</v>
      </c>
      <c r="E125" s="10">
        <v>93430</v>
      </c>
      <c r="F125" s="10" t="s">
        <v>930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932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935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0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955</v>
      </c>
      <c r="AK125" s="11" t="s">
        <v>992</v>
      </c>
      <c r="AL125" s="5" t="s">
        <v>370</v>
      </c>
      <c r="AM125" s="11" t="s">
        <v>966</v>
      </c>
      <c r="AN125" s="11" t="s">
        <v>967</v>
      </c>
      <c r="AO125" s="11" t="s">
        <v>942</v>
      </c>
      <c r="AP125" s="36" t="s">
        <v>1042</v>
      </c>
      <c r="AQ125" s="11" t="s">
        <v>76</v>
      </c>
      <c r="AR125" s="11" t="s">
        <v>956</v>
      </c>
      <c r="AS125" s="13" t="s">
        <v>957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931</v>
      </c>
      <c r="E126" s="10">
        <v>93430</v>
      </c>
      <c r="F126" s="10" t="s">
        <v>930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932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0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955</v>
      </c>
      <c r="AK126" s="11" t="s">
        <v>992</v>
      </c>
      <c r="AL126" s="5" t="s">
        <v>370</v>
      </c>
      <c r="AM126" s="11" t="s">
        <v>974</v>
      </c>
      <c r="AN126" s="11" t="s">
        <v>975</v>
      </c>
      <c r="AO126" s="11" t="s">
        <v>943</v>
      </c>
      <c r="AP126" s="36" t="s">
        <v>1042</v>
      </c>
      <c r="AQ126" s="11" t="s">
        <v>76</v>
      </c>
      <c r="AR126" s="11" t="s">
        <v>956</v>
      </c>
      <c r="AS126" s="13" t="s">
        <v>957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931</v>
      </c>
      <c r="E127" s="10">
        <v>93430</v>
      </c>
      <c r="F127" s="10" t="s">
        <v>930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932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936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0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955</v>
      </c>
      <c r="AK127" s="11" t="s">
        <v>992</v>
      </c>
      <c r="AL127" s="5" t="s">
        <v>370</v>
      </c>
      <c r="AM127" s="11" t="s">
        <v>972</v>
      </c>
      <c r="AN127" s="11" t="s">
        <v>973</v>
      </c>
      <c r="AO127" s="11" t="s">
        <v>944</v>
      </c>
      <c r="AP127" s="36" t="s">
        <v>1042</v>
      </c>
      <c r="AQ127" s="11" t="s">
        <v>76</v>
      </c>
      <c r="AR127" s="11" t="s">
        <v>956</v>
      </c>
      <c r="AS127" s="13" t="s">
        <v>957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931</v>
      </c>
      <c r="E128" s="10">
        <v>93430</v>
      </c>
      <c r="F128" s="10" t="s">
        <v>930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932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0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955</v>
      </c>
      <c r="AK128" s="11" t="s">
        <v>992</v>
      </c>
      <c r="AL128" s="5" t="s">
        <v>370</v>
      </c>
      <c r="AM128" s="11" t="s">
        <v>970</v>
      </c>
      <c r="AN128" s="11" t="s">
        <v>971</v>
      </c>
      <c r="AO128" s="11" t="s">
        <v>945</v>
      </c>
      <c r="AP128" s="36" t="s">
        <v>1042</v>
      </c>
      <c r="AQ128" s="11" t="s">
        <v>76</v>
      </c>
      <c r="AR128" s="11" t="s">
        <v>956</v>
      </c>
      <c r="AS128" s="13" t="s">
        <v>957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931</v>
      </c>
      <c r="E129" s="10">
        <v>93430</v>
      </c>
      <c r="F129" s="10" t="s">
        <v>930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932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0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955</v>
      </c>
      <c r="AK129" s="11" t="s">
        <v>992</v>
      </c>
      <c r="AL129" s="5" t="s">
        <v>370</v>
      </c>
      <c r="AM129" s="11" t="s">
        <v>968</v>
      </c>
      <c r="AN129" s="11" t="s">
        <v>969</v>
      </c>
      <c r="AO129" s="11" t="s">
        <v>946</v>
      </c>
      <c r="AP129" s="36" t="s">
        <v>1042</v>
      </c>
      <c r="AQ129" s="11" t="s">
        <v>76</v>
      </c>
      <c r="AR129" s="11" t="s">
        <v>956</v>
      </c>
      <c r="AS129" s="13" t="s">
        <v>957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931</v>
      </c>
      <c r="E130" s="10">
        <v>93430</v>
      </c>
      <c r="F130" s="10" t="s">
        <v>930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932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0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955</v>
      </c>
      <c r="AK130" s="11" t="s">
        <v>992</v>
      </c>
      <c r="AL130" s="5" t="s">
        <v>370</v>
      </c>
      <c r="AM130" s="11" t="s">
        <v>976</v>
      </c>
      <c r="AN130" s="11" t="s">
        <v>977</v>
      </c>
      <c r="AO130" s="11" t="s">
        <v>947</v>
      </c>
      <c r="AP130" s="36" t="s">
        <v>1042</v>
      </c>
      <c r="AQ130" s="11" t="s">
        <v>76</v>
      </c>
      <c r="AR130" s="11" t="s">
        <v>956</v>
      </c>
      <c r="AS130" s="13" t="s">
        <v>957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931</v>
      </c>
      <c r="E131" s="10">
        <v>93430</v>
      </c>
      <c r="F131" s="10" t="s">
        <v>930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932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0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955</v>
      </c>
      <c r="AK131" s="11" t="s">
        <v>992</v>
      </c>
      <c r="AL131" s="5" t="s">
        <v>370</v>
      </c>
      <c r="AM131" s="11" t="s">
        <v>978</v>
      </c>
      <c r="AN131" s="11" t="s">
        <v>979</v>
      </c>
      <c r="AO131" s="11" t="s">
        <v>948</v>
      </c>
      <c r="AP131" s="36" t="s">
        <v>1042</v>
      </c>
      <c r="AQ131" s="11" t="s">
        <v>76</v>
      </c>
      <c r="AR131" s="11" t="s">
        <v>956</v>
      </c>
      <c r="AS131" s="13" t="s">
        <v>957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931</v>
      </c>
      <c r="E132" s="10">
        <v>93430</v>
      </c>
      <c r="F132" s="10" t="s">
        <v>930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932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0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955</v>
      </c>
      <c r="AK132" s="11" t="s">
        <v>992</v>
      </c>
      <c r="AL132" s="5" t="s">
        <v>370</v>
      </c>
      <c r="AM132" s="11" t="s">
        <v>980</v>
      </c>
      <c r="AN132" s="11" t="s">
        <v>981</v>
      </c>
      <c r="AO132" s="11" t="s">
        <v>949</v>
      </c>
      <c r="AP132" s="36" t="s">
        <v>1042</v>
      </c>
      <c r="AQ132" s="11" t="s">
        <v>76</v>
      </c>
      <c r="AR132" s="11" t="s">
        <v>956</v>
      </c>
      <c r="AS132" s="13" t="s">
        <v>957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931</v>
      </c>
      <c r="E133" s="10">
        <v>93430</v>
      </c>
      <c r="F133" s="10" t="s">
        <v>930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932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0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955</v>
      </c>
      <c r="AK133" s="11" t="s">
        <v>992</v>
      </c>
      <c r="AL133" s="5" t="s">
        <v>370</v>
      </c>
      <c r="AM133" s="11" t="s">
        <v>982</v>
      </c>
      <c r="AN133" s="11" t="s">
        <v>983</v>
      </c>
      <c r="AO133" s="11" t="s">
        <v>950</v>
      </c>
      <c r="AP133" s="36" t="s">
        <v>1042</v>
      </c>
      <c r="AQ133" s="11" t="s">
        <v>76</v>
      </c>
      <c r="AR133" s="11" t="s">
        <v>956</v>
      </c>
      <c r="AS133" s="13" t="s">
        <v>957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931</v>
      </c>
      <c r="E134" s="10">
        <v>93430</v>
      </c>
      <c r="F134" s="10" t="s">
        <v>930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932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1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955</v>
      </c>
      <c r="AK134" s="11" t="s">
        <v>992</v>
      </c>
      <c r="AL134" s="5" t="s">
        <v>370</v>
      </c>
      <c r="AM134" s="11" t="s">
        <v>984</v>
      </c>
      <c r="AN134" s="11" t="s">
        <v>985</v>
      </c>
      <c r="AO134" s="11" t="s">
        <v>951</v>
      </c>
      <c r="AP134" s="36" t="s">
        <v>1042</v>
      </c>
      <c r="AQ134" s="11" t="s">
        <v>76</v>
      </c>
      <c r="AR134" s="11" t="s">
        <v>956</v>
      </c>
      <c r="AS134" s="13" t="s">
        <v>957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931</v>
      </c>
      <c r="E135" s="10">
        <v>93430</v>
      </c>
      <c r="F135" s="10" t="s">
        <v>930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932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1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955</v>
      </c>
      <c r="AK135" s="11" t="s">
        <v>992</v>
      </c>
      <c r="AL135" s="5" t="s">
        <v>370</v>
      </c>
      <c r="AM135" s="11" t="s">
        <v>986</v>
      </c>
      <c r="AN135" s="11" t="s">
        <v>987</v>
      </c>
      <c r="AO135" s="11" t="s">
        <v>952</v>
      </c>
      <c r="AP135" s="36" t="s">
        <v>1042</v>
      </c>
      <c r="AQ135" s="11" t="s">
        <v>76</v>
      </c>
      <c r="AR135" s="11" t="s">
        <v>956</v>
      </c>
      <c r="AS135" s="13" t="s">
        <v>957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931</v>
      </c>
      <c r="E136" s="10">
        <v>93430</v>
      </c>
      <c r="F136" s="10" t="s">
        <v>930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932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1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955</v>
      </c>
      <c r="AK136" s="11" t="s">
        <v>992</v>
      </c>
      <c r="AL136" s="5" t="s">
        <v>370</v>
      </c>
      <c r="AM136" s="11" t="s">
        <v>988</v>
      </c>
      <c r="AN136" s="11" t="s">
        <v>989</v>
      </c>
      <c r="AO136" s="11" t="s">
        <v>953</v>
      </c>
      <c r="AP136" s="36" t="s">
        <v>1042</v>
      </c>
      <c r="AQ136" s="11" t="s">
        <v>76</v>
      </c>
      <c r="AR136" s="11" t="s">
        <v>956</v>
      </c>
      <c r="AS136" s="13" t="s">
        <v>957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931</v>
      </c>
      <c r="E137" s="10">
        <v>93430</v>
      </c>
      <c r="F137" s="10" t="s">
        <v>930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932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937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1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955</v>
      </c>
      <c r="AK137" s="11" t="s">
        <v>992</v>
      </c>
      <c r="AL137" s="5" t="s">
        <v>370</v>
      </c>
      <c r="AM137" s="11" t="s">
        <v>990</v>
      </c>
      <c r="AN137" s="11" t="s">
        <v>991</v>
      </c>
      <c r="AO137" s="11" t="s">
        <v>954</v>
      </c>
      <c r="AP137" s="36" t="s">
        <v>1042</v>
      </c>
      <c r="AQ137" s="11" t="s">
        <v>76</v>
      </c>
      <c r="AR137" s="11" t="s">
        <v>956</v>
      </c>
      <c r="AS137" s="13" t="s">
        <v>957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42" t="s">
        <v>995</v>
      </c>
      <c r="E138" s="10">
        <v>95290</v>
      </c>
      <c r="F138" s="10" t="s">
        <v>994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996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997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998</v>
      </c>
      <c r="AK138" s="11" t="s">
        <v>1002</v>
      </c>
      <c r="AL138" s="5" t="s">
        <v>370</v>
      </c>
      <c r="AM138" s="11" t="s">
        <v>1000</v>
      </c>
      <c r="AN138" s="11" t="s">
        <v>1001</v>
      </c>
      <c r="AO138" s="11">
        <v>30</v>
      </c>
      <c r="AP138" s="36" t="s">
        <v>1003</v>
      </c>
      <c r="AQ138" s="11" t="s">
        <v>76</v>
      </c>
      <c r="AR138" s="11" t="s">
        <v>999</v>
      </c>
      <c r="AS138" s="13" t="s">
        <v>957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42" t="s">
        <v>1005</v>
      </c>
      <c r="E139" s="10">
        <v>95260</v>
      </c>
      <c r="F139" s="10" t="s">
        <v>1004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1011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6">
        <f>Tableau1[[#This Row],[Charges €/m²]]*Tableau1[[#This Row],[Surface GLA]]</f>
        <v>0</v>
      </c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1012</v>
      </c>
      <c r="AK139" s="11" t="s">
        <v>1013</v>
      </c>
      <c r="AL139" s="5" t="s">
        <v>370</v>
      </c>
      <c r="AM139" s="11" t="s">
        <v>1014</v>
      </c>
      <c r="AN139" s="11" t="s">
        <v>1015</v>
      </c>
      <c r="AO139" s="11" t="s">
        <v>1006</v>
      </c>
      <c r="AP139" s="36" t="s">
        <v>1043</v>
      </c>
      <c r="AQ139" s="11" t="s">
        <v>76</v>
      </c>
      <c r="AR139" s="11"/>
      <c r="AS139" s="13" t="s">
        <v>957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42" t="s">
        <v>1005</v>
      </c>
      <c r="E140" s="10">
        <v>95260</v>
      </c>
      <c r="F140" s="10" t="s">
        <v>1004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1011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6">
        <f>Tableau1[[#This Row],[Charges €/m²]]*Tableau1[[#This Row],[Surface GLA]]</f>
        <v>0</v>
      </c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1012</v>
      </c>
      <c r="AK140" s="11" t="s">
        <v>1013</v>
      </c>
      <c r="AL140" s="5" t="s">
        <v>370</v>
      </c>
      <c r="AM140" s="11" t="s">
        <v>1016</v>
      </c>
      <c r="AN140" s="11" t="s">
        <v>1017</v>
      </c>
      <c r="AO140" s="11" t="s">
        <v>1007</v>
      </c>
      <c r="AP140" s="36" t="s">
        <v>1043</v>
      </c>
      <c r="AQ140" s="11" t="s">
        <v>76</v>
      </c>
      <c r="AR140" s="11"/>
      <c r="AS140" s="13" t="s">
        <v>957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42" t="s">
        <v>1005</v>
      </c>
      <c r="E141" s="10">
        <v>95260</v>
      </c>
      <c r="F141" s="10" t="s">
        <v>1004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1011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6">
        <f>Tableau1[[#This Row],[Charges €/m²]]*Tableau1[[#This Row],[Surface GLA]]</f>
        <v>0</v>
      </c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1012</v>
      </c>
      <c r="AK141" s="11" t="s">
        <v>1013</v>
      </c>
      <c r="AL141" s="5" t="s">
        <v>370</v>
      </c>
      <c r="AM141" s="11" t="s">
        <v>1018</v>
      </c>
      <c r="AN141" s="11" t="s">
        <v>1019</v>
      </c>
      <c r="AO141" s="11" t="s">
        <v>1008</v>
      </c>
      <c r="AP141" s="36" t="s">
        <v>1043</v>
      </c>
      <c r="AQ141" s="11" t="s">
        <v>76</v>
      </c>
      <c r="AR141" s="11"/>
      <c r="AS141" s="13" t="s">
        <v>957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42" t="s">
        <v>1005</v>
      </c>
      <c r="E142" s="10">
        <v>95260</v>
      </c>
      <c r="F142" s="10" t="s">
        <v>1004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1011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6">
        <f>Tableau1[[#This Row],[Charges €/m²]]*Tableau1[[#This Row],[Surface GLA]]</f>
        <v>0</v>
      </c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1012</v>
      </c>
      <c r="AK142" s="11" t="s">
        <v>1013</v>
      </c>
      <c r="AL142" s="5" t="s">
        <v>370</v>
      </c>
      <c r="AM142" s="11" t="s">
        <v>1020</v>
      </c>
      <c r="AN142" s="11" t="s">
        <v>1021</v>
      </c>
      <c r="AO142" s="11" t="s">
        <v>1009</v>
      </c>
      <c r="AP142" s="36" t="s">
        <v>1043</v>
      </c>
      <c r="AQ142" s="11" t="s">
        <v>76</v>
      </c>
      <c r="AR142" s="11"/>
      <c r="AS142" s="13" t="s">
        <v>957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42" t="s">
        <v>1005</v>
      </c>
      <c r="E143" s="10">
        <v>95260</v>
      </c>
      <c r="F143" s="10" t="s">
        <v>1004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1011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 t="s">
        <v>361</v>
      </c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6">
        <f>Tableau1[[#This Row],[Charges €/m²]]*Tableau1[[#This Row],[Surface GLA]]</f>
        <v>0</v>
      </c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1012</v>
      </c>
      <c r="AK143" s="11" t="s">
        <v>1013</v>
      </c>
      <c r="AL143" s="5" t="s">
        <v>370</v>
      </c>
      <c r="AM143" s="11" t="s">
        <v>1022</v>
      </c>
      <c r="AN143" s="11" t="s">
        <v>1023</v>
      </c>
      <c r="AO143" s="11" t="s">
        <v>1010</v>
      </c>
      <c r="AP143" s="36" t="s">
        <v>1044</v>
      </c>
      <c r="AQ143" s="11" t="s">
        <v>76</v>
      </c>
      <c r="AR143" s="11"/>
      <c r="AS143" s="13" t="s">
        <v>957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1027</v>
      </c>
      <c r="E144" s="10">
        <v>44200</v>
      </c>
      <c r="F144" s="10" t="s">
        <v>1028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1026</v>
      </c>
      <c r="I144" s="12" t="s">
        <v>45</v>
      </c>
      <c r="J144" s="12" t="s">
        <v>44</v>
      </c>
      <c r="K144" s="12" t="s">
        <v>104</v>
      </c>
      <c r="L144" s="12" t="s">
        <v>104</v>
      </c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6">
        <f>Tableau1[[#This Row],[Charges €/m²]]*Tableau1[[#This Row],[Surface GLA]]</f>
        <v>0</v>
      </c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1035</v>
      </c>
      <c r="AK144" s="11" t="s">
        <v>1036</v>
      </c>
      <c r="AL144" s="5" t="s">
        <v>370</v>
      </c>
      <c r="AM144" s="11" t="s">
        <v>1031</v>
      </c>
      <c r="AN144" s="11" t="s">
        <v>1032</v>
      </c>
      <c r="AO144" s="11" t="s">
        <v>1024</v>
      </c>
      <c r="AP144" s="36" t="s">
        <v>1041</v>
      </c>
      <c r="AQ144" s="11" t="s">
        <v>76</v>
      </c>
      <c r="AR144" s="11" t="s">
        <v>1029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1027</v>
      </c>
      <c r="E145" s="10">
        <v>44200</v>
      </c>
      <c r="F145" s="10" t="s">
        <v>1028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1026</v>
      </c>
      <c r="I145" s="12" t="s">
        <v>45</v>
      </c>
      <c r="J145" s="12" t="s">
        <v>44</v>
      </c>
      <c r="K145" s="12" t="s">
        <v>104</v>
      </c>
      <c r="L145" s="12" t="s">
        <v>104</v>
      </c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6">
        <f>Tableau1[[#This Row],[Charges €/m²]]*Tableau1[[#This Row],[Surface GLA]]</f>
        <v>0</v>
      </c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1035</v>
      </c>
      <c r="AK145" s="11" t="s">
        <v>1037</v>
      </c>
      <c r="AL145" s="5" t="s">
        <v>370</v>
      </c>
      <c r="AM145" s="11" t="s">
        <v>1033</v>
      </c>
      <c r="AN145" s="11" t="s">
        <v>1034</v>
      </c>
      <c r="AO145" s="11" t="s">
        <v>1025</v>
      </c>
      <c r="AP145" s="36" t="s">
        <v>1038</v>
      </c>
      <c r="AQ145" s="11" t="s">
        <v>76</v>
      </c>
      <c r="AR145" s="11" t="s">
        <v>1030</v>
      </c>
      <c r="AS145" s="13" t="s">
        <v>37</v>
      </c>
      <c r="AT145" s="14"/>
    </row>
    <row r="146" spans="1:46" ht="25.5">
      <c r="A146" s="38" t="str">
        <f>VLOOKUP(Tableau1[[#This Row],[N° Département]],Feuil1!$C$6:$E$106,3)</f>
        <v>Grand Est</v>
      </c>
      <c r="B146" s="38" t="str">
        <f>VLOOKUP(Tableau1[[#This Row],[N° Département]],Feuil1!$C$6:$E$106,2)</f>
        <v>Haut-Rhin</v>
      </c>
      <c r="C146" s="38">
        <f>LEFT(Tableau1[[#This Row],[Code Postal]],2)*1</f>
        <v>68</v>
      </c>
      <c r="D146" s="42" t="s">
        <v>1045</v>
      </c>
      <c r="E146" s="10">
        <v>68330</v>
      </c>
      <c r="F146" s="10" t="s">
        <v>903</v>
      </c>
      <c r="G146" s="39" t="str">
        <f>Tableau1[[#This Row],[Rue]]&amp;CHAR(10)&amp;Tableau1[[#This Row],[Code Postal]]&amp;" - "&amp;Tableau1[[#This Row],[Ville]]</f>
        <v>5 avenue d'Alsace
68330 - Huningue</v>
      </c>
      <c r="H146" s="15" t="s">
        <v>1047</v>
      </c>
      <c r="I146" s="12" t="s">
        <v>45</v>
      </c>
      <c r="J146" s="12" t="s">
        <v>50</v>
      </c>
      <c r="K146" s="12" t="s">
        <v>104</v>
      </c>
      <c r="L146" s="12" t="s">
        <v>104</v>
      </c>
      <c r="M146" s="36" t="s">
        <v>1046</v>
      </c>
      <c r="N146" s="34">
        <v>287</v>
      </c>
      <c r="O146" s="6" t="s">
        <v>104</v>
      </c>
      <c r="P146" s="34" t="s">
        <v>104</v>
      </c>
      <c r="Q146" s="6" t="s">
        <v>104</v>
      </c>
      <c r="R146" s="12">
        <f>Tableau1[[#This Row],[Loyer €/m²]]*Tableau1[[#This Row],[Surface GLA]]</f>
        <v>0</v>
      </c>
      <c r="S146" s="12">
        <f>IFERROR(Tableau1[[#This Row],[Loyer annuel]]/12,"")</f>
        <v>0</v>
      </c>
      <c r="T146" s="12"/>
      <c r="U146" s="6" t="s">
        <v>104</v>
      </c>
      <c r="V146" s="6">
        <f>Tableau1[[#This Row],[Charges €/m²]]*Tableau1[[#This Row],[Surface GLA]]</f>
        <v>0</v>
      </c>
      <c r="W146" s="12">
        <f>Tableau1[[#This Row],[Charges annuelles]]/12</f>
        <v>0</v>
      </c>
      <c r="X146" s="12"/>
      <c r="Y146" s="12">
        <f>IFERROR(Tableau1[[#This Row],[Taxe foncière €/m²]]*Tableau1[[#This Row],[Surface GLA]],)</f>
        <v>0</v>
      </c>
      <c r="Z146" s="6" t="s">
        <v>104</v>
      </c>
      <c r="AA146" s="12">
        <f>IFERROR(Tableau1[[#This Row],[Marketing €/m²]]*Tableau1[[#This Row],[Surface GLA]],)</f>
        <v>0</v>
      </c>
      <c r="AB146" s="6" t="s">
        <v>104</v>
      </c>
      <c r="AC146" s="12">
        <f>IFERROR(Tableau1[[#This Row],[Loyer annuel]]+Tableau1[[#This Row],[Charges annuelles]]+Tableau1[[#This Row],[Taxe foncière]]+Tableau1[[#This Row],[Marketing]],"")</f>
        <v>0</v>
      </c>
      <c r="AD146" s="12"/>
      <c r="AE146" s="6" t="s">
        <v>104</v>
      </c>
      <c r="AF146" s="6" t="s">
        <v>104</v>
      </c>
      <c r="AG146" s="12"/>
      <c r="AH146" s="10"/>
      <c r="AI146" s="10"/>
      <c r="AJ146" s="10"/>
      <c r="AK146" s="11" t="s">
        <v>1059</v>
      </c>
      <c r="AL146" s="5" t="s">
        <v>370</v>
      </c>
      <c r="AM146" s="11" t="s">
        <v>1048</v>
      </c>
      <c r="AN146" s="11" t="s">
        <v>1049</v>
      </c>
      <c r="AO146" s="11">
        <v>33</v>
      </c>
      <c r="AP146" s="36" t="s">
        <v>1060</v>
      </c>
      <c r="AQ146" s="11" t="s">
        <v>76</v>
      </c>
      <c r="AR146" s="11"/>
      <c r="AS146" s="13" t="s">
        <v>1056</v>
      </c>
      <c r="AT146" s="14"/>
    </row>
    <row r="147" spans="1:46" ht="38.25">
      <c r="A147" s="38" t="str">
        <f>VLOOKUP(Tableau1[[#This Row],[N° Département]],Feuil1!$C$6:$E$106,3)</f>
        <v>Centre-Val de Loire</v>
      </c>
      <c r="B147" s="38" t="str">
        <f>VLOOKUP(Tableau1[[#This Row],[N° Département]],Feuil1!$C$6:$E$106,2)</f>
        <v>Indre-et-Loire</v>
      </c>
      <c r="C147" s="38">
        <f>LEFT(Tableau1[[#This Row],[Code Postal]],2)*1</f>
        <v>37</v>
      </c>
      <c r="D147" s="10" t="s">
        <v>1051</v>
      </c>
      <c r="E147" s="10">
        <v>37600</v>
      </c>
      <c r="F147" s="10" t="s">
        <v>904</v>
      </c>
      <c r="G147" s="39" t="str">
        <f>Tableau1[[#This Row],[Rue]]&amp;CHAR(10)&amp;Tableau1[[#This Row],[Code Postal]]&amp;" - "&amp;Tableau1[[#This Row],[Ville]]</f>
        <v>Super U 38 Route de Vauzelles, Rue du Bon Raisin
37600 - Loches</v>
      </c>
      <c r="H147" s="15" t="s">
        <v>1050</v>
      </c>
      <c r="I147" s="12" t="s">
        <v>47</v>
      </c>
      <c r="J147" s="12" t="s">
        <v>51</v>
      </c>
      <c r="K147" s="12" t="s">
        <v>104</v>
      </c>
      <c r="L147" s="12">
        <v>25000</v>
      </c>
      <c r="M147" s="36" t="s">
        <v>337</v>
      </c>
      <c r="N147" s="34">
        <v>73</v>
      </c>
      <c r="O147" s="6" t="s">
        <v>104</v>
      </c>
      <c r="P147" s="34" t="s">
        <v>104</v>
      </c>
      <c r="Q147" s="6" t="s">
        <v>104</v>
      </c>
      <c r="R147" s="12">
        <f>Tableau1[[#This Row],[Loyer €/m²]]*Tableau1[[#This Row],[Surface GLA]]</f>
        <v>25550</v>
      </c>
      <c r="S147" s="12">
        <f>IFERROR(Tableau1[[#This Row],[Loyer annuel]]/12,"")</f>
        <v>2129.1666666666665</v>
      </c>
      <c r="T147" s="12">
        <v>350</v>
      </c>
      <c r="U147" s="6" t="s">
        <v>104</v>
      </c>
      <c r="V147" s="6">
        <f>Tableau1[[#This Row],[Charges €/m²]]*Tableau1[[#This Row],[Surface GLA]]</f>
        <v>0</v>
      </c>
      <c r="W147" s="12">
        <f>Tableau1[[#This Row],[Charges annuelles]]/12</f>
        <v>0</v>
      </c>
      <c r="X147" s="12"/>
      <c r="Y147" s="12">
        <f>IFERROR(Tableau1[[#This Row],[Taxe foncière €/m²]]*Tableau1[[#This Row],[Surface GLA]],)</f>
        <v>0</v>
      </c>
      <c r="Z147" s="6" t="s">
        <v>104</v>
      </c>
      <c r="AA147" s="12">
        <f>IFERROR(Tableau1[[#This Row],[Marketing €/m²]]*Tableau1[[#This Row],[Surface GLA]],)</f>
        <v>0</v>
      </c>
      <c r="AB147" s="6" t="s">
        <v>104</v>
      </c>
      <c r="AC147" s="12">
        <f>IFERROR(Tableau1[[#This Row],[Loyer annuel]]+Tableau1[[#This Row],[Charges annuelles]]+Tableau1[[#This Row],[Taxe foncière]]+Tableau1[[#This Row],[Marketing]],"")</f>
        <v>25550</v>
      </c>
      <c r="AD147" s="12" t="str">
        <f>"3 mois = "&amp;TEXT(ROUND(3/12*R147,0),"### ### ##0 €")</f>
        <v>3 mois = 6 388 €</v>
      </c>
      <c r="AE147" s="6" t="s">
        <v>104</v>
      </c>
      <c r="AF147" s="6" t="s">
        <v>104</v>
      </c>
      <c r="AG147" s="12" t="s">
        <v>365</v>
      </c>
      <c r="AH147" s="10" t="s">
        <v>53</v>
      </c>
      <c r="AI147" s="10" t="s">
        <v>104</v>
      </c>
      <c r="AJ147" s="10" t="s">
        <v>1052</v>
      </c>
      <c r="AK147" s="11" t="s">
        <v>1058</v>
      </c>
      <c r="AL147" s="5" t="s">
        <v>370</v>
      </c>
      <c r="AM147" s="11" t="s">
        <v>1053</v>
      </c>
      <c r="AN147" s="11" t="s">
        <v>1054</v>
      </c>
      <c r="AO147" s="11">
        <v>34</v>
      </c>
      <c r="AP147" s="36" t="s">
        <v>1061</v>
      </c>
      <c r="AQ147" s="11" t="s">
        <v>76</v>
      </c>
      <c r="AR147" s="43" t="s">
        <v>1057</v>
      </c>
      <c r="AS147" s="13" t="s">
        <v>1055</v>
      </c>
      <c r="AT147" s="14"/>
    </row>
    <row r="148" spans="1:46" ht="38.25">
      <c r="A148" s="38" t="str">
        <f>VLOOKUP(Tableau1[[#This Row],[N° Département]],Feuil1!$C$6:$E$106,3)</f>
        <v>Centre-Val de Loire</v>
      </c>
      <c r="B148" s="38" t="str">
        <f>VLOOKUP(Tableau1[[#This Row],[N° Département]],Feuil1!$C$6:$E$106,2)</f>
        <v>Indre-et-Loire</v>
      </c>
      <c r="C148" s="38">
        <f>LEFT(Tableau1[[#This Row],[Code Postal]],2)*1</f>
        <v>37</v>
      </c>
      <c r="D148" s="10" t="s">
        <v>1051</v>
      </c>
      <c r="E148" s="10">
        <v>37600</v>
      </c>
      <c r="F148" s="10" t="s">
        <v>904</v>
      </c>
      <c r="G148" s="39" t="str">
        <f>Tableau1[[#This Row],[Rue]]&amp;CHAR(10)&amp;Tableau1[[#This Row],[Code Postal]]&amp;" - "&amp;Tableau1[[#This Row],[Ville]]</f>
        <v>Super U 38 Route de Vauzelles, Rue du Bon Raisin
37600 - Loches</v>
      </c>
      <c r="H148" s="15" t="s">
        <v>1062</v>
      </c>
      <c r="I148" s="12" t="s">
        <v>47</v>
      </c>
      <c r="J148" s="12" t="s">
        <v>50</v>
      </c>
      <c r="K148" s="12" t="s">
        <v>104</v>
      </c>
      <c r="L148" s="12">
        <f>100*Tableau1[[#This Row],[Surface GLA]]</f>
        <v>20000</v>
      </c>
      <c r="M148" s="36" t="s">
        <v>337</v>
      </c>
      <c r="N148" s="34">
        <v>200</v>
      </c>
      <c r="O148" s="6" t="s">
        <v>104</v>
      </c>
      <c r="P148" s="34" t="s">
        <v>104</v>
      </c>
      <c r="Q148" s="6" t="s">
        <v>104</v>
      </c>
      <c r="R148" s="12">
        <f>Tableau1[[#This Row],[Loyer €/m²]]*Tableau1[[#This Row],[Surface GLA]]</f>
        <v>40000</v>
      </c>
      <c r="S148" s="12">
        <f>IFERROR(Tableau1[[#This Row],[Loyer annuel]]/12,"")</f>
        <v>3333.3333333333335</v>
      </c>
      <c r="T148" s="12">
        <v>200</v>
      </c>
      <c r="U148" s="6" t="s">
        <v>104</v>
      </c>
      <c r="V148" s="6">
        <f>Tableau1[[#This Row],[Charges €/m²]]*Tableau1[[#This Row],[Surface GLA]]</f>
        <v>10000</v>
      </c>
      <c r="W148" s="12">
        <f>Tableau1[[#This Row],[Charges annuelles]]/12</f>
        <v>833.33333333333337</v>
      </c>
      <c r="X148" s="12">
        <v>50</v>
      </c>
      <c r="Y148" s="12">
        <f>IFERROR(Tableau1[[#This Row],[Taxe foncière €/m²]]*Tableau1[[#This Row],[Surface GLA]],)</f>
        <v>6000</v>
      </c>
      <c r="Z148" s="6">
        <v>30</v>
      </c>
      <c r="AA148" s="12">
        <f>IFERROR(Tableau1[[#This Row],[Marketing €/m²]]*Tableau1[[#This Row],[Surface GLA]],)</f>
        <v>0</v>
      </c>
      <c r="AB148" s="6" t="s">
        <v>104</v>
      </c>
      <c r="AC148" s="12">
        <f>IFERROR(Tableau1[[#This Row],[Loyer annuel]]+Tableau1[[#This Row],[Charges annuelles]]+Tableau1[[#This Row],[Taxe foncière]]+Tableau1[[#This Row],[Marketing]],"")</f>
        <v>56000</v>
      </c>
      <c r="AD148" s="12" t="str">
        <f t="shared" ref="AD148:AD152" si="2">"3 mois = "&amp;TEXT(ROUND(3/12*R148,0),"### ### ##0 €")</f>
        <v>3 mois = 10 000 €</v>
      </c>
      <c r="AE148" s="6" t="s">
        <v>104</v>
      </c>
      <c r="AF148" s="6" t="s">
        <v>104</v>
      </c>
      <c r="AG148" s="12" t="s">
        <v>384</v>
      </c>
      <c r="AH148" s="10" t="s">
        <v>53</v>
      </c>
      <c r="AI148" s="10" t="s">
        <v>104</v>
      </c>
      <c r="AJ148" s="10" t="s">
        <v>1066</v>
      </c>
      <c r="AK148" s="11" t="s">
        <v>1063</v>
      </c>
      <c r="AL148" s="5" t="s">
        <v>370</v>
      </c>
      <c r="AM148" s="11" t="s">
        <v>1071</v>
      </c>
      <c r="AN148" s="11" t="s">
        <v>1072</v>
      </c>
      <c r="AO148" s="11" t="s">
        <v>1064</v>
      </c>
      <c r="AP148" s="36" t="s">
        <v>1081</v>
      </c>
      <c r="AQ148" s="11" t="s">
        <v>76</v>
      </c>
      <c r="AR148" s="11" t="s">
        <v>1065</v>
      </c>
      <c r="AS148" s="13" t="s">
        <v>1055</v>
      </c>
      <c r="AT148" s="14"/>
    </row>
    <row r="149" spans="1:46" ht="38.25">
      <c r="A149" s="38" t="str">
        <f>VLOOKUP(Tableau1[[#This Row],[N° Département]],Feuil1!$C$6:$E$106,3)</f>
        <v>Centre-Val de Loire</v>
      </c>
      <c r="B149" s="38" t="str">
        <f>VLOOKUP(Tableau1[[#This Row],[N° Département]],Feuil1!$C$6:$E$106,2)</f>
        <v>Indre-et-Loire</v>
      </c>
      <c r="C149" s="38">
        <f>LEFT(Tableau1[[#This Row],[Code Postal]],2)*1</f>
        <v>37</v>
      </c>
      <c r="D149" s="10" t="s">
        <v>1051</v>
      </c>
      <c r="E149" s="10">
        <v>37601</v>
      </c>
      <c r="F149" s="10" t="s">
        <v>904</v>
      </c>
      <c r="G149" s="39" t="str">
        <f>Tableau1[[#This Row],[Rue]]&amp;CHAR(10)&amp;Tableau1[[#This Row],[Code Postal]]&amp;" - "&amp;Tableau1[[#This Row],[Ville]]</f>
        <v>Super U 38 Route de Vauzelles, Rue du Bon Raisin
37601 - Loches</v>
      </c>
      <c r="H149" s="15" t="s">
        <v>1062</v>
      </c>
      <c r="I149" s="12" t="s">
        <v>47</v>
      </c>
      <c r="J149" s="12" t="s">
        <v>50</v>
      </c>
      <c r="K149" s="12" t="s">
        <v>104</v>
      </c>
      <c r="L149" s="12">
        <f>100*Tableau1[[#This Row],[Surface GLA]]</f>
        <v>50000</v>
      </c>
      <c r="M149" s="36" t="s">
        <v>338</v>
      </c>
      <c r="N149" s="34">
        <v>500</v>
      </c>
      <c r="O149" s="6" t="s">
        <v>104</v>
      </c>
      <c r="P149" s="34" t="s">
        <v>104</v>
      </c>
      <c r="Q149" s="6" t="s">
        <v>104</v>
      </c>
      <c r="R149" s="12">
        <f>Tableau1[[#This Row],[Loyer €/m²]]*Tableau1[[#This Row],[Surface GLA]]</f>
        <v>100000</v>
      </c>
      <c r="S149" s="12">
        <f>IFERROR(Tableau1[[#This Row],[Loyer annuel]]/12,"")</f>
        <v>8333.3333333333339</v>
      </c>
      <c r="T149" s="12">
        <v>200</v>
      </c>
      <c r="U149" s="6" t="s">
        <v>104</v>
      </c>
      <c r="V149" s="6">
        <f>Tableau1[[#This Row],[Charges €/m²]]*Tableau1[[#This Row],[Surface GLA]]</f>
        <v>25000</v>
      </c>
      <c r="W149" s="12">
        <f>Tableau1[[#This Row],[Charges annuelles]]/12</f>
        <v>2083.3333333333335</v>
      </c>
      <c r="X149" s="12">
        <v>50</v>
      </c>
      <c r="Y149" s="12">
        <f>IFERROR(Tableau1[[#This Row],[Taxe foncière €/m²]]*Tableau1[[#This Row],[Surface GLA]],)</f>
        <v>15000</v>
      </c>
      <c r="Z149" s="6">
        <v>30</v>
      </c>
      <c r="AA149" s="12">
        <f>IFERROR(Tableau1[[#This Row],[Marketing €/m²]]*Tableau1[[#This Row],[Surface GLA]],)</f>
        <v>0</v>
      </c>
      <c r="AB149" s="6" t="s">
        <v>104</v>
      </c>
      <c r="AC149" s="12">
        <f>IFERROR(Tableau1[[#This Row],[Loyer annuel]]+Tableau1[[#This Row],[Charges annuelles]]+Tableau1[[#This Row],[Taxe foncière]]+Tableau1[[#This Row],[Marketing]],"")</f>
        <v>140000</v>
      </c>
      <c r="AD149" s="12" t="str">
        <f t="shared" si="2"/>
        <v>3 mois = 25 000 €</v>
      </c>
      <c r="AE149" s="6" t="s">
        <v>104</v>
      </c>
      <c r="AF149" s="6" t="s">
        <v>104</v>
      </c>
      <c r="AG149" s="12" t="s">
        <v>384</v>
      </c>
      <c r="AH149" s="10" t="s">
        <v>53</v>
      </c>
      <c r="AI149" s="10" t="s">
        <v>104</v>
      </c>
      <c r="AJ149" s="10" t="s">
        <v>1066</v>
      </c>
      <c r="AK149" s="11" t="s">
        <v>1063</v>
      </c>
      <c r="AL149" s="5" t="s">
        <v>370</v>
      </c>
      <c r="AM149" s="11" t="s">
        <v>1073</v>
      </c>
      <c r="AN149" s="11" t="s">
        <v>1074</v>
      </c>
      <c r="AO149" s="11" t="s">
        <v>1067</v>
      </c>
      <c r="AP149" s="36" t="s">
        <v>1081</v>
      </c>
      <c r="AQ149" s="11" t="s">
        <v>76</v>
      </c>
      <c r="AR149" s="11" t="s">
        <v>1065</v>
      </c>
      <c r="AS149" s="13" t="s">
        <v>1055</v>
      </c>
      <c r="AT149" s="14"/>
    </row>
    <row r="150" spans="1:46" ht="38.25">
      <c r="A150" s="38" t="str">
        <f>VLOOKUP(Tableau1[[#This Row],[N° Département]],Feuil1!$C$6:$E$106,3)</f>
        <v>Centre-Val de Loire</v>
      </c>
      <c r="B150" s="38" t="str">
        <f>VLOOKUP(Tableau1[[#This Row],[N° Département]],Feuil1!$C$6:$E$106,2)</f>
        <v>Indre-et-Loire</v>
      </c>
      <c r="C150" s="38">
        <f>LEFT(Tableau1[[#This Row],[Code Postal]],2)*1</f>
        <v>37</v>
      </c>
      <c r="D150" s="10" t="s">
        <v>1051</v>
      </c>
      <c r="E150" s="10">
        <v>37602</v>
      </c>
      <c r="F150" s="10" t="s">
        <v>904</v>
      </c>
      <c r="G150" s="39" t="str">
        <f>Tableau1[[#This Row],[Rue]]&amp;CHAR(10)&amp;Tableau1[[#This Row],[Code Postal]]&amp;" - "&amp;Tableau1[[#This Row],[Ville]]</f>
        <v>Super U 38 Route de Vauzelles, Rue du Bon Raisin
37602 - Loches</v>
      </c>
      <c r="H150" s="15" t="s">
        <v>1062</v>
      </c>
      <c r="I150" s="12" t="s">
        <v>47</v>
      </c>
      <c r="J150" s="12" t="s">
        <v>50</v>
      </c>
      <c r="K150" s="12" t="s">
        <v>104</v>
      </c>
      <c r="L150" s="12">
        <f>100*Tableau1[[#This Row],[Surface GLA]]</f>
        <v>100000</v>
      </c>
      <c r="M150" s="36" t="s">
        <v>359</v>
      </c>
      <c r="N150" s="34">
        <v>1000</v>
      </c>
      <c r="O150" s="6" t="s">
        <v>104</v>
      </c>
      <c r="P150" s="34" t="s">
        <v>104</v>
      </c>
      <c r="Q150" s="6" t="s">
        <v>104</v>
      </c>
      <c r="R150" s="12">
        <f>Tableau1[[#This Row],[Loyer €/m²]]*Tableau1[[#This Row],[Surface GLA]]</f>
        <v>200000</v>
      </c>
      <c r="S150" s="12">
        <f>IFERROR(Tableau1[[#This Row],[Loyer annuel]]/12,"")</f>
        <v>16666.666666666668</v>
      </c>
      <c r="T150" s="12">
        <v>200</v>
      </c>
      <c r="U150" s="6" t="s">
        <v>104</v>
      </c>
      <c r="V150" s="6">
        <f>Tableau1[[#This Row],[Charges €/m²]]*Tableau1[[#This Row],[Surface GLA]]</f>
        <v>50000</v>
      </c>
      <c r="W150" s="12">
        <f>Tableau1[[#This Row],[Charges annuelles]]/12</f>
        <v>4166.666666666667</v>
      </c>
      <c r="X150" s="12">
        <v>50</v>
      </c>
      <c r="Y150" s="12">
        <f>IFERROR(Tableau1[[#This Row],[Taxe foncière €/m²]]*Tableau1[[#This Row],[Surface GLA]],)</f>
        <v>30000</v>
      </c>
      <c r="Z150" s="6">
        <v>30</v>
      </c>
      <c r="AA150" s="12">
        <f>IFERROR(Tableau1[[#This Row],[Marketing €/m²]]*Tableau1[[#This Row],[Surface GLA]],)</f>
        <v>0</v>
      </c>
      <c r="AB150" s="6" t="s">
        <v>104</v>
      </c>
      <c r="AC150" s="12">
        <f>IFERROR(Tableau1[[#This Row],[Loyer annuel]]+Tableau1[[#This Row],[Charges annuelles]]+Tableau1[[#This Row],[Taxe foncière]]+Tableau1[[#This Row],[Marketing]],"")</f>
        <v>280000</v>
      </c>
      <c r="AD150" s="12" t="str">
        <f t="shared" si="2"/>
        <v>3 mois = 50 000 €</v>
      </c>
      <c r="AE150" s="6" t="s">
        <v>104</v>
      </c>
      <c r="AF150" s="6" t="s">
        <v>104</v>
      </c>
      <c r="AG150" s="12" t="s">
        <v>384</v>
      </c>
      <c r="AH150" s="10" t="s">
        <v>53</v>
      </c>
      <c r="AI150" s="10" t="s">
        <v>104</v>
      </c>
      <c r="AJ150" s="10" t="s">
        <v>1066</v>
      </c>
      <c r="AK150" s="11" t="s">
        <v>1063</v>
      </c>
      <c r="AL150" s="5" t="s">
        <v>370</v>
      </c>
      <c r="AM150" s="11" t="s">
        <v>1075</v>
      </c>
      <c r="AN150" s="11" t="s">
        <v>1076</v>
      </c>
      <c r="AO150" s="11" t="s">
        <v>1068</v>
      </c>
      <c r="AP150" s="36" t="s">
        <v>1081</v>
      </c>
      <c r="AQ150" s="11" t="s">
        <v>76</v>
      </c>
      <c r="AR150" s="11" t="s">
        <v>1065</v>
      </c>
      <c r="AS150" s="13" t="s">
        <v>1055</v>
      </c>
      <c r="AT150" s="14"/>
    </row>
    <row r="151" spans="1:46" ht="38.25">
      <c r="A151" s="38" t="str">
        <f>VLOOKUP(Tableau1[[#This Row],[N° Département]],Feuil1!$C$6:$E$106,3)</f>
        <v>Centre-Val de Loire</v>
      </c>
      <c r="B151" s="38" t="str">
        <f>VLOOKUP(Tableau1[[#This Row],[N° Département]],Feuil1!$C$6:$E$106,2)</f>
        <v>Indre-et-Loire</v>
      </c>
      <c r="C151" s="38">
        <f>LEFT(Tableau1[[#This Row],[Code Postal]],2)*1</f>
        <v>37</v>
      </c>
      <c r="D151" s="10" t="s">
        <v>1051</v>
      </c>
      <c r="E151" s="10">
        <v>37603</v>
      </c>
      <c r="F151" s="10" t="s">
        <v>904</v>
      </c>
      <c r="G151" s="39" t="str">
        <f>Tableau1[[#This Row],[Rue]]&amp;CHAR(10)&amp;Tableau1[[#This Row],[Code Postal]]&amp;" - "&amp;Tableau1[[#This Row],[Ville]]</f>
        <v>Super U 38 Route de Vauzelles, Rue du Bon Raisin
37603 - Loches</v>
      </c>
      <c r="H151" s="15" t="s">
        <v>1062</v>
      </c>
      <c r="I151" s="12" t="s">
        <v>47</v>
      </c>
      <c r="J151" s="12" t="s">
        <v>50</v>
      </c>
      <c r="K151" s="12" t="s">
        <v>104</v>
      </c>
      <c r="L151" s="12">
        <f>100*Tableau1[[#This Row],[Surface GLA]]</f>
        <v>200000</v>
      </c>
      <c r="M151" s="36" t="s">
        <v>360</v>
      </c>
      <c r="N151" s="34">
        <v>2000</v>
      </c>
      <c r="O151" s="6" t="s">
        <v>104</v>
      </c>
      <c r="P151" s="34" t="s">
        <v>104</v>
      </c>
      <c r="Q151" s="6" t="s">
        <v>104</v>
      </c>
      <c r="R151" s="12">
        <f>Tableau1[[#This Row],[Loyer €/m²]]*Tableau1[[#This Row],[Surface GLA]]</f>
        <v>400000</v>
      </c>
      <c r="S151" s="12">
        <f>IFERROR(Tableau1[[#This Row],[Loyer annuel]]/12,"")</f>
        <v>33333.333333333336</v>
      </c>
      <c r="T151" s="12">
        <v>200</v>
      </c>
      <c r="U151" s="6" t="s">
        <v>104</v>
      </c>
      <c r="V151" s="6">
        <f>Tableau1[[#This Row],[Charges €/m²]]*Tableau1[[#This Row],[Surface GLA]]</f>
        <v>100000</v>
      </c>
      <c r="W151" s="12">
        <f>Tableau1[[#This Row],[Charges annuelles]]/12</f>
        <v>8333.3333333333339</v>
      </c>
      <c r="X151" s="12">
        <v>50</v>
      </c>
      <c r="Y151" s="12">
        <f>IFERROR(Tableau1[[#This Row],[Taxe foncière €/m²]]*Tableau1[[#This Row],[Surface GLA]],)</f>
        <v>60000</v>
      </c>
      <c r="Z151" s="6">
        <v>30</v>
      </c>
      <c r="AA151" s="12">
        <f>IFERROR(Tableau1[[#This Row],[Marketing €/m²]]*Tableau1[[#This Row],[Surface GLA]],)</f>
        <v>0</v>
      </c>
      <c r="AB151" s="6" t="s">
        <v>104</v>
      </c>
      <c r="AC151" s="12">
        <f>IFERROR(Tableau1[[#This Row],[Loyer annuel]]+Tableau1[[#This Row],[Charges annuelles]]+Tableau1[[#This Row],[Taxe foncière]]+Tableau1[[#This Row],[Marketing]],"")</f>
        <v>560000</v>
      </c>
      <c r="AD151" s="12" t="str">
        <f t="shared" si="2"/>
        <v>3 mois = 100 000 €</v>
      </c>
      <c r="AE151" s="6" t="s">
        <v>104</v>
      </c>
      <c r="AF151" s="6" t="s">
        <v>104</v>
      </c>
      <c r="AG151" s="12" t="s">
        <v>384</v>
      </c>
      <c r="AH151" s="10" t="s">
        <v>53</v>
      </c>
      <c r="AI151" s="10" t="s">
        <v>104</v>
      </c>
      <c r="AJ151" s="10" t="s">
        <v>1066</v>
      </c>
      <c r="AK151" s="11" t="s">
        <v>1063</v>
      </c>
      <c r="AL151" s="5" t="s">
        <v>370</v>
      </c>
      <c r="AM151" s="11" t="s">
        <v>1077</v>
      </c>
      <c r="AN151" s="11" t="s">
        <v>1078</v>
      </c>
      <c r="AO151" s="11" t="s">
        <v>1069</v>
      </c>
      <c r="AP151" s="36" t="s">
        <v>1081</v>
      </c>
      <c r="AQ151" s="11" t="s">
        <v>76</v>
      </c>
      <c r="AR151" s="11" t="s">
        <v>1065</v>
      </c>
      <c r="AS151" s="13" t="s">
        <v>1055</v>
      </c>
      <c r="AT151" s="14"/>
    </row>
    <row r="152" spans="1:46" ht="38.25">
      <c r="A152" s="38" t="str">
        <f>VLOOKUP(Tableau1[[#This Row],[N° Département]],Feuil1!$C$6:$E$106,3)</f>
        <v>Centre-Val de Loire</v>
      </c>
      <c r="B152" s="38" t="str">
        <f>VLOOKUP(Tableau1[[#This Row],[N° Département]],Feuil1!$C$6:$E$106,2)</f>
        <v>Indre-et-Loire</v>
      </c>
      <c r="C152" s="38">
        <f>LEFT(Tableau1[[#This Row],[Code Postal]],2)*1</f>
        <v>37</v>
      </c>
      <c r="D152" s="10" t="s">
        <v>1051</v>
      </c>
      <c r="E152" s="10">
        <v>37604</v>
      </c>
      <c r="F152" s="10" t="s">
        <v>904</v>
      </c>
      <c r="G152" s="39" t="str">
        <f>Tableau1[[#This Row],[Rue]]&amp;CHAR(10)&amp;Tableau1[[#This Row],[Code Postal]]&amp;" - "&amp;Tableau1[[#This Row],[Ville]]</f>
        <v>Super U 38 Route de Vauzelles, Rue du Bon Raisin
37604 - Loches</v>
      </c>
      <c r="H152" s="15" t="s">
        <v>1062</v>
      </c>
      <c r="I152" s="12" t="s">
        <v>47</v>
      </c>
      <c r="J152" s="12" t="s">
        <v>50</v>
      </c>
      <c r="K152" s="12" t="s">
        <v>104</v>
      </c>
      <c r="L152" s="12">
        <f>100*Tableau1[[#This Row],[Surface GLA]]</f>
        <v>500000</v>
      </c>
      <c r="M152" s="36" t="s">
        <v>361</v>
      </c>
      <c r="N152" s="34">
        <v>5000</v>
      </c>
      <c r="O152" s="6" t="s">
        <v>104</v>
      </c>
      <c r="P152" s="34" t="s">
        <v>104</v>
      </c>
      <c r="Q152" s="6" t="s">
        <v>104</v>
      </c>
      <c r="R152" s="12">
        <f>Tableau1[[#This Row],[Loyer €/m²]]*Tableau1[[#This Row],[Surface GLA]]</f>
        <v>1000000</v>
      </c>
      <c r="S152" s="12">
        <f>IFERROR(Tableau1[[#This Row],[Loyer annuel]]/12,"")</f>
        <v>83333.333333333328</v>
      </c>
      <c r="T152" s="12">
        <v>200</v>
      </c>
      <c r="U152" s="6" t="s">
        <v>104</v>
      </c>
      <c r="V152" s="6">
        <f>Tableau1[[#This Row],[Charges €/m²]]*Tableau1[[#This Row],[Surface GLA]]</f>
        <v>250000</v>
      </c>
      <c r="W152" s="12">
        <f>Tableau1[[#This Row],[Charges annuelles]]/12</f>
        <v>20833.333333333332</v>
      </c>
      <c r="X152" s="12">
        <v>50</v>
      </c>
      <c r="Y152" s="12">
        <f>IFERROR(Tableau1[[#This Row],[Taxe foncière €/m²]]*Tableau1[[#This Row],[Surface GLA]],)</f>
        <v>150000</v>
      </c>
      <c r="Z152" s="6">
        <v>30</v>
      </c>
      <c r="AA152" s="12">
        <f>IFERROR(Tableau1[[#This Row],[Marketing €/m²]]*Tableau1[[#This Row],[Surface GLA]],)</f>
        <v>0</v>
      </c>
      <c r="AB152" s="6" t="s">
        <v>104</v>
      </c>
      <c r="AC152" s="12">
        <f>IFERROR(Tableau1[[#This Row],[Loyer annuel]]+Tableau1[[#This Row],[Charges annuelles]]+Tableau1[[#This Row],[Taxe foncière]]+Tableau1[[#This Row],[Marketing]],"")</f>
        <v>1400000</v>
      </c>
      <c r="AD152" s="12" t="str">
        <f t="shared" si="2"/>
        <v>3 mois = 250 000 €</v>
      </c>
      <c r="AE152" s="6" t="s">
        <v>104</v>
      </c>
      <c r="AF152" s="6" t="s">
        <v>104</v>
      </c>
      <c r="AG152" s="12" t="s">
        <v>384</v>
      </c>
      <c r="AH152" s="10" t="s">
        <v>53</v>
      </c>
      <c r="AI152" s="10" t="s">
        <v>104</v>
      </c>
      <c r="AJ152" s="10" t="s">
        <v>1066</v>
      </c>
      <c r="AK152" s="11" t="s">
        <v>1063</v>
      </c>
      <c r="AL152" s="5" t="s">
        <v>370</v>
      </c>
      <c r="AM152" s="11" t="s">
        <v>1079</v>
      </c>
      <c r="AN152" s="11" t="s">
        <v>1080</v>
      </c>
      <c r="AO152" s="11" t="s">
        <v>1070</v>
      </c>
      <c r="AP152" s="36" t="s">
        <v>1081</v>
      </c>
      <c r="AQ152" s="11" t="s">
        <v>76</v>
      </c>
      <c r="AR152" s="11" t="s">
        <v>1065</v>
      </c>
      <c r="AS152" s="13" t="s">
        <v>1055</v>
      </c>
      <c r="AT152" s="14"/>
    </row>
    <row r="153" spans="1:46">
      <c r="F153" s="1" t="s">
        <v>1039</v>
      </c>
    </row>
    <row r="154" spans="1:46">
      <c r="F154" s="1" t="s">
        <v>1040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  <hyperlink ref="H146" r:id="rId112" xr:uid="{D89787FE-D414-4ADC-AC02-C8B9D2520919}"/>
    <hyperlink ref="H147" r:id="rId113" xr:uid="{83F81C45-2D7B-4019-9457-DB12A08DE525}"/>
    <hyperlink ref="H148" r:id="rId114" xr:uid="{5DD490B2-A51A-488D-BCDE-B83932141509}"/>
    <hyperlink ref="H149" r:id="rId115" xr:uid="{8FDF2590-E1B8-4CE8-9753-7BFB747102D3}"/>
    <hyperlink ref="H150" r:id="rId116" xr:uid="{F9E1A7BC-0810-451D-AAC4-F0BE420D1B9F}"/>
    <hyperlink ref="H151" r:id="rId117" xr:uid="{6B38E304-7485-42E7-9EFC-3CDA0B79C692}"/>
    <hyperlink ref="H152" r:id="rId118" xr:uid="{9BAD643D-2774-4811-AF7F-3253EB54E8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2025-12-08T18:17:37Z</dcterms:modified>
</cp:coreProperties>
</file>