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8_{6F5950D9-3702-45E2-9B09-89626CED321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21" i="2" l="1"/>
  <c r="Y221" i="2" s="1"/>
  <c r="T221" i="2"/>
  <c r="U221" i="2" s="1"/>
  <c r="T222" i="2"/>
  <c r="U222" i="2" s="1"/>
  <c r="T223" i="2"/>
  <c r="U223" i="2" s="1"/>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T244" i="2"/>
  <c r="U244" i="2" s="1"/>
  <c r="X244" i="2"/>
  <c r="Y244" i="2" s="1"/>
  <c r="AA244" i="2"/>
  <c r="AC244" i="2"/>
  <c r="AF244" i="2"/>
  <c r="AF250" i="2"/>
  <c r="AF251" i="2"/>
  <c r="X225" i="2"/>
  <c r="Y225" i="2" s="1"/>
  <c r="X226" i="2"/>
  <c r="Y226" i="2" s="1"/>
  <c r="X227" i="2"/>
  <c r="Y227" i="2" s="1"/>
  <c r="X228" i="2"/>
  <c r="Y228" i="2" s="1"/>
  <c r="X229" i="2"/>
  <c r="Y229" i="2"/>
  <c r="X230" i="2"/>
  <c r="Y230" i="2"/>
  <c r="X231" i="2"/>
  <c r="Y231" i="2" s="1"/>
  <c r="X232" i="2"/>
  <c r="Y232" i="2" s="1"/>
  <c r="X233" i="2"/>
  <c r="Y233" i="2" s="1"/>
  <c r="X234" i="2"/>
  <c r="Y234" i="2" s="1"/>
  <c r="X235" i="2"/>
  <c r="Y235" i="2" s="1"/>
  <c r="X236" i="2"/>
  <c r="Y236" i="2" s="1"/>
  <c r="X237" i="2"/>
  <c r="Y237" i="2" s="1"/>
  <c r="X238" i="2"/>
  <c r="Y238" i="2" s="1"/>
  <c r="X239" i="2"/>
  <c r="Y239" i="2" s="1"/>
  <c r="X240" i="2"/>
  <c r="Y240" i="2"/>
  <c r="X241" i="2"/>
  <c r="Y241" i="2" s="1"/>
  <c r="X242" i="2"/>
  <c r="Y242" i="2" s="1"/>
  <c r="X243" i="2"/>
  <c r="Y243" i="2" s="1"/>
  <c r="X245" i="2"/>
  <c r="Y245" i="2"/>
  <c r="X246" i="2"/>
  <c r="Y246" i="2" s="1"/>
  <c r="X247" i="2"/>
  <c r="Y247" i="2" s="1"/>
  <c r="X248" i="2"/>
  <c r="Y248" i="2"/>
  <c r="X249" i="2"/>
  <c r="Y249" i="2" s="1"/>
  <c r="X250" i="2"/>
  <c r="Y250" i="2" s="1"/>
  <c r="X251" i="2"/>
  <c r="Y251" i="2" s="1"/>
  <c r="T225" i="2"/>
  <c r="AF225" i="2" s="1"/>
  <c r="U225" i="2"/>
  <c r="T226" i="2"/>
  <c r="U226" i="2" s="1"/>
  <c r="T227" i="2"/>
  <c r="U227" i="2" s="1"/>
  <c r="T228" i="2"/>
  <c r="U228" i="2" s="1"/>
  <c r="T229" i="2"/>
  <c r="U229" i="2" s="1"/>
  <c r="T230" i="2"/>
  <c r="U230" i="2" s="1"/>
  <c r="T231" i="2"/>
  <c r="U231" i="2" s="1"/>
  <c r="T232" i="2"/>
  <c r="U232" i="2" s="1"/>
  <c r="T233" i="2"/>
  <c r="U233" i="2" s="1"/>
  <c r="T234" i="2"/>
  <c r="AF234" i="2" s="1"/>
  <c r="T235" i="2"/>
  <c r="U235" i="2" s="1"/>
  <c r="T236" i="2"/>
  <c r="U236" i="2" s="1"/>
  <c r="T237" i="2"/>
  <c r="AF237" i="2" s="1"/>
  <c r="T238" i="2"/>
  <c r="U238" i="2" s="1"/>
  <c r="T239" i="2"/>
  <c r="U239" i="2" s="1"/>
  <c r="T240" i="2"/>
  <c r="U240" i="2" s="1"/>
  <c r="T241" i="2"/>
  <c r="U241" i="2" s="1"/>
  <c r="T242" i="2"/>
  <c r="U242" i="2" s="1"/>
  <c r="T243" i="2"/>
  <c r="AF243" i="2" s="1"/>
  <c r="U243" i="2"/>
  <c r="T245" i="2"/>
  <c r="U245" i="2" s="1"/>
  <c r="T246" i="2"/>
  <c r="AF246" i="2" s="1"/>
  <c r="U246" i="2"/>
  <c r="T247" i="2"/>
  <c r="U247" i="2" s="1"/>
  <c r="T248" i="2"/>
  <c r="U248" i="2" s="1"/>
  <c r="T249" i="2"/>
  <c r="AF249" i="2" s="1"/>
  <c r="T250" i="2"/>
  <c r="U250" i="2" s="1"/>
  <c r="T251" i="2"/>
  <c r="U251" i="2" s="1"/>
  <c r="C251" i="2"/>
  <c r="A251" i="2" s="1"/>
  <c r="AA251" i="2"/>
  <c r="AC251" i="2"/>
  <c r="AE251" i="2"/>
  <c r="C250" i="2"/>
  <c r="A250" i="2" s="1"/>
  <c r="AA250" i="2"/>
  <c r="AC250" i="2"/>
  <c r="C249" i="2"/>
  <c r="A249" i="2" s="1"/>
  <c r="AA249" i="2"/>
  <c r="AC249" i="2"/>
  <c r="C248" i="2"/>
  <c r="A248" i="2" s="1"/>
  <c r="AA248" i="2"/>
  <c r="AC248" i="2"/>
  <c r="C247" i="2"/>
  <c r="A247" i="2" s="1"/>
  <c r="AA247" i="2"/>
  <c r="AC247" i="2"/>
  <c r="C246" i="2"/>
  <c r="A246" i="2" s="1"/>
  <c r="AA246" i="2"/>
  <c r="AC246" i="2"/>
  <c r="C245" i="2"/>
  <c r="A245" i="2" s="1"/>
  <c r="AA245" i="2"/>
  <c r="AC245" i="2"/>
  <c r="C244" i="2"/>
  <c r="A244" i="2" s="1"/>
  <c r="C243" i="2"/>
  <c r="A243" i="2" s="1"/>
  <c r="AA243" i="2"/>
  <c r="AC243" i="2"/>
  <c r="C242" i="2"/>
  <c r="A242" i="2" s="1"/>
  <c r="AA242" i="2"/>
  <c r="AC242" i="2"/>
  <c r="C241" i="2"/>
  <c r="A241" i="2" s="1"/>
  <c r="AA241" i="2"/>
  <c r="AC241" i="2"/>
  <c r="C240" i="2"/>
  <c r="A240" i="2" s="1"/>
  <c r="AA240" i="2"/>
  <c r="AC240" i="2"/>
  <c r="C239" i="2"/>
  <c r="A239" i="2" s="1"/>
  <c r="AA239" i="2"/>
  <c r="AC239" i="2"/>
  <c r="C238" i="2"/>
  <c r="B238" i="2" s="1"/>
  <c r="AA238" i="2"/>
  <c r="AC238" i="2"/>
  <c r="C237" i="2"/>
  <c r="A237" i="2" s="1"/>
  <c r="AA237" i="2"/>
  <c r="AC237" i="2"/>
  <c r="C236" i="2"/>
  <c r="A236" i="2" s="1"/>
  <c r="AA236" i="2"/>
  <c r="AC236" i="2"/>
  <c r="C235" i="2"/>
  <c r="A235" i="2" s="1"/>
  <c r="AA235" i="2"/>
  <c r="AC235" i="2"/>
  <c r="C234" i="2"/>
  <c r="A234" i="2" s="1"/>
  <c r="AA234" i="2"/>
  <c r="AC234" i="2"/>
  <c r="C233" i="2"/>
  <c r="A233" i="2" s="1"/>
  <c r="AA233" i="2"/>
  <c r="AC233" i="2"/>
  <c r="C232" i="2"/>
  <c r="A232" i="2" s="1"/>
  <c r="AA232" i="2"/>
  <c r="AC232" i="2"/>
  <c r="C231" i="2"/>
  <c r="B231" i="2" s="1"/>
  <c r="AA231" i="2"/>
  <c r="AC231" i="2"/>
  <c r="C230" i="2"/>
  <c r="A230" i="2" s="1"/>
  <c r="AA230" i="2"/>
  <c r="AC230" i="2"/>
  <c r="C229" i="2"/>
  <c r="A229" i="2" s="1"/>
  <c r="AA229" i="2"/>
  <c r="AC229" i="2"/>
  <c r="C228" i="2"/>
  <c r="A228" i="2" s="1"/>
  <c r="AA228" i="2"/>
  <c r="AC228" i="2"/>
  <c r="C227" i="2"/>
  <c r="A227" i="2" s="1"/>
  <c r="AA227" i="2"/>
  <c r="AC227" i="2"/>
  <c r="C226" i="2"/>
  <c r="B226" i="2" s="1"/>
  <c r="AA226" i="2"/>
  <c r="AC226" i="2"/>
  <c r="C225" i="2"/>
  <c r="A225" i="2" s="1"/>
  <c r="AA225" i="2"/>
  <c r="AC225" i="2"/>
  <c r="X224" i="2"/>
  <c r="Y224" i="2" s="1"/>
  <c r="T224" i="2"/>
  <c r="U224" i="2" s="1"/>
  <c r="C224" i="2"/>
  <c r="A224" i="2" s="1"/>
  <c r="AA224" i="2"/>
  <c r="AC224" i="2"/>
  <c r="AF248" i="2" l="1"/>
  <c r="U234" i="2"/>
  <c r="AF242" i="2"/>
  <c r="AF236" i="2"/>
  <c r="AF233" i="2"/>
  <c r="AF228" i="2"/>
  <c r="AF226" i="2"/>
  <c r="U249" i="2"/>
  <c r="AF247" i="2"/>
  <c r="AF235" i="2"/>
  <c r="AF240" i="2"/>
  <c r="AF245" i="2"/>
  <c r="AF232" i="2"/>
  <c r="AF231" i="2"/>
  <c r="AF230" i="2"/>
  <c r="AF224" i="2"/>
  <c r="AF241" i="2"/>
  <c r="AF229" i="2"/>
  <c r="AF239" i="2"/>
  <c r="AF227" i="2"/>
  <c r="AF238" i="2"/>
  <c r="U237" i="2"/>
  <c r="AE250" i="2"/>
  <c r="B251" i="2"/>
  <c r="AE249" i="2"/>
  <c r="AE247" i="2"/>
  <c r="B250" i="2"/>
  <c r="AE248" i="2"/>
  <c r="AE246" i="2"/>
  <c r="B249" i="2"/>
  <c r="B248" i="2"/>
  <c r="B247" i="2"/>
  <c r="AE245" i="2"/>
  <c r="B246" i="2"/>
  <c r="AE244" i="2"/>
  <c r="AE243" i="2"/>
  <c r="B245" i="2"/>
  <c r="AE241" i="2"/>
  <c r="B244" i="2"/>
  <c r="AE242" i="2"/>
  <c r="B243" i="2"/>
  <c r="AE239" i="2"/>
  <c r="AE240" i="2"/>
  <c r="B242" i="2"/>
  <c r="AE238" i="2"/>
  <c r="B241" i="2"/>
  <c r="AE237" i="2"/>
  <c r="A238" i="2"/>
  <c r="B240" i="2"/>
  <c r="AE236" i="2"/>
  <c r="B239" i="2"/>
  <c r="AE232" i="2"/>
  <c r="B237" i="2"/>
  <c r="AE235" i="2"/>
  <c r="AE233" i="2"/>
  <c r="AE231" i="2"/>
  <c r="B236" i="2"/>
  <c r="AE234" i="2"/>
  <c r="B235" i="2"/>
  <c r="B234" i="2"/>
  <c r="AE230" i="2"/>
  <c r="B233" i="2"/>
  <c r="A231" i="2"/>
  <c r="AE226" i="2"/>
  <c r="AE227" i="2"/>
  <c r="B232" i="2"/>
  <c r="AE229" i="2"/>
  <c r="B230" i="2"/>
  <c r="AE228" i="2"/>
  <c r="B229" i="2"/>
  <c r="A226" i="2"/>
  <c r="B228" i="2"/>
  <c r="B227" i="2"/>
  <c r="AE225" i="2"/>
  <c r="B225" i="2"/>
  <c r="AE224" i="2"/>
  <c r="B224" i="2"/>
  <c r="C147" i="2" l="1"/>
  <c r="A147" i="2" s="1"/>
  <c r="G147" i="2"/>
  <c r="T147" i="2"/>
  <c r="U147" i="2" s="1"/>
  <c r="X147" i="2"/>
  <c r="Y147" i="2" s="1"/>
  <c r="AA147" i="2"/>
  <c r="AC147" i="2"/>
  <c r="AC220" i="2"/>
  <c r="T220" i="2"/>
  <c r="U220" i="2" s="1"/>
  <c r="G220" i="2"/>
  <c r="T219" i="2"/>
  <c r="U219" i="2" s="1"/>
  <c r="G219" i="2"/>
  <c r="T218" i="2"/>
  <c r="U218" i="2" s="1"/>
  <c r="T217" i="2"/>
  <c r="U217" i="2" s="1"/>
  <c r="G217" i="2"/>
  <c r="G218" i="2"/>
  <c r="G216" i="2"/>
  <c r="X216" i="2"/>
  <c r="Y216" i="2" s="1"/>
  <c r="T216" i="2"/>
  <c r="U216" i="2" s="1"/>
  <c r="C216" i="2"/>
  <c r="A216" i="2" s="1"/>
  <c r="C217" i="2"/>
  <c r="A217" i="2" s="1"/>
  <c r="C218" i="2"/>
  <c r="A218" i="2" s="1"/>
  <c r="C219" i="2"/>
  <c r="A219" i="2" s="1"/>
  <c r="Y217" i="2"/>
  <c r="Y218" i="2"/>
  <c r="Y219" i="2"/>
  <c r="AA216" i="2"/>
  <c r="AA217" i="2"/>
  <c r="AA218" i="2"/>
  <c r="AA219" i="2"/>
  <c r="AC216" i="2"/>
  <c r="AC217" i="2"/>
  <c r="AC218" i="2"/>
  <c r="AC219" i="2"/>
  <c r="C220" i="2"/>
  <c r="A220" i="2" s="1"/>
  <c r="Y220" i="2"/>
  <c r="AA220" i="2"/>
  <c r="G222" i="2"/>
  <c r="G223" i="2"/>
  <c r="C223" i="2"/>
  <c r="A223" i="2" s="1"/>
  <c r="Y223" i="2"/>
  <c r="AA223" i="2"/>
  <c r="AC223" i="2"/>
  <c r="C222" i="2"/>
  <c r="B222" i="2" s="1"/>
  <c r="Y222" i="2"/>
  <c r="AA222" i="2"/>
  <c r="AC222" i="2"/>
  <c r="G221" i="2"/>
  <c r="C221" i="2"/>
  <c r="A221" i="2" s="1"/>
  <c r="AA221" i="2"/>
  <c r="AC221" i="2"/>
  <c r="AC197" i="2"/>
  <c r="X197" i="2"/>
  <c r="Y197" i="2" s="1"/>
  <c r="T197" i="2"/>
  <c r="U197" i="2" s="1"/>
  <c r="G197" i="2"/>
  <c r="C197" i="2"/>
  <c r="B197" i="2" s="1"/>
  <c r="AA197" i="2"/>
  <c r="AE147" i="2" l="1"/>
  <c r="B147" i="2"/>
  <c r="AE219" i="2"/>
  <c r="AE220" i="2"/>
  <c r="AE222" i="2"/>
  <c r="AE218" i="2"/>
  <c r="AE217" i="2"/>
  <c r="AE223" i="2"/>
  <c r="AE216" i="2"/>
  <c r="B219" i="2"/>
  <c r="B218" i="2"/>
  <c r="B217" i="2"/>
  <c r="B216" i="2"/>
  <c r="B220" i="2"/>
  <c r="AE221" i="2"/>
  <c r="A222" i="2"/>
  <c r="AF197" i="2"/>
  <c r="B223" i="2"/>
  <c r="B221" i="2"/>
  <c r="AE197" i="2"/>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8" i="2"/>
  <c r="U148" i="2" s="1"/>
  <c r="T149" i="2"/>
  <c r="U149" i="2" s="1"/>
  <c r="AA149" i="2"/>
  <c r="AC149" i="2"/>
  <c r="G149" i="2"/>
  <c r="C149" i="2"/>
  <c r="B149" i="2" s="1"/>
  <c r="G148" i="2"/>
  <c r="C148" i="2"/>
  <c r="A148" i="2" s="1"/>
  <c r="AA148" i="2"/>
  <c r="AC148"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F131" i="2"/>
  <c r="AF118" i="2"/>
  <c r="AF130" i="2"/>
  <c r="AF129" i="2"/>
  <c r="AF128" i="2"/>
  <c r="AF127" i="2"/>
  <c r="AF138" i="2"/>
  <c r="AF126" i="2"/>
  <c r="AF137" i="2"/>
  <c r="AF125" i="2"/>
  <c r="AF136" i="2"/>
  <c r="AF124" i="2"/>
  <c r="AF135" i="2"/>
  <c r="AF123" i="2"/>
  <c r="AF133" i="2"/>
  <c r="AF121"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<sst xmlns="http://schemas.openxmlformats.org/spreadsheetml/2006/main" count="7220" uniqueCount="1708">
  <si>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</si>
  <si>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</si>
  <si>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</si>
  <si>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</si>
  <si>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</si>
  <si>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</si>
  <si>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</si>
  <si>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</si>
  <si>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</si>
  <si>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</si>
  <si>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</si>
  <si>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</si>
  <si>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</si>
  <si>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</si>
  <si>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</si>
  <si>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</si>
  <si>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</si>
  <si>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</si>
  <si>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</si>
  <si>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</si>
  <si>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</si>
  <si>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</si>
  <si>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</si>
  <si>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</si>
  <si>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</si>
  <si>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</si>
  <si>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</si>
  <si>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</si>
  <si>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</si>
  <si>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</si>
  <si>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</si>
  <si>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</si>
  <si>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</si>
  <si>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</si>
  <si>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</si>
  <si>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</si>
  <si>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</si>
  <si>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</si>
  <si>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</si>
  <si>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</si>
  <si>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</si>
  <si>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</si>
  <si>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</si>
  <si>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</si>
  <si>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</si>
  <si>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</si>
  <si>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</si>
  <si>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</si>
  <si>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</si>
  <si>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</si>
  <si>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</si>
  <si>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</si>
  <si>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</si>
  <si>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</si>
  <si>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</si>
  <si>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</si>
  <si>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</si>
  <si>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</si>
  <si>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</si>
  <si>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</si>
  <si>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</si>
  <si>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</si>
  <si>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</si>
  <si>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</si>
  <si>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</si>
  <si>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</si>
  <si>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</si>
  <si>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</si>
  <si>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</si>
  <si>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</si>
  <si>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</si>
  <si>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</si>
  <si>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</si>
  <si>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</si>
  <si>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</si>
  <si>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</si>
  <si>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</si>
  <si>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</si>
  <si>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</si>
  <si>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</si>
  <si>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</si>
  <si>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</si>
  <si>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</si>
  <si>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</si>
  <si>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</si>
  <si>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</si>
  <si>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</si>
  <si>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</si>
  <si>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</si>
  <si>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</si>
  <si>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</si>
  <si>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</si>
  <si>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</si>
  <si>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</si>
  <si>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</si>
  <si>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</si>
  <si>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</si>
  <si>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</si>
  <si>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</si>
  <si>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</si>
  <si>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</si>
  <si>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</si>
  <si>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</si>
  <si>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</si>
  <si>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</si>
  <si>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</si>
  <si>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</si>
  <si>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</si>
  <si>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</si>
  <si>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</si>
  <si>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</si>
  <si>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</si>
  <si>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</si>
  <si>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</si>
  <si>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</si>
  <si>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</si>
  <si>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</si>
  <si>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</si>
  <si>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</si>
  <si>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</si>
  <si>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</si>
  <si>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</si>
  <si>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</si>
  <si>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</si>
  <si>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</si>
  <si>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</si>
  <si>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</si>
  <si>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</si>
  <si>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</si>
  <si>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</si>
  <si>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</si>
  <si>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</si>
  <si>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</si>
  <si>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</si>
  <si>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</si>
  <si>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</si>
  <si>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</si>
  <si>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</si>
  <si>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</si>
  <si>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</si>
  <si>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</si>
  <si>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</si>
  <si>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</si>
  <si>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</si>
  <si>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</si>
  <si>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</si>
  <si>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</si>
  <si>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</si>
  <si>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</si>
  <si>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</si>
  <si>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</si>
  <si>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</si>
  <si>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</si>
  <si>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</si>
  <si>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</si>
  <si>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</si>
  <si>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</si>
  <si>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</si>
  <si>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</si>
  <si>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</si>
  <si>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</si>
  <si>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</si>
  <si>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</si>
  <si>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</si>
  <si>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</si>
  <si>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</si>
  <si>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</si>
  <si>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</si>
  <si>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</si>
  <si>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</si>
  <si>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</si>
  <si>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</si>
  <si>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</si>
  <si>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</si>
  <si>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</si>
  <si>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</si>
  <si>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</si>
  <si>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</si>
  <si>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</si>
  <si>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</si>
  <si>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</si>
  <si>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</si>
  <si>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</si>
  <si>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</si>
  <si>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</si>
  <si>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</si>
  <si>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</si>
  <si>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</si>
  <si>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</si>
  <si>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</si>
  <si>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</si>
  <si>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</si>
  <si>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</si>
  <si>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</si>
  <si>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</si>
  <si>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</si>
  <si>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</si>
  <si>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</si>
  <si>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</si>
  <si>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</si>
  <si>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</si>
  <si>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</si>
  <si>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</si>
  <si>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</si>
  <si>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</si>
  <si>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</si>
  <si>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</si>
  <si>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</si>
  <si>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</si>
  <si>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</si>
  <si>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</si>
  <si>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</si>
  <si>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</si>
  <si>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</si>
  <si>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</si>
  <si>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</si>
  <si>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</si>
  <si>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</si>
  <si>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</si>
  <si>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</si>
  <si>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</si>
  <si>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</si>
  <si>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</si>
  <si>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</si>
  <si>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</si>
  <si>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</si>
  <si>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</si>
  <si>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</si>
  <si>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</si>
  <si>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</si>
  <si>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</si>
  <si>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</si>
  <si>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</si>
  <si>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</si>
  <si>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</si>
  <si>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</si>
  <si>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</si>
  <si>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</si>
  <si>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</si>
  <si>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</si>
  <si>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</si>
  <si>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</si>
  <si>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</si>
  <si>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</si>
  <si>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</si>
  <si>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</si>
  <si>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</si>
  <si>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</si>
  <si>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</si>
  <si>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</si>
  <si>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</si>
  <si>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</si>
  <si>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</si>
  <si>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</si>
  <si>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</si>
  <si>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</si>
  <si>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</si>
  <si>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</si>
  <si>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</si>
  <si>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</si>
  <si>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</si>
  <si>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</si>
  <si>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</si>
  <si>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</si>
  <si>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</si>
  <si>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</si>
  <si>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</si>
  <si>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</si>
  <si>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</si>
  <si>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</si>
  <si>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</si>
  <si>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</si>
  <si>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</si>
  <si>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</si>
  <si>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</si>
  <si>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</si>
  <si>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</si>
  <si>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</si>
  <si>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</si>
  <si>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</si>
  <si>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</si>
  <si>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</si>
  <si>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</si>
  <si>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</si>
  <si>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</si>
  <si>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</si>
  <si>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</si>
  <si>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</si>
  <si>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</si>
  <si>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</si>
  <si>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</si>
  <si>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</si>
  <si>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</si>
  <si>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</si>
  <si>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</si>
  <si>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</si>
  <si>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</si>
  <si>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</si>
  <si>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</si>
  <si>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</si>
  <si>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</si>
  <si>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</si>
  <si>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</si>
  <si>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</si>
  <si>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</si>
  <si>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</si>
  <si>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</si>
  <si>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</si>
  <si>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</si>
  <si>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</si>
  <si>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</si>
  <si>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</si>
  <si>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</si>
  <si>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</si>
  <si>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</si>
  <si>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</si>
  <si>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</si>
  <si>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</si>
  <si>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</si>
  <si>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</si>
  <si>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</si>
  <si>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</si>
  <si>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</si>
  <si>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</si>
  <si>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</si>
  <si>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</si>
  <si>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</si>
  <si>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</si>
  <si>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</si>
  <si>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</si>
  <si>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</si>
  <si>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</si>
  <si>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</si>
  <si>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</si>
  <si>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</si>
  <si>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</si>
  <si>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</si>
  <si>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</si>
  <si>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</si>
  <si>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</si>
  <si>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</si>
  <si>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</si>
  <si>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</si>
  <si>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</si>
  <si>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</si>
  <si>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</si>
  <si>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</si>
  <si>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</si>
  <si>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</si>
  <si>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</si>
  <si>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</si>
  <si>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</si>
  <si>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</si>
  <si>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</si>
  <si>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</si>
  <si>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</si>
  <si>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</si>
  <si>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</si>
  <si>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</si>
  <si>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</si>
  <si>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</si>
  <si>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</si>
  <si>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</si>
  <si>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</si>
  <si>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</si>
  <si>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</si>
  <si>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</si>
  <si>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</si>
  <si>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</si>
  <si>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</si>
  <si>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</si>
  <si>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</si>
  <si>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</si>
  <si>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</si>
  <si>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</si>
  <si>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</si>
  <si>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</si>
  <si>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</si>
  <si>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</si>
  <si>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</si>
  <si>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</si>
  <si>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</si>
  <si>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</si>
  <si>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</si>
  <si>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</si>
  <si>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</si>
  <si>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</si>
  <si>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</si>
  <si>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</si>
  <si>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</si>
  <si>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</si>
  <si>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</si>
  <si>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</si>
  <si>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</si>
  <si>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</si>
  <si>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</si>
  <si>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</si>
  <si>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</si>
  <si>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</si>
  <si>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</si>
  <si>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</si>
  <si>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</si>
  <si>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</si>
  <si>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</si>
  <si>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</si>
  <si>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</si>
  <si>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</si>
  <si>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</si>
  <si>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</si>
  <si>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</si>
  <si>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</si>
  <si>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</si>
  <si>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</si>
  <si>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</si>
  <si>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</si>
  <si>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</si>
  <si>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</si>
  <si>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</si>
  <si>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</si>
  <si>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</si>
  <si>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</si>
  <si>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</si>
  <si>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</si>
  <si>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</si>
  <si>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</si>
  <si>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</si>
  <si>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</si>
  <si>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</si>
  <si>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</si>
  <si>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</si>
  <si>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</si>
  <si>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</si>
  <si>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</si>
  <si>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</si>
  <si>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</si>
  <si>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</si>
  <si>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</si>
  <si>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</si>
  <si>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</si>
  <si>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</si>
  <si>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</si>
  <si>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</si>
  <si>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</si>
  <si>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</si>
  <si>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</si>
  <si>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</si>
  <si>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</si>
  <si>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</si>
  <si>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</si>
  <si>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</si>
  <si>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</si>
  <si>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</si>
  <si>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</si>
  <si>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</si>
  <si>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</si>
  <si>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</si>
  <si>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</si>
  <si>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</si>
  <si>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</si>
  <si>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</si>
  <si>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</si>
  <si>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</si>
  <si>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</si>
  <si>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</si>
  <si>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</si>
  <si>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</si>
  <si>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</si>
  <si>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</si>
  <si>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</si>
  <si>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</si>
  <si>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</si>
  <si>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</si>
  <si>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</si>
  <si>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</si>
  <si>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</si>
  <si>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</si>
  <si>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</si>
  <si>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</si>
  <si>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</si>
  <si>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</si>
  <si>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</si>
  <si>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</si>
  <si>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</si>
  <si>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</si>
  <si>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</si>
  <si>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</si>
  <si>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</si>
  <si>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</si>
  <si>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</si>
  <si>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</si>
  <si>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</si>
  <si>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</si>
  <si>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</si>
  <si>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</si>
  <si>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</si>
  <si>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</si>
  <si>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</si>
  <si>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</si>
  <si>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</si>
  <si>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</si>
  <si>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</si>
  <si>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</si>
  <si>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</si>
  <si>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</si>
  <si>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</si>
  <si>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</si>
  <si>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</si>
  <si>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</si>
  <si>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</si>
  <si>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</si>
  <si>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</si>
  <si>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</si>
  <si>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</si>
  <si>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</si>
  <si>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</si>
  <si>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</si>
  <si>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</si>
  <si>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</si>
  <si>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</si>
  <si>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</si>
  <si>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</si>
  <si>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</si>
  <si>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</si>
  <si>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</si>
  <si>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</si>
  <si>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</si>
  <si>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</si>
  <si>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</si>
  <si>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</si>
  <si>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</si>
  <si>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</si>
  <si>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</si>
  <si>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</si>
  <si>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</si>
  <si>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</si>
  <si>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</si>
  <si>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</si>
  <si>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</si>
  <si>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</si>
  <si>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</si>
  <si>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</si>
  <si>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</si>
  <si>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</si>
  <si>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</si>
  <si>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</si>
  <si>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</si>
  <si>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</si>
  <si>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</si>
  <si>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</si>
  <si>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</si>
  <si>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</si>
  <si>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</si>
  <si>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</si>
  <si>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</si>
  <si>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</si>
  <si>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</si>
  <si>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</si>
  <si>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</si>
  <si>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</si>
  <si>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</si>
  <si>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</si>
  <si>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</si>
  <si>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</si>
  <si>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</si>
  <si>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</si>
  <si>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</si>
  <si>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</si>
  <si>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</si>
  <si>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</si>
  <si>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</si>
  <si>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</si>
  <si>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</si>
  <si>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</si>
  <si>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</si>
  <si>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</si>
  <si>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</si>
  <si>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</si>
  <si>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</si>
  <si>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</si>
  <si>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</si>
  <si>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</si>
  <si>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</si>
  <si>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</si>
  <si>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</si>
  <si>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</si>
  <si>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</si>
  <si>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</si>
  <si>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</si>
  <si>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</si>
  <si>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</si>
  <si>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</si>
  <si>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</si>
  <si>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</si>
  <si>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</si>
  <si>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</si>
  <si>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</si>
  <si>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</si>
  <si>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</si>
  <si>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</si>
  <si>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</si>
  <si>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</si>
  <si>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</si>
  <si>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</si>
  <si>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</si>
  <si>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</si>
  <si>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</si>
  <si>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</si>
  <si>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</si>
  <si>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</si>
  <si>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</si>
  <si>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</si>
  <si>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</si>
  <si>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</si>
  <si>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</si>
  <si>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</si>
  <si>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</si>
  <si>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</si>
  <si>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</si>
  <si>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</si>
  <si>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</si>
  <si>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</si>
  <si>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</si>
  <si>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</si>
  <si>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</si>
  <si>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</si>
  <si>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</si>
  <si>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</si>
  <si>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</si>
  <si>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</si>
  <si>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</si>
  <si>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</si>
  <si>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</si>
  <si>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</si>
  <si>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</si>
  <si>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</si>
  <si>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</si>
  <si>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</si>
  <si>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</si>
  <si>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</si>
  <si>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</si>
  <si>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</si>
  <si>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</si>
  <si>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</si>
  <si>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</si>
  <si>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</si>
  <si>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</si>
  <si>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</si>
  <si>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</si>
  <si>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</si>
  <si>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</si>
  <si>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</si>
  <si>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</si>
  <si>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</si>
  <si>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</si>
  <si>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</si>
  <si>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</si>
  <si>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</si>
  <si>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</si>
  <si>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</si>
  <si>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</si>
  <si>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</si>
  <si>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</si>
  <si>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</si>
  <si>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</si>
  <si>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</si>
  <si>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</si>
  <si>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</si>
  <si>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</si>
  <si>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</si>
  <si>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</si>
  <si>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</si>
  <si>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</si>
  <si>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</si>
  <si>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</si>
  <si>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</si>
  <si>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</si>
  <si>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</si>
  <si>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</si>
  <si>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</si>
  <si>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</si>
  <si>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</si>
  <si>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</si>
  <si>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</si>
  <si>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</si>
  <si>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</si>
  <si>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</si>
  <si>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</si>
  <si>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</si>
  <si>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</si>
  <si>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</si>
  <si>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</si>
  <si>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</si>
  <si>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</si>
  <si>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</si>
  <si>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</si>
  <si>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</si>
  <si>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</si>
  <si>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</si>
  <si>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</si>
  <si>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</si>
  <si>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</si>
  <si>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</si>
  <si>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</si>
  <si>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</si>
  <si>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</si>
  <si>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</si>
  <si>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</si>
  <si>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</si>
  <si>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</si>
  <si>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</si>
  <si>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</si>
  <si>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</si>
  <si>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</si>
  <si>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</si>
  <si>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</si>
  <si>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</si>
  <si>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</si>
  <si>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</si>
  <si>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</si>
  <si>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</si>
  <si>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</si>
  <si>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</si>
  <si>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</si>
  <si>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</si>
  <si>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</si>
  <si>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</si>
  <si>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</si>
  <si>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</si>
  <si>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</si>
  <si>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</si>
  <si>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</si>
  <si>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</si>
  <si>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</si>
  <si>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</si>
  <si>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</si>
  <si>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</si>
  <si>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</si>
  <si>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</si>
  <si>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</si>
  <si>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</si>
  <si>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</si>
  <si>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</si>
  <si>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</si>
  <si>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</si>
  <si>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</si>
  <si>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</si>
  <si>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</si>
  <si>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</si>
  <si>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</si>
  <si>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</si>
  <si>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</si>
  <si>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</si>
  <si>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</si>
  <si>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</si>
  <si>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</si>
  <si>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</si>
  <si>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</si>
  <si>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</si>
  <si>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</si>
  <si>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</si>
  <si>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</si>
  <si>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</si>
  <si>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</si>
  <si>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</si>
  <si>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</si>
  <si>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</si>
  <si>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</si>
  <si>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</si>
  <si>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</si>
  <si>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</si>
  <si>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</si>
  <si>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</si>
  <si>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</si>
  <si>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</si>
  <si>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</si>
  <si>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</si>
  <si>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</si>
  <si>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</si>
  <si>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</si>
  <si>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</si>
  <si>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</si>
  <si>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</si>
  <si>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</si>
  <si>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</si>
  <si>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</si>
  <si>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</si>
  <si>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</si>
  <si>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</si>
  <si>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</si>
  <si>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</si>
  <si>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</si>
  <si>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</si>
  <si>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</si>
  <si>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</si>
  <si>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</si>
  <si>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</si>
  <si>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</si>
  <si>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</si>
  <si>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</si>
  <si>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</si>
  <si>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</si>
  <si>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</si>
  <si>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</si>
  <si>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</si>
  <si>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</si>
  <si>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</si>
  <si>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</si>
  <si>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</si>
  <si>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</si>
  <si>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</si>
  <si>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</si>
  <si>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</si>
  <si>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</si>
  <si>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</si>
  <si>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</si>
  <si>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</si>
  <si>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</si>
  <si>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</si>
  <si>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</si>
  <si>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</si>
  <si>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</si>
  <si>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</si>
  <si>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</si>
  <si>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</si>
  <si>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</si>
  <si>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</si>
  <si>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</si>
  <si>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</si>
  <si>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</si>
  <si>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</si>
  <si>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</si>
  <si>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</si>
  <si>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</si>
  <si>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</si>
  <si>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</si>
  <si>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</si>
  <si>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</si>
  <si>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</si>
  <si>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</si>
  <si>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</si>
  <si>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</si>
  <si>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</si>
  <si>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</si>
  <si>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</si>
  <si>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</si>
  <si>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</si>
  <si>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</si>
  <si>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</si>
  <si>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</si>
  <si>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</si>
  <si>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</si>
  <si>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</si>
  <si>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</si>
  <si>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</si>
  <si>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</si>
  <si>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</si>
  <si>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</si>
  <si>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</si>
  <si>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</si>
  <si>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</si>
  <si>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</si>
  <si>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</si>
  <si>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</si>
  <si>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</si>
  <si>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</si>
  <si>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</si>
  <si>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</si>
  <si>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</si>
  <si>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</si>
  <si>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</si>
  <si>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</si>
  <si>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</si>
  <si>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</si>
  <si>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</si>
  <si>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</si>
  <si>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</si>
  <si>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</si>
  <si>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</si>
  <si>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</si>
  <si>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</si>
  <si>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</si>
  <si>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</si>
  <si>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</si>
  <si>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</si>
  <si>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</si>
  <si>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</si>
  <si>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</si>
  <si>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</si>
  <si>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</si>
  <si>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</si>
  <si>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</si>
  <si>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</si>
  <si>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</si>
  <si>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</si>
  <si>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</si>
  <si>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</si>
  <si>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</si>
  <si>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</si>
  <si>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</si>
  <si>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</si>
  <si>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</si>
  <si>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</si>
  <si>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</si>
  <si>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</si>
  <si>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</si>
  <si>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</si>
  <si>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</si>
  <si>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</si>
  <si>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</si>
  <si>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</si>
  <si>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</si>
  <si>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</si>
  <si>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</si>
  <si>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</si>
  <si>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</si>
  <si>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</si>
  <si>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</si>
  <si>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</si>
  <si>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</si>
  <si>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</si>
  <si>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</si>
  <si>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</si>
  <si>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</si>
  <si>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</si>
  <si>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</si>
  <si>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</si>
  <si>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</si>
  <si>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</si>
  <si>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</si>
  <si>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</si>
  <si>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</si>
  <si>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</si>
  <si>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</si>
  <si>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</si>
  <si>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</si>
  <si>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</si>
  <si>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</si>
  <si>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</si>
  <si>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</si>
  <si>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</si>
  <si>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</si>
  <si>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</si>
  <si>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</si>
  <si>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</si>
  <si>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</si>
  <si>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</si>
  <si>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</si>
  <si>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</si>
  <si>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</si>
  <si>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</si>
  <si>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</si>
  <si>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</si>
  <si>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</si>
  <si>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</si>
  <si>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</si>
  <si>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</si>
  <si>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</si>
  <si>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</si>
  <si>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</si>
  <si>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</si>
  <si>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</si>
  <si>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</si>
  <si>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</si>
  <si>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</si>
  <si>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</si>
  <si>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</si>
  <si>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</si>
  <si>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</si>
  <si>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</si>
  <si>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</si>
  <si>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</si>
  <si>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</si>
  <si>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</si>
  <si>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</si>
  <si>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</si>
  <si>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</si>
  <si>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</si>
  <si>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</si>
  <si>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</si>
  <si>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</si>
  <si>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</si>
  <si>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</si>
  <si>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</si>
  <si>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</si>
  <si>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</si>
  <si>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</si>
  <si>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</si>
  <si>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</si>
  <si>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</si>
  <si>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</si>
  <si>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</si>
  <si>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</si>
  <si>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</si>
  <si>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</si>
  <si>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</si>
  <si>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</si>
  <si>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</si>
  <si>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</si>
  <si>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</si>
  <si>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</si>
  <si>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</si>
  <si>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</si>
  <si>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</si>
  <si>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</si>
  <si>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</si>
  <si>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</si>
  <si>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</si>
  <si>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</si>
  <si>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</si>
  <si>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</si>
  <si>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</si>
  <si>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</si>
  <si>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</si>
  <si>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</si>
  <si>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</si>
  <si>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</si>
  <si>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</si>
  <si>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</si>
  <si>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</si>
  <si>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</si>
  <si>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</si>
  <si>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</si>
  <si>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</si>
  <si>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</si>
  <si>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</si>
  <si>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</si>
  <si>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</si>
  <si>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</si>
  <si>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</si>
  <si>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</si>
  <si>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</si>
  <si>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</si>
  <si>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</si>
  <si>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</si>
  <si>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</si>
  <si>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</si>
  <si>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</si>
  <si>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</si>
  <si>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</si>
  <si>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</si>
  <si>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</si>
  <si>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</si>
  <si>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</si>
  <si>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</si>
  <si>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</si>
  <si>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</si>
  <si>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</si>
  <si>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</si>
  <si>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</si>
  <si>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</si>
  <si>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</si>
  <si>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</si>
  <si>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</si>
  <si>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</si>
  <si>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</si>
  <si>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</si>
  <si>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</si>
  <si>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</si>
  <si>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</si>
  <si>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</si>
  <si>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</si>
  <si>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</si>
  <si>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</si>
  <si>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</si>
  <si>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</si>
  <si>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</si>
  <si>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</si>
  <si>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</si>
  <si>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</si>
  <si>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</si>
  <si>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</si>
  <si>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</si>
  <si>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</si>
  <si>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</si>
  <si>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</si>
  <si>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</si>
  <si>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</si>
  <si>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</si>
  <si>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</si>
  <si>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</si>
  <si>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</si>
  <si>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</si>
  <si>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</si>
  <si>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</si>
  <si>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</si>
  <si>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</si>
  <si>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</si>
  <si>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</si>
  <si>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</si>
  <si>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</si>
  <si>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</si>
  <si>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</si>
  <si>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</si>
  <si>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</si>
  <si>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</si>
  <si>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</si>
  <si>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</si>
  <si>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</si>
  <si>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</si>
  <si>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</si>
  <si>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</si>
  <si>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</si>
  <si>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</si>
  <si>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</si>
  <si>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</si>
  <si>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</si>
  <si>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</si>
  <si>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</si>
  <si>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</si>
  <si>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</si>
  <si>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</si>
  <si>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</si>
  <si>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</si>
  <si>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</si>
  <si>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</si>
  <si>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</si>
  <si>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</si>
  <si>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</si>
  <si>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</si>
  <si>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</si>
  <si>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</si>
  <si>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</si>
  <si>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</si>
  <si>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</si>
  <si>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</si>
  <si>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</si>
  <si>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</si>
  <si>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</si>
  <si>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</si>
  <si>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</si>
  <si>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</si>
  <si>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</si>
  <si>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</si>
  <si>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</si>
  <si>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</si>
  <si>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</si>
  <si>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</si>
  <si>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</si>
  <si>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</si>
  <si>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</si>
  <si>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</si>
  <si>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</si>
  <si>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</si>
  <si>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</si>
  <si>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</si>
  <si>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</si>
  <si>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</si>
  <si>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</si>
  <si>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</si>
  <si>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</si>
  <si>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</si>
  <si>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</si>
  <si>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</si>
  <si>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</si>
  <si>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</si>
  <si>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</si>
  <si>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</si>
  <si>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</si>
  <si>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</si>
  <si>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</si>
  <si>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</si>
  <si>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</si>
  <si>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</si>
  <si>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</si>
  <si>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</si>
  <si>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</si>
  <si>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</si>
  <si>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</si>
  <si>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</si>
  <si>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</si>
  <si>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</si>
  <si>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</si>
  <si>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</si>
  <si>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</si>
  <si>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</si>
  <si>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</si>
  <si>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</si>
  <si>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</si>
  <si>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</si>
  <si>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</si>
  <si>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</si>
  <si>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</si>
  <si>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</si>
  <si>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</si>
  <si>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</si>
  <si>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</si>
  <si>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</si>
  <si>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</si>
  <si>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</si>
  <si>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</si>
  <si>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</si>
  <si>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</si>
  <si>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</si>
  <si>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</si>
  <si>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</si>
  <si>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</si>
  <si>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</si>
  <si>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</si>
  <si>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</si>
  <si>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</si>
  <si>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</si>
  <si>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</si>
  <si>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</si>
  <si>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</si>
  <si>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</si>
  <si>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</si>
  <si>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</si>
  <si>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</si>
  <si>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</si>
  <si>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</si>
  <si>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</si>
  <si>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</si>
  <si>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</si>
  <si>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</si>
  <si>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</si>
  <si>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</si>
  <si>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</si>
  <si>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</si>
  <si>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</si>
  <si>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</si>
  <si>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</si>
  <si>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</si>
  <si>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</si>
  <si>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</si>
  <si>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</si>
  <si>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</si>
  <si>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</si>
  <si>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</si>
  <si>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</si>
  <si>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</si>
  <si>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</si>
  <si>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</si>
  <si>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</si>
  <si>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</si>
  <si>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</si>
  <si>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</si>
  <si>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</si>
  <si>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</si>
  <si>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</si>
  <si>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</si>
  <si>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</si>
  <si>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</si>
  <si>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</si>
  <si>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</si>
  <si>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</si>
  <si>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</si>
  <si>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</si>
  <si>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</si>
  <si>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</si>
  <si>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</si>
  <si>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</si>
  <si>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</si>
  <si>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</si>
  <si>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</si>
  <si>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</si>
  <si>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</si>
  <si>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</si>
  <si>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</si>
  <si>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</si>
  <si>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</si>
  <si>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</si>
  <si>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</si>
  <si>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</si>
  <si>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</si>
  <si>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</si>
  <si>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</si>
  <si>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</si>
  <si>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</si>
  <si>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</si>
  <si>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</si>
  <si>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</si>
  <si>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</si>
  <si>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</si>
  <si>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</si>
  <si>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</si>
  <si>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</si>
  <si>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</si>
  <si>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</si>
  <si>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</si>
  <si>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</si>
  <si>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</si>
  <si>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</si>
  <si>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</si>
  <si>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</si>
  <si>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</si>
  <si>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</si>
  <si>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</si>
  <si>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</si>
  <si>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</si>
  <si>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</si>
  <si>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</si>
  <si>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</si>
  <si>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</si>
  <si>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</si>
  <si>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</si>
  <si>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</si>
  <si>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</si>
  <si>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</si>
  <si>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</si>
  <si>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</si>
  <si>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</si>
  <si>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</si>
  <si>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</si>
  <si>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</si>
  <si>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</si>
  <si>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</si>
  <si>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</si>
  <si>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</si>
  <si>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</si>
  <si>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</si>
  <si>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</si>
  <si>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</si>
  <si>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</si>
  <si>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</si>
  <si>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</si>
  <si>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</si>
  <si>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</si>
  <si>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</si>
  <si>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</si>
  <si>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</si>
  <si>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</si>
  <si>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</si>
  <si>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</si>
  <si>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</si>
  <si>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</si>
  <si>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</si>
  <si>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</si>
  <si>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</si>
  <si>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</si>
  <si>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</si>
  <si>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</si>
  <si>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</si>
  <si>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</si>
  <si>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</si>
  <si>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</si>
  <si>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</si>
  <si>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</si>
  <si>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</si>
  <si>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</si>
  <si>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</si>
  <si>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</si>
  <si>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</si>
  <si>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</si>
  <si>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</si>
  <si>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</si>
  <si>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</si>
  <si>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</si>
  <si>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</si>
  <si>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</si>
  <si>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</si>
  <si>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</si>
  <si>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</si>
  <si>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</si>
  <si>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</si>
  <si>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</si>
  <si>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</si>
  <si>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</si>
  <si>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</si>
  <si>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</si>
  <si>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</si>
  <si>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</si>
  <si>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</si>
  <si>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</si>
  <si>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</si>
  <si>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</si>
  <si>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</si>
  <si>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</si>
  <si>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</si>
  <si>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</si>
  <si>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</si>
  <si>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</si>
  <si>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</si>
  <si>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</si>
  <si>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</si>
  <si>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</si>
  <si>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</si>
  <si>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</si>
  <si>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</si>
  <si>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</si>
  <si>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</si>
  <si>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</si>
  <si>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</si>
  <si>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</si>
  <si>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</si>
  <si>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</si>
  <si>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</si>
  <si>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</si>
  <si>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</si>
  <si>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</si>
  <si>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</si>
  <si>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</si>
  <si>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</si>
  <si>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</si>
  <si>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</si>
  <si>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</si>
  <si>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</si>
  <si>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</si>
  <si>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</si>
  <si>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</si>
  <si>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</si>
  <si>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</si>
  <si>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</si>
  <si>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</si>
  <si>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</si>
  <si>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</si>
  <si>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</si>
  <si>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</si>
  <si>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</si>
  <si>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</si>
  <si>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</si>
  <si>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</si>
  <si>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</si>
  <si>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</si>
  <si>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</si>
  <si>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</si>
  <si>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</si>
  <si>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</si>
  <si>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</si>
  <si>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</si>
  <si>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</si>
  <si>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</si>
  <si>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</si>
  <si>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</si>
  <si>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</si>
  <si>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</si>
  <si>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</si>
  <si>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</si>
  <si>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</si>
  <si>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</si>
  <si>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</si>
  <si>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</si>
  <si>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</si>
  <si>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</si>
  <si>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</si>
  <si>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</si>
  <si>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</si>
  <si>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</si>
  <si>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</si>
  <si>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</si>
  <si>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</si>
  <si>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</si>
  <si>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</si>
  <si>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</si>
  <si>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</si>
  <si>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</si>
  <si>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</si>
  <si>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</si>
  <si>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</si>
  <si>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</si>
  <si>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</si>
  <si>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</si>
  <si>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</si>
  <si>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</si>
  <si>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</si>
  <si>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</si>
  <si>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</si>
  <si>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</si>
  <si>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</si>
  <si>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</si>
  <si>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</si>
  <si>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</si>
  <si>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</si>
  <si>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</si>
  <si>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</si>
  <si>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</si>
  <si>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</si>
  <si>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</si>
  <si>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</si>
  <si>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</si>
  <si>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</si>
  <si>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</si>
  <si>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</si>
  <si>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</si>
  <si>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</si>
  <si>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</si>
  <si>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</si>
  <si>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</si>
  <si>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</si>
  <si>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</si>
  <si>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</si>
  <si>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</si>
  <si>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</si>
  <si>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</si>
  <si>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</si>
  <si>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</si>
  <si>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</si>
  <si>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</si>
  <si>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</si>
  <si>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</si>
  <si>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</si>
  <si>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</si>
  <si>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</si>
  <si>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</si>
  <si>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</si>
  <si>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</si>
  <si>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</si>
  <si>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</si>
  <si>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</si>
  <si>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</si>
  <si>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</si>
  <si>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</si>
  <si>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</si>
  <si>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</si>
  <si>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</si>
  <si>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</si>
  <si>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</si>
  <si>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</si>
  <si>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</si>
  <si>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</si>
  <si>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</si>
  <si>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</si>
  <si>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</si>
  <si>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</si>
  <si>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</si>
  <si>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</si>
  <si>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</si>
  <si>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</si>
  <si>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</si>
  <si>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</si>
  <si>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</si>
  <si>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</si>
  <si>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</si>
  <si>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</si>
  <si>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</si>
  <si>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</si>
  <si>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</si>
  <si>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</si>
  <si>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</si>
  <si>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</si>
  <si>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</si>
  <si>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</si>
  <si>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</si>
  <si>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</si>
  <si>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</si>
  <si>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</si>
  <si>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</si>
  <si>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</si>
  <si>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</si>
  <si>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</si>
  <si>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</si>
  <si>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</si>
  <si>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</si>
  <si>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</si>
  <si>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</si>
  <si>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</si>
  <si>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</si>
  <si>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</si>
  <si>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</si>
  <si>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</si>
  <si>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</si>
  <si>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</si>
  <si>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</si>
  <si>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</si>
  <si>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</si>
  <si>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</si>
  <si>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</si>
  <si>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</si>
  <si>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</si>
  <si>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</si>
  <si>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</si>
  <si>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</si>
  <si>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</si>
  <si>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</si>
  <si>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</si>
  <si>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</si>
  <si>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</si>
  <si>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</si>
  <si>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</si>
  <si>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</si>
  <si>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</si>
  <si>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</si>
  <si>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</si>
  <si>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</si>
  <si>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</si>
  <si>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</si>
  <si>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</si>
  <si>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</si>
  <si>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</si>
  <si>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</si>
  <si>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</si>
  <si>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https://maps.app.goo.gl/oK3xmMU55tobrmn87</t>
  </si>
  <si>
    <t>Bron</t>
  </si>
  <si>
    <t>https://maps.app.goo.gl/vYJoaUYwYjP8JKaEA</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</si>
  <si>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</si>
  <si>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</si>
  <si>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</si>
  <si>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</si>
  <si>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</si>
  <si>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</si>
  <si>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</si>
  <si>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</si>
  <si>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</si>
  <si>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</si>
  <si>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</si>
  <si>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</si>
  <si>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</si>
  <si>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</si>
  <si>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</si>
  <si>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</si>
  <si>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</si>
  <si>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</si>
  <si>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</si>
  <si>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</si>
  <si>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</si>
  <si>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</si>
  <si>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</si>
  <si>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</si>
  <si>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</si>
  <si>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</si>
  <si>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</si>
  <si>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https://maps.app.goo.gl/ZPoo7HsyrDthxYXT7</t>
  </si>
  <si>
    <t>32 boulevard de Finlande</t>
  </si>
  <si>
    <t>https://maps.app.goo.gl/jtsXLNMtupvw8FSD8</t>
  </si>
  <si>
    <t>rue de la rotière</t>
  </si>
  <si>
    <t>https://maps.app.goo.gl/BD22NECiYNrbeSTe7</t>
  </si>
  <si>
    <t>178 rue Faidherbes</t>
  </si>
  <si>
    <t>https://maps.app.goo.gl/me3i2cvSJCdtSR2q6</t>
  </si>
  <si>
    <t>boulevard de l'usine</t>
  </si>
  <si>
    <t>297 rue de Rosny</t>
  </si>
  <si>
    <t>299 rue de Rosny</t>
  </si>
  <si>
    <t>https://maps.app.goo.gl/tetcRbeEJe7WMZv5A</t>
  </si>
  <si>
    <t>https://maps.app.goo.gl/BiMxAnX6CZMYp9hx6</t>
  </si>
  <si>
    <t>30 rue Maurice Clerc</t>
  </si>
  <si>
    <t>https://maps.app.goo.gl/u1kz5AiezeXSAGLR7</t>
  </si>
  <si>
    <t>12 bis rue des Bateliers</t>
  </si>
  <si>
    <t>https://maps.app.goo.gl/KQauYVyzMqgPPWgM8</t>
  </si>
  <si>
    <t>https://maps.app.goo.gl/oQw4ZXEQVPp4zXL68</t>
  </si>
  <si>
    <t>rue Dunoyer de Segonzac</t>
  </si>
  <si>
    <t>Allée Louis Thomas Achille</t>
  </si>
  <si>
    <t>https://maps.app.goo.gl/rYXwsZdHTTd2e5Xo7</t>
  </si>
  <si>
    <t>68.1</t>
  </si>
  <si>
    <t>68.2</t>
  </si>
  <si>
    <t>78.2</t>
  </si>
  <si>
    <t>68.3</t>
  </si>
  <si>
    <t>Hyper U Mende</t>
  </si>
  <si>
    <t>Braxton</t>
  </si>
  <si>
    <t>250 €/m² = 35 000 €</t>
  </si>
  <si>
    <t>139 €/m² = 31 780 €</t>
  </si>
  <si>
    <t>80 €/m² = 29 040 €</t>
  </si>
  <si>
    <t>183 €/m² = 20 130 €</t>
  </si>
  <si>
    <t>183 €/m² = 20 500 €</t>
  </si>
  <si>
    <t>349 €/m² = 30 030 €</t>
  </si>
  <si>
    <t>330 €/m² = 30 030 €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</si>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</sst>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4">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1" totalsRowShown="0" headerRowCellStyle="Normal 2" dataCellStyle="Normal 2">
  <autoFilter ref="A1:AX25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me3i2cvSJCdtSR2q6" TargetMode="External"/><Relationship Id="rId205" Type="http://schemas.openxmlformats.org/officeDocument/2006/relationships/table" Target="../tables/table1.xm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vYJoaUYwYjP8JKaEA"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me3i2cvSJCdtSR2q6" TargetMode="External"/><Relationship Id="rId197" Type="http://schemas.openxmlformats.org/officeDocument/2006/relationships/hyperlink" Target="https://maps.app.goo.gl/u1kz5AiezeXSAGLR7" TargetMode="External"/><Relationship Id="rId201" Type="http://schemas.openxmlformats.org/officeDocument/2006/relationships/hyperlink" Target="https://maps.app.goo.gl/oQw4ZXEQVPp4zXL6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ZPoo7HsyrDthxYXT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KQauYVyzMqgPPWgM8"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me3i2cvSJCdtSR2q6" TargetMode="External"/><Relationship Id="rId202" Type="http://schemas.openxmlformats.org/officeDocument/2006/relationships/hyperlink" Target="https://maps.app.goo.gl/oQw4ZXEQVPp4zXL6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ZPoo7HsyrDthxYXT7"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tetcRbeEJe7WMZv5A" TargetMode="External"/><Relationship Id="rId199" Type="http://schemas.openxmlformats.org/officeDocument/2006/relationships/hyperlink" Target="https://maps.app.goo.gl/oQw4ZXEQVPp4zXL68" TargetMode="External"/><Relationship Id="rId203" Type="http://schemas.openxmlformats.org/officeDocument/2006/relationships/hyperlink" Target="https://maps.app.goo.gl/rYXwsZdHTTd2e5Xo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jtsXLNMtupvw8FSD8"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BiMxAnX6CZMYp9hx6" TargetMode="External"/><Relationship Id="rId190" Type="http://schemas.openxmlformats.org/officeDocument/2006/relationships/hyperlink" Target="https://maps.app.goo.gl/BD22NECiYNrbeSTe7" TargetMode="External"/><Relationship Id="rId204" Type="http://schemas.openxmlformats.org/officeDocument/2006/relationships/hyperlink" Target="https://maps.app.goo.gl/rYXwsZdHTTd2e5Xo7"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oK3xmMU55tobrmn87"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u1kz5AiezeXSAGLR7" TargetMode="External"/><Relationship Id="rId200" Type="http://schemas.openxmlformats.org/officeDocument/2006/relationships/hyperlink" Target="https://maps.app.goo.gl/oQw4ZXEQVPp4zXL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55"/>
  <sheetViews>
    <sheetView showZeros="0" tabSelected="1" zoomScale="80" zoomScaleNormal="80" workbookViewId="0">
      <pane xSplit="6" ySplit="1" topLeftCell="AQ16" activePane="bottomRight" state="frozen"/>
      <selection pane="topRight" activeCell="G1" sqref="G1"/>
      <selection pane="bottomLeft" activeCell="A2" sqref="A2"/>
      <selection pane="bottomRight" activeCell="A22" sqref="A22"/>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1707</v>
      </c>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1707</v>
      </c>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1707</v>
      </c>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1707</v>
      </c>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1707</v>
      </c>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1707</v>
      </c>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1707</v>
      </c>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1707</v>
      </c>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1707</v>
      </c>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1707</v>
      </c>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1707</v>
      </c>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1707</v>
      </c>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10"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53</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1412</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1493</v>
      </c>
      <c r="AM193" s="11" t="s">
        <v>1504</v>
      </c>
      <c r="AN193" s="11" t="s">
        <v>1544</v>
      </c>
      <c r="AO193" s="5" t="s">
        <v>367</v>
      </c>
      <c r="AP193" s="11" t="s">
        <v>1494</v>
      </c>
      <c r="AQ193" s="11" t="s">
        <v>1496</v>
      </c>
      <c r="AR193" s="11" t="s">
        <v>1471</v>
      </c>
      <c r="AS193" s="36" t="s">
        <v>1543</v>
      </c>
      <c r="AT193" s="11" t="s">
        <v>75</v>
      </c>
      <c r="AU193" s="11" t="s">
        <v>376</v>
      </c>
      <c r="AV193" s="13" t="s">
        <v>74</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1493</v>
      </c>
      <c r="AM194" s="11" t="s">
        <v>1504</v>
      </c>
      <c r="AN194" s="11" t="s">
        <v>1544</v>
      </c>
      <c r="AO194" s="5" t="s">
        <v>367</v>
      </c>
      <c r="AP194" s="11" t="s">
        <v>1497</v>
      </c>
      <c r="AQ194" s="11" t="s">
        <v>1498</v>
      </c>
      <c r="AR194" s="11" t="s">
        <v>1472</v>
      </c>
      <c r="AS194" s="36" t="s">
        <v>1543</v>
      </c>
      <c r="AT194" s="11" t="s">
        <v>75</v>
      </c>
      <c r="AU194" s="11" t="s">
        <v>376</v>
      </c>
      <c r="AV194" s="13" t="s">
        <v>74</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1493</v>
      </c>
      <c r="AM195" s="11" t="s">
        <v>1504</v>
      </c>
      <c r="AN195" s="11" t="s">
        <v>1544</v>
      </c>
      <c r="AO195" s="5" t="s">
        <v>367</v>
      </c>
      <c r="AP195" s="11" t="s">
        <v>1499</v>
      </c>
      <c r="AQ195" s="11" t="s">
        <v>1500</v>
      </c>
      <c r="AR195" s="11" t="s">
        <v>1473</v>
      </c>
      <c r="AS195" s="36" t="s">
        <v>1543</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1493</v>
      </c>
      <c r="AM196" s="11" t="s">
        <v>1504</v>
      </c>
      <c r="AN196" s="11" t="s">
        <v>1544</v>
      </c>
      <c r="AO196" s="5" t="s">
        <v>367</v>
      </c>
      <c r="AP196" s="11" t="s">
        <v>1501</v>
      </c>
      <c r="AQ196" s="11" t="s">
        <v>1502</v>
      </c>
      <c r="AR196" s="11" t="s">
        <v>1474</v>
      </c>
      <c r="AS196" s="36" t="s">
        <v>1543</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1493</v>
      </c>
      <c r="AM197" s="11" t="s">
        <v>1504</v>
      </c>
      <c r="AN197" s="11" t="s">
        <v>1544</v>
      </c>
      <c r="AO197" s="5" t="s">
        <v>367</v>
      </c>
      <c r="AP197" s="11" t="s">
        <v>1506</v>
      </c>
      <c r="AQ197" s="11" t="s">
        <v>1507</v>
      </c>
      <c r="AR197" s="11" t="s">
        <v>1475</v>
      </c>
      <c r="AS197" s="36" t="s">
        <v>1543</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1493</v>
      </c>
      <c r="AM198" s="11" t="s">
        <v>1504</v>
      </c>
      <c r="AN198" s="11" t="s">
        <v>1544</v>
      </c>
      <c r="AO198" s="5" t="s">
        <v>367</v>
      </c>
      <c r="AP198" s="11" t="s">
        <v>1495</v>
      </c>
      <c r="AQ198" s="11" t="s">
        <v>1508</v>
      </c>
      <c r="AR198" s="11" t="s">
        <v>1476</v>
      </c>
      <c r="AS198" s="36" t="s">
        <v>1543</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1493</v>
      </c>
      <c r="AM199" s="11" t="s">
        <v>1504</v>
      </c>
      <c r="AN199" s="11" t="s">
        <v>1544</v>
      </c>
      <c r="AO199" s="5" t="s">
        <v>367</v>
      </c>
      <c r="AP199" s="11" t="s">
        <v>1509</v>
      </c>
      <c r="AQ199" s="11" t="s">
        <v>1510</v>
      </c>
      <c r="AR199" s="11" t="s">
        <v>1477</v>
      </c>
      <c r="AS199" s="36" t="s">
        <v>1543</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1493</v>
      </c>
      <c r="AM200" s="11" t="s">
        <v>1504</v>
      </c>
      <c r="AN200" s="11" t="s">
        <v>1544</v>
      </c>
      <c r="AO200" s="5" t="s">
        <v>367</v>
      </c>
      <c r="AP200" s="11" t="s">
        <v>1511</v>
      </c>
      <c r="AQ200" s="11" t="s">
        <v>1512</v>
      </c>
      <c r="AR200" s="11" t="s">
        <v>1478</v>
      </c>
      <c r="AS200" s="36" t="s">
        <v>1543</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1493</v>
      </c>
      <c r="AM201" s="11" t="s">
        <v>1504</v>
      </c>
      <c r="AN201" s="11" t="s">
        <v>1544</v>
      </c>
      <c r="AO201" s="5" t="s">
        <v>367</v>
      </c>
      <c r="AP201" s="11" t="s">
        <v>1513</v>
      </c>
      <c r="AQ201" s="11" t="s">
        <v>1514</v>
      </c>
      <c r="AR201" s="11" t="s">
        <v>1479</v>
      </c>
      <c r="AS201" s="36" t="s">
        <v>1543</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1493</v>
      </c>
      <c r="AM202" s="11" t="s">
        <v>1504</v>
      </c>
      <c r="AN202" s="11" t="s">
        <v>1544</v>
      </c>
      <c r="AO202" s="5" t="s">
        <v>367</v>
      </c>
      <c r="AP202" s="11" t="s">
        <v>1515</v>
      </c>
      <c r="AQ202" s="11" t="s">
        <v>1516</v>
      </c>
      <c r="AR202" s="11" t="s">
        <v>1480</v>
      </c>
      <c r="AS202" s="36" t="s">
        <v>1543</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1493</v>
      </c>
      <c r="AM203" s="11" t="s">
        <v>1504</v>
      </c>
      <c r="AN203" s="11" t="s">
        <v>1544</v>
      </c>
      <c r="AO203" s="5" t="s">
        <v>367</v>
      </c>
      <c r="AP203" s="11" t="s">
        <v>1517</v>
      </c>
      <c r="AQ203" s="11" t="s">
        <v>1518</v>
      </c>
      <c r="AR203" s="11" t="s">
        <v>1481</v>
      </c>
      <c r="AS203" s="36" t="s">
        <v>1543</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1493</v>
      </c>
      <c r="AM204" s="11" t="s">
        <v>1504</v>
      </c>
      <c r="AN204" s="11" t="s">
        <v>1544</v>
      </c>
      <c r="AO204" s="5" t="s">
        <v>367</v>
      </c>
      <c r="AP204" s="11" t="s">
        <v>1519</v>
      </c>
      <c r="AQ204" s="11" t="s">
        <v>1520</v>
      </c>
      <c r="AR204" s="11" t="s">
        <v>1482</v>
      </c>
      <c r="AS204" s="36" t="s">
        <v>1543</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1493</v>
      </c>
      <c r="AM205" s="11" t="s">
        <v>1504</v>
      </c>
      <c r="AN205" s="11" t="s">
        <v>1544</v>
      </c>
      <c r="AO205" s="5" t="s">
        <v>367</v>
      </c>
      <c r="AP205" s="11" t="s">
        <v>1521</v>
      </c>
      <c r="AQ205" s="11" t="s">
        <v>1522</v>
      </c>
      <c r="AR205" s="11" t="s">
        <v>1483</v>
      </c>
      <c r="AS205" s="36" t="s">
        <v>1543</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1493</v>
      </c>
      <c r="AM206" s="11" t="s">
        <v>1504</v>
      </c>
      <c r="AN206" s="11" t="s">
        <v>1544</v>
      </c>
      <c r="AO206" s="5" t="s">
        <v>367</v>
      </c>
      <c r="AP206" s="11" t="s">
        <v>1523</v>
      </c>
      <c r="AQ206" s="11" t="s">
        <v>1524</v>
      </c>
      <c r="AR206" s="11" t="s">
        <v>1484</v>
      </c>
      <c r="AS206" s="36" t="s">
        <v>1543</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1493</v>
      </c>
      <c r="AM207" s="11" t="s">
        <v>1504</v>
      </c>
      <c r="AN207" s="11" t="s">
        <v>1544</v>
      </c>
      <c r="AO207" s="5" t="s">
        <v>367</v>
      </c>
      <c r="AP207" s="11" t="s">
        <v>1525</v>
      </c>
      <c r="AQ207" s="11" t="s">
        <v>1526</v>
      </c>
      <c r="AR207" s="11" t="s">
        <v>1485</v>
      </c>
      <c r="AS207" s="36" t="s">
        <v>1543</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1493</v>
      </c>
      <c r="AM208" s="11" t="s">
        <v>1504</v>
      </c>
      <c r="AN208" s="11" t="s">
        <v>1544</v>
      </c>
      <c r="AO208" s="5" t="s">
        <v>367</v>
      </c>
      <c r="AP208" s="11" t="s">
        <v>1527</v>
      </c>
      <c r="AQ208" s="11" t="s">
        <v>1528</v>
      </c>
      <c r="AR208" s="11" t="s">
        <v>1486</v>
      </c>
      <c r="AS208" s="36" t="s">
        <v>1543</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1493</v>
      </c>
      <c r="AM209" s="11" t="s">
        <v>1504</v>
      </c>
      <c r="AN209" s="11" t="s">
        <v>1544</v>
      </c>
      <c r="AO209" s="5" t="s">
        <v>367</v>
      </c>
      <c r="AP209" s="11" t="s">
        <v>1529</v>
      </c>
      <c r="AQ209" s="11" t="s">
        <v>1530</v>
      </c>
      <c r="AR209" s="11" t="s">
        <v>1487</v>
      </c>
      <c r="AS209" s="36" t="s">
        <v>1543</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1493</v>
      </c>
      <c r="AM210" s="11" t="s">
        <v>1504</v>
      </c>
      <c r="AN210" s="11" t="s">
        <v>1544</v>
      </c>
      <c r="AO210" s="5" t="s">
        <v>367</v>
      </c>
      <c r="AP210" s="11" t="s">
        <v>1531</v>
      </c>
      <c r="AQ210" s="11" t="s">
        <v>1532</v>
      </c>
      <c r="AR210" s="11" t="s">
        <v>1488</v>
      </c>
      <c r="AS210" s="36" t="s">
        <v>1543</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1493</v>
      </c>
      <c r="AM211" s="11" t="s">
        <v>1504</v>
      </c>
      <c r="AN211" s="11" t="s">
        <v>1544</v>
      </c>
      <c r="AO211" s="5" t="s">
        <v>367</v>
      </c>
      <c r="AP211" s="11" t="s">
        <v>1533</v>
      </c>
      <c r="AQ211" s="11" t="s">
        <v>1534</v>
      </c>
      <c r="AR211" s="11" t="s">
        <v>1489</v>
      </c>
      <c r="AS211" s="36" t="s">
        <v>1543</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1493</v>
      </c>
      <c r="AM212" s="11" t="s">
        <v>1504</v>
      </c>
      <c r="AN212" s="11" t="s">
        <v>1544</v>
      </c>
      <c r="AO212" s="5" t="s">
        <v>367</v>
      </c>
      <c r="AP212" s="11" t="s">
        <v>1535</v>
      </c>
      <c r="AQ212" s="11" t="s">
        <v>1536</v>
      </c>
      <c r="AR212" s="11" t="s">
        <v>1490</v>
      </c>
      <c r="AS212" s="36" t="s">
        <v>1543</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1493</v>
      </c>
      <c r="AM213" s="11" t="s">
        <v>1504</v>
      </c>
      <c r="AN213" s="11" t="s">
        <v>1544</v>
      </c>
      <c r="AO213" s="5" t="s">
        <v>367</v>
      </c>
      <c r="AP213" s="11" t="s">
        <v>1537</v>
      </c>
      <c r="AQ213" s="11" t="s">
        <v>1538</v>
      </c>
      <c r="AR213" s="11" t="s">
        <v>1491</v>
      </c>
      <c r="AS213" s="36" t="s">
        <v>1543</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1493</v>
      </c>
      <c r="AM214" s="11" t="s">
        <v>1504</v>
      </c>
      <c r="AN214" s="11" t="s">
        <v>1544</v>
      </c>
      <c r="AO214" s="5" t="s">
        <v>367</v>
      </c>
      <c r="AP214" s="11" t="s">
        <v>1539</v>
      </c>
      <c r="AQ214" s="11" t="s">
        <v>1540</v>
      </c>
      <c r="AR214" s="11" t="s">
        <v>1492</v>
      </c>
      <c r="AS214" s="36" t="s">
        <v>1543</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1493</v>
      </c>
      <c r="AM215" s="11" t="s">
        <v>1504</v>
      </c>
      <c r="AN215" s="11" t="s">
        <v>1544</v>
      </c>
      <c r="AO215" s="5" t="s">
        <v>367</v>
      </c>
      <c r="AP215" s="11" t="s">
        <v>1541</v>
      </c>
      <c r="AQ215" s="11" t="s">
        <v>1542</v>
      </c>
      <c r="AR215" s="11" t="s">
        <v>1505</v>
      </c>
      <c r="AS215" s="36" t="s">
        <v>1543</v>
      </c>
      <c r="AT215" s="11" t="s">
        <v>75</v>
      </c>
      <c r="AU215" s="11" t="s">
        <v>376</v>
      </c>
      <c r="AV215" s="13" t="s">
        <v>74</v>
      </c>
      <c r="AW215" s="14"/>
      <c r="AX215" s="44">
        <v>46058</v>
      </c>
    </row>
    <row r="216" spans="1:50" ht="38.25">
      <c r="A216" s="38" t="str">
        <f>VLOOKUP(Tableau1[[#This Row],[N° Département]],Feuil1!$C$6:$E$106,3)</f>
        <v>Grand Est</v>
      </c>
      <c r="B216" s="38" t="str">
        <f>VLOOKUP(Tableau1[[#This Row],[N° Département]],Feuil1!$C$6:$E$106,2)</f>
        <v>Haut-Rhin</v>
      </c>
      <c r="C216" s="38">
        <f>LEFT(Tableau1[[#This Row],[Code Postal]],2)*1</f>
        <v>68</v>
      </c>
      <c r="D216" s="11" t="s">
        <v>1550</v>
      </c>
      <c r="E216" s="26">
        <v>68730</v>
      </c>
      <c r="F216" s="42" t="s">
        <v>1551</v>
      </c>
      <c r="G216" s="39" t="str">
        <f>Tableau1[[#This Row],[Rue]]&amp;CHAR(10)&amp;Tableau1[[#This Row],[Code Postal]]&amp;" - "&amp;Tableau1[[#This Row],[Ville]]</f>
        <v>Hyper Leclerc Blotzheim
5 bis rue Pierre Clostermann
68730 - Blotzheim</v>
      </c>
      <c r="H216" s="15" t="s">
        <v>1552</v>
      </c>
      <c r="I216" s="12" t="s">
        <v>47</v>
      </c>
      <c r="J216" s="12" t="s">
        <v>50</v>
      </c>
      <c r="K216" s="10" t="s">
        <v>103</v>
      </c>
      <c r="L216" s="53" t="s">
        <v>1553</v>
      </c>
      <c r="M216" s="12" t="s">
        <v>103</v>
      </c>
      <c r="N216" s="36"/>
      <c r="O216" s="34">
        <v>446</v>
      </c>
      <c r="P216" s="12"/>
      <c r="Q216" s="34"/>
      <c r="R216" s="34" t="s">
        <v>103</v>
      </c>
      <c r="S216" s="34" t="s">
        <v>103</v>
      </c>
      <c r="T216" s="12">
        <f>Tableau1[[#This Row],[Loyer €/m²]]*Tableau1[[#This Row],[Surface GLA]]</f>
        <v>66900</v>
      </c>
      <c r="U216" s="12">
        <f>IFERROR(Tableau1[[#This Row],[Loyer annuel]]/12,"")</f>
        <v>5575</v>
      </c>
      <c r="V216" s="12">
        <v>150</v>
      </c>
      <c r="W216" s="34" t="s">
        <v>103</v>
      </c>
      <c r="X216" s="6">
        <f>Tableau1[[#This Row],[Charges €/m²]]*Tableau1[[#This Row],[Surface GLA]]</f>
        <v>1784</v>
      </c>
      <c r="Y216" s="12">
        <f>Tableau1[[#This Row],[Charges annuelles]]/12</f>
        <v>148.66666666666666</v>
      </c>
      <c r="Z216" s="12">
        <v>4</v>
      </c>
      <c r="AA216" s="12">
        <f>IFERROR(Tableau1[[#This Row],[Taxe foncière €/m²]]*Tableau1[[#This Row],[Surface GLA]],)</f>
        <v>4460</v>
      </c>
      <c r="AB216" s="12">
        <v>10</v>
      </c>
      <c r="AC216" s="12">
        <f>IFERROR(Tableau1[[#This Row],[Marketing €/m²]]*Tableau1[[#This Row],[Surface GLA]],)</f>
        <v>0</v>
      </c>
      <c r="AD216" s="12" t="s">
        <v>103</v>
      </c>
      <c r="AE216" s="12">
        <f>IFERROR(Tableau1[[#This Row],[Loyer annuel]]+Tableau1[[#This Row],[Charges annuelles]]+Tableau1[[#This Row],[Taxe foncière]]+Tableau1[[#This Row],[Marketing]],"")</f>
        <v>73144</v>
      </c>
      <c r="AF216" s="12"/>
      <c r="AG216" s="6" t="s">
        <v>103</v>
      </c>
      <c r="AH216" s="6" t="s">
        <v>103</v>
      </c>
      <c r="AI216" s="12" t="s">
        <v>380</v>
      </c>
      <c r="AJ216" s="10" t="s">
        <v>375</v>
      </c>
      <c r="AK216" s="10" t="s">
        <v>369</v>
      </c>
      <c r="AL216" s="10"/>
      <c r="AM216" s="11"/>
      <c r="AN216" s="11" t="s">
        <v>103</v>
      </c>
      <c r="AO216" s="5" t="s">
        <v>367</v>
      </c>
      <c r="AP216" s="11" t="s">
        <v>1572</v>
      </c>
      <c r="AQ216" s="11" t="s">
        <v>1573</v>
      </c>
      <c r="AR216" s="11">
        <v>64</v>
      </c>
      <c r="AS216" s="36" t="s">
        <v>1568</v>
      </c>
      <c r="AT216" s="11" t="s">
        <v>75</v>
      </c>
      <c r="AU216" s="11" t="s">
        <v>1700</v>
      </c>
      <c r="AV216" s="13" t="s">
        <v>1036</v>
      </c>
      <c r="AW216" s="14"/>
      <c r="AX216" s="44">
        <v>46069</v>
      </c>
    </row>
    <row r="217" spans="1:50" ht="38.25">
      <c r="A217" s="38" t="str">
        <f>VLOOKUP(Tableau1[[#This Row],[N° Département]],Feuil1!$C$6:$E$106,3)</f>
        <v>Grand Est</v>
      </c>
      <c r="B217" s="38" t="str">
        <f>VLOOKUP(Tableau1[[#This Row],[N° Département]],Feuil1!$C$6:$E$106,2)</f>
        <v>Haut-Rhin</v>
      </c>
      <c r="C217" s="38">
        <f>LEFT(Tableau1[[#This Row],[Code Postal]],2)*1</f>
        <v>68</v>
      </c>
      <c r="D217" s="11" t="s">
        <v>1554</v>
      </c>
      <c r="E217" s="26">
        <v>68330</v>
      </c>
      <c r="F217" s="42" t="s">
        <v>890</v>
      </c>
      <c r="G217" s="39" t="str">
        <f>Tableau1[[#This Row],[Rue]]&amp;CHAR(10)&amp;Tableau1[[#This Row],[Code Postal]]&amp;" - "&amp;Tableau1[[#This Row],[Ville]]</f>
        <v>Les galeries d'Huningue
9 avenue d'Alsace
68330 - Huningue</v>
      </c>
      <c r="H217" s="15" t="s">
        <v>1556</v>
      </c>
      <c r="I217" s="12" t="s">
        <v>47</v>
      </c>
      <c r="J217" s="12" t="s">
        <v>50</v>
      </c>
      <c r="K217" s="10" t="s">
        <v>103</v>
      </c>
      <c r="L217" s="53" t="s">
        <v>1553</v>
      </c>
      <c r="M217" s="12" t="s">
        <v>103</v>
      </c>
      <c r="N217" s="36" t="s">
        <v>1567</v>
      </c>
      <c r="O217" s="34">
        <v>300</v>
      </c>
      <c r="P217" s="12"/>
      <c r="Q217" s="34"/>
      <c r="R217" s="34" t="s">
        <v>103</v>
      </c>
      <c r="S217" s="34" t="s">
        <v>103</v>
      </c>
      <c r="T217" s="12">
        <f>Tableau1[[#This Row],[Loyer €/m²]]*Tableau1[[#This Row],[Surface GLA]]</f>
        <v>60000</v>
      </c>
      <c r="U217" s="12">
        <f>IFERROR(Tableau1[[#This Row],[Loyer annuel]]/12,"")</f>
        <v>5000</v>
      </c>
      <c r="V217" s="12">
        <v>200</v>
      </c>
      <c r="W217" s="34" t="s">
        <v>103</v>
      </c>
      <c r="X217" s="12"/>
      <c r="Y217" s="12">
        <f>Tableau1[[#This Row],[Charges annuelles]]/12</f>
        <v>0</v>
      </c>
      <c r="Z217" s="12"/>
      <c r="AA217" s="12">
        <f>IFERROR(Tableau1[[#This Row],[Taxe foncière €/m²]]*Tableau1[[#This Row],[Surface GLA]],)</f>
        <v>0</v>
      </c>
      <c r="AB217" s="12"/>
      <c r="AC217" s="12">
        <f>IFERROR(Tableau1[[#This Row],[Marketing €/m²]]*Tableau1[[#This Row],[Surface GLA]],)</f>
        <v>0</v>
      </c>
      <c r="AD217" s="12" t="s">
        <v>103</v>
      </c>
      <c r="AE217" s="12">
        <f>IFERROR(Tableau1[[#This Row],[Loyer annuel]]+Tableau1[[#This Row],[Charges annuelles]]+Tableau1[[#This Row],[Taxe foncière]]+Tableau1[[#This Row],[Marketing]],"")</f>
        <v>60000</v>
      </c>
      <c r="AF217" s="12"/>
      <c r="AG217" s="6" t="s">
        <v>103</v>
      </c>
      <c r="AH217" s="6" t="s">
        <v>103</v>
      </c>
      <c r="AI217" s="12" t="s">
        <v>380</v>
      </c>
      <c r="AJ217" s="10" t="s">
        <v>375</v>
      </c>
      <c r="AK217" s="10" t="s">
        <v>369</v>
      </c>
      <c r="AL217" s="10"/>
      <c r="AM217" s="11" t="s">
        <v>1039</v>
      </c>
      <c r="AN217" s="11" t="s">
        <v>103</v>
      </c>
      <c r="AO217" s="5" t="s">
        <v>367</v>
      </c>
      <c r="AP217" s="11" t="s">
        <v>1028</v>
      </c>
      <c r="AQ217" s="11" t="s">
        <v>1029</v>
      </c>
      <c r="AR217" s="11" t="s">
        <v>1564</v>
      </c>
      <c r="AS217" s="36" t="s">
        <v>1569</v>
      </c>
      <c r="AT217" s="11" t="s">
        <v>75</v>
      </c>
      <c r="AU217" s="11" t="s">
        <v>1701</v>
      </c>
      <c r="AV217" s="13" t="s">
        <v>1036</v>
      </c>
      <c r="AW217" s="14"/>
      <c r="AX217" s="44">
        <v>46069</v>
      </c>
    </row>
    <row r="218" spans="1:50" ht="38.25">
      <c r="A218" s="38" t="str">
        <f>VLOOKUP(Tableau1[[#This Row],[N° Département]],Feuil1!$C$6:$E$106,3)</f>
        <v>Grand Est</v>
      </c>
      <c r="B218" s="38" t="str">
        <f>VLOOKUP(Tableau1[[#This Row],[N° Département]],Feuil1!$C$6:$E$106,2)</f>
        <v>Haut-Rhin</v>
      </c>
      <c r="C218" s="38">
        <f>LEFT(Tableau1[[#This Row],[Code Postal]],2)*1</f>
        <v>68</v>
      </c>
      <c r="D218" s="11" t="s">
        <v>1555</v>
      </c>
      <c r="E218" s="26">
        <v>68331</v>
      </c>
      <c r="F218" s="42" t="s">
        <v>890</v>
      </c>
      <c r="G218" s="39" t="str">
        <f>Tableau1[[#This Row],[Rue]]&amp;CHAR(10)&amp;Tableau1[[#This Row],[Code Postal]]&amp;" - "&amp;Tableau1[[#This Row],[Ville]]</f>
        <v>Les galeries d'Huningue
7 avenue d'Alsace
68331 - Huningue</v>
      </c>
      <c r="H218" s="15" t="s">
        <v>1557</v>
      </c>
      <c r="I218" s="12" t="s">
        <v>47</v>
      </c>
      <c r="J218" s="12" t="s">
        <v>50</v>
      </c>
      <c r="K218" s="10" t="s">
        <v>103</v>
      </c>
      <c r="L218" s="53" t="s">
        <v>1553</v>
      </c>
      <c r="M218" s="12" t="s">
        <v>1179</v>
      </c>
      <c r="N218" s="36"/>
      <c r="O218" s="34">
        <v>608</v>
      </c>
      <c r="P218" s="12"/>
      <c r="Q218" s="34"/>
      <c r="R218" s="34" t="s">
        <v>103</v>
      </c>
      <c r="S218" s="34" t="s">
        <v>103</v>
      </c>
      <c r="T218" s="12">
        <f>Tableau1[[#This Row],[Loyer €/m²]]*Tableau1[[#This Row],[Surface GLA]]</f>
        <v>121600</v>
      </c>
      <c r="U218" s="12">
        <f>IFERROR(Tableau1[[#This Row],[Loyer annuel]]/12,"")</f>
        <v>10133.333333333334</v>
      </c>
      <c r="V218" s="12">
        <v>200</v>
      </c>
      <c r="W218" s="34" t="s">
        <v>103</v>
      </c>
      <c r="X218" s="12"/>
      <c r="Y218" s="12">
        <f>Tableau1[[#This Row],[Charges annuelles]]/12</f>
        <v>0</v>
      </c>
      <c r="Z218" s="12"/>
      <c r="AA218" s="12">
        <f>IFERROR(Tableau1[[#This Row],[Taxe foncière €/m²]]*Tableau1[[#This Row],[Surface GLA]],)</f>
        <v>0</v>
      </c>
      <c r="AB218" s="12"/>
      <c r="AC218" s="12">
        <f>IFERROR(Tableau1[[#This Row],[Marketing €/m²]]*Tableau1[[#This Row],[Surface GLA]],)</f>
        <v>0</v>
      </c>
      <c r="AD218" s="12" t="s">
        <v>103</v>
      </c>
      <c r="AE218" s="12">
        <f>IFERROR(Tableau1[[#This Row],[Loyer annuel]]+Tableau1[[#This Row],[Charges annuelles]]+Tableau1[[#This Row],[Taxe foncière]]+Tableau1[[#This Row],[Marketing]],"")</f>
        <v>121600</v>
      </c>
      <c r="AF218" s="12"/>
      <c r="AG218" s="6" t="s">
        <v>103</v>
      </c>
      <c r="AH218" s="6" t="s">
        <v>103</v>
      </c>
      <c r="AI218" s="12" t="s">
        <v>380</v>
      </c>
      <c r="AJ218" s="10" t="s">
        <v>375</v>
      </c>
      <c r="AK218" s="10" t="s">
        <v>369</v>
      </c>
      <c r="AL218" s="10"/>
      <c r="AM218" s="11" t="s">
        <v>1566</v>
      </c>
      <c r="AN218" s="11" t="s">
        <v>103</v>
      </c>
      <c r="AO218" s="5" t="s">
        <v>367</v>
      </c>
      <c r="AP218" s="11" t="s">
        <v>1574</v>
      </c>
      <c r="AQ218" s="11" t="s">
        <v>1575</v>
      </c>
      <c r="AR218" s="11" t="s">
        <v>1565</v>
      </c>
      <c r="AS218" s="36" t="s">
        <v>1570</v>
      </c>
      <c r="AT218" s="11" t="s">
        <v>75</v>
      </c>
      <c r="AU218" s="11" t="s">
        <v>1702</v>
      </c>
      <c r="AV218" s="13" t="s">
        <v>1036</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1558</v>
      </c>
      <c r="E219" s="26">
        <v>68220</v>
      </c>
      <c r="F219" s="42" t="s">
        <v>1559</v>
      </c>
      <c r="G219" s="39" t="str">
        <f>Tableau1[[#This Row],[Rue]]&amp;CHAR(10)&amp;Tableau1[[#This Row],[Code Postal]]&amp;" - "&amp;Tableau1[[#This Row],[Ville]]</f>
        <v>Les galeries d'Hegenheim
Rue d'Alschwill
68220 - Hegenheim</v>
      </c>
      <c r="H219" s="52"/>
      <c r="I219" s="12"/>
      <c r="J219" s="12"/>
      <c r="K219" s="10" t="s">
        <v>103</v>
      </c>
      <c r="L219" s="53" t="s">
        <v>1553</v>
      </c>
      <c r="M219" s="12" t="s">
        <v>103</v>
      </c>
      <c r="N219" s="36"/>
      <c r="O219" s="34">
        <v>257</v>
      </c>
      <c r="P219" s="12"/>
      <c r="Q219" s="34"/>
      <c r="R219" s="34" t="s">
        <v>103</v>
      </c>
      <c r="S219" s="34" t="s">
        <v>103</v>
      </c>
      <c r="T219" s="12">
        <f>Tableau1[[#This Row],[Loyer €/m²]]*Tableau1[[#This Row],[Surface GLA]]</f>
        <v>51400</v>
      </c>
      <c r="U219" s="12">
        <f>IFERROR(Tableau1[[#This Row],[Loyer annuel]]/12,"")</f>
        <v>4283.333333333333</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51400</v>
      </c>
      <c r="AF219" s="12"/>
      <c r="AG219" s="6" t="s">
        <v>103</v>
      </c>
      <c r="AH219" s="6" t="s">
        <v>103</v>
      </c>
      <c r="AI219" s="12" t="s">
        <v>380</v>
      </c>
      <c r="AJ219" s="10" t="s">
        <v>375</v>
      </c>
      <c r="AK219" s="10" t="s">
        <v>369</v>
      </c>
      <c r="AL219" s="10"/>
      <c r="AM219" s="11"/>
      <c r="AN219" s="11" t="s">
        <v>103</v>
      </c>
      <c r="AO219" s="5" t="s">
        <v>367</v>
      </c>
      <c r="AP219" s="11"/>
      <c r="AQ219" s="11"/>
      <c r="AR219" s="11">
        <v>66</v>
      </c>
      <c r="AS219" s="36" t="s">
        <v>1571</v>
      </c>
      <c r="AT219" s="11" t="s">
        <v>75</v>
      </c>
      <c r="AU219" s="11" t="s">
        <v>1703</v>
      </c>
      <c r="AV219" s="13" t="s">
        <v>1036</v>
      </c>
      <c r="AW219" s="14"/>
      <c r="AX219" s="44">
        <v>46069</v>
      </c>
    </row>
    <row r="220" spans="1:50" ht="25.5">
      <c r="A220" s="38" t="str">
        <f>VLOOKUP(Tableau1[[#This Row],[N° Département]],Feuil1!$C$6:$E$106,3)</f>
        <v>Grand Est</v>
      </c>
      <c r="B220" s="38" t="str">
        <f>VLOOKUP(Tableau1[[#This Row],[N° Département]],Feuil1!$C$6:$E$106,2)</f>
        <v>Haut-Rhin</v>
      </c>
      <c r="C220" s="38">
        <f>LEFT(Tableau1[[#This Row],[Code Postal]],2)*1</f>
        <v>68</v>
      </c>
      <c r="D220" s="10" t="s">
        <v>1560</v>
      </c>
      <c r="E220" s="26">
        <v>68300</v>
      </c>
      <c r="F220" s="42" t="s">
        <v>1561</v>
      </c>
      <c r="G220" s="39" t="str">
        <f>Tableau1[[#This Row],[Rue]]&amp;CHAR(10)&amp;Tableau1[[#This Row],[Code Postal]]&amp;" - "&amp;Tableau1[[#This Row],[Ville]]</f>
        <v>10 rue Alexandre Freund
68300 - Saint-Louis</v>
      </c>
      <c r="H220" s="15" t="s">
        <v>1562</v>
      </c>
      <c r="I220" s="12" t="s">
        <v>47</v>
      </c>
      <c r="J220" s="12"/>
      <c r="K220" s="10" t="s">
        <v>1206</v>
      </c>
      <c r="L220" s="10"/>
      <c r="M220" s="12" t="s">
        <v>103</v>
      </c>
      <c r="N220" s="36"/>
      <c r="O220" s="34">
        <v>250</v>
      </c>
      <c r="P220" s="12"/>
      <c r="Q220" s="34"/>
      <c r="R220" s="34" t="s">
        <v>103</v>
      </c>
      <c r="S220" s="34" t="s">
        <v>103</v>
      </c>
      <c r="T220" s="12">
        <f>Tableau1[[#This Row],[Loyer €/m²]]*Tableau1[[#This Row],[Surface GLA]]</f>
        <v>43750</v>
      </c>
      <c r="U220" s="12">
        <f>IFERROR(Tableau1[[#This Row],[Loyer annuel]]/12,"")</f>
        <v>3645.8333333333335</v>
      </c>
      <c r="V220" s="12">
        <v>175</v>
      </c>
      <c r="W220" s="34" t="s">
        <v>103</v>
      </c>
      <c r="X220" s="12"/>
      <c r="Y220" s="12">
        <f>Tableau1[[#This Row],[Charges annuelles]]/12</f>
        <v>0</v>
      </c>
      <c r="Z220" s="12"/>
      <c r="AA220" s="12">
        <f>IFERROR(Tableau1[[#This Row],[Taxe foncière €/m²]]*Tableau1[[#This Row],[Surface GLA]],)</f>
        <v>2000</v>
      </c>
      <c r="AB220" s="12">
        <v>8</v>
      </c>
      <c r="AC220" s="12">
        <f>IFERROR(Tableau1[[#This Row],[Marketing €/m²]]*Tableau1[[#This Row],[Surface GLA]],)</f>
        <v>0</v>
      </c>
      <c r="AD220" s="12" t="s">
        <v>103</v>
      </c>
      <c r="AE220" s="12">
        <f>IFERROR(Tableau1[[#This Row],[Loyer annuel]]+Tableau1[[#This Row],[Charges annuelles]]+Tableau1[[#This Row],[Taxe foncière]]+Tableau1[[#This Row],[Marketing]],"")</f>
        <v>45750</v>
      </c>
      <c r="AF220" s="12"/>
      <c r="AG220" s="6" t="s">
        <v>103</v>
      </c>
      <c r="AH220" s="6" t="s">
        <v>103</v>
      </c>
      <c r="AI220" s="12" t="s">
        <v>363</v>
      </c>
      <c r="AJ220" s="10" t="s">
        <v>53</v>
      </c>
      <c r="AK220" s="10" t="s">
        <v>103</v>
      </c>
      <c r="AL220" s="10"/>
      <c r="AM220" s="11" t="s">
        <v>1563</v>
      </c>
      <c r="AN220" s="11" t="s">
        <v>103</v>
      </c>
      <c r="AO220" s="5" t="s">
        <v>367</v>
      </c>
      <c r="AP220" s="11" t="s">
        <v>1576</v>
      </c>
      <c r="AQ220" s="11" t="s">
        <v>1577</v>
      </c>
      <c r="AR220" s="11">
        <v>67</v>
      </c>
      <c r="AS220" s="36"/>
      <c r="AT220" s="11" t="s">
        <v>75</v>
      </c>
      <c r="AU220" s="11" t="s">
        <v>1704</v>
      </c>
      <c r="AV220" s="13" t="s">
        <v>1036</v>
      </c>
      <c r="AW220" s="14"/>
      <c r="AX220" s="44">
        <v>46069</v>
      </c>
    </row>
    <row r="221" spans="1:50" ht="38.25">
      <c r="A221" s="38" t="str">
        <f>VLOOKUP(Tableau1[[#This Row],[N° Département]],Feuil1!$C$6:$E$106,3)</f>
        <v>Occitanie</v>
      </c>
      <c r="B221" s="38" t="str">
        <f>VLOOKUP(Tableau1[[#This Row],[N° Département]],Feuil1!$C$6:$E$106,2)</f>
        <v>Lozère</v>
      </c>
      <c r="C221" s="38">
        <f>LEFT(Tableau1[[#This Row],[Code Postal]],2)*1</f>
        <v>48</v>
      </c>
      <c r="D221" s="11" t="s">
        <v>1545</v>
      </c>
      <c r="E221" s="26">
        <v>48000</v>
      </c>
      <c r="F221" s="10" t="s">
        <v>1546</v>
      </c>
      <c r="G221" s="39" t="str">
        <f>Tableau1[[#This Row],[Rue]]&amp;CHAR(10)&amp;Tableau1[[#This Row],[Code Postal]]&amp;" - "&amp;Tableau1[[#This Row],[Ville]]</f>
        <v>Centre commercial Cœur Lozère
Avenue de Ramilles
48000 - Mende</v>
      </c>
      <c r="H221" s="15" t="s">
        <v>1547</v>
      </c>
      <c r="I221" s="12" t="s">
        <v>47</v>
      </c>
      <c r="J221" s="12" t="s">
        <v>49</v>
      </c>
      <c r="K221" s="10" t="s">
        <v>103</v>
      </c>
      <c r="L221" s="10"/>
      <c r="M221" s="12" t="s">
        <v>1179</v>
      </c>
      <c r="N221" s="36" t="s">
        <v>358</v>
      </c>
      <c r="O221" s="34">
        <v>557</v>
      </c>
      <c r="P221" s="12" t="s">
        <v>1692</v>
      </c>
      <c r="Q221" s="34"/>
      <c r="R221" s="34" t="s">
        <v>103</v>
      </c>
      <c r="S221" s="34" t="s">
        <v>103</v>
      </c>
      <c r="T221" s="12">
        <f>Tableau1[[#This Row],[Loyer €/m²]]*Tableau1[[#This Row],[Surface GLA]]</f>
        <v>83550</v>
      </c>
      <c r="U221" s="12">
        <f>IFERROR(Tableau1[[#This Row],[Loyer annuel]]/12,"")</f>
        <v>6962.5</v>
      </c>
      <c r="V221" s="12">
        <v>150</v>
      </c>
      <c r="W221" s="34" t="s">
        <v>103</v>
      </c>
      <c r="X221" s="6">
        <f>Tableau1[[#This Row],[Charges €/m²]]*Tableau1[[#This Row],[Surface GLA]]</f>
        <v>8355</v>
      </c>
      <c r="Y221" s="12">
        <f>Tableau1[[#This Row],[Charges annuelles]]/12</f>
        <v>696.25</v>
      </c>
      <c r="Z221" s="12">
        <v>15</v>
      </c>
      <c r="AA221" s="12">
        <f>IFERROR(Tableau1[[#This Row],[Taxe foncière €/m²]]*Tableau1[[#This Row],[Surface GLA]],)</f>
        <v>7519.5</v>
      </c>
      <c r="AB221" s="12">
        <v>13.5</v>
      </c>
      <c r="AC221" s="12">
        <f>IFERROR(Tableau1[[#This Row],[Marketing €/m²]]*Tableau1[[#This Row],[Surface GLA]],)</f>
        <v>0</v>
      </c>
      <c r="AD221" s="12" t="s">
        <v>103</v>
      </c>
      <c r="AE221" s="12">
        <f>IFERROR(Tableau1[[#This Row],[Loyer annuel]]+Tableau1[[#This Row],[Charges annuelles]]+Tableau1[[#This Row],[Taxe foncière]]+Tableau1[[#This Row],[Marketing]],"")</f>
        <v>99424.5</v>
      </c>
      <c r="AF221" s="12"/>
      <c r="AG221" s="6" t="s">
        <v>103</v>
      </c>
      <c r="AH221" s="6" t="s">
        <v>103</v>
      </c>
      <c r="AI221" s="12" t="s">
        <v>363</v>
      </c>
      <c r="AJ221" s="10" t="s">
        <v>375</v>
      </c>
      <c r="AK221" s="10" t="s">
        <v>369</v>
      </c>
      <c r="AL221" s="10" t="s">
        <v>1693</v>
      </c>
      <c r="AM221" s="11" t="s">
        <v>1698</v>
      </c>
      <c r="AN221" s="11" t="s">
        <v>103</v>
      </c>
      <c r="AO221" s="5" t="s">
        <v>367</v>
      </c>
      <c r="AP221" s="11" t="s">
        <v>1686</v>
      </c>
      <c r="AQ221" s="11" t="s">
        <v>1687</v>
      </c>
      <c r="AR221" s="11" t="s">
        <v>1630</v>
      </c>
      <c r="AS221" s="36" t="s">
        <v>1697</v>
      </c>
      <c r="AT221" s="11" t="s">
        <v>75</v>
      </c>
      <c r="AU221" s="11" t="s">
        <v>1705</v>
      </c>
      <c r="AV221" s="13" t="s">
        <v>1634</v>
      </c>
      <c r="AW221" s="14"/>
      <c r="AX221" s="44">
        <v>46071</v>
      </c>
    </row>
    <row r="222" spans="1:50" ht="38.25">
      <c r="A222" s="38" t="str">
        <f>VLOOKUP(Tableau1[[#This Row],[N° Département]],Feuil1!$C$6:$E$106,3)</f>
        <v>Occitanie</v>
      </c>
      <c r="B222" s="38" t="str">
        <f>VLOOKUP(Tableau1[[#This Row],[N° Département]],Feuil1!$C$6:$E$106,2)</f>
        <v>Lozère</v>
      </c>
      <c r="C222" s="38">
        <f>LEFT(Tableau1[[#This Row],[Code Postal]],2)*1</f>
        <v>48</v>
      </c>
      <c r="D222" s="11" t="s">
        <v>1545</v>
      </c>
      <c r="E222" s="26">
        <v>48000</v>
      </c>
      <c r="F222" s="42" t="s">
        <v>1546</v>
      </c>
      <c r="G222" s="39" t="str">
        <f>Tableau1[[#This Row],[Rue]]&amp;CHAR(10)&amp;Tableau1[[#This Row],[Code Postal]]&amp;" - "&amp;Tableau1[[#This Row],[Ville]]</f>
        <v>Centre commercial Cœur Lozère
Avenue de Ramilles
48000 - Mende</v>
      </c>
      <c r="H222" s="15" t="s">
        <v>1548</v>
      </c>
      <c r="I222" s="12" t="s">
        <v>47</v>
      </c>
      <c r="J222" s="12" t="s">
        <v>49</v>
      </c>
      <c r="K222" s="10" t="s">
        <v>103</v>
      </c>
      <c r="L222" s="10"/>
      <c r="M222" s="12" t="s">
        <v>1179</v>
      </c>
      <c r="N222" s="36" t="s">
        <v>359</v>
      </c>
      <c r="O222" s="34">
        <v>380</v>
      </c>
      <c r="P222" s="12" t="s">
        <v>1695</v>
      </c>
      <c r="Q222" s="34"/>
      <c r="R222" s="34" t="s">
        <v>103</v>
      </c>
      <c r="S222" s="34" t="s">
        <v>103</v>
      </c>
      <c r="T222" s="12">
        <f>Tableau1[[#This Row],[Loyer €/m²]]*Tableau1[[#This Row],[Surface GLA]]</f>
        <v>66500</v>
      </c>
      <c r="U222" s="12">
        <f>IFERROR(Tableau1[[#This Row],[Loyer annuel]]/12,"")</f>
        <v>5541.666666666667</v>
      </c>
      <c r="V222" s="12">
        <v>175</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66500</v>
      </c>
      <c r="AF222" s="12"/>
      <c r="AG222" s="6" t="s">
        <v>103</v>
      </c>
      <c r="AH222" s="6" t="s">
        <v>103</v>
      </c>
      <c r="AI222" s="12" t="s">
        <v>363</v>
      </c>
      <c r="AJ222" s="10" t="s">
        <v>375</v>
      </c>
      <c r="AK222" s="10" t="s">
        <v>369</v>
      </c>
      <c r="AL222" s="10" t="s">
        <v>1693</v>
      </c>
      <c r="AM222" s="11" t="s">
        <v>1696</v>
      </c>
      <c r="AN222" s="11" t="s">
        <v>103</v>
      </c>
      <c r="AO222" s="5" t="s">
        <v>367</v>
      </c>
      <c r="AP222" s="11" t="s">
        <v>1688</v>
      </c>
      <c r="AQ222" s="11" t="s">
        <v>1689</v>
      </c>
      <c r="AR222" s="11" t="s">
        <v>1631</v>
      </c>
      <c r="AS222" s="36" t="s">
        <v>1697</v>
      </c>
      <c r="AT222" s="11" t="s">
        <v>75</v>
      </c>
      <c r="AU222" s="11" t="s">
        <v>1699</v>
      </c>
      <c r="AV222" s="13" t="s">
        <v>1634</v>
      </c>
      <c r="AW222" s="14"/>
      <c r="AX222" s="44">
        <v>46071</v>
      </c>
    </row>
    <row r="223" spans="1:50" ht="38.25">
      <c r="A223" s="38" t="str">
        <f>VLOOKUP(Tableau1[[#This Row],[N° Département]],Feuil1!$C$6:$E$106,3)</f>
        <v>Occitanie</v>
      </c>
      <c r="B223" s="38" t="str">
        <f>VLOOKUP(Tableau1[[#This Row],[N° Département]],Feuil1!$C$6:$E$106,2)</f>
        <v>Lozère</v>
      </c>
      <c r="C223" s="38">
        <f>LEFT(Tableau1[[#This Row],[Code Postal]],2)*1</f>
        <v>48</v>
      </c>
      <c r="D223" s="11" t="s">
        <v>1545</v>
      </c>
      <c r="E223" s="26">
        <v>48000</v>
      </c>
      <c r="F223" s="42" t="s">
        <v>1546</v>
      </c>
      <c r="G223" s="39" t="str">
        <f>Tableau1[[#This Row],[Rue]]&amp;CHAR(10)&amp;Tableau1[[#This Row],[Code Postal]]&amp;" - "&amp;Tableau1[[#This Row],[Ville]]</f>
        <v>Centre commercial Cœur Lozère
Avenue de Ramilles
48000 - Mende</v>
      </c>
      <c r="H223" s="15" t="s">
        <v>1549</v>
      </c>
      <c r="I223" s="12" t="s">
        <v>47</v>
      </c>
      <c r="J223" s="12" t="s">
        <v>49</v>
      </c>
      <c r="K223" s="10" t="s">
        <v>1284</v>
      </c>
      <c r="L223" s="10"/>
      <c r="M223" s="12" t="s">
        <v>103</v>
      </c>
      <c r="N223" s="36"/>
      <c r="O223" s="34">
        <v>45</v>
      </c>
      <c r="P223" s="12"/>
      <c r="Q223" s="34"/>
      <c r="R223" s="34" t="s">
        <v>103</v>
      </c>
      <c r="S223" s="34" t="s">
        <v>103</v>
      </c>
      <c r="T223" s="12">
        <f>Tableau1[[#This Row],[Loyer €/m²]]*Tableau1[[#This Row],[Surface GLA]]</f>
        <v>22500</v>
      </c>
      <c r="U223" s="12">
        <f>IFERROR(Tableau1[[#This Row],[Loyer annuel]]/12,"")</f>
        <v>1875</v>
      </c>
      <c r="V223" s="12">
        <v>500</v>
      </c>
      <c r="W223" s="34" t="s">
        <v>103</v>
      </c>
      <c r="X223" s="12"/>
      <c r="Y223" s="12">
        <f>Tableau1[[#This Row],[Charges annuelles]]/12</f>
        <v>0</v>
      </c>
      <c r="Z223" s="12"/>
      <c r="AA223" s="12">
        <f>IFERROR(Tableau1[[#This Row],[Taxe foncière €/m²]]*Tableau1[[#This Row],[Surface GLA]],)</f>
        <v>0</v>
      </c>
      <c r="AB223" s="12"/>
      <c r="AC223" s="12">
        <f>IFERROR(Tableau1[[#This Row],[Marketing €/m²]]*Tableau1[[#This Row],[Surface GLA]],)</f>
        <v>0</v>
      </c>
      <c r="AD223" s="12" t="s">
        <v>103</v>
      </c>
      <c r="AE223" s="12">
        <f>IFERROR(Tableau1[[#This Row],[Loyer annuel]]+Tableau1[[#This Row],[Charges annuelles]]+Tableau1[[#This Row],[Taxe foncière]]+Tableau1[[#This Row],[Marketing]],"")</f>
        <v>22500</v>
      </c>
      <c r="AF223" s="12"/>
      <c r="AG223" s="6" t="s">
        <v>103</v>
      </c>
      <c r="AH223" s="6" t="s">
        <v>103</v>
      </c>
      <c r="AI223" s="12" t="s">
        <v>363</v>
      </c>
      <c r="AJ223" s="10" t="s">
        <v>53</v>
      </c>
      <c r="AK223" s="10" t="s">
        <v>368</v>
      </c>
      <c r="AL223" s="10" t="s">
        <v>1693</v>
      </c>
      <c r="AM223" s="11" t="s">
        <v>1694</v>
      </c>
      <c r="AN223" s="11" t="s">
        <v>103</v>
      </c>
      <c r="AO223" s="5" t="s">
        <v>367</v>
      </c>
      <c r="AP223" s="11" t="s">
        <v>1690</v>
      </c>
      <c r="AQ223" s="11" t="s">
        <v>1691</v>
      </c>
      <c r="AR223" s="11" t="s">
        <v>1633</v>
      </c>
      <c r="AS223" s="36" t="s">
        <v>1697</v>
      </c>
      <c r="AT223" s="11" t="s">
        <v>75</v>
      </c>
      <c r="AU223" s="11" t="s">
        <v>1706</v>
      </c>
      <c r="AV223" s="13" t="s">
        <v>1634</v>
      </c>
      <c r="AW223" s="14"/>
      <c r="AX223" s="44">
        <v>46071</v>
      </c>
    </row>
    <row r="224" spans="1:50" ht="25.5">
      <c r="A224" s="38" t="str">
        <f>VLOOKUP(Tableau1[[#This Row],[N° Département]],Feuil1!$C$6:$E$106,3)</f>
        <v>Ile-de-France</v>
      </c>
      <c r="B224" s="38" t="str">
        <f>VLOOKUP(Tableau1[[#This Row],[N° Département]],Feuil1!$C$6:$E$106,2)</f>
        <v>Val-de-Marne</v>
      </c>
      <c r="C224" s="38">
        <f>LEFT(Tableau1[[#This Row],[Code Postal]],2)*1</f>
        <v>94</v>
      </c>
      <c r="D224" s="10" t="s">
        <v>1578</v>
      </c>
      <c r="E224" s="26">
        <v>94140</v>
      </c>
      <c r="F224" s="42" t="s">
        <v>1579</v>
      </c>
      <c r="G224" s="39" t="str">
        <f>Tableau1[[#This Row],[Rue]]&amp;CHAR(10)&amp;Tableau1[[#This Row],[Code Postal]]&amp;" - "&amp;Tableau1[[#This Row],[Ville]]</f>
        <v>5 rue Victor Hugo
94140 - Alfortville</v>
      </c>
      <c r="H224" s="15" t="s">
        <v>1580</v>
      </c>
      <c r="I224" s="12" t="s">
        <v>45</v>
      </c>
      <c r="J224" s="12" t="s">
        <v>44</v>
      </c>
      <c r="K224" s="10" t="s">
        <v>103</v>
      </c>
      <c r="L224" s="53" t="s">
        <v>1553</v>
      </c>
      <c r="M224" s="12" t="s">
        <v>103</v>
      </c>
      <c r="N224" s="36"/>
      <c r="O224" s="34">
        <v>140</v>
      </c>
      <c r="P224" s="6" t="s">
        <v>103</v>
      </c>
      <c r="Q224" s="34" t="s">
        <v>103</v>
      </c>
      <c r="R224" s="34" t="s">
        <v>103</v>
      </c>
      <c r="S224" s="6" t="s">
        <v>103</v>
      </c>
      <c r="T224" s="12">
        <f>Tableau1[[#This Row],[Loyer €/m²]]*Tableau1[[#This Row],[Surface GLA]]</f>
        <v>42000</v>
      </c>
      <c r="U224" s="12">
        <f>IFERROR(Tableau1[[#This Row],[Loyer annuel]]/12,"")</f>
        <v>3500</v>
      </c>
      <c r="V224" s="12">
        <v>300</v>
      </c>
      <c r="W224" s="34" t="s">
        <v>103</v>
      </c>
      <c r="X224" s="6">
        <f>Tableau1[[#This Row],[Charges €/m²]]*Tableau1[[#This Row],[Surface GLA]]</f>
        <v>2623.6</v>
      </c>
      <c r="Y224" s="12">
        <f>Tableau1[[#This Row],[Charges annuelles]]/12</f>
        <v>218.63333333333333</v>
      </c>
      <c r="Z224" s="12">
        <v>18.739999999999998</v>
      </c>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44623.6</v>
      </c>
      <c r="AF224" s="12" t="str">
        <f t="shared" ref="AF224:AF251" si="10">"3 mois = "&amp;TEXT(ROUND(3/12*T224,0),"### ### ##0 €")</f>
        <v>3 mois = 10 500 €</v>
      </c>
      <c r="AG224" s="12" t="s">
        <v>103</v>
      </c>
      <c r="AH224" s="51">
        <v>1.4999999999999999E-2</v>
      </c>
      <c r="AI224" s="12" t="s">
        <v>380</v>
      </c>
      <c r="AJ224" s="10" t="s">
        <v>75</v>
      </c>
      <c r="AK224" s="10" t="s">
        <v>369</v>
      </c>
      <c r="AL224" s="10"/>
      <c r="AM224" s="11"/>
      <c r="AN224" s="11" t="s">
        <v>1584</v>
      </c>
      <c r="AO224" s="5" t="s">
        <v>367</v>
      </c>
      <c r="AP224" s="11"/>
      <c r="AQ224" s="11"/>
      <c r="AR224" s="11">
        <v>69</v>
      </c>
      <c r="AS224" s="36"/>
      <c r="AT224" s="11"/>
      <c r="AU224" s="11" t="s">
        <v>1636</v>
      </c>
      <c r="AV224" s="13" t="s">
        <v>1635</v>
      </c>
      <c r="AW224" s="14"/>
      <c r="AX224" s="44"/>
    </row>
    <row r="225" spans="1:50" ht="25.5">
      <c r="A225" s="38" t="str">
        <f>VLOOKUP(Tableau1[[#This Row],[N° Département]],Feuil1!$C$6:$E$106,3)</f>
        <v>Auvergne-Rhône-Alpes</v>
      </c>
      <c r="B225" s="38" t="str">
        <f>VLOOKUP(Tableau1[[#This Row],[N° Département]],Feuil1!$C$6:$E$106,2)</f>
        <v>Rhône</v>
      </c>
      <c r="C225" s="38">
        <f>LEFT(Tableau1[[#This Row],[Code Postal]],2)*1</f>
        <v>69</v>
      </c>
      <c r="D225" s="10" t="s">
        <v>1583</v>
      </c>
      <c r="E225" s="26">
        <v>69500</v>
      </c>
      <c r="F225" s="42" t="s">
        <v>1581</v>
      </c>
      <c r="G225" s="39" t="str">
        <f>Tableau1[[#This Row],[Rue]]&amp;CHAR(10)&amp;Tableau1[[#This Row],[Code Postal]]&amp;" - "&amp;Tableau1[[#This Row],[Ville]]</f>
        <v>Place du général Jean Raby
69500 - Bron</v>
      </c>
      <c r="H225" s="15" t="s">
        <v>1582</v>
      </c>
      <c r="I225" s="12" t="s">
        <v>45</v>
      </c>
      <c r="J225" s="12" t="s">
        <v>44</v>
      </c>
      <c r="K225" s="10" t="s">
        <v>103</v>
      </c>
      <c r="L225" s="53" t="s">
        <v>1553</v>
      </c>
      <c r="M225" s="12" t="s">
        <v>103</v>
      </c>
      <c r="N225" s="36" t="s">
        <v>336</v>
      </c>
      <c r="O225" s="34">
        <v>228</v>
      </c>
      <c r="P225" s="6" t="s">
        <v>103</v>
      </c>
      <c r="Q225" s="34" t="s">
        <v>103</v>
      </c>
      <c r="R225" s="34" t="s">
        <v>103</v>
      </c>
      <c r="S225" s="6" t="s">
        <v>103</v>
      </c>
      <c r="T225" s="12">
        <f>Tableau1[[#This Row],[Loyer €/m²]]*Tableau1[[#This Row],[Surface GLA]]</f>
        <v>45600</v>
      </c>
      <c r="U225" s="12">
        <f>IFERROR(Tableau1[[#This Row],[Loyer annuel]]/12,"")</f>
        <v>3800</v>
      </c>
      <c r="V225" s="12">
        <v>200</v>
      </c>
      <c r="W225" s="34" t="s">
        <v>103</v>
      </c>
      <c r="X225" s="6">
        <f>Tableau1[[#This Row],[Charges €/m²]]*Tableau1[[#This Row],[Surface GLA]]</f>
        <v>3312.8399999999997</v>
      </c>
      <c r="Y225" s="12">
        <f>Tableau1[[#This Row],[Charges annuelles]]/12</f>
        <v>276.07</v>
      </c>
      <c r="Z225" s="12">
        <v>14.53</v>
      </c>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48912.84</v>
      </c>
      <c r="AF225" s="12" t="str">
        <f t="shared" si="10"/>
        <v>3 mois = 11 400 €</v>
      </c>
      <c r="AG225" s="12" t="s">
        <v>103</v>
      </c>
      <c r="AH225" s="51">
        <v>1.4999999999999999E-2</v>
      </c>
      <c r="AI225" s="12" t="s">
        <v>380</v>
      </c>
      <c r="AJ225" s="10" t="s">
        <v>75</v>
      </c>
      <c r="AK225" s="10" t="s">
        <v>369</v>
      </c>
      <c r="AL225" s="10"/>
      <c r="AM225" s="11"/>
      <c r="AN225" s="11" t="s">
        <v>1584</v>
      </c>
      <c r="AO225" s="5" t="s">
        <v>367</v>
      </c>
      <c r="AP225" s="11"/>
      <c r="AQ225" s="11"/>
      <c r="AR225" s="11" t="s">
        <v>1664</v>
      </c>
      <c r="AS225" s="36"/>
      <c r="AT225" s="11"/>
      <c r="AU225" s="11" t="s">
        <v>1637</v>
      </c>
      <c r="AV225" s="13" t="s">
        <v>1635</v>
      </c>
      <c r="AW225" s="14"/>
      <c r="AX225" s="44"/>
    </row>
    <row r="226" spans="1:50" ht="25.5">
      <c r="A226" s="38" t="str">
        <f>VLOOKUP(Tableau1[[#This Row],[N° Département]],Feuil1!$C$6:$E$106,3)</f>
        <v>Auvergne-Rhône-Alpes</v>
      </c>
      <c r="B226" s="38" t="str">
        <f>VLOOKUP(Tableau1[[#This Row],[N° Département]],Feuil1!$C$6:$E$106,2)</f>
        <v>Rhône</v>
      </c>
      <c r="C226" s="38">
        <f>LEFT(Tableau1[[#This Row],[Code Postal]],2)*1</f>
        <v>69</v>
      </c>
      <c r="D226" s="10" t="s">
        <v>1609</v>
      </c>
      <c r="E226" s="26">
        <v>69500</v>
      </c>
      <c r="F226" s="42" t="s">
        <v>1581</v>
      </c>
      <c r="G226" s="39" t="str">
        <f>Tableau1[[#This Row],[Rue]]&amp;CHAR(10)&amp;Tableau1[[#This Row],[Code Postal]]&amp;" - "&amp;Tableau1[[#This Row],[Ville]]</f>
        <v>rue du Colonel Arnaud Beltrame
69500 - Bron</v>
      </c>
      <c r="H226" s="15" t="s">
        <v>1610</v>
      </c>
      <c r="I226" s="12" t="s">
        <v>45</v>
      </c>
      <c r="J226" s="12" t="s">
        <v>44</v>
      </c>
      <c r="K226" s="10" t="s">
        <v>103</v>
      </c>
      <c r="L226" s="53" t="s">
        <v>1553</v>
      </c>
      <c r="M226" s="12" t="s">
        <v>103</v>
      </c>
      <c r="N226" s="36" t="s">
        <v>1187</v>
      </c>
      <c r="O226" s="34">
        <v>363</v>
      </c>
      <c r="P226" s="6" t="s">
        <v>103</v>
      </c>
      <c r="Q226" s="34" t="s">
        <v>103</v>
      </c>
      <c r="R226" s="34" t="s">
        <v>103</v>
      </c>
      <c r="S226" s="6" t="s">
        <v>103</v>
      </c>
      <c r="T226" s="12">
        <f>Tableau1[[#This Row],[Loyer €/m²]]*Tableau1[[#This Row],[Surface GLA]]</f>
        <v>54450</v>
      </c>
      <c r="U226" s="12">
        <f>IFERROR(Tableau1[[#This Row],[Loyer annuel]]/12,"")</f>
        <v>4537.5</v>
      </c>
      <c r="V226" s="12">
        <v>150</v>
      </c>
      <c r="W226" s="34" t="s">
        <v>103</v>
      </c>
      <c r="X226" s="6">
        <f>Tableau1[[#This Row],[Charges €/m²]]*Tableau1[[#This Row],[Surface GLA]]</f>
        <v>1190.6399999999999</v>
      </c>
      <c r="Y226" s="12">
        <f>Tableau1[[#This Row],[Charges annuelles]]/12</f>
        <v>99.219999999999985</v>
      </c>
      <c r="Z226" s="12">
        <v>3.28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55640.639999999999</v>
      </c>
      <c r="AF226" s="12" t="str">
        <f t="shared" si="10"/>
        <v>3 mois = 13 613 €</v>
      </c>
      <c r="AG226" s="12" t="s">
        <v>103</v>
      </c>
      <c r="AH226" s="51">
        <v>1.4999999999999999E-2</v>
      </c>
      <c r="AI226" s="12" t="s">
        <v>380</v>
      </c>
      <c r="AJ226" s="10" t="s">
        <v>75</v>
      </c>
      <c r="AK226" s="10" t="s">
        <v>369</v>
      </c>
      <c r="AL226" s="10"/>
      <c r="AM226" s="11"/>
      <c r="AN226" s="11" t="s">
        <v>1584</v>
      </c>
      <c r="AO226" s="5" t="s">
        <v>367</v>
      </c>
      <c r="AP226" s="11"/>
      <c r="AQ226" s="11"/>
      <c r="AR226" s="11" t="s">
        <v>1665</v>
      </c>
      <c r="AS226" s="36"/>
      <c r="AT226" s="11"/>
      <c r="AU226" s="11" t="s">
        <v>1638</v>
      </c>
      <c r="AV226" s="13" t="s">
        <v>1635</v>
      </c>
      <c r="AW226" s="14"/>
      <c r="AX226" s="44"/>
    </row>
    <row r="227" spans="1:50" ht="25.5">
      <c r="A227" s="38" t="str">
        <f>VLOOKUP(Tableau1[[#This Row],[N° Département]],Feuil1!$C$6:$E$106,3)</f>
        <v>Auvergne-Rhône-Alpes</v>
      </c>
      <c r="B227" s="38" t="str">
        <f>VLOOKUP(Tableau1[[#This Row],[N° Département]],Feuil1!$C$6:$E$106,2)</f>
        <v>Rhône</v>
      </c>
      <c r="C227" s="38">
        <f>LEFT(Tableau1[[#This Row],[Code Postal]],2)*1</f>
        <v>69</v>
      </c>
      <c r="D227" s="10" t="s">
        <v>1609</v>
      </c>
      <c r="E227" s="26">
        <v>69500</v>
      </c>
      <c r="F227" s="42" t="s">
        <v>1581</v>
      </c>
      <c r="G227" s="39" t="str">
        <f>Tableau1[[#This Row],[Rue]]&amp;CHAR(10)&amp;Tableau1[[#This Row],[Code Postal]]&amp;" - "&amp;Tableau1[[#This Row],[Ville]]</f>
        <v>rue du Colonel Arnaud Beltrame
69500 - Bron</v>
      </c>
      <c r="H227" s="15" t="s">
        <v>1610</v>
      </c>
      <c r="I227" s="12" t="s">
        <v>45</v>
      </c>
      <c r="J227" s="12" t="s">
        <v>44</v>
      </c>
      <c r="K227" s="10" t="s">
        <v>103</v>
      </c>
      <c r="L227" s="53" t="s">
        <v>1553</v>
      </c>
      <c r="M227" s="12" t="s">
        <v>103</v>
      </c>
      <c r="N227" s="36" t="s">
        <v>1594</v>
      </c>
      <c r="O227" s="34">
        <v>110</v>
      </c>
      <c r="P227" s="6" t="s">
        <v>103</v>
      </c>
      <c r="Q227" s="34">
        <v>222</v>
      </c>
      <c r="R227" s="34" t="s">
        <v>103</v>
      </c>
      <c r="S227" s="6" t="s">
        <v>103</v>
      </c>
      <c r="T227" s="12">
        <f>Tableau1[[#This Row],[Loyer €/m²]]*Tableau1[[#This Row],[Surface GLA]]</f>
        <v>27500</v>
      </c>
      <c r="U227" s="12">
        <f>IFERROR(Tableau1[[#This Row],[Loyer annuel]]/12,"")</f>
        <v>2291.6666666666665</v>
      </c>
      <c r="V227" s="12">
        <v>250</v>
      </c>
      <c r="W227" s="34" t="s">
        <v>103</v>
      </c>
      <c r="X227" s="6">
        <f>Tableau1[[#This Row],[Charges €/m²]]*Tableau1[[#This Row],[Surface GLA]]</f>
        <v>359.7</v>
      </c>
      <c r="Y227" s="12">
        <f>Tableau1[[#This Row],[Charges annuelles]]/12</f>
        <v>29.974999999999998</v>
      </c>
      <c r="Z227" s="12">
        <v>3.27</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27859.7</v>
      </c>
      <c r="AF227" s="12" t="str">
        <f t="shared" si="10"/>
        <v>3 mois = 6 875 €</v>
      </c>
      <c r="AG227" s="12" t="s">
        <v>103</v>
      </c>
      <c r="AH227" s="51">
        <v>1.4999999999999999E-2</v>
      </c>
      <c r="AI227" s="12" t="s">
        <v>380</v>
      </c>
      <c r="AJ227" s="10" t="s">
        <v>75</v>
      </c>
      <c r="AK227" s="10" t="s">
        <v>369</v>
      </c>
      <c r="AL227" s="10"/>
      <c r="AM227" s="11"/>
      <c r="AN227" s="11" t="s">
        <v>1584</v>
      </c>
      <c r="AO227" s="5" t="s">
        <v>367</v>
      </c>
      <c r="AP227" s="11"/>
      <c r="AQ227" s="11"/>
      <c r="AR227" s="11" t="s">
        <v>1666</v>
      </c>
      <c r="AS227" s="36"/>
      <c r="AT227" s="11"/>
      <c r="AU227" s="11" t="s">
        <v>1639</v>
      </c>
      <c r="AV227" s="13" t="s">
        <v>1635</v>
      </c>
      <c r="AW227" s="14"/>
      <c r="AX227" s="44"/>
    </row>
    <row r="228" spans="1:50" ht="25.5">
      <c r="A228" s="38" t="str">
        <f>VLOOKUP(Tableau1[[#This Row],[N° Département]],Feuil1!$C$6:$E$106,3)</f>
        <v>Auvergne-Rhône-Alpes</v>
      </c>
      <c r="B228" s="38" t="str">
        <f>VLOOKUP(Tableau1[[#This Row],[N° Département]],Feuil1!$C$6:$E$106,2)</f>
        <v>Rhône</v>
      </c>
      <c r="C228" s="38">
        <f>LEFT(Tableau1[[#This Row],[Code Postal]],2)*1</f>
        <v>69</v>
      </c>
      <c r="D228" s="10" t="s">
        <v>1609</v>
      </c>
      <c r="E228" s="26">
        <v>69500</v>
      </c>
      <c r="F228" s="42" t="s">
        <v>1581</v>
      </c>
      <c r="G228" s="39" t="str">
        <f>Tableau1[[#This Row],[Rue]]&amp;CHAR(10)&amp;Tableau1[[#This Row],[Code Postal]]&amp;" - "&amp;Tableau1[[#This Row],[Ville]]</f>
        <v>rue du Colonel Arnaud Beltrame
69500 - Bron</v>
      </c>
      <c r="H228" s="15" t="s">
        <v>1610</v>
      </c>
      <c r="I228" s="12" t="s">
        <v>45</v>
      </c>
      <c r="J228" s="12" t="s">
        <v>44</v>
      </c>
      <c r="K228" s="10" t="s">
        <v>103</v>
      </c>
      <c r="L228" s="53" t="s">
        <v>1553</v>
      </c>
      <c r="M228" s="12" t="s">
        <v>103</v>
      </c>
      <c r="N228" s="36" t="s">
        <v>1200</v>
      </c>
      <c r="O228" s="34">
        <v>112</v>
      </c>
      <c r="P228" s="6" t="s">
        <v>103</v>
      </c>
      <c r="Q228" s="34">
        <v>222</v>
      </c>
      <c r="R228" s="34" t="s">
        <v>103</v>
      </c>
      <c r="S228" s="6" t="s">
        <v>103</v>
      </c>
      <c r="T228" s="12">
        <f>Tableau1[[#This Row],[Loyer €/m²]]*Tableau1[[#This Row],[Surface GLA]]</f>
        <v>28000</v>
      </c>
      <c r="U228" s="12">
        <f>IFERROR(Tableau1[[#This Row],[Loyer annuel]]/12,"")</f>
        <v>2333.3333333333335</v>
      </c>
      <c r="V228" s="12">
        <v>250</v>
      </c>
      <c r="W228" s="34" t="s">
        <v>103</v>
      </c>
      <c r="X228" s="6">
        <f>Tableau1[[#This Row],[Charges €/m²]]*Tableau1[[#This Row],[Surface GLA]]</f>
        <v>243.04</v>
      </c>
      <c r="Y228" s="12">
        <f>Tableau1[[#This Row],[Charges annuelles]]/12</f>
        <v>20.253333333333334</v>
      </c>
      <c r="Z228" s="12">
        <v>2.17</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28243.040000000001</v>
      </c>
      <c r="AF228" s="12" t="str">
        <f t="shared" si="10"/>
        <v>3 mois = 7 000 €</v>
      </c>
      <c r="AG228" s="12" t="s">
        <v>103</v>
      </c>
      <c r="AH228" s="51">
        <v>1.4999999999999999E-2</v>
      </c>
      <c r="AI228" s="12" t="s">
        <v>380</v>
      </c>
      <c r="AJ228" s="10" t="s">
        <v>75</v>
      </c>
      <c r="AK228" s="10" t="s">
        <v>369</v>
      </c>
      <c r="AL228" s="10"/>
      <c r="AM228" s="11"/>
      <c r="AN228" s="11" t="s">
        <v>1584</v>
      </c>
      <c r="AO228" s="5" t="s">
        <v>367</v>
      </c>
      <c r="AP228" s="11"/>
      <c r="AQ228" s="11"/>
      <c r="AR228" s="11" t="s">
        <v>1667</v>
      </c>
      <c r="AS228" s="36"/>
      <c r="AT228" s="11"/>
      <c r="AU228" s="11" t="s">
        <v>1640</v>
      </c>
      <c r="AV228" s="13" t="s">
        <v>1635</v>
      </c>
      <c r="AW228" s="14"/>
      <c r="AX228" s="44"/>
    </row>
    <row r="229" spans="1:50" ht="25.5">
      <c r="A229" s="38" t="str">
        <f>VLOOKUP(Tableau1[[#This Row],[N° Département]],Feuil1!$C$6:$E$106,3)</f>
        <v>Auvergne-Rhône-Alpes</v>
      </c>
      <c r="B229" s="38" t="str">
        <f>VLOOKUP(Tableau1[[#This Row],[N° Département]],Feuil1!$C$6:$E$106,2)</f>
        <v>Rhône</v>
      </c>
      <c r="C229" s="38">
        <f>LEFT(Tableau1[[#This Row],[Code Postal]],2)*1</f>
        <v>69</v>
      </c>
      <c r="D229" s="10" t="s">
        <v>1609</v>
      </c>
      <c r="E229" s="26">
        <v>69500</v>
      </c>
      <c r="F229" s="42" t="s">
        <v>1581</v>
      </c>
      <c r="G229" s="39" t="str">
        <f>Tableau1[[#This Row],[Rue]]&amp;CHAR(10)&amp;Tableau1[[#This Row],[Code Postal]]&amp;" - "&amp;Tableau1[[#This Row],[Ville]]</f>
        <v>rue du Colonel Arnaud Beltrame
69500 - Bron</v>
      </c>
      <c r="H229" s="15" t="s">
        <v>1610</v>
      </c>
      <c r="I229" s="12" t="s">
        <v>45</v>
      </c>
      <c r="J229" s="12" t="s">
        <v>44</v>
      </c>
      <c r="K229" s="10" t="s">
        <v>103</v>
      </c>
      <c r="L229" s="53" t="s">
        <v>1553</v>
      </c>
      <c r="M229" s="12" t="s">
        <v>103</v>
      </c>
      <c r="N229" s="36" t="s">
        <v>1595</v>
      </c>
      <c r="O229" s="34">
        <v>86</v>
      </c>
      <c r="P229" s="6" t="s">
        <v>103</v>
      </c>
      <c r="Q229" s="34">
        <v>179</v>
      </c>
      <c r="R229" s="34" t="s">
        <v>103</v>
      </c>
      <c r="S229" s="6" t="s">
        <v>103</v>
      </c>
      <c r="T229" s="12">
        <f>Tableau1[[#This Row],[Loyer €/m²]]*Tableau1[[#This Row],[Surface GLA]]</f>
        <v>38700</v>
      </c>
      <c r="U229" s="12">
        <f>IFERROR(Tableau1[[#This Row],[Loyer annuel]]/12,"")</f>
        <v>3225</v>
      </c>
      <c r="V229" s="12">
        <v>450</v>
      </c>
      <c r="W229" s="34" t="s">
        <v>103</v>
      </c>
      <c r="X229" s="6">
        <f>Tableau1[[#This Row],[Charges €/m²]]*Tableau1[[#This Row],[Surface GLA]]</f>
        <v>283.8</v>
      </c>
      <c r="Y229" s="12">
        <f>Tableau1[[#This Row],[Charges annuelles]]/12</f>
        <v>23.650000000000002</v>
      </c>
      <c r="Z229" s="12">
        <v>3.3</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38983.800000000003</v>
      </c>
      <c r="AF229" s="12" t="str">
        <f t="shared" si="10"/>
        <v>3 mois = 9 675 €</v>
      </c>
      <c r="AG229" s="12" t="s">
        <v>103</v>
      </c>
      <c r="AH229" s="51">
        <v>1.4999999999999999E-2</v>
      </c>
      <c r="AI229" s="12" t="s">
        <v>380</v>
      </c>
      <c r="AJ229" s="10" t="s">
        <v>75</v>
      </c>
      <c r="AK229" s="10" t="s">
        <v>369</v>
      </c>
      <c r="AL229" s="10"/>
      <c r="AM229" s="11"/>
      <c r="AN229" s="11" t="s">
        <v>1584</v>
      </c>
      <c r="AO229" s="5" t="s">
        <v>367</v>
      </c>
      <c r="AP229" s="11"/>
      <c r="AQ229" s="11"/>
      <c r="AR229" s="11" t="s">
        <v>1668</v>
      </c>
      <c r="AS229" s="36"/>
      <c r="AT229" s="11"/>
      <c r="AU229" s="11" t="s">
        <v>1641</v>
      </c>
      <c r="AV229" s="13" t="s">
        <v>1635</v>
      </c>
      <c r="AW229" s="14"/>
      <c r="AX229" s="44"/>
    </row>
    <row r="230" spans="1:50" ht="25.5">
      <c r="A230" s="38" t="str">
        <f>VLOOKUP(Tableau1[[#This Row],[N° Département]],Feuil1!$C$6:$E$106,3)</f>
        <v>Auvergne-Rhône-Alpes</v>
      </c>
      <c r="B230" s="38" t="str">
        <f>VLOOKUP(Tableau1[[#This Row],[N° Département]],Feuil1!$C$6:$E$106,2)</f>
        <v>Rhône</v>
      </c>
      <c r="C230" s="38">
        <f>LEFT(Tableau1[[#This Row],[Code Postal]],2)*1</f>
        <v>69</v>
      </c>
      <c r="D230" s="10" t="s">
        <v>1609</v>
      </c>
      <c r="E230" s="26">
        <v>69500</v>
      </c>
      <c r="F230" s="42" t="s">
        <v>1581</v>
      </c>
      <c r="G230" s="39" t="str">
        <f>Tableau1[[#This Row],[Rue]]&amp;CHAR(10)&amp;Tableau1[[#This Row],[Code Postal]]&amp;" - "&amp;Tableau1[[#This Row],[Ville]]</f>
        <v>rue du Colonel Arnaud Beltrame
69500 - Bron</v>
      </c>
      <c r="H230" s="15" t="s">
        <v>1610</v>
      </c>
      <c r="I230" s="12" t="s">
        <v>45</v>
      </c>
      <c r="J230" s="12" t="s">
        <v>44</v>
      </c>
      <c r="K230" s="10" t="s">
        <v>103</v>
      </c>
      <c r="L230" s="53" t="s">
        <v>1553</v>
      </c>
      <c r="M230" s="12" t="s">
        <v>103</v>
      </c>
      <c r="N230" s="36" t="s">
        <v>1596</v>
      </c>
      <c r="O230" s="34">
        <v>91</v>
      </c>
      <c r="P230" s="6" t="s">
        <v>103</v>
      </c>
      <c r="Q230" s="34">
        <v>179</v>
      </c>
      <c r="R230" s="34" t="s">
        <v>103</v>
      </c>
      <c r="S230" s="6" t="s">
        <v>103</v>
      </c>
      <c r="T230" s="12">
        <f>Tableau1[[#This Row],[Loyer €/m²]]*Tableau1[[#This Row],[Surface GLA]]</f>
        <v>36400</v>
      </c>
      <c r="U230" s="12">
        <f>IFERROR(Tableau1[[#This Row],[Loyer annuel]]/12,"")</f>
        <v>3033.3333333333335</v>
      </c>
      <c r="V230" s="12">
        <v>400</v>
      </c>
      <c r="W230" s="34" t="s">
        <v>103</v>
      </c>
      <c r="X230" s="6">
        <f>Tableau1[[#This Row],[Charges €/m²]]*Tableau1[[#This Row],[Surface GLA]]</f>
        <v>322.14</v>
      </c>
      <c r="Y230" s="12">
        <f>Tableau1[[#This Row],[Charges annuelles]]/12</f>
        <v>26.844999999999999</v>
      </c>
      <c r="Z230" s="12">
        <v>3.54</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36722.14</v>
      </c>
      <c r="AF230" s="12" t="str">
        <f t="shared" si="10"/>
        <v>3 mois = 9 100 €</v>
      </c>
      <c r="AG230" s="12" t="s">
        <v>103</v>
      </c>
      <c r="AH230" s="51">
        <v>1.4999999999999999E-2</v>
      </c>
      <c r="AI230" s="12" t="s">
        <v>380</v>
      </c>
      <c r="AJ230" s="10" t="s">
        <v>75</v>
      </c>
      <c r="AK230" s="10" t="s">
        <v>369</v>
      </c>
      <c r="AL230" s="10"/>
      <c r="AM230" s="11"/>
      <c r="AN230" s="11" t="s">
        <v>1584</v>
      </c>
      <c r="AO230" s="5" t="s">
        <v>367</v>
      </c>
      <c r="AP230" s="11"/>
      <c r="AQ230" s="11"/>
      <c r="AR230" s="11" t="s">
        <v>1669</v>
      </c>
      <c r="AS230" s="36"/>
      <c r="AT230" s="11"/>
      <c r="AU230" s="11" t="s">
        <v>1642</v>
      </c>
      <c r="AV230" s="13" t="s">
        <v>1635</v>
      </c>
      <c r="AW230" s="14"/>
      <c r="AX230" s="44"/>
    </row>
    <row r="231" spans="1:50" ht="25.5">
      <c r="A231" s="38" t="str">
        <f>VLOOKUP(Tableau1[[#This Row],[N° Département]],Feuil1!$C$6:$E$106,3)</f>
        <v>Auvergne-Rhône-Alpes</v>
      </c>
      <c r="B231" s="38" t="str">
        <f>VLOOKUP(Tableau1[[#This Row],[N° Département]],Feuil1!$C$6:$E$106,2)</f>
        <v>Rhône</v>
      </c>
      <c r="C231" s="38">
        <f>LEFT(Tableau1[[#This Row],[Code Postal]],2)*1</f>
        <v>69</v>
      </c>
      <c r="D231" s="10" t="s">
        <v>1609</v>
      </c>
      <c r="E231" s="26">
        <v>69500</v>
      </c>
      <c r="F231" s="42" t="s">
        <v>1581</v>
      </c>
      <c r="G231" s="39" t="str">
        <f>Tableau1[[#This Row],[Rue]]&amp;CHAR(10)&amp;Tableau1[[#This Row],[Code Postal]]&amp;" - "&amp;Tableau1[[#This Row],[Ville]]</f>
        <v>rue du Colonel Arnaud Beltrame
69500 - Bron</v>
      </c>
      <c r="H231" s="15" t="s">
        <v>1610</v>
      </c>
      <c r="I231" s="12" t="s">
        <v>45</v>
      </c>
      <c r="J231" s="12" t="s">
        <v>44</v>
      </c>
      <c r="K231" s="10" t="s">
        <v>103</v>
      </c>
      <c r="L231" s="53" t="s">
        <v>1553</v>
      </c>
      <c r="M231" s="12" t="s">
        <v>103</v>
      </c>
      <c r="N231" s="36" t="s">
        <v>1597</v>
      </c>
      <c r="O231" s="34">
        <v>167</v>
      </c>
      <c r="P231" s="6" t="s">
        <v>103</v>
      </c>
      <c r="Q231" s="34" t="s">
        <v>103</v>
      </c>
      <c r="R231" s="34" t="s">
        <v>103</v>
      </c>
      <c r="S231" s="6" t="s">
        <v>103</v>
      </c>
      <c r="T231" s="12">
        <f>Tableau1[[#This Row],[Loyer €/m²]]*Tableau1[[#This Row],[Surface GLA]]</f>
        <v>33400</v>
      </c>
      <c r="U231" s="12">
        <f>IFERROR(Tableau1[[#This Row],[Loyer annuel]]/12,"")</f>
        <v>2783.3333333333335</v>
      </c>
      <c r="V231" s="12">
        <v>200</v>
      </c>
      <c r="W231" s="34" t="s">
        <v>103</v>
      </c>
      <c r="X231" s="6">
        <f>Tableau1[[#This Row],[Charges €/m²]]*Tableau1[[#This Row],[Surface GLA]]</f>
        <v>646.29</v>
      </c>
      <c r="Y231" s="12">
        <f>Tableau1[[#This Row],[Charges annuelles]]/12</f>
        <v>53.857499999999995</v>
      </c>
      <c r="Z231" s="12">
        <v>3.87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34046.29</v>
      </c>
      <c r="AF231" s="12" t="str">
        <f t="shared" si="10"/>
        <v>3 mois = 8 350 €</v>
      </c>
      <c r="AG231" s="12" t="s">
        <v>103</v>
      </c>
      <c r="AH231" s="51">
        <v>1.4999999999999999E-2</v>
      </c>
      <c r="AI231" s="12" t="s">
        <v>380</v>
      </c>
      <c r="AJ231" s="10" t="s">
        <v>75</v>
      </c>
      <c r="AK231" s="10" t="s">
        <v>369</v>
      </c>
      <c r="AL231" s="10"/>
      <c r="AM231" s="11"/>
      <c r="AN231" s="11" t="s">
        <v>1584</v>
      </c>
      <c r="AO231" s="5" t="s">
        <v>367</v>
      </c>
      <c r="AP231" s="11"/>
      <c r="AQ231" s="11"/>
      <c r="AR231" s="11" t="s">
        <v>1670</v>
      </c>
      <c r="AS231" s="36"/>
      <c r="AT231" s="11"/>
      <c r="AU231" s="11" t="s">
        <v>1643</v>
      </c>
      <c r="AV231" s="13" t="s">
        <v>1635</v>
      </c>
      <c r="AW231" s="14"/>
      <c r="AX231" s="44"/>
    </row>
    <row r="232" spans="1:50" ht="25.5">
      <c r="A232" s="38" t="str">
        <f>VLOOKUP(Tableau1[[#This Row],[N° Département]],Feuil1!$C$6:$E$106,3)</f>
        <v>Auvergne-Rhône-Alpes</v>
      </c>
      <c r="B232" s="38" t="str">
        <f>VLOOKUP(Tableau1[[#This Row],[N° Département]],Feuil1!$C$6:$E$106,2)</f>
        <v>Rhône</v>
      </c>
      <c r="C232" s="38">
        <f>LEFT(Tableau1[[#This Row],[Code Postal]],2)*1</f>
        <v>69</v>
      </c>
      <c r="D232" s="10" t="s">
        <v>1609</v>
      </c>
      <c r="E232" s="26">
        <v>69500</v>
      </c>
      <c r="F232" s="42" t="s">
        <v>1581</v>
      </c>
      <c r="G232" s="39" t="str">
        <f>Tableau1[[#This Row],[Rue]]&amp;CHAR(10)&amp;Tableau1[[#This Row],[Code Postal]]&amp;" - "&amp;Tableau1[[#This Row],[Ville]]</f>
        <v>rue du Colonel Arnaud Beltrame
69500 - Bron</v>
      </c>
      <c r="H232" s="15" t="s">
        <v>1610</v>
      </c>
      <c r="I232" s="12" t="s">
        <v>45</v>
      </c>
      <c r="J232" s="12" t="s">
        <v>44</v>
      </c>
      <c r="K232" s="10" t="s">
        <v>103</v>
      </c>
      <c r="L232" s="53" t="s">
        <v>1553</v>
      </c>
      <c r="M232" s="12" t="s">
        <v>103</v>
      </c>
      <c r="N232" s="36" t="s">
        <v>170</v>
      </c>
      <c r="O232" s="34">
        <v>123</v>
      </c>
      <c r="P232" s="6" t="s">
        <v>103</v>
      </c>
      <c r="Q232" s="34" t="s">
        <v>103</v>
      </c>
      <c r="R232" s="34" t="s">
        <v>103</v>
      </c>
      <c r="S232" s="6" t="s">
        <v>103</v>
      </c>
      <c r="T232" s="12">
        <f>Tableau1[[#This Row],[Loyer €/m²]]*Tableau1[[#This Row],[Surface GLA]]</f>
        <v>24600</v>
      </c>
      <c r="U232" s="12">
        <f>IFERROR(Tableau1[[#This Row],[Loyer annuel]]/12,"")</f>
        <v>2050</v>
      </c>
      <c r="V232" s="12">
        <v>200</v>
      </c>
      <c r="W232" s="34" t="s">
        <v>103</v>
      </c>
      <c r="X232" s="6">
        <f>Tableau1[[#This Row],[Charges €/m²]]*Tableau1[[#This Row],[Surface GLA]]</f>
        <v>476.01</v>
      </c>
      <c r="Y232" s="12">
        <f>Tableau1[[#This Row],[Charges annuelles]]/12</f>
        <v>39.667499999999997</v>
      </c>
      <c r="Z232" s="12">
        <v>3.87</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25076.01</v>
      </c>
      <c r="AF232" s="12" t="str">
        <f t="shared" si="10"/>
        <v>3 mois = 6 150 €</v>
      </c>
      <c r="AG232" s="12" t="s">
        <v>103</v>
      </c>
      <c r="AH232" s="51">
        <v>1.4999999999999999E-2</v>
      </c>
      <c r="AI232" s="12" t="s">
        <v>380</v>
      </c>
      <c r="AJ232" s="10" t="s">
        <v>75</v>
      </c>
      <c r="AK232" s="10" t="s">
        <v>369</v>
      </c>
      <c r="AL232" s="10"/>
      <c r="AM232" s="11"/>
      <c r="AN232" s="11" t="s">
        <v>1584</v>
      </c>
      <c r="AO232" s="5" t="s">
        <v>367</v>
      </c>
      <c r="AP232" s="11"/>
      <c r="AQ232" s="11"/>
      <c r="AR232" s="11" t="s">
        <v>1671</v>
      </c>
      <c r="AS232" s="36"/>
      <c r="AT232" s="11"/>
      <c r="AU232" s="11" t="s">
        <v>1644</v>
      </c>
      <c r="AV232" s="13" t="s">
        <v>1635</v>
      </c>
      <c r="AW232" s="14"/>
      <c r="AX232" s="44"/>
    </row>
    <row r="233" spans="1:50" ht="25.5">
      <c r="A233" s="38" t="str">
        <f>VLOOKUP(Tableau1[[#This Row],[N° Département]],Feuil1!$C$6:$E$106,3)</f>
        <v>Ile-de-France</v>
      </c>
      <c r="B233" s="38" t="str">
        <f>VLOOKUP(Tableau1[[#This Row],[N° Département]],Feuil1!$C$6:$E$106,2)</f>
        <v>Hauts-de-Seine</v>
      </c>
      <c r="C233" s="38">
        <f>LEFT(Tableau1[[#This Row],[Code Postal]],2)*1</f>
        <v>92</v>
      </c>
      <c r="D233" s="10" t="s">
        <v>1611</v>
      </c>
      <c r="E233" s="26">
        <v>92700</v>
      </c>
      <c r="F233" s="42" t="s">
        <v>1585</v>
      </c>
      <c r="G233" s="39" t="str">
        <f>Tableau1[[#This Row],[Rue]]&amp;CHAR(10)&amp;Tableau1[[#This Row],[Code Postal]]&amp;" - "&amp;Tableau1[[#This Row],[Ville]]</f>
        <v>32 boulevard de Finlande
92700 - Colombes</v>
      </c>
      <c r="H233" s="15" t="s">
        <v>1612</v>
      </c>
      <c r="I233" s="12" t="s">
        <v>45</v>
      </c>
      <c r="J233" s="12" t="s">
        <v>44</v>
      </c>
      <c r="K233" s="10" t="s">
        <v>103</v>
      </c>
      <c r="L233" s="53" t="s">
        <v>1553</v>
      </c>
      <c r="M233" s="12" t="s">
        <v>103</v>
      </c>
      <c r="N233" s="36" t="s">
        <v>357</v>
      </c>
      <c r="O233" s="34">
        <v>200</v>
      </c>
      <c r="P233" s="6" t="s">
        <v>103</v>
      </c>
      <c r="Q233" s="34" t="s">
        <v>103</v>
      </c>
      <c r="R233" s="34" t="s">
        <v>103</v>
      </c>
      <c r="S233" s="6" t="s">
        <v>103</v>
      </c>
      <c r="T233" s="12">
        <f>Tableau1[[#This Row],[Loyer €/m²]]*Tableau1[[#This Row],[Surface GLA]]</f>
        <v>30000</v>
      </c>
      <c r="U233" s="12">
        <f>IFERROR(Tableau1[[#This Row],[Loyer annuel]]/12,"")</f>
        <v>2500</v>
      </c>
      <c r="V233" s="12">
        <v>150</v>
      </c>
      <c r="W233" s="34" t="s">
        <v>103</v>
      </c>
      <c r="X233" s="6">
        <f>Tableau1[[#This Row],[Charges €/m²]]*Tableau1[[#This Row],[Surface GLA]]</f>
        <v>0</v>
      </c>
      <c r="Y233" s="12">
        <f>Tableau1[[#This Row],[Charges annuelles]]/12</f>
        <v>0</v>
      </c>
      <c r="Z233" s="12"/>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30000</v>
      </c>
      <c r="AF233" s="12" t="str">
        <f t="shared" si="10"/>
        <v>3 mois = 7 500 €</v>
      </c>
      <c r="AG233" s="12" t="s">
        <v>103</v>
      </c>
      <c r="AH233" s="51">
        <v>1.4999999999999999E-2</v>
      </c>
      <c r="AI233" s="12" t="s">
        <v>380</v>
      </c>
      <c r="AJ233" s="10" t="s">
        <v>75</v>
      </c>
      <c r="AK233" s="10" t="s">
        <v>369</v>
      </c>
      <c r="AL233" s="10"/>
      <c r="AM233" s="11"/>
      <c r="AN233" s="11" t="s">
        <v>1584</v>
      </c>
      <c r="AO233" s="5" t="s">
        <v>367</v>
      </c>
      <c r="AP233" s="11"/>
      <c r="AQ233" s="11"/>
      <c r="AR233" s="11">
        <v>71</v>
      </c>
      <c r="AS233" s="36"/>
      <c r="AT233" s="11"/>
      <c r="AU233" s="11" t="s">
        <v>1645</v>
      </c>
      <c r="AV233" s="13" t="s">
        <v>1635</v>
      </c>
      <c r="AW233" s="14"/>
      <c r="AX233" s="44"/>
    </row>
    <row r="234" spans="1:50" ht="25.5">
      <c r="A234" s="38" t="str">
        <f>VLOOKUP(Tableau1[[#This Row],[N° Département]],Feuil1!$C$6:$E$106,3)</f>
        <v>Centre-Val de Loire</v>
      </c>
      <c r="B234" s="38" t="str">
        <f>VLOOKUP(Tableau1[[#This Row],[N° Département]],Feuil1!$C$6:$E$106,2)</f>
        <v>Indre-et-Loire</v>
      </c>
      <c r="C234" s="38">
        <f>LEFT(Tableau1[[#This Row],[Code Postal]],2)*1</f>
        <v>37</v>
      </c>
      <c r="D234" s="10" t="s">
        <v>1613</v>
      </c>
      <c r="E234" s="26">
        <v>37300</v>
      </c>
      <c r="F234" s="42" t="s">
        <v>1586</v>
      </c>
      <c r="G234" s="39" t="str">
        <f>Tableau1[[#This Row],[Rue]]&amp;CHAR(10)&amp;Tableau1[[#This Row],[Code Postal]]&amp;" - "&amp;Tableau1[[#This Row],[Ville]]</f>
        <v>rue de la rotière
37300 - Joué les Tours</v>
      </c>
      <c r="H234" s="15" t="s">
        <v>1614</v>
      </c>
      <c r="I234" s="12" t="s">
        <v>45</v>
      </c>
      <c r="J234" s="12" t="s">
        <v>44</v>
      </c>
      <c r="K234" s="10" t="s">
        <v>103</v>
      </c>
      <c r="L234" s="53" t="s">
        <v>1553</v>
      </c>
      <c r="M234" s="12" t="s">
        <v>103</v>
      </c>
      <c r="N234" s="36"/>
      <c r="O234" s="34">
        <v>54</v>
      </c>
      <c r="P234" s="6" t="s">
        <v>103</v>
      </c>
      <c r="Q234" s="34" t="s">
        <v>103</v>
      </c>
      <c r="R234" s="34" t="s">
        <v>103</v>
      </c>
      <c r="S234" s="6" t="s">
        <v>103</v>
      </c>
      <c r="T234" s="12">
        <f>Tableau1[[#This Row],[Loyer €/m²]]*Tableau1[[#This Row],[Surface GLA]]</f>
        <v>10800</v>
      </c>
      <c r="U234" s="12">
        <f>IFERROR(Tableau1[[#This Row],[Loyer annuel]]/12,"")</f>
        <v>900</v>
      </c>
      <c r="V234" s="12">
        <v>200</v>
      </c>
      <c r="W234" s="34" t="s">
        <v>103</v>
      </c>
      <c r="X234" s="6">
        <f>Tableau1[[#This Row],[Charges €/m²]]*Tableau1[[#This Row],[Surface GLA]]</f>
        <v>99.36</v>
      </c>
      <c r="Y234" s="12">
        <f>Tableau1[[#This Row],[Charges annuelles]]/12</f>
        <v>8.2799999999999994</v>
      </c>
      <c r="Z234" s="12">
        <v>1.84</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10899.36</v>
      </c>
      <c r="AF234" s="12" t="str">
        <f t="shared" si="10"/>
        <v>3 mois = 2 700 €</v>
      </c>
      <c r="AG234" s="12" t="s">
        <v>103</v>
      </c>
      <c r="AH234" s="51">
        <v>1.4999999999999999E-2</v>
      </c>
      <c r="AI234" s="12" t="s">
        <v>380</v>
      </c>
      <c r="AJ234" s="10" t="s">
        <v>75</v>
      </c>
      <c r="AK234" s="10" t="s">
        <v>369</v>
      </c>
      <c r="AL234" s="10"/>
      <c r="AM234" s="11"/>
      <c r="AN234" s="11" t="s">
        <v>1584</v>
      </c>
      <c r="AO234" s="5" t="s">
        <v>367</v>
      </c>
      <c r="AP234" s="11"/>
      <c r="AQ234" s="11"/>
      <c r="AR234" s="11">
        <v>72</v>
      </c>
      <c r="AS234" s="36"/>
      <c r="AT234" s="11"/>
      <c r="AU234" s="11" t="s">
        <v>1646</v>
      </c>
      <c r="AV234" s="13" t="s">
        <v>1635</v>
      </c>
      <c r="AW234" s="14"/>
      <c r="AX234" s="44"/>
    </row>
    <row r="235" spans="1:50" ht="25.5">
      <c r="A235" s="38" t="str">
        <f>VLOOKUP(Tableau1[[#This Row],[N° Département]],Feuil1!$C$6:$E$106,3)</f>
        <v>Hauts-de-France</v>
      </c>
      <c r="B235" s="38" t="str">
        <f>VLOOKUP(Tableau1[[#This Row],[N° Département]],Feuil1!$C$6:$E$106,2)</f>
        <v>Nord</v>
      </c>
      <c r="C235" s="38">
        <f>LEFT(Tableau1[[#This Row],[Code Postal]],2)*1</f>
        <v>59</v>
      </c>
      <c r="D235" s="10" t="s">
        <v>1617</v>
      </c>
      <c r="E235" s="26">
        <v>59800</v>
      </c>
      <c r="F235" s="42" t="s">
        <v>1587</v>
      </c>
      <c r="G235" s="39" t="str">
        <f>Tableau1[[#This Row],[Rue]]&amp;CHAR(10)&amp;Tableau1[[#This Row],[Code Postal]]&amp;" - "&amp;Tableau1[[#This Row],[Ville]]</f>
        <v>boulevard de l'usine
59800 - Lille Fives</v>
      </c>
      <c r="H235" s="15"/>
      <c r="I235" s="12" t="s">
        <v>45</v>
      </c>
      <c r="J235" s="12" t="s">
        <v>44</v>
      </c>
      <c r="K235" s="10" t="s">
        <v>103</v>
      </c>
      <c r="L235" s="53" t="s">
        <v>1553</v>
      </c>
      <c r="M235" s="12" t="s">
        <v>103</v>
      </c>
      <c r="N235" s="36" t="s">
        <v>335</v>
      </c>
      <c r="O235" s="34">
        <v>150</v>
      </c>
      <c r="P235" s="6" t="s">
        <v>103</v>
      </c>
      <c r="Q235" s="34" t="s">
        <v>103</v>
      </c>
      <c r="R235" s="34" t="s">
        <v>103</v>
      </c>
      <c r="S235" s="6" t="s">
        <v>103</v>
      </c>
      <c r="T235" s="12">
        <f>Tableau1[[#This Row],[Loyer €/m²]]*Tableau1[[#This Row],[Surface GLA]]</f>
        <v>30000</v>
      </c>
      <c r="U235" s="12">
        <f>IFERROR(Tableau1[[#This Row],[Loyer annuel]]/12,"")</f>
        <v>2500</v>
      </c>
      <c r="V235" s="12">
        <v>200</v>
      </c>
      <c r="W235" s="34" t="s">
        <v>103</v>
      </c>
      <c r="X235" s="6">
        <f>Tableau1[[#This Row],[Charges €/m²]]*Tableau1[[#This Row],[Surface GLA]]</f>
        <v>877.5</v>
      </c>
      <c r="Y235" s="12">
        <f>Tableau1[[#This Row],[Charges annuelles]]/12</f>
        <v>73.125</v>
      </c>
      <c r="Z235" s="12">
        <v>5.85</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30877.5</v>
      </c>
      <c r="AF235" s="12" t="str">
        <f t="shared" si="10"/>
        <v>3 mois = 7 500 €</v>
      </c>
      <c r="AG235" s="12" t="s">
        <v>103</v>
      </c>
      <c r="AH235" s="51">
        <v>1.4999999999999999E-2</v>
      </c>
      <c r="AI235" s="12" t="s">
        <v>380</v>
      </c>
      <c r="AJ235" s="10" t="s">
        <v>75</v>
      </c>
      <c r="AK235" s="10" t="s">
        <v>369</v>
      </c>
      <c r="AL235" s="10"/>
      <c r="AM235" s="11"/>
      <c r="AN235" s="11" t="s">
        <v>1584</v>
      </c>
      <c r="AO235" s="5" t="s">
        <v>367</v>
      </c>
      <c r="AP235" s="11"/>
      <c r="AQ235" s="11"/>
      <c r="AR235" s="11">
        <v>73</v>
      </c>
      <c r="AS235" s="36"/>
      <c r="AT235" s="11"/>
      <c r="AU235" s="11" t="s">
        <v>1647</v>
      </c>
      <c r="AV235" s="13" t="s">
        <v>1635</v>
      </c>
      <c r="AW235" s="14"/>
      <c r="AX235" s="44"/>
    </row>
    <row r="236" spans="1:50" ht="25.5">
      <c r="A236" s="38" t="str">
        <f>VLOOKUP(Tableau1[[#This Row],[N° Département]],Feuil1!$C$6:$E$106,3)</f>
        <v>Hauts-de-France</v>
      </c>
      <c r="B236" s="38" t="str">
        <f>VLOOKUP(Tableau1[[#This Row],[N° Département]],Feuil1!$C$6:$E$106,2)</f>
        <v>Nord</v>
      </c>
      <c r="C236" s="38">
        <f>LEFT(Tableau1[[#This Row],[Code Postal]],2)*1</f>
        <v>59</v>
      </c>
      <c r="D236" s="10" t="s">
        <v>1615</v>
      </c>
      <c r="E236" s="26">
        <v>59800</v>
      </c>
      <c r="F236" s="42" t="s">
        <v>1588</v>
      </c>
      <c r="G236" s="39" t="str">
        <f>Tableau1[[#This Row],[Rue]]&amp;CHAR(10)&amp;Tableau1[[#This Row],[Code Postal]]&amp;" - "&amp;Tableau1[[#This Row],[Ville]]</f>
        <v>178 rue Faidherbes
59800 - Lille Hellemmes</v>
      </c>
      <c r="H236" s="15" t="s">
        <v>1616</v>
      </c>
      <c r="I236" s="12" t="s">
        <v>45</v>
      </c>
      <c r="J236" s="12" t="s">
        <v>44</v>
      </c>
      <c r="K236" s="10" t="s">
        <v>103</v>
      </c>
      <c r="L236" s="53" t="s">
        <v>1553</v>
      </c>
      <c r="M236" s="12" t="s">
        <v>103</v>
      </c>
      <c r="N236" s="36" t="s">
        <v>1598</v>
      </c>
      <c r="O236" s="34">
        <v>52</v>
      </c>
      <c r="P236" s="6" t="s">
        <v>103</v>
      </c>
      <c r="Q236" s="34" t="s">
        <v>103</v>
      </c>
      <c r="R236" s="34" t="s">
        <v>103</v>
      </c>
      <c r="S236" s="6" t="s">
        <v>103</v>
      </c>
      <c r="T236" s="12">
        <f>Tableau1[[#This Row],[Loyer €/m²]]*Tableau1[[#This Row],[Surface GLA]]</f>
        <v>13000</v>
      </c>
      <c r="U236" s="12">
        <f>IFERROR(Tableau1[[#This Row],[Loyer annuel]]/12,"")</f>
        <v>1083.3333333333333</v>
      </c>
      <c r="V236" s="12">
        <v>250</v>
      </c>
      <c r="W236" s="34" t="s">
        <v>103</v>
      </c>
      <c r="X236" s="6">
        <f>Tableau1[[#This Row],[Charges €/m²]]*Tableau1[[#This Row],[Surface GLA]]</f>
        <v>2766.92</v>
      </c>
      <c r="Y236" s="12">
        <f>Tableau1[[#This Row],[Charges annuelles]]/12</f>
        <v>230.57666666666668</v>
      </c>
      <c r="Z236" s="12">
        <v>53.21</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15766.92</v>
      </c>
      <c r="AF236" s="12" t="str">
        <f t="shared" si="10"/>
        <v>3 mois = 3 250 €</v>
      </c>
      <c r="AG236" s="12" t="s">
        <v>103</v>
      </c>
      <c r="AH236" s="51">
        <v>1.4999999999999999E-2</v>
      </c>
      <c r="AI236" s="12" t="s">
        <v>380</v>
      </c>
      <c r="AJ236" s="10" t="s">
        <v>75</v>
      </c>
      <c r="AK236" s="10" t="s">
        <v>369</v>
      </c>
      <c r="AL236" s="10"/>
      <c r="AM236" s="11"/>
      <c r="AN236" s="11" t="s">
        <v>1584</v>
      </c>
      <c r="AO236" s="5" t="s">
        <v>367</v>
      </c>
      <c r="AP236" s="11"/>
      <c r="AQ236" s="11"/>
      <c r="AR236" s="11" t="s">
        <v>1672</v>
      </c>
      <c r="AS236" s="36"/>
      <c r="AT236" s="11"/>
      <c r="AU236" s="11" t="s">
        <v>1648</v>
      </c>
      <c r="AV236" s="13" t="s">
        <v>1635</v>
      </c>
      <c r="AW236" s="14"/>
      <c r="AX236" s="44"/>
    </row>
    <row r="237" spans="1:50" ht="25.5">
      <c r="A237" s="38" t="str">
        <f>VLOOKUP(Tableau1[[#This Row],[N° Département]],Feuil1!$C$6:$E$106,3)</f>
        <v>Hauts-de-France</v>
      </c>
      <c r="B237" s="38" t="str">
        <f>VLOOKUP(Tableau1[[#This Row],[N° Département]],Feuil1!$C$6:$E$106,2)</f>
        <v>Nord</v>
      </c>
      <c r="C237" s="38">
        <f>LEFT(Tableau1[[#This Row],[Code Postal]],2)*1</f>
        <v>59</v>
      </c>
      <c r="D237" s="10" t="s">
        <v>1615</v>
      </c>
      <c r="E237" s="26">
        <v>59800</v>
      </c>
      <c r="F237" s="42" t="s">
        <v>1588</v>
      </c>
      <c r="G237" s="39" t="str">
        <f>Tableau1[[#This Row],[Rue]]&amp;CHAR(10)&amp;Tableau1[[#This Row],[Code Postal]]&amp;" - "&amp;Tableau1[[#This Row],[Ville]]</f>
        <v>178 rue Faidherbes
59800 - Lille Hellemmes</v>
      </c>
      <c r="H237" s="15" t="s">
        <v>1616</v>
      </c>
      <c r="I237" s="12" t="s">
        <v>45</v>
      </c>
      <c r="J237" s="12" t="s">
        <v>44</v>
      </c>
      <c r="K237" s="10" t="s">
        <v>103</v>
      </c>
      <c r="L237" s="53" t="s">
        <v>1553</v>
      </c>
      <c r="M237" s="12" t="s">
        <v>103</v>
      </c>
      <c r="N237" s="36" t="s">
        <v>1599</v>
      </c>
      <c r="O237" s="34">
        <v>38</v>
      </c>
      <c r="P237" s="6" t="s">
        <v>103</v>
      </c>
      <c r="Q237" s="34">
        <v>211</v>
      </c>
      <c r="R237" s="34" t="s">
        <v>103</v>
      </c>
      <c r="S237" s="6" t="s">
        <v>103</v>
      </c>
      <c r="T237" s="12">
        <f>Tableau1[[#This Row],[Loyer €/m²]]*Tableau1[[#This Row],[Surface GLA]]</f>
        <v>9500</v>
      </c>
      <c r="U237" s="12">
        <f>IFERROR(Tableau1[[#This Row],[Loyer annuel]]/12,"")</f>
        <v>791.66666666666663</v>
      </c>
      <c r="V237" s="12">
        <v>250</v>
      </c>
      <c r="W237" s="34" t="s">
        <v>103</v>
      </c>
      <c r="X237" s="6">
        <f>Tableau1[[#This Row],[Charges €/m²]]*Tableau1[[#This Row],[Surface GLA]]</f>
        <v>717.82</v>
      </c>
      <c r="Y237" s="12">
        <f>Tableau1[[#This Row],[Charges annuelles]]/12</f>
        <v>59.818333333333335</v>
      </c>
      <c r="Z237" s="12">
        <v>18.89</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10217.82</v>
      </c>
      <c r="AF237" s="12" t="str">
        <f t="shared" si="10"/>
        <v>3 mois = 2 375 €</v>
      </c>
      <c r="AG237" s="12" t="s">
        <v>103</v>
      </c>
      <c r="AH237" s="51">
        <v>1.4999999999999999E-2</v>
      </c>
      <c r="AI237" s="12" t="s">
        <v>380</v>
      </c>
      <c r="AJ237" s="10" t="s">
        <v>75</v>
      </c>
      <c r="AK237" s="10" t="s">
        <v>369</v>
      </c>
      <c r="AL237" s="10"/>
      <c r="AM237" s="11"/>
      <c r="AN237" s="11" t="s">
        <v>1584</v>
      </c>
      <c r="AO237" s="5" t="s">
        <v>367</v>
      </c>
      <c r="AP237" s="11"/>
      <c r="AQ237" s="11"/>
      <c r="AR237" s="11" t="s">
        <v>1673</v>
      </c>
      <c r="AS237" s="36"/>
      <c r="AT237" s="11"/>
      <c r="AU237" s="11" t="s">
        <v>1649</v>
      </c>
      <c r="AV237" s="13" t="s">
        <v>1635</v>
      </c>
      <c r="AW237" s="14"/>
      <c r="AX237" s="44"/>
    </row>
    <row r="238" spans="1:50" ht="25.5">
      <c r="A238" s="38" t="str">
        <f>VLOOKUP(Tableau1[[#This Row],[N° Département]],Feuil1!$C$6:$E$106,3)</f>
        <v>Hauts-de-France</v>
      </c>
      <c r="B238" s="38" t="str">
        <f>VLOOKUP(Tableau1[[#This Row],[N° Département]],Feuil1!$C$6:$E$106,2)</f>
        <v>Nord</v>
      </c>
      <c r="C238" s="38">
        <f>LEFT(Tableau1[[#This Row],[Code Postal]],2)*1</f>
        <v>59</v>
      </c>
      <c r="D238" s="10" t="s">
        <v>1615</v>
      </c>
      <c r="E238" s="26">
        <v>59800</v>
      </c>
      <c r="F238" s="42" t="s">
        <v>1588</v>
      </c>
      <c r="G238" s="39" t="str">
        <f>Tableau1[[#This Row],[Rue]]&amp;CHAR(10)&amp;Tableau1[[#This Row],[Code Postal]]&amp;" - "&amp;Tableau1[[#This Row],[Ville]]</f>
        <v>178 rue Faidherbes
59800 - Lille Hellemmes</v>
      </c>
      <c r="H238" s="15" t="s">
        <v>1616</v>
      </c>
      <c r="I238" s="12" t="s">
        <v>45</v>
      </c>
      <c r="J238" s="12" t="s">
        <v>44</v>
      </c>
      <c r="K238" s="10" t="s">
        <v>103</v>
      </c>
      <c r="L238" s="53" t="s">
        <v>1553</v>
      </c>
      <c r="M238" s="12" t="s">
        <v>103</v>
      </c>
      <c r="N238" s="36" t="s">
        <v>1600</v>
      </c>
      <c r="O238" s="34">
        <v>173</v>
      </c>
      <c r="P238" s="6" t="s">
        <v>103</v>
      </c>
      <c r="Q238" s="34">
        <v>211</v>
      </c>
      <c r="R238" s="34" t="s">
        <v>103</v>
      </c>
      <c r="S238" s="6" t="s">
        <v>103</v>
      </c>
      <c r="T238" s="12">
        <f>Tableau1[[#This Row],[Loyer €/m²]]*Tableau1[[#This Row],[Surface GLA]]</f>
        <v>34600</v>
      </c>
      <c r="U238" s="12">
        <f>IFERROR(Tableau1[[#This Row],[Loyer annuel]]/12,"")</f>
        <v>2883.3333333333335</v>
      </c>
      <c r="V238" s="12">
        <v>200</v>
      </c>
      <c r="W238" s="34" t="s">
        <v>103</v>
      </c>
      <c r="X238" s="6">
        <f>Tableau1[[#This Row],[Charges €/m²]]*Tableau1[[#This Row],[Surface GLA]]</f>
        <v>560.52</v>
      </c>
      <c r="Y238" s="12">
        <f>Tableau1[[#This Row],[Charges annuelles]]/12</f>
        <v>46.71</v>
      </c>
      <c r="Z238" s="12">
        <v>3.24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35160.519999999997</v>
      </c>
      <c r="AF238" s="12" t="str">
        <f t="shared" si="10"/>
        <v>3 mois = 8 650 €</v>
      </c>
      <c r="AG238" s="12" t="s">
        <v>103</v>
      </c>
      <c r="AH238" s="51">
        <v>1.4999999999999999E-2</v>
      </c>
      <c r="AI238" s="12" t="s">
        <v>380</v>
      </c>
      <c r="AJ238" s="10" t="s">
        <v>75</v>
      </c>
      <c r="AK238" s="10" t="s">
        <v>369</v>
      </c>
      <c r="AL238" s="10"/>
      <c r="AM238" s="11"/>
      <c r="AN238" s="11" t="s">
        <v>1584</v>
      </c>
      <c r="AO238" s="5" t="s">
        <v>367</v>
      </c>
      <c r="AP238" s="11"/>
      <c r="AQ238" s="11"/>
      <c r="AR238" s="11" t="s">
        <v>1674</v>
      </c>
      <c r="AS238" s="36"/>
      <c r="AT238" s="11"/>
      <c r="AU238" s="11" t="s">
        <v>1650</v>
      </c>
      <c r="AV238" s="13" t="s">
        <v>1635</v>
      </c>
      <c r="AW238" s="14"/>
      <c r="AX238" s="44"/>
    </row>
    <row r="239" spans="1:50" ht="25.5">
      <c r="A239" s="38" t="str">
        <f>VLOOKUP(Tableau1[[#This Row],[N° Département]],Feuil1!$C$6:$E$106,3)</f>
        <v>Ile-de-France</v>
      </c>
      <c r="B239" s="38" t="str">
        <f>VLOOKUP(Tableau1[[#This Row],[N° Département]],Feuil1!$C$6:$E$106,2)</f>
        <v>Seine-Saint-Denis</v>
      </c>
      <c r="C239" s="38">
        <f>LEFT(Tableau1[[#This Row],[Code Postal]],2)*1</f>
        <v>93</v>
      </c>
      <c r="D239" s="10" t="s">
        <v>1618</v>
      </c>
      <c r="E239" s="26">
        <v>93100</v>
      </c>
      <c r="F239" s="42" t="s">
        <v>1589</v>
      </c>
      <c r="G239" s="39" t="str">
        <f>Tableau1[[#This Row],[Rue]]&amp;CHAR(10)&amp;Tableau1[[#This Row],[Code Postal]]&amp;" - "&amp;Tableau1[[#This Row],[Ville]]</f>
        <v>297 rue de Rosny
93100 - Montreuil</v>
      </c>
      <c r="H239" s="15" t="s">
        <v>1620</v>
      </c>
      <c r="I239" s="12" t="s">
        <v>45</v>
      </c>
      <c r="J239" s="12" t="s">
        <v>44</v>
      </c>
      <c r="K239" s="10" t="s">
        <v>103</v>
      </c>
      <c r="L239" s="53" t="s">
        <v>1553</v>
      </c>
      <c r="M239" s="12" t="s">
        <v>103</v>
      </c>
      <c r="N239" s="36" t="s">
        <v>1601</v>
      </c>
      <c r="O239" s="34">
        <v>320</v>
      </c>
      <c r="P239" s="6" t="s">
        <v>103</v>
      </c>
      <c r="Q239" s="34">
        <v>600</v>
      </c>
      <c r="R239" s="34" t="s">
        <v>103</v>
      </c>
      <c r="S239" s="6" t="s">
        <v>103</v>
      </c>
      <c r="T239" s="12">
        <f>Tableau1[[#This Row],[Loyer €/m²]]*Tableau1[[#This Row],[Surface GLA]]</f>
        <v>64000</v>
      </c>
      <c r="U239" s="12">
        <f>IFERROR(Tableau1[[#This Row],[Loyer annuel]]/12,"")</f>
        <v>5333.333333333333</v>
      </c>
      <c r="V239" s="12">
        <v>200</v>
      </c>
      <c r="W239" s="34" t="s">
        <v>103</v>
      </c>
      <c r="X239" s="6">
        <f>Tableau1[[#This Row],[Charges €/m²]]*Tableau1[[#This Row],[Surface GLA]]</f>
        <v>0</v>
      </c>
      <c r="Y239" s="12">
        <f>Tableau1[[#This Row],[Charges annuelles]]/12</f>
        <v>0</v>
      </c>
      <c r="Z239" s="12"/>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64000</v>
      </c>
      <c r="AF239" s="12" t="str">
        <f t="shared" si="10"/>
        <v>3 mois = 16 000 €</v>
      </c>
      <c r="AG239" s="12" t="s">
        <v>103</v>
      </c>
      <c r="AH239" s="51">
        <v>1.4999999999999999E-2</v>
      </c>
      <c r="AI239" s="12" t="s">
        <v>380</v>
      </c>
      <c r="AJ239" s="10" t="s">
        <v>75</v>
      </c>
      <c r="AK239" s="10" t="s">
        <v>369</v>
      </c>
      <c r="AL239" s="10"/>
      <c r="AM239" s="11"/>
      <c r="AN239" s="11" t="s">
        <v>1584</v>
      </c>
      <c r="AO239" s="5" t="s">
        <v>367</v>
      </c>
      <c r="AP239" s="11"/>
      <c r="AQ239" s="11"/>
      <c r="AR239" s="11" t="s">
        <v>1675</v>
      </c>
      <c r="AS239" s="36"/>
      <c r="AT239" s="11"/>
      <c r="AU239" s="11" t="s">
        <v>1651</v>
      </c>
      <c r="AV239" s="13" t="s">
        <v>1635</v>
      </c>
      <c r="AW239" s="14"/>
      <c r="AX239" s="44"/>
    </row>
    <row r="240" spans="1:50" ht="25.5">
      <c r="A240" s="38" t="str">
        <f>VLOOKUP(Tableau1[[#This Row],[N° Département]],Feuil1!$C$6:$E$106,3)</f>
        <v>Ile-de-France</v>
      </c>
      <c r="B240" s="38" t="str">
        <f>VLOOKUP(Tableau1[[#This Row],[N° Département]],Feuil1!$C$6:$E$106,2)</f>
        <v>Seine-Saint-Denis</v>
      </c>
      <c r="C240" s="38">
        <f>LEFT(Tableau1[[#This Row],[Code Postal]],2)*1</f>
        <v>93</v>
      </c>
      <c r="D240" s="10" t="s">
        <v>1619</v>
      </c>
      <c r="E240" s="26">
        <v>93100</v>
      </c>
      <c r="F240" s="42" t="s">
        <v>1589</v>
      </c>
      <c r="G240" s="39" t="str">
        <f>Tableau1[[#This Row],[Rue]]&amp;CHAR(10)&amp;Tableau1[[#This Row],[Code Postal]]&amp;" - "&amp;Tableau1[[#This Row],[Ville]]</f>
        <v>299 rue de Rosny
93100 - Montreuil</v>
      </c>
      <c r="H240" s="15" t="s">
        <v>1621</v>
      </c>
      <c r="I240" s="12" t="s">
        <v>45</v>
      </c>
      <c r="J240" s="12" t="s">
        <v>44</v>
      </c>
      <c r="K240" s="10" t="s">
        <v>103</v>
      </c>
      <c r="L240" s="53" t="s">
        <v>1553</v>
      </c>
      <c r="M240" s="12" t="s">
        <v>103</v>
      </c>
      <c r="N240" s="36" t="s">
        <v>1602</v>
      </c>
      <c r="O240" s="34">
        <v>280</v>
      </c>
      <c r="P240" s="6" t="s">
        <v>103</v>
      </c>
      <c r="Q240" s="34">
        <v>600</v>
      </c>
      <c r="R240" s="34" t="s">
        <v>103</v>
      </c>
      <c r="S240" s="6" t="s">
        <v>103</v>
      </c>
      <c r="T240" s="12">
        <f>Tableau1[[#This Row],[Loyer €/m²]]*Tableau1[[#This Row],[Surface GLA]]</f>
        <v>56000</v>
      </c>
      <c r="U240" s="12">
        <f>IFERROR(Tableau1[[#This Row],[Loyer annuel]]/12,"")</f>
        <v>4666.666666666667</v>
      </c>
      <c r="V240" s="12">
        <v>200</v>
      </c>
      <c r="W240" s="34" t="s">
        <v>103</v>
      </c>
      <c r="X240" s="6">
        <f>Tableau1[[#This Row],[Charges €/m²]]*Tableau1[[#This Row],[Surface GLA]]</f>
        <v>0</v>
      </c>
      <c r="Y240" s="12">
        <f>Tableau1[[#This Row],[Charges annuelles]]/12</f>
        <v>0</v>
      </c>
      <c r="Z240" s="12"/>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56000</v>
      </c>
      <c r="AF240" s="12" t="str">
        <f t="shared" si="10"/>
        <v>3 mois = 14 000 €</v>
      </c>
      <c r="AG240" s="12" t="s">
        <v>103</v>
      </c>
      <c r="AH240" s="51">
        <v>1.4999999999999999E-2</v>
      </c>
      <c r="AI240" s="12" t="s">
        <v>380</v>
      </c>
      <c r="AJ240" s="10" t="s">
        <v>75</v>
      </c>
      <c r="AK240" s="10" t="s">
        <v>369</v>
      </c>
      <c r="AL240" s="10"/>
      <c r="AM240" s="11"/>
      <c r="AN240" s="11" t="s">
        <v>1584</v>
      </c>
      <c r="AO240" s="5" t="s">
        <v>367</v>
      </c>
      <c r="AP240" s="11"/>
      <c r="AQ240" s="11"/>
      <c r="AR240" s="11" t="s">
        <v>1676</v>
      </c>
      <c r="AS240" s="36"/>
      <c r="AT240" s="11"/>
      <c r="AU240" s="11" t="s">
        <v>1652</v>
      </c>
      <c r="AV240" s="13" t="s">
        <v>1635</v>
      </c>
      <c r="AW240" s="14"/>
      <c r="AX240" s="44"/>
    </row>
    <row r="241" spans="1:50" ht="25.5">
      <c r="A241" s="38" t="str">
        <f>VLOOKUP(Tableau1[[#This Row],[N° Département]],Feuil1!$C$6:$E$106,3)</f>
        <v>Ile-de-France</v>
      </c>
      <c r="B241" s="38" t="str">
        <f>VLOOKUP(Tableau1[[#This Row],[N° Département]],Feuil1!$C$6:$E$106,2)</f>
        <v>Yvelines</v>
      </c>
      <c r="C241" s="38">
        <f>LEFT(Tableau1[[#This Row],[Code Postal]],2)*1</f>
        <v>78</v>
      </c>
      <c r="D241" s="10" t="s">
        <v>1622</v>
      </c>
      <c r="E241" s="26">
        <v>78300</v>
      </c>
      <c r="F241" s="42" t="s">
        <v>1590</v>
      </c>
      <c r="G241" s="39" t="str">
        <f>Tableau1[[#This Row],[Rue]]&amp;CHAR(10)&amp;Tableau1[[#This Row],[Code Postal]]&amp;" - "&amp;Tableau1[[#This Row],[Ville]]</f>
        <v>30 rue Maurice Clerc
78300 - Poissy</v>
      </c>
      <c r="H241" s="15" t="s">
        <v>1623</v>
      </c>
      <c r="I241" s="12" t="s">
        <v>45</v>
      </c>
      <c r="J241" s="12" t="s">
        <v>44</v>
      </c>
      <c r="K241" s="10" t="s">
        <v>103</v>
      </c>
      <c r="L241" s="53" t="s">
        <v>1553</v>
      </c>
      <c r="M241" s="12" t="s">
        <v>103</v>
      </c>
      <c r="N241" s="36" t="s">
        <v>1603</v>
      </c>
      <c r="O241" s="34">
        <v>123</v>
      </c>
      <c r="P241" s="6" t="s">
        <v>103</v>
      </c>
      <c r="Q241" s="34" t="s">
        <v>103</v>
      </c>
      <c r="R241" s="34" t="s">
        <v>103</v>
      </c>
      <c r="S241" s="6" t="s">
        <v>103</v>
      </c>
      <c r="T241" s="12">
        <f>Tableau1[[#This Row],[Loyer €/m²]]*Tableau1[[#This Row],[Surface GLA]]</f>
        <v>30750</v>
      </c>
      <c r="U241" s="12">
        <f>IFERROR(Tableau1[[#This Row],[Loyer annuel]]/12,"")</f>
        <v>2562.5</v>
      </c>
      <c r="V241" s="12">
        <v>250</v>
      </c>
      <c r="W241" s="34" t="s">
        <v>103</v>
      </c>
      <c r="X241" s="6">
        <f>Tableau1[[#This Row],[Charges €/m²]]*Tableau1[[#This Row],[Surface GLA]]</f>
        <v>1138.98</v>
      </c>
      <c r="Y241" s="12">
        <f>Tableau1[[#This Row],[Charges annuelles]]/12</f>
        <v>94.915000000000006</v>
      </c>
      <c r="Z241" s="12">
        <v>9.26</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31888.98</v>
      </c>
      <c r="AF241" s="12" t="str">
        <f t="shared" si="10"/>
        <v>3 mois = 7 688 €</v>
      </c>
      <c r="AG241" s="12" t="s">
        <v>103</v>
      </c>
      <c r="AH241" s="51">
        <v>1.4999999999999999E-2</v>
      </c>
      <c r="AI241" s="12" t="s">
        <v>380</v>
      </c>
      <c r="AJ241" s="10" t="s">
        <v>75</v>
      </c>
      <c r="AK241" s="10" t="s">
        <v>369</v>
      </c>
      <c r="AL241" s="10"/>
      <c r="AM241" s="11"/>
      <c r="AN241" s="11" t="s">
        <v>1584</v>
      </c>
      <c r="AO241" s="5" t="s">
        <v>367</v>
      </c>
      <c r="AP241" s="11"/>
      <c r="AQ241" s="11"/>
      <c r="AR241" s="11" t="s">
        <v>1677</v>
      </c>
      <c r="AS241" s="36"/>
      <c r="AT241" s="11"/>
      <c r="AU241" s="11" t="s">
        <v>1653</v>
      </c>
      <c r="AV241" s="13" t="s">
        <v>1635</v>
      </c>
      <c r="AW241" s="14"/>
      <c r="AX241" s="44"/>
    </row>
    <row r="242" spans="1:50" ht="25.5">
      <c r="A242" s="38" t="str">
        <f>VLOOKUP(Tableau1[[#This Row],[N° Département]],Feuil1!$C$6:$E$106,3)</f>
        <v>Ile-de-France</v>
      </c>
      <c r="B242" s="38" t="str">
        <f>VLOOKUP(Tableau1[[#This Row],[N° Département]],Feuil1!$C$6:$E$106,2)</f>
        <v>Yvelines</v>
      </c>
      <c r="C242" s="38">
        <f>LEFT(Tableau1[[#This Row],[Code Postal]],2)*1</f>
        <v>78</v>
      </c>
      <c r="D242" s="10" t="s">
        <v>1622</v>
      </c>
      <c r="E242" s="26">
        <v>78300</v>
      </c>
      <c r="F242" s="42" t="s">
        <v>1590</v>
      </c>
      <c r="G242" s="39" t="str">
        <f>Tableau1[[#This Row],[Rue]]&amp;CHAR(10)&amp;Tableau1[[#This Row],[Code Postal]]&amp;" - "&amp;Tableau1[[#This Row],[Ville]]</f>
        <v>30 rue Maurice Clerc
78300 - Poissy</v>
      </c>
      <c r="H242" s="15" t="s">
        <v>1623</v>
      </c>
      <c r="I242" s="12" t="s">
        <v>45</v>
      </c>
      <c r="J242" s="12" t="s">
        <v>44</v>
      </c>
      <c r="K242" s="10" t="s">
        <v>103</v>
      </c>
      <c r="L242" s="53" t="s">
        <v>1553</v>
      </c>
      <c r="M242" s="12" t="s">
        <v>103</v>
      </c>
      <c r="N242" s="36" t="s">
        <v>1604</v>
      </c>
      <c r="O242" s="34">
        <v>111</v>
      </c>
      <c r="P242" s="6" t="s">
        <v>103</v>
      </c>
      <c r="Q242" s="34" t="s">
        <v>103</v>
      </c>
      <c r="R242" s="34" t="s">
        <v>103</v>
      </c>
      <c r="S242" s="6" t="s">
        <v>103</v>
      </c>
      <c r="T242" s="12">
        <f>Tableau1[[#This Row],[Loyer €/m²]]*Tableau1[[#This Row],[Surface GLA]]</f>
        <v>27750</v>
      </c>
      <c r="U242" s="12">
        <f>IFERROR(Tableau1[[#This Row],[Loyer annuel]]/12,"")</f>
        <v>2312.5</v>
      </c>
      <c r="V242" s="12">
        <v>250</v>
      </c>
      <c r="W242" s="34" t="s">
        <v>103</v>
      </c>
      <c r="X242" s="6">
        <f>Tableau1[[#This Row],[Charges €/m²]]*Tableau1[[#This Row],[Surface GLA]]</f>
        <v>1279.83</v>
      </c>
      <c r="Y242" s="12">
        <f>Tableau1[[#This Row],[Charges annuelles]]/12</f>
        <v>106.65249999999999</v>
      </c>
      <c r="Z242" s="12">
        <v>11.53</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29029.83</v>
      </c>
      <c r="AF242" s="12" t="str">
        <f t="shared" si="10"/>
        <v>3 mois = 6 938 €</v>
      </c>
      <c r="AG242" s="12" t="s">
        <v>103</v>
      </c>
      <c r="AH242" s="51">
        <v>1.4999999999999999E-2</v>
      </c>
      <c r="AI242" s="12" t="s">
        <v>380</v>
      </c>
      <c r="AJ242" s="10" t="s">
        <v>75</v>
      </c>
      <c r="AK242" s="10" t="s">
        <v>369</v>
      </c>
      <c r="AL242" s="10"/>
      <c r="AM242" s="11"/>
      <c r="AN242" s="11" t="s">
        <v>1584</v>
      </c>
      <c r="AO242" s="5" t="s">
        <v>367</v>
      </c>
      <c r="AP242" s="11"/>
      <c r="AQ242" s="11"/>
      <c r="AR242" s="11" t="s">
        <v>1678</v>
      </c>
      <c r="AS242" s="36"/>
      <c r="AT242" s="11"/>
      <c r="AU242" s="11" t="s">
        <v>1654</v>
      </c>
      <c r="AV242" s="13" t="s">
        <v>1635</v>
      </c>
      <c r="AW242" s="14"/>
      <c r="AX242" s="44"/>
    </row>
    <row r="243" spans="1:50" ht="25.5">
      <c r="A243" s="38" t="str">
        <f>VLOOKUP(Tableau1[[#This Row],[N° Département]],Feuil1!$C$6:$E$106,3)</f>
        <v>Ile-de-France</v>
      </c>
      <c r="B243" s="38" t="str">
        <f>VLOOKUP(Tableau1[[#This Row],[N° Département]],Feuil1!$C$6:$E$106,2)</f>
        <v>Seine-Saint-Denis</v>
      </c>
      <c r="C243" s="38">
        <f>LEFT(Tableau1[[#This Row],[Code Postal]],2)*1</f>
        <v>93</v>
      </c>
      <c r="D243" s="10" t="s">
        <v>1624</v>
      </c>
      <c r="E243" s="26">
        <v>93400</v>
      </c>
      <c r="F243" s="42" t="s">
        <v>1591</v>
      </c>
      <c r="G243" s="39" t="str">
        <f>Tableau1[[#This Row],[Rue]]&amp;CHAR(10)&amp;Tableau1[[#This Row],[Code Postal]]&amp;" - "&amp;Tableau1[[#This Row],[Ville]]</f>
        <v>12 bis rue des Bateliers
93400 - Saint-Ouen</v>
      </c>
      <c r="H243" s="15" t="s">
        <v>1625</v>
      </c>
      <c r="I243" s="12" t="s">
        <v>45</v>
      </c>
      <c r="J243" s="12" t="s">
        <v>44</v>
      </c>
      <c r="K243" s="10" t="s">
        <v>103</v>
      </c>
      <c r="L243" s="53" t="s">
        <v>1553</v>
      </c>
      <c r="M243" s="12" t="s">
        <v>103</v>
      </c>
      <c r="N243" s="36" t="s">
        <v>335</v>
      </c>
      <c r="O243" s="34">
        <v>129</v>
      </c>
      <c r="P243" s="6" t="s">
        <v>103</v>
      </c>
      <c r="Q243" s="34" t="s">
        <v>103</v>
      </c>
      <c r="R243" s="34" t="s">
        <v>103</v>
      </c>
      <c r="S243" s="6" t="s">
        <v>103</v>
      </c>
      <c r="T243" s="12">
        <f>Tableau1[[#This Row],[Loyer €/m²]]*Tableau1[[#This Row],[Surface GLA]]</f>
        <v>45150</v>
      </c>
      <c r="U243" s="12">
        <f>IFERROR(Tableau1[[#This Row],[Loyer annuel]]/12,"")</f>
        <v>3762.5</v>
      </c>
      <c r="V243" s="12">
        <v>350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45150</v>
      </c>
      <c r="AF243" s="12" t="str">
        <f t="shared" si="10"/>
        <v>3 mois = 11 288 €</v>
      </c>
      <c r="AG243" s="12" t="s">
        <v>103</v>
      </c>
      <c r="AH243" s="51">
        <v>1.4999999999999999E-2</v>
      </c>
      <c r="AI243" s="12" t="s">
        <v>380</v>
      </c>
      <c r="AJ243" s="10" t="s">
        <v>75</v>
      </c>
      <c r="AK243" s="10" t="s">
        <v>369</v>
      </c>
      <c r="AL243" s="10"/>
      <c r="AM243" s="11"/>
      <c r="AN243" s="11" t="s">
        <v>1584</v>
      </c>
      <c r="AO243" s="5" t="s">
        <v>367</v>
      </c>
      <c r="AP243" s="11"/>
      <c r="AQ243" s="11"/>
      <c r="AR243" s="11">
        <v>77</v>
      </c>
      <c r="AS243" s="36"/>
      <c r="AT243" s="11"/>
      <c r="AU243" s="11" t="s">
        <v>1655</v>
      </c>
      <c r="AV243" s="13" t="s">
        <v>1635</v>
      </c>
      <c r="AW243" s="14"/>
      <c r="AX243" s="44"/>
    </row>
    <row r="244" spans="1:50" ht="25.5">
      <c r="A244" s="38" t="str">
        <f>VLOOKUP(Tableau1[[#This Row],[N° Département]],Feuil1!$C$6:$E$106,3)</f>
        <v>Ile-de-France</v>
      </c>
      <c r="B244" s="38" t="str">
        <f>VLOOKUP(Tableau1[[#This Row],[N° Département]],Feuil1!$C$6:$E$106,2)</f>
        <v>Val-de-Marne</v>
      </c>
      <c r="C244" s="38">
        <f>LEFT(Tableau1[[#This Row],[Code Postal]],2)*1</f>
        <v>94</v>
      </c>
      <c r="D244" s="10" t="s">
        <v>1627</v>
      </c>
      <c r="E244" s="26">
        <v>94510</v>
      </c>
      <c r="F244" s="42" t="s">
        <v>1592</v>
      </c>
      <c r="G244" s="39" t="str">
        <f>Tableau1[[#This Row],[Rue]]&amp;CHAR(10)&amp;Tableau1[[#This Row],[Code Postal]]&amp;" - "&amp;Tableau1[[#This Row],[Ville]]</f>
        <v>rue Dunoyer de Segonzac
94510 - La Queue en Brie</v>
      </c>
      <c r="H244" s="15" t="s">
        <v>1626</v>
      </c>
      <c r="I244" s="12" t="s">
        <v>45</v>
      </c>
      <c r="J244" s="12" t="s">
        <v>44</v>
      </c>
      <c r="K244" s="10" t="s">
        <v>103</v>
      </c>
      <c r="L244" s="53" t="s">
        <v>1553</v>
      </c>
      <c r="M244" s="12" t="s">
        <v>103</v>
      </c>
      <c r="N244" s="36" t="s">
        <v>360</v>
      </c>
      <c r="O244" s="34">
        <v>53</v>
      </c>
      <c r="P244" s="6" t="s">
        <v>103</v>
      </c>
      <c r="Q244" s="34" t="s">
        <v>103</v>
      </c>
      <c r="R244" s="34" t="s">
        <v>103</v>
      </c>
      <c r="S244" s="6" t="s">
        <v>103</v>
      </c>
      <c r="T244" s="12">
        <f>Tableau1[[#This Row],[Loyer €/m²]]*Tableau1[[#This Row],[Surface GLA]]</f>
        <v>15900</v>
      </c>
      <c r="U244" s="12">
        <f>IFERROR(Tableau1[[#This Row],[Loyer annuel]]/12,"")</f>
        <v>1325</v>
      </c>
      <c r="V244" s="12">
        <v>300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15900</v>
      </c>
      <c r="AF244" s="12" t="str">
        <f t="shared" si="10"/>
        <v>3 mois = 3 975 €</v>
      </c>
      <c r="AG244" s="12" t="s">
        <v>103</v>
      </c>
      <c r="AH244" s="51">
        <v>1.4999999999999999E-2</v>
      </c>
      <c r="AI244" s="12" t="s">
        <v>380</v>
      </c>
      <c r="AJ244" s="10" t="s">
        <v>75</v>
      </c>
      <c r="AK244" s="10" t="s">
        <v>369</v>
      </c>
      <c r="AL244" s="10"/>
      <c r="AM244" s="11"/>
      <c r="AN244" s="11" t="s">
        <v>1584</v>
      </c>
      <c r="AO244" s="5" t="s">
        <v>367</v>
      </c>
      <c r="AP244" s="11"/>
      <c r="AQ244" s="11"/>
      <c r="AR244" s="11" t="s">
        <v>1679</v>
      </c>
      <c r="AS244" s="36"/>
      <c r="AT244" s="11"/>
      <c r="AU244" s="11" t="s">
        <v>1656</v>
      </c>
      <c r="AV244" s="13" t="s">
        <v>1635</v>
      </c>
      <c r="AW244" s="14"/>
      <c r="AX244" s="44"/>
    </row>
    <row r="245" spans="1:50" ht="25.5">
      <c r="A245" s="38" t="str">
        <f>VLOOKUP(Tableau1[[#This Row],[N° Département]],Feuil1!$C$6:$E$106,3)</f>
        <v>Ile-de-France</v>
      </c>
      <c r="B245" s="38" t="str">
        <f>VLOOKUP(Tableau1[[#This Row],[N° Département]],Feuil1!$C$6:$E$106,2)</f>
        <v>Val-de-Marne</v>
      </c>
      <c r="C245" s="38">
        <f>LEFT(Tableau1[[#This Row],[Code Postal]],2)*1</f>
        <v>94</v>
      </c>
      <c r="D245" s="10" t="s">
        <v>1627</v>
      </c>
      <c r="E245" s="26">
        <v>94511</v>
      </c>
      <c r="F245" s="42" t="s">
        <v>1592</v>
      </c>
      <c r="G245" s="39" t="str">
        <f>Tableau1[[#This Row],[Rue]]&amp;CHAR(10)&amp;Tableau1[[#This Row],[Code Postal]]&amp;" - "&amp;Tableau1[[#This Row],[Ville]]</f>
        <v>rue Dunoyer de Segonzac
94511 - La Queue en Brie</v>
      </c>
      <c r="H245" s="15" t="s">
        <v>1626</v>
      </c>
      <c r="I245" s="12" t="s">
        <v>45</v>
      </c>
      <c r="J245" s="12" t="s">
        <v>44</v>
      </c>
      <c r="K245" s="10" t="s">
        <v>103</v>
      </c>
      <c r="L245" s="53" t="s">
        <v>1553</v>
      </c>
      <c r="M245" s="12" t="s">
        <v>103</v>
      </c>
      <c r="N245" s="36" t="s">
        <v>359</v>
      </c>
      <c r="O245" s="34">
        <v>152</v>
      </c>
      <c r="P245" s="6" t="s">
        <v>103</v>
      </c>
      <c r="Q245" s="34" t="s">
        <v>103</v>
      </c>
      <c r="R245" s="34" t="s">
        <v>103</v>
      </c>
      <c r="S245" s="6" t="s">
        <v>103</v>
      </c>
      <c r="T245" s="12">
        <f>Tableau1[[#This Row],[Loyer €/m²]]*Tableau1[[#This Row],[Surface GLA]]</f>
        <v>38000</v>
      </c>
      <c r="U245" s="12">
        <f>IFERROR(Tableau1[[#This Row],[Loyer annuel]]/12,"")</f>
        <v>3166.6666666666665</v>
      </c>
      <c r="V245" s="12">
        <v>250</v>
      </c>
      <c r="W245" s="34" t="s">
        <v>103</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38000</v>
      </c>
      <c r="AF245" s="12" t="str">
        <f t="shared" si="10"/>
        <v>3 mois = 9 500 €</v>
      </c>
      <c r="AG245" s="12" t="s">
        <v>103</v>
      </c>
      <c r="AH245" s="51">
        <v>1.4999999999999999E-2</v>
      </c>
      <c r="AI245" s="12" t="s">
        <v>380</v>
      </c>
      <c r="AJ245" s="10" t="s">
        <v>75</v>
      </c>
      <c r="AK245" s="10" t="s">
        <v>369</v>
      </c>
      <c r="AL245" s="10"/>
      <c r="AM245" s="11"/>
      <c r="AN245" s="11" t="s">
        <v>1584</v>
      </c>
      <c r="AO245" s="5" t="s">
        <v>367</v>
      </c>
      <c r="AP245" s="11"/>
      <c r="AQ245" s="11"/>
      <c r="AR245" s="11" t="s">
        <v>1632</v>
      </c>
      <c r="AS245" s="36"/>
      <c r="AT245" s="11"/>
      <c r="AU245" s="11" t="s">
        <v>1657</v>
      </c>
      <c r="AV245" s="13" t="s">
        <v>1635</v>
      </c>
      <c r="AW245" s="14"/>
      <c r="AX245" s="44"/>
    </row>
    <row r="246" spans="1:50" ht="25.5">
      <c r="A246" s="38" t="str">
        <f>VLOOKUP(Tableau1[[#This Row],[N° Département]],Feuil1!$C$6:$E$106,3)</f>
        <v>Ile-de-France</v>
      </c>
      <c r="B246" s="38" t="str">
        <f>VLOOKUP(Tableau1[[#This Row],[N° Département]],Feuil1!$C$6:$E$106,2)</f>
        <v>Val-de-Marne</v>
      </c>
      <c r="C246" s="38">
        <f>LEFT(Tableau1[[#This Row],[Code Postal]],2)*1</f>
        <v>94</v>
      </c>
      <c r="D246" s="10" t="s">
        <v>1627</v>
      </c>
      <c r="E246" s="26">
        <v>94512</v>
      </c>
      <c r="F246" s="42" t="s">
        <v>1592</v>
      </c>
      <c r="G246" s="39" t="str">
        <f>Tableau1[[#This Row],[Rue]]&amp;CHAR(10)&amp;Tableau1[[#This Row],[Code Postal]]&amp;" - "&amp;Tableau1[[#This Row],[Ville]]</f>
        <v>rue Dunoyer de Segonzac
94512 - La Queue en Brie</v>
      </c>
      <c r="H246" s="15" t="s">
        <v>1626</v>
      </c>
      <c r="I246" s="12" t="s">
        <v>45</v>
      </c>
      <c r="J246" s="12" t="s">
        <v>44</v>
      </c>
      <c r="K246" s="10" t="s">
        <v>103</v>
      </c>
      <c r="L246" s="53" t="s">
        <v>1553</v>
      </c>
      <c r="M246" s="12" t="s">
        <v>103</v>
      </c>
      <c r="N246" s="36" t="s">
        <v>358</v>
      </c>
      <c r="O246" s="34">
        <v>95</v>
      </c>
      <c r="P246" s="6" t="s">
        <v>103</v>
      </c>
      <c r="Q246" s="34" t="s">
        <v>103</v>
      </c>
      <c r="R246" s="34" t="s">
        <v>103</v>
      </c>
      <c r="S246" s="6" t="s">
        <v>103</v>
      </c>
      <c r="T246" s="12">
        <f>Tableau1[[#This Row],[Loyer €/m²]]*Tableau1[[#This Row],[Surface GLA]]</f>
        <v>23750</v>
      </c>
      <c r="U246" s="12">
        <f>IFERROR(Tableau1[[#This Row],[Loyer annuel]]/12,"")</f>
        <v>1979.1666666666667</v>
      </c>
      <c r="V246" s="12">
        <v>250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23750</v>
      </c>
      <c r="AF246" s="12" t="str">
        <f t="shared" si="10"/>
        <v>3 mois = 5 938 €</v>
      </c>
      <c r="AG246" s="12" t="s">
        <v>103</v>
      </c>
      <c r="AH246" s="51">
        <v>1.4999999999999999E-2</v>
      </c>
      <c r="AI246" s="12" t="s">
        <v>380</v>
      </c>
      <c r="AJ246" s="10" t="s">
        <v>75</v>
      </c>
      <c r="AK246" s="10" t="s">
        <v>369</v>
      </c>
      <c r="AL246" s="10"/>
      <c r="AM246" s="11"/>
      <c r="AN246" s="11" t="s">
        <v>1584</v>
      </c>
      <c r="AO246" s="5" t="s">
        <v>367</v>
      </c>
      <c r="AP246" s="11"/>
      <c r="AQ246" s="11"/>
      <c r="AR246" s="11" t="s">
        <v>1680</v>
      </c>
      <c r="AS246" s="36"/>
      <c r="AT246" s="11"/>
      <c r="AU246" s="11" t="s">
        <v>1658</v>
      </c>
      <c r="AV246" s="13" t="s">
        <v>1635</v>
      </c>
      <c r="AW246" s="14"/>
      <c r="AX246" s="44"/>
    </row>
    <row r="247" spans="1:50" ht="25.5">
      <c r="A247" s="38" t="str">
        <f>VLOOKUP(Tableau1[[#This Row],[N° Département]],Feuil1!$C$6:$E$106,3)</f>
        <v>Ile-de-France</v>
      </c>
      <c r="B247" s="38" t="str">
        <f>VLOOKUP(Tableau1[[#This Row],[N° Département]],Feuil1!$C$6:$E$106,2)</f>
        <v>Val-de-Marne</v>
      </c>
      <c r="C247" s="38">
        <f>LEFT(Tableau1[[#This Row],[Code Postal]],2)*1</f>
        <v>94</v>
      </c>
      <c r="D247" s="10" t="s">
        <v>1627</v>
      </c>
      <c r="E247" s="26">
        <v>94513</v>
      </c>
      <c r="F247" s="42" t="s">
        <v>1592</v>
      </c>
      <c r="G247" s="39" t="str">
        <f>Tableau1[[#This Row],[Rue]]&amp;CHAR(10)&amp;Tableau1[[#This Row],[Code Postal]]&amp;" - "&amp;Tableau1[[#This Row],[Ville]]</f>
        <v>rue Dunoyer de Segonzac
94513 - La Queue en Brie</v>
      </c>
      <c r="H247" s="15" t="s">
        <v>1626</v>
      </c>
      <c r="I247" s="12" t="s">
        <v>45</v>
      </c>
      <c r="J247" s="12" t="s">
        <v>44</v>
      </c>
      <c r="K247" s="10" t="s">
        <v>103</v>
      </c>
      <c r="L247" s="53" t="s">
        <v>1553</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 t="shared" si="10"/>
        <v>3 mois = 2 850 €</v>
      </c>
      <c r="AG247" s="12" t="s">
        <v>103</v>
      </c>
      <c r="AH247" s="51">
        <v>1.4999999999999999E-2</v>
      </c>
      <c r="AI247" s="12" t="s">
        <v>380</v>
      </c>
      <c r="AJ247" s="10" t="s">
        <v>75</v>
      </c>
      <c r="AK247" s="10" t="s">
        <v>369</v>
      </c>
      <c r="AL247" s="10"/>
      <c r="AM247" s="11"/>
      <c r="AN247" s="11" t="s">
        <v>1584</v>
      </c>
      <c r="AO247" s="5" t="s">
        <v>367</v>
      </c>
      <c r="AP247" s="11"/>
      <c r="AQ247" s="11"/>
      <c r="AR247" s="11" t="s">
        <v>1681</v>
      </c>
      <c r="AS247" s="36"/>
      <c r="AT247" s="11"/>
      <c r="AU247" s="11" t="s">
        <v>1659</v>
      </c>
      <c r="AV247" s="13" t="s">
        <v>1635</v>
      </c>
      <c r="AW247" s="14"/>
      <c r="AX247" s="44"/>
    </row>
    <row r="248" spans="1:50" ht="25.5">
      <c r="A248" s="38" t="str">
        <f>VLOOKUP(Tableau1[[#This Row],[N° Département]],Feuil1!$C$6:$E$106,3)</f>
        <v>Auvergne-Rhône-Alpes</v>
      </c>
      <c r="B248" s="38" t="str">
        <f>VLOOKUP(Tableau1[[#This Row],[N° Département]],Feuil1!$C$6:$E$106,2)</f>
        <v>Rhône</v>
      </c>
      <c r="C248" s="38">
        <f>LEFT(Tableau1[[#This Row],[Code Postal]],2)*1</f>
        <v>69</v>
      </c>
      <c r="D248" s="10" t="s">
        <v>1628</v>
      </c>
      <c r="E248" s="26">
        <v>69002</v>
      </c>
      <c r="F248" s="42" t="s">
        <v>1593</v>
      </c>
      <c r="G248" s="39" t="str">
        <f>Tableau1[[#This Row],[Rue]]&amp;CHAR(10)&amp;Tableau1[[#This Row],[Code Postal]]&amp;" - "&amp;Tableau1[[#This Row],[Ville]]</f>
        <v>Allée Louis Thomas Achille
69002 - Lyon Confluence</v>
      </c>
      <c r="H248" s="15" t="s">
        <v>1629</v>
      </c>
      <c r="I248" s="12" t="s">
        <v>45</v>
      </c>
      <c r="J248" s="12" t="s">
        <v>44</v>
      </c>
      <c r="K248" s="10" t="s">
        <v>103</v>
      </c>
      <c r="L248" s="53" t="s">
        <v>1553</v>
      </c>
      <c r="M248" s="12" t="s">
        <v>103</v>
      </c>
      <c r="N248" s="36" t="s">
        <v>1605</v>
      </c>
      <c r="O248" s="34">
        <v>248</v>
      </c>
      <c r="P248" s="6" t="s">
        <v>103</v>
      </c>
      <c r="Q248" s="34" t="s">
        <v>103</v>
      </c>
      <c r="R248" s="34" t="s">
        <v>103</v>
      </c>
      <c r="S248" s="6" t="s">
        <v>103</v>
      </c>
      <c r="T248" s="12">
        <f>Tableau1[[#This Row],[Loyer €/m²]]*Tableau1[[#This Row],[Surface GLA]]</f>
        <v>62000</v>
      </c>
      <c r="U248" s="12">
        <f>IFERROR(Tableau1[[#This Row],[Loyer annuel]]/12,"")</f>
        <v>5166.666666666667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62000</v>
      </c>
      <c r="AF248" s="12" t="str">
        <f t="shared" si="10"/>
        <v>3 mois = 15 500 €</v>
      </c>
      <c r="AG248" s="12" t="s">
        <v>103</v>
      </c>
      <c r="AH248" s="51">
        <v>1.4999999999999999E-2</v>
      </c>
      <c r="AI248" s="12" t="s">
        <v>380</v>
      </c>
      <c r="AJ248" s="10" t="s">
        <v>75</v>
      </c>
      <c r="AK248" s="10" t="s">
        <v>369</v>
      </c>
      <c r="AL248" s="10"/>
      <c r="AM248" s="11"/>
      <c r="AN248" s="11" t="s">
        <v>1584</v>
      </c>
      <c r="AO248" s="5" t="s">
        <v>367</v>
      </c>
      <c r="AP248" s="11"/>
      <c r="AQ248" s="11"/>
      <c r="AR248" s="11" t="s">
        <v>1682</v>
      </c>
      <c r="AS248" s="36"/>
      <c r="AT248" s="11"/>
      <c r="AU248" s="11" t="s">
        <v>1660</v>
      </c>
      <c r="AV248" s="13" t="s">
        <v>1635</v>
      </c>
      <c r="AW248" s="14"/>
      <c r="AX248" s="44"/>
    </row>
    <row r="249" spans="1:50" ht="25.5">
      <c r="A249" s="38" t="str">
        <f>VLOOKUP(Tableau1[[#This Row],[N° Département]],Feuil1!$C$6:$E$106,3)</f>
        <v>Auvergne-Rhône-Alpes</v>
      </c>
      <c r="B249" s="38" t="str">
        <f>VLOOKUP(Tableau1[[#This Row],[N° Département]],Feuil1!$C$6:$E$106,2)</f>
        <v>Rhône</v>
      </c>
      <c r="C249" s="38">
        <f>LEFT(Tableau1[[#This Row],[Code Postal]],2)*1</f>
        <v>69</v>
      </c>
      <c r="D249" s="10" t="s">
        <v>1628</v>
      </c>
      <c r="E249" s="26">
        <v>69002</v>
      </c>
      <c r="F249" s="42" t="s">
        <v>1593</v>
      </c>
      <c r="G249" s="39" t="str">
        <f>Tableau1[[#This Row],[Rue]]&amp;CHAR(10)&amp;Tableau1[[#This Row],[Code Postal]]&amp;" - "&amp;Tableau1[[#This Row],[Ville]]</f>
        <v>Allée Louis Thomas Achille
69002 - Lyon Confluence</v>
      </c>
      <c r="H249" s="15" t="s">
        <v>1629</v>
      </c>
      <c r="I249" s="12" t="s">
        <v>45</v>
      </c>
      <c r="J249" s="12" t="s">
        <v>44</v>
      </c>
      <c r="K249" s="10" t="s">
        <v>103</v>
      </c>
      <c r="L249" s="53" t="s">
        <v>1553</v>
      </c>
      <c r="M249" s="12" t="s">
        <v>103</v>
      </c>
      <c r="N249" s="36" t="s">
        <v>1606</v>
      </c>
      <c r="O249" s="34">
        <v>264</v>
      </c>
      <c r="P249" s="6" t="s">
        <v>103</v>
      </c>
      <c r="Q249" s="34" t="s">
        <v>103</v>
      </c>
      <c r="R249" s="34" t="s">
        <v>103</v>
      </c>
      <c r="S249" s="6" t="s">
        <v>103</v>
      </c>
      <c r="T249" s="12">
        <f>Tableau1[[#This Row],[Loyer €/m²]]*Tableau1[[#This Row],[Surface GLA]]</f>
        <v>52800</v>
      </c>
      <c r="U249" s="12">
        <f>IFERROR(Tableau1[[#This Row],[Loyer annuel]]/12,"")</f>
        <v>4400</v>
      </c>
      <c r="V249" s="12">
        <v>200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52800</v>
      </c>
      <c r="AF249" s="12" t="str">
        <f t="shared" si="10"/>
        <v>3 mois = 13 200 €</v>
      </c>
      <c r="AG249" s="12" t="s">
        <v>103</v>
      </c>
      <c r="AH249" s="51">
        <v>1.4999999999999999E-2</v>
      </c>
      <c r="AI249" s="12" t="s">
        <v>380</v>
      </c>
      <c r="AJ249" s="10" t="s">
        <v>75</v>
      </c>
      <c r="AK249" s="10" t="s">
        <v>369</v>
      </c>
      <c r="AL249" s="10"/>
      <c r="AM249" s="11"/>
      <c r="AN249" s="11" t="s">
        <v>1584</v>
      </c>
      <c r="AO249" s="5" t="s">
        <v>367</v>
      </c>
      <c r="AP249" s="11"/>
      <c r="AQ249" s="11"/>
      <c r="AR249" s="11" t="s">
        <v>1683</v>
      </c>
      <c r="AS249" s="36"/>
      <c r="AT249" s="11"/>
      <c r="AU249" s="11" t="s">
        <v>1661</v>
      </c>
      <c r="AV249" s="13" t="s">
        <v>1635</v>
      </c>
      <c r="AW249" s="14"/>
      <c r="AX249" s="44"/>
    </row>
    <row r="250" spans="1:50" ht="25.5">
      <c r="A250" s="38" t="str">
        <f>VLOOKUP(Tableau1[[#This Row],[N° Département]],Feuil1!$C$6:$E$106,3)</f>
        <v>Auvergne-Rhône-Alpes</v>
      </c>
      <c r="B250" s="38" t="str">
        <f>VLOOKUP(Tableau1[[#This Row],[N° Département]],Feuil1!$C$6:$E$106,2)</f>
        <v>Rhône</v>
      </c>
      <c r="C250" s="38">
        <f>LEFT(Tableau1[[#This Row],[Code Postal]],2)*1</f>
        <v>69</v>
      </c>
      <c r="D250" s="10" t="s">
        <v>1628</v>
      </c>
      <c r="E250" s="26">
        <v>69002</v>
      </c>
      <c r="F250" s="42" t="s">
        <v>1593</v>
      </c>
      <c r="G250" s="39" t="str">
        <f>Tableau1[[#This Row],[Rue]]&amp;CHAR(10)&amp;Tableau1[[#This Row],[Code Postal]]&amp;" - "&amp;Tableau1[[#This Row],[Ville]]</f>
        <v>Allée Louis Thomas Achille
69002 - Lyon Confluence</v>
      </c>
      <c r="H250" s="15" t="s">
        <v>1629</v>
      </c>
      <c r="I250" s="12" t="s">
        <v>45</v>
      </c>
      <c r="J250" s="12" t="s">
        <v>44</v>
      </c>
      <c r="K250" s="10" t="s">
        <v>103</v>
      </c>
      <c r="L250" s="53" t="s">
        <v>1553</v>
      </c>
      <c r="M250" s="12" t="s">
        <v>103</v>
      </c>
      <c r="N250" s="36" t="s">
        <v>1607</v>
      </c>
      <c r="O250" s="34">
        <v>174</v>
      </c>
      <c r="P250" s="6" t="s">
        <v>103</v>
      </c>
      <c r="Q250" s="34" t="s">
        <v>103</v>
      </c>
      <c r="R250" s="34" t="s">
        <v>103</v>
      </c>
      <c r="S250" s="6" t="s">
        <v>103</v>
      </c>
      <c r="T250" s="12">
        <f>Tableau1[[#This Row],[Loyer €/m²]]*Tableau1[[#This Row],[Surface GLA]]</f>
        <v>43500</v>
      </c>
      <c r="U250" s="12">
        <f>IFERROR(Tableau1[[#This Row],[Loyer annuel]]/12,"")</f>
        <v>3625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43500</v>
      </c>
      <c r="AF250" s="12" t="str">
        <f t="shared" si="10"/>
        <v>3 mois = 10 875 €</v>
      </c>
      <c r="AG250" s="12" t="s">
        <v>103</v>
      </c>
      <c r="AH250" s="51">
        <v>1.4999999999999999E-2</v>
      </c>
      <c r="AI250" s="12" t="s">
        <v>380</v>
      </c>
      <c r="AJ250" s="10" t="s">
        <v>75</v>
      </c>
      <c r="AK250" s="10" t="s">
        <v>369</v>
      </c>
      <c r="AL250" s="10"/>
      <c r="AM250" s="11"/>
      <c r="AN250" s="11" t="s">
        <v>1584</v>
      </c>
      <c r="AO250" s="5" t="s">
        <v>367</v>
      </c>
      <c r="AP250" s="11"/>
      <c r="AQ250" s="11"/>
      <c r="AR250" s="11" t="s">
        <v>1684</v>
      </c>
      <c r="AS250" s="36"/>
      <c r="AT250" s="11"/>
      <c r="AU250" s="11" t="s">
        <v>1662</v>
      </c>
      <c r="AV250" s="13" t="s">
        <v>1635</v>
      </c>
      <c r="AW250" s="14"/>
      <c r="AX250" s="44"/>
    </row>
    <row r="251" spans="1:50" ht="25.5">
      <c r="A251" s="38" t="str">
        <f>VLOOKUP(Tableau1[[#This Row],[N° Département]],Feuil1!$C$6:$E$106,3)</f>
        <v>Auvergne-Rhône-Alpes</v>
      </c>
      <c r="B251" s="38" t="str">
        <f>VLOOKUP(Tableau1[[#This Row],[N° Département]],Feuil1!$C$6:$E$106,2)</f>
        <v>Rhône</v>
      </c>
      <c r="C251" s="38">
        <f>LEFT(Tableau1[[#This Row],[Code Postal]],2)*1</f>
        <v>69</v>
      </c>
      <c r="D251" s="10" t="s">
        <v>1628</v>
      </c>
      <c r="E251" s="26">
        <v>69002</v>
      </c>
      <c r="F251" s="42" t="s">
        <v>1593</v>
      </c>
      <c r="G251" s="39" t="str">
        <f>Tableau1[[#This Row],[Rue]]&amp;CHAR(10)&amp;Tableau1[[#This Row],[Code Postal]]&amp;" - "&amp;Tableau1[[#This Row],[Ville]]</f>
        <v>Allée Louis Thomas Achille
69002 - Lyon Confluence</v>
      </c>
      <c r="H251" s="15" t="s">
        <v>1629</v>
      </c>
      <c r="I251" s="12" t="s">
        <v>45</v>
      </c>
      <c r="J251" s="12" t="s">
        <v>44</v>
      </c>
      <c r="K251" s="10" t="s">
        <v>103</v>
      </c>
      <c r="L251" s="53" t="s">
        <v>1553</v>
      </c>
      <c r="M251" s="12" t="s">
        <v>103</v>
      </c>
      <c r="N251" s="36" t="s">
        <v>1608</v>
      </c>
      <c r="O251" s="34">
        <v>239</v>
      </c>
      <c r="P251" s="6" t="s">
        <v>103</v>
      </c>
      <c r="Q251" s="34" t="s">
        <v>103</v>
      </c>
      <c r="R251" s="34" t="s">
        <v>103</v>
      </c>
      <c r="S251" s="6" t="s">
        <v>103</v>
      </c>
      <c r="T251" s="12">
        <f>Tableau1[[#This Row],[Loyer €/m²]]*Tableau1[[#This Row],[Surface GLA]]</f>
        <v>47800</v>
      </c>
      <c r="U251" s="12">
        <f>IFERROR(Tableau1[[#This Row],[Loyer annuel]]/12,"")</f>
        <v>3983.3333333333335</v>
      </c>
      <c r="V251" s="12">
        <v>200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47800</v>
      </c>
      <c r="AF251" s="12" t="str">
        <f t="shared" si="10"/>
        <v>3 mois = 11 950 €</v>
      </c>
      <c r="AG251" s="12" t="s">
        <v>103</v>
      </c>
      <c r="AH251" s="51">
        <v>1.4999999999999999E-2</v>
      </c>
      <c r="AI251" s="12" t="s">
        <v>380</v>
      </c>
      <c r="AJ251" s="10" t="s">
        <v>75</v>
      </c>
      <c r="AK251" s="10" t="s">
        <v>369</v>
      </c>
      <c r="AL251" s="10"/>
      <c r="AM251" s="11"/>
      <c r="AN251" s="11" t="s">
        <v>1584</v>
      </c>
      <c r="AO251" s="5" t="s">
        <v>367</v>
      </c>
      <c r="AP251" s="11"/>
      <c r="AQ251" s="11"/>
      <c r="AR251" s="11" t="s">
        <v>1685</v>
      </c>
      <c r="AS251" s="36"/>
      <c r="AT251" s="11"/>
      <c r="AU251" s="11" t="s">
        <v>1663</v>
      </c>
      <c r="AV251" s="13" t="s">
        <v>1635</v>
      </c>
      <c r="AW251" s="14"/>
      <c r="AX251" s="44"/>
    </row>
    <row r="252" spans="1:50">
      <c r="A252" s="38"/>
      <c r="B252" s="38"/>
      <c r="C252" s="38"/>
      <c r="D252" s="10"/>
      <c r="E252" s="10"/>
      <c r="F252" s="10"/>
      <c r="G252" s="39"/>
      <c r="H252" s="52"/>
      <c r="I252" s="12"/>
      <c r="J252" s="12"/>
      <c r="K252" s="10"/>
      <c r="L252" s="10"/>
      <c r="M252" s="12"/>
      <c r="N252" s="36"/>
      <c r="O252" s="34"/>
      <c r="P252" s="12"/>
      <c r="Q252" s="34"/>
      <c r="R252" s="10"/>
      <c r="S252" s="12"/>
      <c r="T252" s="12"/>
      <c r="U252" s="12"/>
      <c r="V252" s="12"/>
      <c r="W252" s="12"/>
      <c r="X252" s="12"/>
      <c r="Y252" s="12"/>
      <c r="Z252" s="12"/>
      <c r="AA252" s="12"/>
      <c r="AB252" s="12"/>
      <c r="AC252" s="12"/>
      <c r="AD252" s="12"/>
      <c r="AE252" s="12"/>
      <c r="AF252" s="12"/>
      <c r="AG252" s="12"/>
      <c r="AH252" s="12"/>
      <c r="AI252" s="12"/>
      <c r="AJ252" s="10"/>
      <c r="AK252" s="10"/>
      <c r="AL252" s="10"/>
      <c r="AM252" s="11"/>
      <c r="AN252" s="11"/>
      <c r="AO252" s="11"/>
      <c r="AP252" s="11"/>
      <c r="AQ252" s="11"/>
      <c r="AR252" s="11"/>
      <c r="AS252" s="36"/>
      <c r="AT252" s="11"/>
      <c r="AU252" s="11"/>
      <c r="AV252" s="13"/>
      <c r="AW252" s="14"/>
      <c r="AX252" s="44"/>
    </row>
    <row r="253" spans="1:50">
      <c r="A253" s="38"/>
      <c r="B253" s="38"/>
      <c r="C253" s="38"/>
      <c r="D253" s="10"/>
      <c r="E253" s="10"/>
      <c r="F253" s="10"/>
      <c r="G253" s="39"/>
      <c r="H253" s="52"/>
      <c r="I253" s="12"/>
      <c r="J253" s="12"/>
      <c r="K253" s="10"/>
      <c r="L253" s="10"/>
      <c r="M253" s="12"/>
      <c r="N253" s="36"/>
      <c r="O253" s="34"/>
      <c r="P253" s="12"/>
      <c r="Q253" s="34"/>
      <c r="R253" s="10"/>
      <c r="S253" s="12"/>
      <c r="T253" s="12"/>
      <c r="U253" s="12"/>
      <c r="V253" s="12"/>
      <c r="W253" s="12"/>
      <c r="X253" s="12"/>
      <c r="Y253" s="12"/>
      <c r="Z253" s="12"/>
      <c r="AA253" s="12"/>
      <c r="AB253" s="12"/>
      <c r="AC253" s="12"/>
      <c r="AD253" s="12"/>
      <c r="AE253" s="12"/>
      <c r="AF253" s="12"/>
      <c r="AG253" s="12"/>
      <c r="AH253" s="12"/>
      <c r="AI253" s="12"/>
      <c r="AJ253" s="10"/>
      <c r="AK253" s="10"/>
      <c r="AL253" s="10"/>
      <c r="AM253" s="11"/>
      <c r="AN253" s="11"/>
      <c r="AO253" s="11"/>
      <c r="AP253" s="11"/>
      <c r="AQ253" s="11"/>
      <c r="AR253" s="11"/>
      <c r="AS253" s="36"/>
      <c r="AT253" s="11"/>
      <c r="AU253" s="11"/>
      <c r="AV253" s="13"/>
      <c r="AW253" s="14"/>
      <c r="AX253" s="44"/>
    </row>
    <row r="254" spans="1:50">
      <c r="F254" s="1" t="s">
        <v>1020</v>
      </c>
    </row>
    <row r="255" spans="1:50">
      <c r="F255"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8" r:id="rId112" xr:uid="{83F81C45-2D7B-4019-9457-DB12A08DE525}"/>
    <hyperlink ref="H149" r:id="rId113" xr:uid="{5DD490B2-A51A-488D-BCDE-B83932141509}"/>
    <hyperlink ref="H150" r:id="rId114" xr:uid="{8FDF2590-E1B8-4CE8-9753-7BFB747102D3}"/>
    <hyperlink ref="H151" r:id="rId115" xr:uid="{F9E1A7BC-0810-451D-AAC4-F0BE420D1B9F}"/>
    <hyperlink ref="H152" r:id="rId116" xr:uid="{6B38E304-7485-42E7-9EFC-3CDA0B79C692}"/>
    <hyperlink ref="H153" r:id="rId117" xr:uid="{9BAD643D-2774-4811-AF7F-3253EB54E8FC}"/>
    <hyperlink ref="H154" r:id="rId118" xr:uid="{8C4EE05C-7B50-4EF6-B2F7-FACAB92DA663}"/>
    <hyperlink ref="H158" r:id="rId119" xr:uid="{0D1E98E9-4BCF-4406-AFDA-600010FB176B}"/>
    <hyperlink ref="H159" r:id="rId120" xr:uid="{580F9DBE-E800-4F84-BEDC-E8B38FD61F7A}"/>
    <hyperlink ref="H160" r:id="rId121" xr:uid="{372123E9-8C5B-4111-8443-C1645E86AD4D}"/>
    <hyperlink ref="H161" r:id="rId122" xr:uid="{CC20D8BA-62C0-4205-8CD5-E236C90A7669}"/>
    <hyperlink ref="H168" r:id="rId123" xr:uid="{D9CEB66C-2A2B-4C50-90E4-25DDB2866B82}"/>
    <hyperlink ref="H169" r:id="rId124" xr:uid="{77194CDF-321B-4F1D-8892-C65AB2918B74}"/>
    <hyperlink ref="H170" r:id="rId125" xr:uid="{A510C509-E61B-4228-AC93-D0093532C7D2}"/>
    <hyperlink ref="H171" r:id="rId126" xr:uid="{13D66F57-470F-41F4-93A6-03D5A2A4CCDB}"/>
    <hyperlink ref="H172" r:id="rId127" xr:uid="{5B7EA501-9646-45C8-A6A4-6075F4FADE70}"/>
    <hyperlink ref="H173" r:id="rId128" xr:uid="{6D822EC9-F492-4D93-A1BA-8FA65E1327B7}"/>
    <hyperlink ref="H175" r:id="rId129" xr:uid="{3C8BCE0A-AAD1-4E3F-915C-B7BFA9B07703}"/>
    <hyperlink ref="H176" r:id="rId130" xr:uid="{EB1761D0-DA2C-4FCB-8A87-DC3BF56A199A}"/>
    <hyperlink ref="H174" r:id="rId131" xr:uid="{AC7B9731-155A-409D-B7DE-6A2C81027D18}"/>
    <hyperlink ref="H177" r:id="rId132" xr:uid="{ED7C6A33-7CA0-4B59-BFC3-713467DF5837}"/>
    <hyperlink ref="H155" r:id="rId133" xr:uid="{84DBA056-5C11-4ECE-9D32-78D0DE5AACCA}"/>
    <hyperlink ref="H156" r:id="rId134" xr:uid="{3F6F7192-2423-4CFD-AC54-5D69482DCDAA}"/>
    <hyperlink ref="H157" r:id="rId135" xr:uid="{34F05E83-B67A-4D2E-97A2-715EF4DB16F0}"/>
    <hyperlink ref="H178" r:id="rId136" xr:uid="{0DCDD234-61DD-4535-96A0-1CB0ED1C39E2}"/>
    <hyperlink ref="H162" r:id="rId137" xr:uid="{69AC0ECC-2E2A-4A8B-BC81-EF4428A37640}"/>
    <hyperlink ref="H163:H167" r:id="rId138" display="https://maps.app.goo.gl/jjHUN2H4tKUGyBEQ7" xr:uid="{2DDA41A9-46D6-46F1-BFA4-95D30FE59882}"/>
    <hyperlink ref="H179" r:id="rId139" xr:uid="{F6366A42-B67C-40CD-AFBC-6C8424BEB013}"/>
    <hyperlink ref="H181" r:id="rId140" xr:uid="{AC4BD242-08DC-4A93-AF73-32CF15E14420}"/>
    <hyperlink ref="H182" r:id="rId141" xr:uid="{3FEF2131-529B-4B74-9649-3B4B1CFC2613}"/>
    <hyperlink ref="H183" r:id="rId142" xr:uid="{3F02EB48-A165-461F-8BAF-AC050FE23690}"/>
    <hyperlink ref="H184" r:id="rId143" xr:uid="{145A22A7-33A1-43C0-A440-9E0FD9BB1AD1}"/>
    <hyperlink ref="H185" r:id="rId144" xr:uid="{A5000FCA-4DF3-47B7-97D9-DAAC213C360B}"/>
    <hyperlink ref="H186" r:id="rId145" xr:uid="{9FF463BE-AA91-4BC5-AE7D-4936D1C6D265}"/>
    <hyperlink ref="H187" r:id="rId146" xr:uid="{EED7450E-F5F5-483A-B269-54C932486E0F}"/>
    <hyperlink ref="H188" r:id="rId147" xr:uid="{B52E97C0-A3E5-471B-BD01-7BEB96586BB6}"/>
    <hyperlink ref="H189" r:id="rId148" xr:uid="{6D139DEB-1BCB-45F1-9FA5-40A114985687}"/>
    <hyperlink ref="H139" r:id="rId149" xr:uid="{069CCB02-48CE-4D86-8BBE-DFAEAC941704}"/>
    <hyperlink ref="H180" r:id="rId150" xr:uid="{3FF7903C-E5BA-4ED9-88DD-9F4AF755FB57}"/>
    <hyperlink ref="H190" r:id="rId151" xr:uid="{B58FC76B-D0FB-47D2-9309-07FBB7AE8F26}"/>
    <hyperlink ref="H191" r:id="rId152" xr:uid="{5ACAB395-A666-4978-812B-9B6039F53703}"/>
    <hyperlink ref="H192" r:id="rId153" xr:uid="{21A42A74-18EE-46BA-BF13-26B8D1F6FB47}"/>
    <hyperlink ref="H193" r:id="rId154" xr:uid="{979A4771-81FC-497B-97EF-32C019953489}"/>
    <hyperlink ref="H194" r:id="rId155" xr:uid="{234D72AD-6212-4E7C-8477-5EE09B54842C}"/>
    <hyperlink ref="H195" r:id="rId156" xr:uid="{00FC64E2-B2F8-4262-AD93-67A69A51A2AE}"/>
    <hyperlink ref="H198" r:id="rId157" xr:uid="{37D46FE9-659B-4E71-B1B0-2BAE5EB3E001}"/>
    <hyperlink ref="H200" r:id="rId158" xr:uid="{C1FEA757-567F-46DB-8BE8-C181F4790348}"/>
    <hyperlink ref="H202" r:id="rId159" xr:uid="{E5DA9A5D-81D1-4927-A98E-48C8E1B7F848}"/>
    <hyperlink ref="H204" r:id="rId160" xr:uid="{BF1AC4BD-BCB3-41AE-BB4E-A4D7D4B9CA30}"/>
    <hyperlink ref="H206" r:id="rId161" xr:uid="{F331605E-78A2-41C4-A9DE-125F32D6DA17}"/>
    <hyperlink ref="H208" r:id="rId162" xr:uid="{CD04C61F-F4DD-4619-8D0C-B117149DDD16}"/>
    <hyperlink ref="H211" r:id="rId163" xr:uid="{126CAEE5-AFE9-4D78-8299-0693794DBF35}"/>
    <hyperlink ref="H213" r:id="rId164" xr:uid="{99CC6C3B-99A9-43A2-98C5-FB3C0CDBB22E}"/>
    <hyperlink ref="H215" r:id="rId165" xr:uid="{5ACB8786-94C9-4AC5-891E-06289DFF8043}"/>
    <hyperlink ref="H196" r:id="rId166" xr:uid="{2FDB9825-2079-4C7E-B037-8188CA0176F5}"/>
    <hyperlink ref="H199" r:id="rId167" xr:uid="{A69F4B4C-FA3C-439D-BC44-569193F38E47}"/>
    <hyperlink ref="H201" r:id="rId168" xr:uid="{46585970-332F-4A0A-9FB9-F74633BF4F42}"/>
    <hyperlink ref="H203" r:id="rId169" xr:uid="{8D52DD5E-FD4A-4159-BFA0-B6EE5B956520}"/>
    <hyperlink ref="H205" r:id="rId170" xr:uid="{DDFB99AD-CCF9-4F9C-B530-960F480ECD4B}"/>
    <hyperlink ref="H207" r:id="rId171" xr:uid="{8C88AF55-D328-4D4E-ACE7-C01C70716F01}"/>
    <hyperlink ref="H210" r:id="rId172" xr:uid="{A2384EAF-1892-4C85-B4DB-D89DEED6A1DD}"/>
    <hyperlink ref="H212" r:id="rId173" xr:uid="{D6D56087-231C-4ABA-8429-E4BF41585FE5}"/>
    <hyperlink ref="H214" r:id="rId174" xr:uid="{D09EAEF8-49AC-4164-AAB1-5DDF19295801}"/>
    <hyperlink ref="H209" r:id="rId175" display="https://maps.app.goo.gl/RJ2QRVrW96tKL7ur6" xr:uid="{609C48FB-80B4-46B2-AA88-2F3D30BF6C33}"/>
    <hyperlink ref="H197" r:id="rId176" xr:uid="{2E729EBE-5AE8-4BE9-AA51-7933BA8C3C79}"/>
    <hyperlink ref="H221" r:id="rId177" xr:uid="{CCF25449-1659-4582-89F9-12D2B6EE3579}"/>
    <hyperlink ref="H222" r:id="rId178" display="https://maps.app.goo.gl/7dsMYhd2KW95ZzZs5" xr:uid="{EC1AD3C9-DDCC-4E6E-B2E9-DAF4ADC35D2C}"/>
    <hyperlink ref="H223" r:id="rId179" display="https://maps.app.goo.gl/7dsMYhd2KW95ZzZs5" xr:uid="{50958474-7E87-4C6E-8635-C114CA360BBD}"/>
    <hyperlink ref="H216" r:id="rId180" xr:uid="{9041352D-F93F-4B8D-B1AB-6E12264A34EA}"/>
    <hyperlink ref="H217" r:id="rId181" xr:uid="{FB6C0D8E-2AF1-40BC-BE6E-2992CB054D78}"/>
    <hyperlink ref="H218" r:id="rId182" xr:uid="{1F235C3F-C9DB-4C11-8CCF-0C97AB89EBD7}"/>
    <hyperlink ref="H220" r:id="rId183" xr:uid="{388632CD-FE0B-4C31-ACA8-6DA26C4D8ADF}"/>
    <hyperlink ref="H147" r:id="rId184" xr:uid="{D89787FE-D414-4ADC-AC02-C8B9D2520919}"/>
    <hyperlink ref="H224" r:id="rId185" xr:uid="{ACBC6070-DAD9-4FE2-8D5C-716E5B266865}"/>
    <hyperlink ref="H225" r:id="rId186" xr:uid="{B52E1D96-F637-4C15-B8D6-DE07EFCCD7D4}"/>
    <hyperlink ref="H226" r:id="rId187" xr:uid="{85EEEDCF-82EF-4023-9786-A3975D56DCCD}"/>
    <hyperlink ref="H227:H232" r:id="rId188" display="https://maps.app.goo.gl/ZPoo7HsyrDthxYXT7" xr:uid="{BC72D3BA-193A-4590-A139-45FD14E16D29}"/>
    <hyperlink ref="H233" r:id="rId189" xr:uid="{CD3468AF-EFE4-4CA7-A470-92A73B92CFB8}"/>
    <hyperlink ref="H234" r:id="rId190" xr:uid="{346E6C25-BB0F-44A0-8892-BC68069BAA7A}"/>
    <hyperlink ref="H236" r:id="rId191" xr:uid="{C3673093-0EB3-431E-A819-C56087625C52}"/>
    <hyperlink ref="H237" r:id="rId192" xr:uid="{5FD41EE0-E32F-4B42-9354-0A62AD7E219E}"/>
    <hyperlink ref="H238" r:id="rId193" xr:uid="{FED85340-EAA2-4E7A-8432-7A3BE5D6AD3B}"/>
    <hyperlink ref="H239" r:id="rId194" xr:uid="{868312A7-9941-4FDE-B477-B5C112A5D556}"/>
    <hyperlink ref="H240" r:id="rId195" xr:uid="{9C135695-9C00-4C5F-913A-8013B376DD95}"/>
    <hyperlink ref="H241" r:id="rId196" xr:uid="{7B5795EF-4703-4B84-8920-EE6B31A463D3}"/>
    <hyperlink ref="H242" r:id="rId197" xr:uid="{89FEC483-A001-4B45-B8FA-C0133C0159FE}"/>
    <hyperlink ref="H243" r:id="rId198" xr:uid="{3DFB2647-894B-43B0-92A3-00B341C0DA0D}"/>
    <hyperlink ref="H244" r:id="rId199" xr:uid="{408D462D-C0B8-47D0-B218-E428030F0641}"/>
    <hyperlink ref="H245" r:id="rId200" xr:uid="{712B7062-EA0E-4D1F-A272-DF16C4B7C670}"/>
    <hyperlink ref="H246" r:id="rId201" xr:uid="{D15EAC12-EA3F-4DA4-8740-E655D87FD258}"/>
    <hyperlink ref="H247" r:id="rId202" xr:uid="{D3414EB2-CD56-43D6-9D9C-98082550958C}"/>
    <hyperlink ref="H248" r:id="rId203" xr:uid="{6B91A769-147A-4650-A292-F429547DB920}"/>
    <hyperlink ref="H249:H251" r:id="rId204" display="https://maps.app.goo.gl/rYXwsZdHTTd2e5Xo7" xr:uid="{E8CD37E8-5D1B-46C7-BF51-57B83D1F1C3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2026-02-23T13:24:36Z</dcterms:modified>
</cp:coreProperties>
</file>