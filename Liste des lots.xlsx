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F252FDA1-D3E8-42C6-A48D-F44F6A354ABE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9" i="2" l="1"/>
  <c r="C169" i="2"/>
  <c r="A169" i="2" s="1"/>
  <c r="S169" i="2"/>
  <c r="W169" i="2"/>
  <c r="Y169" i="2"/>
  <c r="AA169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C167" i="2"/>
  <c r="A167" i="2" s="1"/>
  <c r="S167" i="2"/>
  <c r="W167" i="2"/>
  <c r="Y167" i="2"/>
  <c r="AA167" i="2"/>
  <c r="C165" i="2"/>
  <c r="A165" i="2" s="1"/>
  <c r="S165" i="2"/>
  <c r="W165" i="2"/>
  <c r="Y165" i="2"/>
  <c r="AA165" i="2"/>
  <c r="C163" i="2"/>
  <c r="A163" i="2" s="1"/>
  <c r="S163" i="2"/>
  <c r="W163" i="2"/>
  <c r="Y163" i="2"/>
  <c r="AA163" i="2"/>
  <c r="C156" i="2"/>
  <c r="A156" i="2" s="1"/>
  <c r="S156" i="2"/>
  <c r="W156" i="2"/>
  <c r="Y156" i="2"/>
  <c r="AA156" i="2"/>
  <c r="G153" i="2"/>
  <c r="C168" i="2"/>
  <c r="A168" i="2" s="1"/>
  <c r="S168" i="2"/>
  <c r="W168" i="2"/>
  <c r="Y168" i="2"/>
  <c r="AA168" i="2"/>
  <c r="C166" i="2"/>
  <c r="A166" i="2" s="1"/>
  <c r="S166" i="2"/>
  <c r="W166" i="2"/>
  <c r="Y166" i="2"/>
  <c r="AA166" i="2"/>
  <c r="C164" i="2"/>
  <c r="A164" i="2" s="1"/>
  <c r="S164" i="2"/>
  <c r="W164" i="2"/>
  <c r="Y164" i="2"/>
  <c r="AA164" i="2"/>
  <c r="C162" i="2"/>
  <c r="A162" i="2" s="1"/>
  <c r="S162" i="2"/>
  <c r="W162" i="2"/>
  <c r="Y162" i="2"/>
  <c r="AA162" i="2"/>
  <c r="C161" i="2"/>
  <c r="A161" i="2" s="1"/>
  <c r="S161" i="2"/>
  <c r="W161" i="2"/>
  <c r="Y161" i="2"/>
  <c r="AA161" i="2"/>
  <c r="C160" i="2"/>
  <c r="A160" i="2" s="1"/>
  <c r="S160" i="2"/>
  <c r="W160" i="2"/>
  <c r="Y160" i="2"/>
  <c r="AA160" i="2"/>
  <c r="C159" i="2"/>
  <c r="A159" i="2" s="1"/>
  <c r="S159" i="2"/>
  <c r="W159" i="2"/>
  <c r="Y159" i="2"/>
  <c r="AA159" i="2"/>
  <c r="C158" i="2"/>
  <c r="A158" i="2" s="1"/>
  <c r="S158" i="2"/>
  <c r="W158" i="2"/>
  <c r="Y158" i="2"/>
  <c r="AA158" i="2"/>
  <c r="C157" i="2"/>
  <c r="A157" i="2" s="1"/>
  <c r="S157" i="2"/>
  <c r="W157" i="2"/>
  <c r="Y157" i="2"/>
  <c r="AA157" i="2"/>
  <c r="C155" i="2"/>
  <c r="A155" i="2" s="1"/>
  <c r="S155" i="2"/>
  <c r="W155" i="2"/>
  <c r="Y155" i="2"/>
  <c r="AA155" i="2"/>
  <c r="C154" i="2"/>
  <c r="A154" i="2" s="1"/>
  <c r="S154" i="2"/>
  <c r="W154" i="2"/>
  <c r="Y154" i="2"/>
  <c r="AA154" i="2"/>
  <c r="C153" i="2"/>
  <c r="A153" i="2" s="1"/>
  <c r="S153" i="2"/>
  <c r="W153" i="2"/>
  <c r="Y153" i="2"/>
  <c r="AA153" i="2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R149" i="2"/>
  <c r="S149" i="2" s="1"/>
  <c r="R150" i="2"/>
  <c r="S150" i="2" s="1"/>
  <c r="R151" i="2"/>
  <c r="AD151" i="2" s="1"/>
  <c r="R152" i="2"/>
  <c r="S152" i="2" s="1"/>
  <c r="C149" i="2"/>
  <c r="A149" i="2" s="1"/>
  <c r="G149" i="2"/>
  <c r="C150" i="2"/>
  <c r="A150" i="2" s="1"/>
  <c r="G150" i="2"/>
  <c r="C151" i="2"/>
  <c r="A151" i="2" s="1"/>
  <c r="G151" i="2"/>
  <c r="C152" i="2"/>
  <c r="A152" i="2" s="1"/>
  <c r="G152" i="2"/>
  <c r="L149" i="2"/>
  <c r="L150" i="2"/>
  <c r="L151" i="2"/>
  <c r="L152" i="2"/>
  <c r="Y152" i="2"/>
  <c r="AA152" i="2"/>
  <c r="Y151" i="2"/>
  <c r="AA151" i="2"/>
  <c r="Y150" i="2"/>
  <c r="AA150" i="2"/>
  <c r="Y149" i="2"/>
  <c r="AA149" i="2"/>
  <c r="L148" i="2"/>
  <c r="R144" i="2"/>
  <c r="S144" i="2" s="1"/>
  <c r="R145" i="2"/>
  <c r="S145" i="2" s="1"/>
  <c r="R146" i="2"/>
  <c r="S146" i="2" s="1"/>
  <c r="R147" i="2"/>
  <c r="S147" i="2" s="1"/>
  <c r="R148" i="2"/>
  <c r="S148" i="2" s="1"/>
  <c r="Y148" i="2"/>
  <c r="AA148" i="2"/>
  <c r="G148" i="2"/>
  <c r="C148" i="2"/>
  <c r="B148" i="2" s="1"/>
  <c r="G146" i="2"/>
  <c r="G147" i="2"/>
  <c r="C147" i="2"/>
  <c r="A147" i="2" s="1"/>
  <c r="Y147" i="2"/>
  <c r="AA147" i="2"/>
  <c r="C146" i="2"/>
  <c r="A146" i="2" s="1"/>
  <c r="Y146" i="2"/>
  <c r="AA146" i="2"/>
  <c r="R139" i="2"/>
  <c r="S139" i="2" s="1"/>
  <c r="R140" i="2"/>
  <c r="S140" i="2" s="1"/>
  <c r="R141" i="2"/>
  <c r="S141" i="2" s="1"/>
  <c r="R142" i="2"/>
  <c r="S142" i="2" s="1"/>
  <c r="R143" i="2"/>
  <c r="S143" i="2" s="1"/>
  <c r="G138" i="2"/>
  <c r="G139" i="2"/>
  <c r="G140" i="2"/>
  <c r="G141" i="2"/>
  <c r="G142" i="2"/>
  <c r="G143" i="2"/>
  <c r="G144" i="2"/>
  <c r="G145" i="2"/>
  <c r="C145" i="2"/>
  <c r="B145" i="2" s="1"/>
  <c r="Y145" i="2"/>
  <c r="AA145" i="2"/>
  <c r="C144" i="2"/>
  <c r="A144" i="2" s="1"/>
  <c r="Y144" i="2"/>
  <c r="AA144" i="2"/>
  <c r="C140" i="2"/>
  <c r="A140" i="2" s="1"/>
  <c r="C141" i="2"/>
  <c r="A141" i="2" s="1"/>
  <c r="C142" i="2"/>
  <c r="A142" i="2" s="1"/>
  <c r="C143" i="2"/>
  <c r="B143" i="2" s="1"/>
  <c r="Y141" i="2"/>
  <c r="Y142" i="2"/>
  <c r="Y143" i="2"/>
  <c r="AA141" i="2"/>
  <c r="AA142" i="2"/>
  <c r="AA143" i="2"/>
  <c r="Y140" i="2"/>
  <c r="AA140" i="2"/>
  <c r="C139" i="2"/>
  <c r="A139" i="2" s="1"/>
  <c r="Y139" i="2"/>
  <c r="AA139" i="2"/>
  <c r="V138" i="2"/>
  <c r="W138" i="2" s="1"/>
  <c r="R138" i="2"/>
  <c r="S138" i="2" s="1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 s="1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S98" i="2" s="1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C169" i="2" l="1"/>
  <c r="B169" i="2"/>
  <c r="AD64" i="2"/>
  <c r="AD78" i="2"/>
  <c r="AD59" i="2"/>
  <c r="AD73" i="2"/>
  <c r="AD85" i="2"/>
  <c r="AD60" i="2"/>
  <c r="AD74" i="2"/>
  <c r="AD86" i="2"/>
  <c r="AD61" i="2"/>
  <c r="AD75" i="2"/>
  <c r="AD87" i="2"/>
  <c r="AD62" i="2"/>
  <c r="AD76" i="2"/>
  <c r="AD88" i="2"/>
  <c r="AD63" i="2"/>
  <c r="AD77" i="2"/>
  <c r="AD89" i="2"/>
  <c r="AD98" i="2"/>
  <c r="AD67" i="2"/>
  <c r="AD79" i="2"/>
  <c r="AD99" i="2"/>
  <c r="AD68" i="2"/>
  <c r="AD80" i="2"/>
  <c r="AD100" i="2"/>
  <c r="AD69" i="2"/>
  <c r="AD81" i="2"/>
  <c r="AD101" i="2"/>
  <c r="AD70" i="2"/>
  <c r="AD82" i="2"/>
  <c r="AD102" i="2"/>
  <c r="AD57" i="2"/>
  <c r="AD71" i="2"/>
  <c r="AD83" i="2"/>
  <c r="AD144" i="2"/>
  <c r="AD58" i="2"/>
  <c r="AD72" i="2"/>
  <c r="AD84" i="2"/>
  <c r="AD145" i="2"/>
  <c r="AC167" i="2"/>
  <c r="AC165" i="2"/>
  <c r="B167" i="2"/>
  <c r="B165" i="2"/>
  <c r="AC163" i="2"/>
  <c r="B163" i="2"/>
  <c r="AC156" i="2"/>
  <c r="B156" i="2"/>
  <c r="AC166" i="2"/>
  <c r="AC168" i="2"/>
  <c r="AC162" i="2"/>
  <c r="AC161" i="2"/>
  <c r="B168" i="2"/>
  <c r="AC164" i="2"/>
  <c r="AC160" i="2"/>
  <c r="B166" i="2"/>
  <c r="B164" i="2"/>
  <c r="AC158" i="2"/>
  <c r="B162" i="2"/>
  <c r="B161" i="2"/>
  <c r="AC159" i="2"/>
  <c r="B160" i="2"/>
  <c r="AC154" i="2"/>
  <c r="B159" i="2"/>
  <c r="AC157" i="2"/>
  <c r="AD152" i="2"/>
  <c r="AC153" i="2"/>
  <c r="B158" i="2"/>
  <c r="AC155" i="2"/>
  <c r="B157" i="2"/>
  <c r="B155" i="2"/>
  <c r="S151" i="2"/>
  <c r="B154" i="2"/>
  <c r="AD148" i="2"/>
  <c r="AD150" i="2"/>
  <c r="B153" i="2"/>
  <c r="AD149" i="2"/>
  <c r="AC152" i="2"/>
  <c r="W152" i="2"/>
  <c r="B151" i="2"/>
  <c r="B150" i="2"/>
  <c r="B152" i="2"/>
  <c r="B149" i="2"/>
  <c r="AC151" i="2"/>
  <c r="AC150" i="2"/>
  <c r="AC149" i="2"/>
  <c r="AC148" i="2"/>
  <c r="AD134" i="2"/>
  <c r="AD122" i="2"/>
  <c r="A148" i="2"/>
  <c r="AD147" i="2"/>
  <c r="AC147" i="2"/>
  <c r="B147" i="2"/>
  <c r="AC146" i="2"/>
  <c r="AD131" i="2"/>
  <c r="AD118" i="2"/>
  <c r="AD130" i="2"/>
  <c r="AD129" i="2"/>
  <c r="AD128" i="2"/>
  <c r="AD127" i="2"/>
  <c r="AD138" i="2"/>
  <c r="AD126" i="2"/>
  <c r="AD137" i="2"/>
  <c r="AD125" i="2"/>
  <c r="AD136" i="2"/>
  <c r="AD124" i="2"/>
  <c r="AD135" i="2"/>
  <c r="AD123" i="2"/>
  <c r="AD133" i="2"/>
  <c r="AD121" i="2"/>
  <c r="B146" i="2"/>
  <c r="AD132" i="2"/>
  <c r="AD117" i="2"/>
  <c r="AC145" i="2"/>
  <c r="AC144" i="2"/>
  <c r="AC142" i="2"/>
  <c r="AC141" i="2"/>
  <c r="A145" i="2"/>
  <c r="B144" i="2"/>
  <c r="AC143" i="2"/>
  <c r="AC140" i="2"/>
  <c r="A143" i="2"/>
  <c r="B142" i="2"/>
  <c r="B141" i="2"/>
  <c r="B140" i="2"/>
  <c r="AC139" i="2"/>
  <c r="B139" i="2"/>
  <c r="AC138" i="2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<sst xmlns="http://schemas.openxmlformats.org/spreadsheetml/2006/main" count="4997" uniqueCount="1242">
  <si>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</si>
  <si>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</si>
  <si>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</si>
  <si>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</si>
  <si>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</si>
  <si>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</si>
  <si>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</si>
  <si>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</si>
  <si>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</si>
  <si>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</si>
  <si>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</si>
  <si>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</si>
  <si>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</si>
  <si>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</si>
  <si>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</si>
  <si>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</si>
  <si>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</si>
  <si>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</si>
  <si>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</si>
  <si>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</si>
  <si>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</si>
  <si>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</si>
  <si>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</si>
  <si>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</si>
  <si>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</si>
  <si>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</si>
  <si>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</si>
  <si>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</si>
  <si>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</si>
  <si>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</si>
  <si>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</si>
  <si>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</si>
  <si>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</si>
  <si>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</si>
  <si>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</si>
  <si>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</si>
  <si>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</si>
  <si>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</si>
  <si>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</si>
  <si>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</si>
  <si>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</si>
  <si>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</si>
  <si>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</si>
  <si>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</si>
  <si>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</si>
  <si>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</si>
  <si>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</si>
  <si>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</si>
  <si>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</si>
  <si>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</si>
  <si>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</si>
  <si>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</si>
  <si>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</si>
  <si>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</si>
  <si>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</si>
  <si>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</si>
  <si>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</si>
  <si>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</si>
  <si>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</si>
  <si>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</si>
  <si>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</si>
  <si>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</si>
  <si>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</si>
  <si>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</si>
  <si>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</si>
  <si>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</si>
  <si>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</si>
  <si>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</si>
  <si>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</si>
  <si>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</si>
  <si>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</si>
  <si>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</si>
  <si>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</si>
  <si>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</si>
  <si>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</si>
  <si>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</si>
  <si>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</si>
  <si>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</si>
  <si>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</si>
  <si>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</si>
  <si>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</si>
  <si>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</si>
  <si>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</si>
  <si>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</si>
  <si>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</si>
  <si>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</si>
  <si>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</si>
  <si>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</si>
  <si>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</si>
  <si>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</si>
  <si>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</si>
  <si>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</si>
  <si>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</si>
  <si>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</si>
  <si>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</si>
  <si>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</si>
  <si>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</si>
  <si>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</si>
  <si>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</si>
  <si>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</si>
  <si>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</si>
  <si>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</si>
  <si>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</si>
  <si>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</si>
  <si>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</si>
  <si>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</si>
  <si>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</si>
  <si>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</si>
  <si>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</si>
  <si>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</si>
  <si>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</si>
  <si>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</si>
  <si>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</si>
  <si>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</si>
  <si>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</si>
  <si>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</si>
  <si>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</si>
  <si>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</si>
  <si>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</si>
  <si>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</si>
  <si>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</si>
  <si>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</si>
  <si>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</si>
  <si>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</si>
  <si>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</si>
  <si>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</si>
  <si>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</si>
  <si>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</si>
  <si>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</si>
  <si>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</si>
  <si>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</si>
  <si>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</si>
  <si>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</si>
  <si>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</si>
  <si>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</si>
  <si>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</si>
  <si>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</si>
  <si>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</si>
  <si>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</si>
  <si>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</si>
  <si>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</si>
  <si>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</si>
  <si>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</si>
  <si>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</si>
  <si>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</si>
  <si>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</si>
  <si>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</si>
  <si>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</si>
  <si>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</si>
  <si>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</si>
  <si>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</si>
  <si>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</si>
  <si>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</si>
  <si>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</si>
  <si>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</si>
  <si>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</si>
  <si>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</si>
  <si>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</si>
  <si>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</si>
  <si>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</si>
  <si>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</si>
  <si>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</si>
  <si>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</si>
  <si>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</si>
  <si>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</si>
  <si>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</si>
  <si>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</si>
  <si>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</si>
  <si>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</si>
  <si>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</si>
  <si>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</si>
  <si>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</si>
  <si>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</si>
  <si>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</si>
  <si>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</si>
  <si>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</si>
  <si>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</si>
  <si>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</si>
  <si>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</si>
  <si>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</si>
  <si>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</si>
  <si>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</si>
  <si>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</si>
  <si>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</si>
  <si>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</si>
  <si>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</si>
  <si>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</si>
  <si>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</si>
  <si>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</si>
  <si>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</si>
  <si>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</si>
  <si>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</si>
  <si>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</si>
  <si>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</si>
  <si>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</si>
  <si>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</si>
  <si>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</si>
  <si>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</si>
  <si>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</si>
  <si>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</si>
  <si>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</si>
  <si>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</si>
  <si>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</si>
  <si>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</si>
  <si>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</si>
  <si>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</si>
  <si>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</si>
  <si>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</si>
  <si>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</si>
  <si>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</si>
  <si>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</si>
  <si>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</si>
  <si>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</si>
  <si>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</si>
  <si>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</si>
  <si>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</si>
  <si>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</si>
  <si>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</si>
  <si>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</si>
  <si>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</si>
  <si>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</si>
  <si>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</si>
  <si>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</si>
  <si>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</si>
  <si>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</si>
  <si>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</si>
  <si>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</si>
  <si>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</si>
  <si>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</si>
  <si>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</si>
  <si>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</si>
  <si>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</si>
  <si>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</si>
  <si>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</si>
  <si>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</si>
  <si>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</si>
  <si>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</si>
  <si>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</si>
  <si>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</si>
  <si>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</si>
  <si>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</si>
  <si>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</si>
  <si>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</si>
  <si>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</si>
  <si>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</si>
  <si>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</si>
  <si>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</si>
  <si>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</si>
  <si>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</si>
  <si>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</si>
  <si>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</si>
  <si>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</si>
  <si>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</si>
  <si>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</si>
  <si>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</si>
  <si>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</si>
  <si>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</si>
  <si>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</si>
  <si>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</si>
  <si>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</si>
  <si>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</si>
  <si>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</si>
  <si>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</si>
  <si>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</si>
  <si>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</si>
  <si>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</si>
  <si>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</si>
  <si>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</si>
  <si>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</si>
  <si>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</si>
  <si>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</si>
  <si>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</si>
  <si>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</si>
  <si>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</si>
  <si>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</si>
  <si>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</si>
  <si>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</si>
  <si>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</si>
  <si>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</si>
  <si>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</si>
  <si>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</si>
  <si>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</si>
  <si>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</si>
  <si>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</si>
  <si>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</si>
  <si>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</si>
  <si>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</si>
  <si>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</si>
  <si>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</si>
  <si>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</si>
  <si>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</si>
  <si>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</si>
  <si>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</si>
  <si>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</si>
  <si>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</si>
  <si>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</si>
  <si>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</si>
  <si>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</si>
  <si>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</si>
  <si>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</si>
  <si>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</si>
  <si>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</si>
  <si>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</si>
  <si>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</si>
  <si>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</si>
  <si>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</si>
  <si>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</si>
  <si>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</si>
  <si>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</si>
  <si>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</si>
  <si>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</si>
  <si>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</si>
  <si>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</si>
  <si>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</si>
  <si>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</si>
  <si>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</si>
  <si>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</si>
  <si>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</si>
  <si>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</si>
  <si>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</si>
  <si>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</si>
  <si>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</si>
  <si>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</si>
  <si>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</si>
  <si>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</si>
  <si>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</si>
  <si>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</si>
  <si>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</si>
  <si>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</si>
  <si>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</si>
  <si>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</si>
  <si>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</si>
  <si>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</si>
  <si>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</si>
  <si>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</si>
  <si>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</si>
  <si>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</si>
  <si>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</si>
  <si>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</si>
  <si>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</si>
  <si>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</si>
  <si>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</si>
  <si>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</si>
  <si>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</si>
  <si>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</si>
  <si>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</si>
  <si>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</si>
  <si>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</si>
  <si>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</si>
  <si>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</si>
  <si>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</si>
  <si>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</si>
  <si>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</si>
  <si>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</si>
  <si>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</si>
  <si>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</si>
  <si>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</si>
  <si>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</si>
  <si>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</si>
  <si>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</si>
  <si>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</si>
  <si>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</si>
  <si>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</si>
  <si>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</si>
  <si>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</si>
  <si>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</si>
  <si>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</si>
  <si>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</si>
  <si>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</si>
  <si>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</si>
  <si>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</si>
  <si>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</si>
  <si>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</si>
  <si>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</si>
  <si>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</si>
  <si>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</si>
  <si>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</si>
  <si>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</si>
  <si>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</si>
  <si>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</si>
  <si>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</si>
  <si>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</si>
  <si>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</si>
  <si>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</si>
  <si>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</si>
  <si>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</si>
  <si>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</si>
  <si>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</si>
  <si>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</si>
  <si>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</si>
  <si>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</si>
  <si>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</si>
  <si>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</si>
  <si>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</si>
  <si>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</si>
  <si>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</si>
  <si>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</si>
  <si>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</si>
  <si>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</si>
  <si>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</si>
  <si>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</si>
  <si>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</si>
  <si>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</si>
  <si>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</si>
  <si>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</si>
  <si>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</si>
  <si>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</si>
  <si>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</si>
  <si>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</si>
  <si>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</si>
  <si>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</si>
  <si>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</si>
  <si>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</si>
  <si>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</si>
  <si>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</si>
  <si>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</si>
  <si>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</si>
  <si>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</si>
  <si>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</si>
  <si>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</si>
  <si>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</si>
  <si>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</si>
  <si>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</si>
  <si>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</si>
  <si>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</si>
  <si>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</si>
  <si>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</si>
  <si>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</si>
  <si>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</si>
  <si>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</si>
  <si>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</si>
  <si>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</si>
  <si>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</si>
  <si>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</si>
  <si>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</si>
  <si>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</si>
  <si>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</si>
  <si>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</si>
  <si>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</si>
  <si>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</si>
  <si>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</si>
  <si>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</si>
  <si>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</si>
  <si>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</si>
  <si>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</si>
  <si>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</si>
  <si>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</si>
  <si>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</si>
  <si>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</si>
  <si>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</si>
  <si>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</si>
  <si>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</si>
  <si>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</si>
  <si>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</si>
  <si>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</si>
  <si>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</si>
  <si>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</si>
  <si>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</si>
  <si>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</si>
  <si>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</si>
  <si>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</si>
  <si>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</si>
  <si>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</si>
  <si>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</si>
  <si>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</si>
  <si>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</si>
  <si>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</si>
  <si>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</si>
  <si>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</si>
  <si>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</si>
  <si>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</si>
  <si>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</si>
  <si>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</si>
  <si>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</si>
  <si>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</si>
  <si>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</si>
  <si>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</si>
  <si>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</si>
  <si>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</si>
  <si>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</si>
  <si>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</si>
  <si>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</si>
  <si>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</si>
  <si>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</si>
  <si>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</si>
  <si>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</si>
  <si>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</si>
  <si>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</si>
  <si>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</si>
  <si>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</si>
  <si>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</si>
  <si>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</si>
  <si>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</si>
  <si>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</si>
  <si>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</si>
  <si>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</si>
  <si>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</si>
  <si>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</si>
  <si>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</si>
  <si>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</si>
  <si>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</si>
  <si>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</si>
  <si>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</si>
  <si>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</si>
  <si>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</si>
  <si>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</si>
  <si>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</si>
  <si>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</si>
  <si>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</si>
  <si>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</si>
  <si>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</si>
  <si>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</si>
  <si>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</si>
  <si>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</si>
  <si>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</si>
  <si>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</si>
  <si>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</si>
  <si>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</si>
  <si>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</si>
  <si>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</si>
  <si>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</si>
  <si>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</si>
  <si>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</si>
  <si>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</si>
  <si>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</si>
  <si>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</si>
  <si>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</si>
  <si>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</si>
  <si>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</si>
  <si>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</si>
  <si>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</si>
  <si>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</si>
  <si>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</si>
  <si>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</si>
  <si>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</si>
  <si>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</si>
  <si>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</si>
  <si>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</si>
  <si>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</si>
  <si>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</si>
  <si>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</si>
  <si>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</si>
  <si>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</si>
  <si>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</si>
  <si>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</si>
  <si>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</si>
  <si>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</si>
  <si>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</si>
  <si>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</si>
  <si>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</si>
  <si>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</si>
  <si>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</si>
  <si>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</si>
  <si>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</si>
  <si>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</si>
  <si>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</si>
  <si>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</si>
  <si>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</si>
  <si>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</si>
  <si>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</si>
  <si>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</si>
  <si>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</si>
  <si>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</si>
  <si>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</si>
  <si>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</si>
  <si>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</si>
  <si>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</si>
  <si>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</si>
  <si>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</si>
  <si>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</si>
  <si>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</si>
  <si>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</si>
  <si>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</si>
  <si>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</si>
  <si>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</si>
  <si>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</si>
  <si>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</si>
  <si>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</si>
  <si>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</si>
  <si>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</si>
  <si>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</si>
  <si>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</si>
  <si>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</si>
  <si>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</si>
  <si>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</si>
  <si>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</si>
  <si>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</si>
  <si>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</si>
  <si>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</si>
  <si>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</si>
  <si>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</si>
  <si>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</si>
  <si>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</si>
  <si>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</si>
  <si>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</si>
  <si>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</si>
  <si>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</si>
  <si>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</si>
  <si>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</si>
  <si>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</si>
  <si>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</si>
  <si>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</si>
  <si>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</si>
  <si>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</si>
  <si>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</si>
  <si>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</si>
  <si>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</si>
  <si>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</si>
  <si>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</si>
  <si>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</si>
  <si>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</si>
  <si>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</si>
  <si>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</si>
  <si>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</si>
  <si>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</si>
  <si>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</si>
  <si>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</si>
  <si>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</si>
  <si>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</si>
  <si>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</si>
  <si>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</si>
  <si>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</si>
  <si>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</si>
  <si>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</si>
  <si>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</si>
  <si>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</si>
  <si>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</si>
  <si>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</si>
  <si>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</si>
  <si>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</si>
  <si>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</si>
  <si>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</si>
  <si>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</si>
  <si>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</si>
  <si>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</si>
  <si>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</si>
  <si>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</si>
  <si>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</si>
  <si>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</si>
  <si>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</si>
  <si>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</si>
  <si>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</si>
  <si>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</si>
  <si>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</si>
  <si>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</si>
  <si>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</si>
  <si>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</si>
  <si>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</si>
  <si>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</si>
  <si>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</si>
  <si>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</si>
  <si>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</si>
  <si>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</si>
  <si>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</si>
  <si>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</si>
  <si>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</si>
  <si>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</si>
  <si>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</si>
  <si>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</si>
  <si>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</si>
  <si>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</si>
  <si>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</si>
  <si>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</si>
  <si>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</si>
  <si>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</si>
  <si>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</si>
  <si>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</si>
  <si>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</si>
  <si>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</si>
  <si>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</si>
  <si>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</si>
  <si>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</si>
  <si>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</si>
  <si>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</si>
  <si>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</si>
  <si>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</si>
  <si>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</si>
  <si>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</si>
  <si>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</si>
  <si>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</si>
  <si>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</si>
  <si>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</si>
  <si>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</si>
  <si>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</si>
  <si>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</si>
  <si>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</si>
  <si>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</si>
  <si>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</si>
  <si>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</si>
  <si>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</si>
  <si>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</si>
  <si>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</si>
  <si>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</si>
  <si>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</si>
  <si>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</si>
  <si>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</si>
  <si>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</si>
  <si>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</si>
  <si>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</si>
  <si>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</si>
  <si>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</si>
  <si>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</si>
  <si>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</si>
  <si>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</si>
  <si>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</si>
  <si>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</si>
  <si>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</si>
  <si>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</si>
  <si>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</si>
  <si>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</si>
  <si>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</si>
  <si>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</si>
  <si>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</si>
  <si>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</si>
  <si>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</si>
  <si>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</si>
  <si>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</si>
  <si>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</si>
  <si>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</si>
  <si>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</si>
  <si>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</si>
  <si>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</si>
  <si>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</si>
  <si>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</si>
  <si>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</si>
  <si>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</si>
  <si>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</si>
  <si>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</si>
  <si>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</si>
  <si>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</si>
  <si>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</si>
  <si>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</si>
  <si>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</si>
  <si>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</si>
  <si>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</si>
  <si>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</si>
  <si>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</si>
  <si>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</si>
  <si>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</si>
  <si>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</si>
  <si>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</si>
  <si>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</si>
  <si>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</si>
  <si>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</si>
  <si>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</si>
  <si>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</si>
  <si>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</si>
  <si>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</si>
  <si>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</si>
  <si>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</si>
  <si>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</si>
  <si>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</si>
  <si>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</si>
  <si>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</si>
  <si>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</si>
  <si>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</si>
  <si>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</si>
  <si>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</si>
  <si>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</si>
  <si>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</si>
  <si>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</si>
  <si>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</si>
  <si>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</si>
  <si>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</si>
  <si>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</si>
  <si>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</si>
  <si>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</si>
  <si>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</si>
  <si>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</si>
  <si>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</si>
  <si>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</si>
  <si>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</si>
  <si>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</si>
  <si>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</si>
  <si>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</si>
  <si>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</si>
  <si>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</si>
  <si>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</si>
  <si>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</si>
  <si>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</si>
  <si>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</si>
  <si>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</si>
  <si>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</si>
  <si>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</si>
  <si>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</si>
  <si>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</si>
  <si>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</si>
  <si>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</si>
  <si>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</si>
  <si>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</si>
  <si>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</si>
  <si>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</si>
  <si>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</si>
  <si>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</si>
  <si>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</si>
  <si>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</si>
  <si>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</si>
  <si>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</si>
  <si>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</si>
  <si>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</si>
  <si>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</si>
  <si>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</si>
  <si>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</si>
  <si>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</si>
  <si>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</si>
  <si>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</si>
  <si>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</si>
  <si>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</si>
  <si>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</si>
  <si>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</si>
  <si>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</si>
  <si>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</si>
  <si>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</si>
  <si>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</si>
  <si>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</si>
  <si>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</si>
  <si>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</si>
  <si>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</si>
  <si>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</si>
  <si>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</si>
  <si>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</si>
  <si>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</si>
  <si>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</si>
  <si>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</si>
  <si>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</si>
  <si>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</si>
  <si>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</si>
  <si>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</si>
  <si>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</si>
  <si>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</si>
  <si>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</si>
  <si>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</si>
  <si>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</si>
  <si>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</si>
  <si>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</si>
  <si>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</si>
  <si>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</si>
  <si>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</si>
  <si>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</si>
  <si>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</si>
  <si>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</si>
  <si>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</si>
  <si>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</si>
  <si>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</si>
  <si>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</si>
  <si>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</si>
  <si>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</si>
  <si>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</si>
  <si>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</si>
  <si>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</si>
  <si>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</si>
  <si>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</si>
  <si>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</si>
  <si>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</si>
  <si>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</si>
  <si>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</si>
  <si>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</si>
  <si>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</si>
  <si>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</si>
  <si>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</si>
  <si>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</si>
  <si>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</si>
  <si>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</si>
  <si>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</si>
  <si>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</si>
  <si>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</si>
  <si>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</si>
  <si>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</si>
  <si>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</si>
  <si>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</si>
  <si>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</si>
  <si>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</si>
  <si>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</si>
  <si>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</si>
  <si>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</si>
  <si>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</si>
  <si>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</si>
  <si>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</si>
  <si>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</si>
  <si>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</si>
  <si>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</si>
  <si>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</si>
  <si>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</si>
  <si>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</si>
  <si>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</si>
  <si>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</si>
  <si>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</si>
  <si>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</si>
  <si>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</si>
  <si>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</si>
  <si>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</si>
  <si>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</si>
  <si>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</si>
  <si>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</si>
  <si>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</si>
  <si>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</si>
  <si>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</si>
  <si>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</si>
  <si>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</si>
  <si>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</si>
  <si>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</si>
  <si>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</si>
  <si>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</si>
  <si>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</si>
  <si>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</si>
  <si>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</si>
  <si>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</si>
  <si>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</si>
  <si>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</si>
  <si>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</si>
  <si>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</si>
  <si>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</si>
  <si>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</si>
  <si>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</si>
  <si>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</si>
  <si>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</si>
  <si>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</si>
  <si>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</si>
  <si>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</si>
  <si>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</si>
  <si>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</si>
  <si>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</si>
  <si>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</si>
  <si>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</si>
  <si>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</si>
  <si>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</si>
  <si>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</si>
  <si>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</si>
  <si>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</si>
  <si>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</si>
  <si>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</si>
  <si>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</si>
  <si>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</si>
  <si>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</si>
  <si>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</si>
  <si>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</si>
  <si>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</si>
  <si>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</si>
  <si>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</si>
  <si>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</si>
  <si>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</si>
  <si>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</si>
  <si>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</si>
  <si>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</si>
  <si>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</si>
  <si>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</si>
  <si>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</si>
  <si>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</si>
  <si>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</si>
  <si>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</si>
  <si>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</si>
  <si>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</si>
  <si>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</si>
  <si>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</si>
  <si>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</si>
  <si>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</si>
  <si>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</si>
  <si>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</si>
  <si>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</si>
  <si>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</si>
  <si>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</si>
  <si>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</si>
  <si>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</si>
  <si>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</si>
  <si>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</si>
  <si>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</si>
  <si>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</si>
  <si>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</si>
  <si>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</si>
  <si>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</si>
  <si>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</si>
  <si>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</si>
  <si>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</si>
  <si>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</si>
  <si>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</si>
  <si>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</si>
  <si>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</si>
  <si>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</si>
  <si>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</si>
  <si>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</si>
  <si>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</si>
  <si>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</si>
  <si>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</si>
  <si>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</si>
  <si>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</si>
  <si>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</si>
  <si>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</si>
  <si>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</si>
  <si>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</si>
  <si>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</si>
  <si>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</si>
  <si>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</si>
  <si>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</si>
  <si>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</si>
  <si>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</si>
  <si>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</si>
  <si>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</si>
  <si>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</si>
  <si>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</si>
  <si>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</si>
  <si>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</si>
  <si>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</si>
  <si>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</si>
  <si>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</si>
  <si>
    <t>Mours</t>
  </si>
  <si>
    <t>Parc d’activités Col’Vert Rue du Kiosque</t>
  </si>
  <si>
    <t>31.1</t>
  </si>
  <si>
    <t>31.2</t>
  </si>
  <si>
    <t>31.3</t>
  </si>
  <si>
    <t>31.4</t>
  </si>
  <si>
    <t>31.5</t>
  </si>
  <si>
    <t>https://maps.app.goo.gl/vpxnjtFKHndYSbgW9</t>
  </si>
  <si>
    <t>Urba City, Mondovélo, Les Foulées, La Grande Récrée, Cultura, Terra Kids, Basic Fit</t>
  </si>
  <si>
    <t>Nouvelle commercialisation dans une zone très qualitative et commerciale (Darty, Décathlon, Naturalia, McDonald's). Projet modulable, car bâtiment à construire. Possibilité d'acheter le terrain.</t>
  </si>
  <si>
    <t>49.128119</t>
  </si>
  <si>
    <t>2.247133</t>
  </si>
  <si>
    <t>49.128018</t>
  </si>
  <si>
    <t>2.247074</t>
  </si>
  <si>
    <t>49.127912</t>
  </si>
  <si>
    <t>2.247010</t>
  </si>
  <si>
    <t>49.127810</t>
  </si>
  <si>
    <t>2.246935</t>
  </si>
  <si>
    <t>49.126782</t>
  </si>
  <si>
    <t>2.251495</t>
  </si>
  <si>
    <t>32.1</t>
  </si>
  <si>
    <t>32.2</t>
  </si>
  <si>
    <t>https://maps.app.goo.gl/EzBX5XpF18D7UW9o7</t>
  </si>
  <si>
    <t>15 Boulevard Léon Bureau</t>
  </si>
  <si>
    <t>Nantes</t>
  </si>
  <si>
    <t>375 €/m² = 106 875 €</t>
  </si>
  <si>
    <t>310 €/m² = 69 440 €</t>
  </si>
  <si>
    <t>47.206248</t>
  </si>
  <si>
    <t>-1.563567</t>
  </si>
  <si>
    <t>47.206310</t>
  </si>
  <si>
    <t>-1.563098</t>
  </si>
  <si>
    <t>Restaurants, commerce de proximité</t>
  </si>
  <si>
    <t>https://pub-843c46afc4cb41489909bce00c9b143d.r2.dev/32.1%20-%20Nantes/1%20Vue%20d'ensemble.jpg; https://pub-843c46afc4cb41489909bce00c9b143d.r2.dev/32.2%20-%20Nantes/2.jpg</t>
  </si>
  <si>
    <t>Avant Cap</t>
  </si>
  <si>
    <t>Lipkin</t>
  </si>
  <si>
    <t>https://pub-843c46afc4cb41489909bce00c9b143d.r2.dev/32.1%20-%20Nantes/1%20Vue%20d'ensemble.jpg; https://pub-843c46afc4cb41489909bce00c9b143d.r2.dev/32.1%20-%20Nantes/2.jpg; https://pub-843c46afc4cb41489909bce00c9b143d.r2.dev/32.1%20-%20Nantes/3.jpg</t>
  </si>
  <si>
    <t>https://pub-843c46afc4cb41489909bce00c9b143d.r2.dev/29.1%20-%20Villetaneuse/1%20Vue%20d'ensemble.jpg; https://pub-843c46afc4cb41489909bce00c9b143d.r2.dev/29.1%20-%20Villetaneuse/2.jpg; https://pub-843c46afc4cb41489909bce00c9b143d.r2.dev/29.1%20-%20Villetaneuse/3.jpg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</si>
  <si>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https://pub-843c46afc4cb41489909bce00c9b143d.r2.dev/31.1%20-%20Mours/4.jpg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</si>
  <si>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https://pub-843c46afc4cb41489909bce00c9b143d.r2.dev/31.5%20-%20Mours/4.jpg</t>
  </si>
  <si>
    <t>5 avenue d'Alsace</t>
  </si>
  <si>
    <t>C1</t>
  </si>
  <si>
    <t>https://maps.app.goo.gl/Li1LEavQXMdoEcnp6</t>
  </si>
  <si>
    <t>47.596972</t>
  </si>
  <si>
    <t>7.583361</t>
  </si>
  <si>
    <t>https://maps.app.goo.gl/x6dcSwrDVoZjnYt46</t>
  </si>
  <si>
    <t>Super U 38 Route de Vauzelles, Rue du Bon Raisin</t>
  </si>
  <si>
    <t>Coiffeur, Restaurant, Atol, services</t>
  </si>
  <si>
    <t>47.134859</t>
  </si>
  <si>
    <t>0.981750</t>
  </si>
  <si>
    <t>Super U Loches</t>
  </si>
  <si>
    <t>Leclerc Saint-Louis</t>
  </si>
  <si>
    <t>300 €/m² = 21 900 €</t>
  </si>
  <si>
    <t>Charges et taxes comprises. Local en angle d'un supermarché de 50 M€ dans une très belle zone 100% commercialisée (Intersport, Bricomarché, V&amp;B, Maxizoo, Chaussea, Optical Centre, etc.)</t>
  </si>
  <si>
    <t>Dans un retail Park avec drive Leclerc, à la frontière avec l'Allemagne et la Suisse</t>
  </si>
  <si>
    <t>https://pub-843c46afc4cb41489909bce00c9b143d.r2.dev/33%20-%20Huningue/1.jpg; https://pub-843c46afc4cb41489909bce00c9b143d.r2.dev/33%20-%20Huningue/2.jpg; https://pub-843c46afc4cb41489909bce00c9b143d.r2.dev/33%20-%20Huningue/3.png</t>
  </si>
  <si>
    <t>https://pub-843c46afc4cb41489909bce00c9b143d.r2.dev/34.1%20-%20Loches/1.jpg; https://pub-843c46afc4cb41489909bce00c9b143d.r2.dev/34.1%20-%20Loches/2.jpg; https://pub-843c46afc4cb41489909bce00c9b143d.r2.dev/34.1%20-%20Loches/3.jpg; https://pub-843c46afc4cb41489909bce00c9b143d.r2.dev/34.1%20-%20Loches/4.jpg; https://pub-843c46afc4cb41489909bce00c9b143d.r2.dev/34.1%20-%20Loches/5%20plan%20cellules%20magasin.jpg</t>
  </si>
  <si>
    <t>https://maps.app.goo.gl/K9R5sQxCB3Rf4pa6A</t>
  </si>
  <si>
    <t>Extension de 7 000 m² d'un retail Park commercialisé à 100 % autour d'un supermarché U de 50 M€ hors essence Intersport, Bricomarché, V&amp;B, Maxizoo, Chaussea, Optical Centre, etc.</t>
  </si>
  <si>
    <t>35.1</t>
  </si>
  <si>
    <t>135 €/m²</t>
  </si>
  <si>
    <t>Projet à définir</t>
  </si>
  <si>
    <t>35.2</t>
  </si>
  <si>
    <t>35.3</t>
  </si>
  <si>
    <t>35.4</t>
  </si>
  <si>
    <t>35.5</t>
  </si>
  <si>
    <t>47.134100</t>
  </si>
  <si>
    <t>0.980457</t>
  </si>
  <si>
    <t>47.134252</t>
  </si>
  <si>
    <t>0.980154</t>
  </si>
  <si>
    <t>47.134410</t>
  </si>
  <si>
    <t>0.979889</t>
  </si>
  <si>
    <t>47.134735</t>
  </si>
  <si>
    <t>0.979787</t>
  </si>
  <si>
    <t>47.134934</t>
  </si>
  <si>
    <t>0.980034</t>
  </si>
  <si>
    <t>https://pub-843c46afc4cb41489909bce00c9b143d.r2.dev/35.1%20Loches/1.jpg; https://pub-843c46afc4cb41489909bce00c9b143d.r2.dev/35.1%20Loches/2%20Aper%C3%A7u%20Projet%20Retail%20Park%20Loches.jpg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</si>
  <si>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</si>
  <si>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</si>
  <si>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</si>
  <si>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</si>
  <si>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</si>
  <si>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</si>
  <si>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</si>
  <si>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</si>
  <si>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</si>
  <si>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</si>
  <si>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</si>
  <si>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</si>
  <si>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</si>
  <si>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</si>
  <si>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</si>
  <si>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</si>
  <si>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</si>
  <si>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</si>
  <si>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</si>
  <si>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</si>
  <si>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</si>
  <si>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</si>
  <si>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</si>
  <si>
    <t>Vitrolles</t>
  </si>
  <si>
    <t>Nancy</t>
  </si>
  <si>
    <t>Nemours</t>
  </si>
  <si>
    <t>Avignon</t>
  </si>
  <si>
    <t>14 Boulevard de l'Europe</t>
  </si>
  <si>
    <t>https://maps.app.goo.gl/9Ve3dRd43covAEFVA</t>
  </si>
  <si>
    <t>XX</t>
  </si>
  <si>
    <t>Restaurant en pied d'un batiment autonome dans une zone d'activité</t>
  </si>
  <si>
    <t>Date d'ajout</t>
  </si>
  <si>
    <t>https://maps.app.goo.gl/u2aZqSfdRfKcuU8f6</t>
  </si>
  <si>
    <t>https://maps.app.goo.gl/Agiux4Mzn3c7cD5Q9</t>
  </si>
  <si>
    <t>https://maps.app.goo.gl/ZT3smPn7vYZ4vePU6</t>
  </si>
  <si>
    <t>https://maps.app.goo.gl/Zm8LZ3W7bF7oEBhA6</t>
  </si>
  <si>
    <t>https://maps.app.goo.gl/x4oCDbXcTni1Dwhq7</t>
  </si>
  <si>
    <t>https://maps.app.goo.gl/fJAXX2oK3kLbFqQN8</t>
  </si>
  <si>
    <t>https://maps.app.goo.gl/368Pqe4Ndxa8v6hq7</t>
  </si>
  <si>
    <t>https://maps.app.goo.gl/8z1HzhMcXXoF94Bb8</t>
  </si>
  <si>
    <t>https://maps.app.goo.gl/jiv1tvwoFYLDiKzb7</t>
  </si>
  <si>
    <t>https://maps.app.goo.gl/ThH7vH9twAYbv2UU7</t>
  </si>
  <si>
    <t>https://maps.app.goo.gl/7LDR6QtcAQGrpmfx6</t>
  </si>
  <si>
    <t>https://maps.app.goo.gl/yeG3FvdN5Az7BTzU9</t>
  </si>
  <si>
    <t>La Valette-du-Var</t>
  </si>
  <si>
    <t>23 Avenue des Frères Lumière</t>
  </si>
  <si>
    <t xml:space="preserve"> Lotissement d'activité économique Castel Les Espaluns, Avenue de l'Université</t>
  </si>
  <si>
    <t>330 Avenue Marcou Delanglade</t>
  </si>
  <si>
    <t>13 Rue Serpente</t>
  </si>
  <si>
    <t>Champigny-sur-Marne</t>
  </si>
  <si>
    <t>14 Rue Serpente</t>
  </si>
  <si>
    <t>12 Rue Serpente</t>
  </si>
  <si>
    <t>Herblay-sur-Seine</t>
  </si>
  <si>
    <t>8 Avenue Paul Langevin</t>
  </si>
  <si>
    <t>Les Pennes-Mirabeau</t>
  </si>
  <si>
    <t>8 Rue des Vignes</t>
  </si>
  <si>
    <t>Saint-Germain-du-Puy</t>
  </si>
  <si>
    <t xml:space="preserve"> Saint-Doulchard</t>
  </si>
  <si>
    <t>Centre Commercial Géant,  548 Route d'Orléans</t>
  </si>
  <si>
    <t>50 Rue Saint-Dizier</t>
  </si>
  <si>
    <t>ZAC D'Aulnoy</t>
  </si>
  <si>
    <t>Aulnoy-lez-Valenciennes</t>
  </si>
  <si>
    <t>352 Route nationale, Rue des Fusillés de 1940</t>
  </si>
  <si>
    <t>Ennetières-en-Weppes</t>
  </si>
  <si>
    <t>11 Rue de Soultz</t>
  </si>
  <si>
    <t>Wittenheim</t>
  </si>
  <si>
    <t>31 Rue de Montargis</t>
  </si>
  <si>
    <t>Plan de Campagne, Chemin des Pennes CD6</t>
  </si>
  <si>
    <t>43.439381</t>
  </si>
  <si>
    <t xml:space="preserve"> 5.241938</t>
  </si>
  <si>
    <t>43.416553</t>
  </si>
  <si>
    <t xml:space="preserve"> 5.356538</t>
  </si>
  <si>
    <t>45.2</t>
  </si>
  <si>
    <t>45.1</t>
  </si>
  <si>
    <t>47.1</t>
  </si>
  <si>
    <t>47.2</t>
  </si>
  <si>
    <t>47.3</t>
  </si>
  <si>
    <t>Groupe Strauss</t>
  </si>
  <si>
    <t>50.637146</t>
  </si>
  <si>
    <t xml:space="preserve"> 2.966169</t>
  </si>
  <si>
    <t>Lidl, V&amp;B, restaurants, Circuit de karting, entreprises</t>
  </si>
  <si>
    <t>Avant Cap, Barnéoud, Kiabi, La Maison du Convertible, Conforama, SoCooc, …</t>
  </si>
  <si>
    <t>Local dans l'une des principales zones commerciales de France</t>
  </si>
  <si>
    <t>Leclerc Drive, Noz, Monsieur Meuble, Pêche, Action, Electro Dépôt</t>
  </si>
  <si>
    <t>Local stratégiquement placé en entrée de ville de Bourges sur la N151, dans une zone commerciale</t>
  </si>
  <si>
    <t>47.097965</t>
  </si>
  <si>
    <t xml:space="preserve"> 2.461545</t>
  </si>
  <si>
    <t>Leroy Merlin, Boulanger, Intersport, Cultura, Decathlon</t>
  </si>
  <si>
    <t>47.112262</t>
  </si>
  <si>
    <t xml:space="preserve"> 2.380074</t>
  </si>
  <si>
    <t>Ancien Casino. Centre commercial au nord de Bourges, au milieu d'une zone d'habitation et de commerces</t>
  </si>
  <si>
    <t>48.689891</t>
  </si>
  <si>
    <t xml:space="preserve"> 6.182956</t>
  </si>
  <si>
    <t>Ancien Five Guys. Emplacement exceptionnel en angle et en cœur de ville de Nancy</t>
  </si>
  <si>
    <t xml:space="preserve">Mcdonald's, Buger King, Nex Yorker, Lush, restaurants, librairie, bijouterie, </t>
  </si>
  <si>
    <t>50.335823</t>
  </si>
  <si>
    <t xml:space="preserve"> 3.518012</t>
  </si>
  <si>
    <t>Centre commercial Carrefour d'Aulnoy-lez-Valenciennes</t>
  </si>
  <si>
    <t>Tollens, B&amp;M, Peugeot, Cuisinella, Grand Frais</t>
  </si>
  <si>
    <t>https://maps.app.goo.gl/478dz86LSbFCSjgs9</t>
  </si>
  <si>
    <t>47.798698</t>
  </si>
  <si>
    <t>7.3127756</t>
  </si>
  <si>
    <t>Orchestra, Stokomani, Animalis, Action, Jardinerie</t>
  </si>
  <si>
    <t>48.255557</t>
  </si>
  <si>
    <t xml:space="preserve"> 2.701845</t>
  </si>
  <si>
    <t>Basic Fit, Jardinerie, Netto, Carglass</t>
  </si>
  <si>
    <t>Ancienne La Halle dans une petite zone commerciale et d'habitation</t>
  </si>
  <si>
    <t>43.136512</t>
  </si>
  <si>
    <t xml:space="preserve"> 5.999812</t>
  </si>
  <si>
    <t>Darty, Gifi, Sport 2000, Maxi Bazar, Ecocuisine, restaurants</t>
  </si>
  <si>
    <t>Mcdonald's, Chaussea, V&amp;B, Basic Fit, Poltronesofa, Wingstop, Fiveguys</t>
  </si>
  <si>
    <t>Ancien Casa dans une zone commerciale forte à proximité d'Avenue 83 et Toulon Grand Var</t>
  </si>
  <si>
    <t>43.137481</t>
  </si>
  <si>
    <t xml:space="preserve"> 6.003336</t>
  </si>
  <si>
    <t>43.920764</t>
  </si>
  <si>
    <t xml:space="preserve"> 4.868124</t>
  </si>
  <si>
    <t>Afflelou, Flunch, Darty, Stokomani, La Halle, Décathlon, King Jouet, LDLC</t>
  </si>
  <si>
    <t>https://maps.app.goo.gl/xRk1dgDyTNRJ37Js6</t>
  </si>
  <si>
    <t>48.817641</t>
  </si>
  <si>
    <t xml:space="preserve"> 2.531077</t>
  </si>
  <si>
    <t>48.817952</t>
  </si>
  <si>
    <t xml:space="preserve"> 2.532064</t>
  </si>
  <si>
    <t>48.817472</t>
  </si>
  <si>
    <t xml:space="preserve"> 2.531197</t>
  </si>
  <si>
    <t>Zone commerciale à côté du Leclerc de Champigny. Proximité directe avec les habitations</t>
  </si>
  <si>
    <t>Lidl, patisserie, pièce automobile, maison, confodis, entreprises</t>
  </si>
  <si>
    <t>https://maps.app.goo.gl/SUpMvLrMFe1dX8fi7</t>
  </si>
  <si>
    <t>49.005681</t>
  </si>
  <si>
    <t xml:space="preserve"> 2.171767</t>
  </si>
  <si>
    <t>Leroy Merlin, Nike, Alinea, Truffaut, Décathlon, Fnac, Intersport, Action, Animalis, Cuisine</t>
  </si>
  <si>
    <t>Local situé dans la Patte d'Oie d'Herblay</t>
  </si>
  <si>
    <t>https://pub-843c46afc4cb41489909bce00c9b143d.r2.dev/36%20-%20Vitrolles/1.jpg; https://pub-843c46afc4cb41489909bce00c9b143d.r2.dev/36%20-%20Vitrolles/2.jpg</t>
  </si>
  <si>
    <t>https://pub-843c46afc4cb41489909bce00c9b143d.r2.dev/37%20-%20Les%20Pennes-Mirabeau/1.jpg</t>
  </si>
  <si>
    <t>https://pub-843c46afc4cb41489909bce00c9b143d.r2.dev/38%20-%20Saint-Germain-du-Puy/1.jpg; https://pub-843c46afc4cb41489909bce00c9b143d.r2.dev/38%20-%20Saint-Germain-du-Puy/2.jpg</t>
  </si>
  <si>
    <t>https://pub-843c46afc4cb41489909bce00c9b143d.r2.dev/40%20-%20Nancy/1.jpg; https://pub-843c46afc4cb41489909bce00c9b143d.r2.dev/40%20-%20Nancy/2.jpg; https://pub-843c46afc4cb41489909bce00c9b143d.r2.dev/40%20-%20Nancy/3.jpg</t>
  </si>
  <si>
    <t>https://pub-843c46afc4cb41489909bce00c9b143d.r2.dev/39%20-%20Saint-Doulchard/1.jpg; https://pub-843c46afc4cb41489909bce00c9b143d.r2.dev/39%20-%20Saint-Doulchard/2.jpg; https://pub-843c46afc4cb41489909bce00c9b143d.r2.dev/39%20-%20Saint-Doulchard/3.jpg</t>
  </si>
  <si>
    <t>https://pub-843c46afc4cb41489909bce00c9b143d.r2.dev/41%20-%20Aulnoy-lez-Valenciennes/1.jpg; https://pub-843c46afc4cb41489909bce00c9b143d.r2.dev/41%20-%20Aulnoy-lez-Valenciennes/2.jpg; https://pub-843c46afc4cb41489909bce00c9b143d.r2.dev/41%20-%20Aulnoy-lez-Valenciennes/3.jpg; https://pub-843c46afc4cb41489909bce00c9b143d.r2.dev/41%20-%20Aulnoy-lez-Valenciennes/4.jpg</t>
  </si>
  <si>
    <t>https://pub-843c46afc4cb41489909bce00c9b143d.r2.dev/42%20-%20Enneti%C3%A8res-en-Weppes/1.jpg; https://pub-843c46afc4cb41489909bce00c9b143d.r2.dev/42%20-%20Enneti%C3%A8res-en-Weppes/2.jpg</t>
  </si>
  <si>
    <t>https://pub-843c46afc4cb41489909bce00c9b143d.r2.dev/43%20-%20Wittenheim/1.jpg; https://pub-843c46afc4cb41489909bce00c9b143d.r2.dev/43%20-%20Wittenheim/2.jpg</t>
  </si>
  <si>
    <t>https://pub-843c46afc4cb41489909bce00c9b143d.r2.dev/44%20-%20Nemours/1.jpg</t>
  </si>
  <si>
    <t>https://pub-843c46afc4cb41489909bce00c9b143d.r2.dev/45.1%20-%20La%20Valette-du-Var/1.jpg; https://pub-843c46afc4cb41489909bce00c9b143d.r2.dev/45.1%20-%20La%20Valette-du-Var/2.jpg</t>
  </si>
  <si>
    <t>https://pub-843c46afc4cb41489909bce00c9b143d.r2.dev/45.2%20-%20La%20Valette-du-Var/1.jpg</t>
  </si>
  <si>
    <t>https://pub-843c46afc4cb41489909bce00c9b143d.r2.dev/47.1%20-%20Champigny-sur-Marne/1.jpg</t>
  </si>
  <si>
    <t>https://pub-843c46afc4cb41489909bce00c9b143d.r2.dev/46%20-%20Avignon/1.jpg</t>
  </si>
  <si>
    <t>https://pub-843c46afc4cb41489909bce00c9b143d.r2.dev/47.2%20-%20Champigny-sur-Marne/1.jpg; https://pub-843c46afc4cb41489909bce00c9b143d.r2.dev/47.2%20-%20Champigny-sur-Marne/2.jpg</t>
  </si>
  <si>
    <t>https://pub-843c46afc4cb41489909bce00c9b143d.r2.dev/47.3%20-%20Champigny-sur-Marne/1.jpg; https://pub-843c46afc4cb41489909bce00c9b143d.r2.dev/47.3%20-%20Champigny-sur-Marne/2.jpg</t>
  </si>
  <si>
    <t>https://pub-843c46afc4cb41489909bce00c9b143d.r2.dev/48%20-%20Herblay-sur-Seine/1.jpg; https://pub-843c46afc4cb41489909bce00c9b143d.r2.dev/48%20-%20Herblay-sur-Seine/2.jpg</t>
  </si>
  <si>
    <t>Ancien KFC à proximité du centre Englos. Local divisible à partir de 150 m².</t>
  </si>
  <si>
    <t>Ancien Cuisine Plus à proximité du Carrefour Wittenheim. Local divisible à partir de 300 m².</t>
  </si>
  <si>
    <t>Ancienne boulangerie dans une zone commerciale forte à proximité d'avenue 83 et Toulon Grand Var. Avec terrasse extérieur</t>
  </si>
  <si>
    <t>Ancien Point B (burger) dans une zone commercial à proximité du centre Auchan Mistral 7 au sud d'Avignon. Avec mezzanine et terrasse</t>
  </si>
  <si>
    <t>En face des Machines de l'Île. A proximité du Palais de Justice, et de l'école des Beaux-Arts. Nouvelle construction dans un quartier d'habitation et de bureaux. Gaine à installer. Les charges incluent la taxe foncière</t>
  </si>
  <si>
    <t>En face des Machines de l'Île. A proximité du Palais de Justice, et de l'école des Beaux-Arts. Nouvelle construction dans un quartier d'habitation et de bureaux. Les charges incluent la taxe foncière</t>
  </si>
  <si>
    <t>Saint-Laurent-du-Var</t>
  </si>
  <si>
    <t>CAP 3000
217 Av. Eugène Donadeï</t>
  </si>
  <si>
    <t>https://maps.app.goo.gl/dzVJ2h9GjsA9hiNV7</t>
  </si>
  <si>
    <t>Me contacter</t>
  </si>
  <si>
    <t>Cession d'un commerce de 80m² + mezzanine en très bon état à Cap 3000.</t>
  </si>
  <si>
    <t>Nespresso, JD Sport</t>
  </si>
  <si>
    <t>43.658465</t>
  </si>
  <si>
    <t>7.196914</t>
  </si>
  <si>
    <t>MIM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</si>
</sst>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7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  <xf numFmtId="0" fontId="1" fillId="3" borderId="0" xfId="1" applyFill="1" applyAlignment="1">
      <alignment horizontal="center" vertical="center"/>
    </xf>
    <xf numFmtId="6" fontId="1" fillId="0" borderId="0" xfId="1" applyNumberFormat="1" applyFill="1" applyAlignment="1">
      <alignment horizontal="center" vertical="center" wrapText="1"/>
    </xf>
    <xf numFmtId="14" fontId="1" fillId="0" borderId="0" xfId="1" applyNumberFormat="1" applyFill="1"/>
    <xf numFmtId="0" fontId="0" fillId="0" borderId="0" xfId="0" applyFill="1"/>
    <xf numFmtId="0" fontId="1" fillId="0" borderId="0" xfId="1" applyFill="1" applyAlignment="1"/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7"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U169" totalsRowShown="0" headerRowCellStyle="Normal 2" dataCellStyle="Normal 2">
  <autoFilter ref="A1:AU169" xr:uid="{C496A065-E5CA-44EF-B6AE-AC366F12DAEC}"/>
  <tableColumns count="47">
    <tableColumn id="43" xr3:uid="{DE1D6443-0E1C-43C0-8BC8-BDC69562CB95}" name="Région" dataDxfId="46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5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4" dataCellStyle="Normal 2">
      <calculatedColumnFormula>LEFT(Tableau1[[#This Row],[Code Postal]],2)*1</calculatedColumnFormula>
    </tableColumn>
    <tableColumn id="22" xr3:uid="{807881FC-FCFC-4E58-94E6-974968140DE0}" name="Rue" dataDxfId="43" dataCellStyle="Normal 2"/>
    <tableColumn id="24" xr3:uid="{5BC55846-88AA-4EB3-AA6F-8E4CFB785641}" name="Code Postal" dataDxfId="42" dataCellStyle="Normal 2"/>
    <tableColumn id="17" xr3:uid="{35EE7115-51F8-4E1F-AD3E-33A05B4BE6AA}" name="Ville" dataDxfId="41" dataCellStyle="Normal 2"/>
    <tableColumn id="34" xr3:uid="{BCDF1767-53B8-4755-BA69-6972BF82336C}" name="Adresse" dataDxfId="40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9" dataCellStyle="Normal 2">
      <calculatedColumnFormula array="1">Extrait_hyperlien(#REF!)</calculatedColumnFormula>
    </tableColumn>
    <tableColumn id="15" xr3:uid="{172E07C4-0318-49AC-A621-9C0E3C5C5B5D}" name="Emplacement" dataDxfId="38" dataCellStyle="Normal 2"/>
    <tableColumn id="14" xr3:uid="{95EAECC7-A016-42C4-9C47-2CABFEAEC577}" name="Typologie" dataDxfId="37" dataCellStyle="Normal 2"/>
    <tableColumn id="3" xr3:uid="{8C8D77C7-8B55-471A-B479-215BC0D77604}" name="Type" dataDxfId="36" dataCellStyle="Normal 2"/>
    <tableColumn id="4" xr3:uid="{87D84239-5323-4A47-9424-F0CADB050723}" name="Cession / Droit au bail" dataDxfId="35" dataCellStyle="Normal 2"/>
    <tableColumn id="31" xr3:uid="{86770348-6586-45F2-A401-94B68504976F}" name="Numéro de lot" dataDxfId="34" dataCellStyle="Normal 2"/>
    <tableColumn id="1" xr3:uid="{3888DEAC-D743-4A06-B622-0805DADF7B24}" name="Surface GLA" dataDxfId="33" dataCellStyle="Normal 2"/>
    <tableColumn id="9" xr3:uid="{0D61162C-F920-419C-993E-EDC2DF105B61}" name="Répartition surface GLA" dataDxfId="32" dataCellStyle="Normal 2"/>
    <tableColumn id="2" xr3:uid="{9969DD5B-5EA2-4595-B887-2E9B21053A55}" name="Surface utile" dataDxfId="31" dataCellStyle="Normal 2"/>
    <tableColumn id="21" xr3:uid="{3DFB9473-7064-409A-A47B-5544538EC4AE}" name="Répartition surface utile" dataDxfId="30" dataCellStyle="Normal 2"/>
    <tableColumn id="5" xr3:uid="{A744513A-B9BE-426C-9A67-F73FDBDA82D8}" name="Loyer annuel" dataDxfId="29" dataCellStyle="Normal 2"/>
    <tableColumn id="6" xr3:uid="{356A37C1-BF3E-4357-A954-82A182007A4A}" name="Loyer Mensuel" dataDxfId="28" dataCellStyle="Normal 2">
      <calculatedColumnFormula>IFERROR(Tableau1[[#This Row],[Loyer annuel]]/12,"")</calculatedColumnFormula>
    </tableColumn>
    <tableColumn id="11" xr3:uid="{767012B1-AABD-475A-8A4D-3B7DA0A65895}" name="Loyer €/m²" dataDxfId="27" dataCellStyle="Normal 2"/>
    <tableColumn id="30" xr3:uid="{1B20B1A4-ACFD-45E3-955E-514E88115368}" name="Loyer variable" dataDxfId="26" dataCellStyle="Normal 2"/>
    <tableColumn id="7" xr3:uid="{2A7DA589-64F1-4CF6-8C82-38781BD9EC1D}" name="Charges annuelles" dataDxfId="25" dataCellStyle="Normal 2"/>
    <tableColumn id="8" xr3:uid="{440DF5B1-3CC3-4785-9C23-94B007AF5E1B}" name="Charges Mensuelles" dataDxfId="24" dataCellStyle="Normal 2">
      <calculatedColumnFormula>Tableau1[[#This Row],[Charges annuelles]]/12</calculatedColumnFormula>
    </tableColumn>
    <tableColumn id="19" xr3:uid="{4129B281-2FE2-4CF1-9B2A-1383495B75F8}" name="Charges €/m²" dataDxfId="23" dataCellStyle="Normal 2"/>
    <tableColumn id="23" xr3:uid="{8D958AF5-4590-4B2C-91C7-84AA83299F72}" name="Taxe foncière" dataDxfId="22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1" dataCellStyle="Normal 2"/>
    <tableColumn id="37" xr3:uid="{DCF6EDF6-4C11-48C1-B6A2-F68E6553ECAE}" name="Marketing" dataDxfId="20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9" dataCellStyle="Normal 2"/>
    <tableColumn id="39" xr3:uid="{5F4F5D62-4EE8-4561-AFC9-FBA26AD0FEB9}" name="Total (L+C+M)" dataDxfId="18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7" dataCellStyle="Normal 2"/>
    <tableColumn id="33" xr3:uid="{5D2CDDBF-0016-4D42-9FA2-C6BE7187A781}" name="GAPD" dataDxfId="16" dataCellStyle="Normal 2"/>
    <tableColumn id="27" xr3:uid="{AE6532DB-DF7C-4137-958E-CF0878BAF4EA}" name="Gestion" dataDxfId="15" dataCellStyle="Normal 2"/>
    <tableColumn id="29" xr3:uid="{C7D740EB-05A5-4C80-B626-4AE327C99B0E}" name="Etat de livraison" dataDxfId="14" dataCellStyle="Normal 2"/>
    <tableColumn id="10" xr3:uid="{F202F9CF-E361-49F7-BCB2-41601DB0A090}" name="Extraction" dataDxfId="13" dataCellStyle="Normal 2"/>
    <tableColumn id="38" xr3:uid="{1E22D9C1-89FA-49FF-9893-8AC79191E4A6}" name="Restauration" dataDxfId="12" dataCellStyle="Normal 2"/>
    <tableColumn id="28" xr3:uid="{BF030FEC-E7AF-42C6-AC39-B670759A4BC7}" name="Environnement Commercial" dataDxfId="11" dataCellStyle="Normal 2"/>
    <tableColumn id="16" xr3:uid="{D3CC4D5A-911C-4939-9024-731260442272}" name="Commentaires" dataDxfId="10" dataCellStyle="Normal 2"/>
    <tableColumn id="40" xr3:uid="{5463AA4C-3D9C-45CF-B81C-A3755D028F2B}" name="Honoraires" dataDxfId="9" dataCellStyle="Normal 2"/>
    <tableColumn id="36" xr3:uid="{EBABBF90-FEC0-4C48-8EB4-A8DB85141CEF}" name="Latitude" dataDxfId="8" dataCellStyle="Normal 2"/>
    <tableColumn id="35" xr3:uid="{FDA62BB3-971D-4771-BFF4-42A78D749576}" name="Longitude" dataDxfId="7" dataCellStyle="Normal 2"/>
    <tableColumn id="41" xr3:uid="{0B5CFD66-9BAF-42E4-85BA-98CEF40CC994}" name="Référence annonce" dataDxfId="6" dataCellStyle="Normal 2"/>
    <tableColumn id="46" xr3:uid="{ED041E73-B65A-464D-8E38-4CD520F93F57}" name="Photos annonce" dataDxfId="5" dataCellStyle="Normal 2"/>
    <tableColumn id="42" xr3:uid="{31DE41E2-CE5A-45AD-B999-11A9307EA50B}" name="Actif" dataDxfId="4" dataCellStyle="Normal 2"/>
    <tableColumn id="20" xr3:uid="{D2AE6F16-4821-49DE-B56C-155BB51A6204}" name="Valeur BP" dataDxfId="3" dataCellStyle="Normal 2"/>
    <tableColumn id="12" xr3:uid="{80CF5A8D-23B2-4B36-80CB-91ECBC7FF3FE}" name="Contact" dataDxfId="2" dataCellStyle="Normal 2"/>
    <tableColumn id="13" xr3:uid="{E28C924B-61DC-4BBD-ABE7-33B29A5037B4}" name="Page Web" dataDxfId="1" dataCellStyle="Normal 2"/>
    <tableColumn id="47" xr3:uid="{6D70689D-C350-4037-8D03-D9E5646BA26C}" name="Date d'ajout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117" Type="http://schemas.openxmlformats.org/officeDocument/2006/relationships/hyperlink" Target="https://maps.app.goo.gl/K9R5sQxCB3Rf4pa6A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vpxnjtFKHndYSbgW9" TargetMode="External"/><Relationship Id="rId112" Type="http://schemas.openxmlformats.org/officeDocument/2006/relationships/hyperlink" Target="https://maps.app.goo.gl/Li1LEavQXMdoEcnp6" TargetMode="External"/><Relationship Id="rId133" Type="http://schemas.openxmlformats.org/officeDocument/2006/relationships/hyperlink" Target="https://maps.app.goo.gl/yeG3FvdN5Az7BTzU9" TargetMode="External"/><Relationship Id="rId16" Type="http://schemas.openxmlformats.org/officeDocument/2006/relationships/hyperlink" Target="https://maps.app.goo.gl/wJkBLPh5R3fTCHhg8" TargetMode="External"/><Relationship Id="rId107" Type="http://schemas.openxmlformats.org/officeDocument/2006/relationships/hyperlink" Target="https://maps.app.goo.gl/vpxnjtFKHndYSbgW9" TargetMode="External"/><Relationship Id="rId11" Type="http://schemas.openxmlformats.org/officeDocument/2006/relationships/hyperlink" Target="https://www.google.com/maps/place/18+Rue+du+G%C3%A9n%C3%A9ral+Mouton-Duvernet,+69003+Lyon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102" Type="http://schemas.openxmlformats.org/officeDocument/2006/relationships/hyperlink" Target="https://maps.app.goo.gl/8iiLWsQkZab33zJR9" TargetMode="External"/><Relationship Id="rId123" Type="http://schemas.openxmlformats.org/officeDocument/2006/relationships/hyperlink" Target="https://maps.app.goo.gl/Zm8LZ3W7bF7oEBhA6" TargetMode="External"/><Relationship Id="rId128" Type="http://schemas.openxmlformats.org/officeDocument/2006/relationships/hyperlink" Target="https://maps.app.goo.gl/8z1HzhMcXXoF94Bb8" TargetMode="External"/><Relationship Id="rId5" Type="http://schemas.openxmlformats.org/officeDocument/2006/relationships/hyperlink" Target="https://www.google.com/maps/place/60+Rue+Serpenoise,+57000+Metz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hyperlink" Target="https://maps.app.goo.gl/8iiLWsQkZab33zJR9" TargetMode="External"/><Relationship Id="rId113" Type="http://schemas.openxmlformats.org/officeDocument/2006/relationships/hyperlink" Target="https://maps.app.goo.gl/x6dcSwrDVoZjnYt46" TargetMode="External"/><Relationship Id="rId118" Type="http://schemas.openxmlformats.org/officeDocument/2006/relationships/hyperlink" Target="https://maps.app.goo.gl/K9R5sQxCB3Rf4pa6A" TargetMode="External"/><Relationship Id="rId126" Type="http://schemas.openxmlformats.org/officeDocument/2006/relationships/hyperlink" Target="https://maps.app.goo.gl/fJAXX2oK3kLbFqQN8" TargetMode="External"/><Relationship Id="rId134" Type="http://schemas.openxmlformats.org/officeDocument/2006/relationships/hyperlink" Target="https://maps.app.goo.gl/SUpMvLrMFe1dX8fi7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121" Type="http://schemas.openxmlformats.org/officeDocument/2006/relationships/hyperlink" Target="https://maps.app.goo.gl/Agiux4Mzn3c7cD5Q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108" Type="http://schemas.openxmlformats.org/officeDocument/2006/relationships/hyperlink" Target="https://maps.app.goo.gl/vpxnjtFKHndYSbgW9" TargetMode="External"/><Relationship Id="rId116" Type="http://schemas.openxmlformats.org/officeDocument/2006/relationships/hyperlink" Target="https://maps.app.goo.gl/K9R5sQxCB3Rf4pa6A" TargetMode="External"/><Relationship Id="rId124" Type="http://schemas.openxmlformats.org/officeDocument/2006/relationships/hyperlink" Target="https://maps.app.goo.gl/x4oCDbXcTni1Dwhq7" TargetMode="External"/><Relationship Id="rId129" Type="http://schemas.openxmlformats.org/officeDocument/2006/relationships/hyperlink" Target="https://maps.app.goo.gl/jiv1tvwoFYLDiKzb7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brvAXB8JH7CUWKEZ8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11" Type="http://schemas.openxmlformats.org/officeDocument/2006/relationships/hyperlink" Target="https://maps.app.goo.gl/EzBX5XpF18D7UW9o7" TargetMode="External"/><Relationship Id="rId132" Type="http://schemas.openxmlformats.org/officeDocument/2006/relationships/hyperlink" Target="https://maps.app.goo.gl/7LDR6QtcAQGrpmfx6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6" Type="http://schemas.openxmlformats.org/officeDocument/2006/relationships/hyperlink" Target="https://maps.app.goo.gl/vpxnjtFKHndYSbgW9" TargetMode="External"/><Relationship Id="rId114" Type="http://schemas.openxmlformats.org/officeDocument/2006/relationships/hyperlink" Target="https://maps.app.goo.gl/K9R5sQxCB3Rf4pa6A" TargetMode="External"/><Relationship Id="rId119" Type="http://schemas.openxmlformats.org/officeDocument/2006/relationships/hyperlink" Target="https://maps.app.goo.gl/9Ve3dRd43covAEFVA" TargetMode="External"/><Relationship Id="rId127" Type="http://schemas.openxmlformats.org/officeDocument/2006/relationships/hyperlink" Target="https://maps.app.goo.gl/368Pqe4Ndxa8v6hq7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122" Type="http://schemas.openxmlformats.org/officeDocument/2006/relationships/hyperlink" Target="https://maps.app.goo.gl/ZT3smPn7vYZ4vePU6" TargetMode="External"/><Relationship Id="rId130" Type="http://schemas.openxmlformats.org/officeDocument/2006/relationships/hyperlink" Target="https://maps.app.goo.gl/xRk1dgDyTNRJ37Js6" TargetMode="External"/><Relationship Id="rId135" Type="http://schemas.openxmlformats.org/officeDocument/2006/relationships/table" Target="../tables/table1.xm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109" Type="http://schemas.openxmlformats.org/officeDocument/2006/relationships/hyperlink" Target="https://maps.app.goo.gl/vpxnjtFKHndYSbgW9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8iiLWsQkZab33zJR9" TargetMode="External"/><Relationship Id="rId120" Type="http://schemas.openxmlformats.org/officeDocument/2006/relationships/hyperlink" Target="https://maps.app.goo.gl/u2aZqSfdRfKcuU8f6" TargetMode="External"/><Relationship Id="rId125" Type="http://schemas.openxmlformats.org/officeDocument/2006/relationships/hyperlink" Target="https://maps.app.goo.gl/478dz86LSbFCSjgs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Relationship Id="rId2" Type="http://schemas.openxmlformats.org/officeDocument/2006/relationships/hyperlink" Target="https://www.google.com/maps/place/44+Grande+Rue,+25000+Besan%C3%A7on" TargetMode="External"/><Relationship Id="rId29" Type="http://schemas.openxmlformats.org/officeDocument/2006/relationships/hyperlink" Target="https://maps.app.goo.gl/yRNFdK1p6sWPThzm7" TargetMode="External"/><Relationship Id="rId24" Type="http://schemas.openxmlformats.org/officeDocument/2006/relationships/hyperlink" Target="https://maps.app.goo.gl/yRNFdK1p6sWPThzm7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66" Type="http://schemas.openxmlformats.org/officeDocument/2006/relationships/hyperlink" Target="https://www.google.com/maps/place/30+Rue+de+la+Ronce,+92410+Ville-d'Avray" TargetMode="External"/><Relationship Id="rId87" Type="http://schemas.openxmlformats.org/officeDocument/2006/relationships/hyperlink" Target="https://maps.app.goo.gl/8iiLWsQkZab33zJR9" TargetMode="External"/><Relationship Id="rId110" Type="http://schemas.openxmlformats.org/officeDocument/2006/relationships/hyperlink" Target="https://maps.app.goo.gl/EzBX5XpF18D7UW9o7" TargetMode="External"/><Relationship Id="rId115" Type="http://schemas.openxmlformats.org/officeDocument/2006/relationships/hyperlink" Target="https://maps.app.goo.gl/K9R5sQxCB3Rf4pa6A" TargetMode="External"/><Relationship Id="rId131" Type="http://schemas.openxmlformats.org/officeDocument/2006/relationships/hyperlink" Target="https://maps.app.goo.gl/ThH7vH9twAYbv2UU7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19" Type="http://schemas.openxmlformats.org/officeDocument/2006/relationships/hyperlink" Target="https://www.google.com/maps/place/18+Rue+Treilhard,+75008+Par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75"/>
  <sheetViews>
    <sheetView showZeros="0" tabSelected="1" zoomScale="80" zoomScaleNormal="80" workbookViewId="0">
      <pane xSplit="6" ySplit="1" topLeftCell="G153" activePane="bottomRight" state="frozen"/>
      <selection pane="topRight" activeCell="G1" sqref="G1"/>
      <selection pane="bottomLeft" activeCell="A2" sqref="A2"/>
      <selection pane="bottomRight" activeCell="F172" sqref="F172"/>
    </sheetView>
  </sheetViews>
  <sheetFormatPr baseColWidth="10" defaultColWidth="11.625" defaultRowHeight="14.25"/>
  <cols>
    <col min="1" max="1" width="23" style="1" bestFit="1" customWidth="1"/>
    <col min="2" max="2" width="15.75" style="1" bestFit="1" customWidth="1"/>
    <col min="3" max="3" width="17" style="1" bestFit="1" customWidth="1"/>
    <col min="4" max="4" width="29.25" style="1" customWidth="1"/>
    <col min="5" max="5" width="13.875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3" t="s">
        <v>1111</v>
      </c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44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44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44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44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44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44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44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44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44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44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44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44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44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44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44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44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44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44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44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44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44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44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44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44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44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44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44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44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44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44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44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44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44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44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44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44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44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44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44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44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44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44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44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44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44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44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44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44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44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44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44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44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44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44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44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12" t="str">
        <f t="shared" ref="AD57:AD64" si="0">"3 mois = "&amp;TEXT(ROUND(3/12*R57,0),"### ### ##0 €")</f>
        <v>3 mois = 15 125 €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44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12" t="str">
        <f t="shared" si="0"/>
        <v>3 mois = 7 425 €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44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12" t="str">
        <f t="shared" si="0"/>
        <v>3 mois = 8 888 €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44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12" t="str">
        <f t="shared" si="0"/>
        <v>3 mois = 6 463 €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44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12" t="str">
        <f t="shared" si="0"/>
        <v>3 mois = 8 250 €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44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12" t="str">
        <f t="shared" si="0"/>
        <v>3 mois = 11 138 €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44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12" t="str">
        <f t="shared" si="0"/>
        <v>3 mois = 6 188 €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44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12" t="str">
        <f t="shared" si="0"/>
        <v>3 mois = 8 213 €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44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44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44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12" t="str">
        <f t="shared" ref="AD67:AD89" si="1">"3 mois = "&amp;TEXT(ROUND(3/12*R67,0),"### ### ##0 €")</f>
        <v>3 mois = 26 081 €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1080</v>
      </c>
      <c r="AQ67" s="5" t="s">
        <v>76</v>
      </c>
      <c r="AR67" s="11" t="s">
        <v>380</v>
      </c>
      <c r="AS67" s="13" t="s">
        <v>37</v>
      </c>
      <c r="AT67" s="14"/>
      <c r="AU67" s="44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12" t="str">
        <f t="shared" si="1"/>
        <v>3 mois = 12 919 €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1081</v>
      </c>
      <c r="AQ68" s="5" t="s">
        <v>76</v>
      </c>
      <c r="AR68" s="11" t="s">
        <v>380</v>
      </c>
      <c r="AS68" s="13" t="s">
        <v>37</v>
      </c>
      <c r="AT68" s="14"/>
      <c r="AU68" s="44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12" t="str">
        <f t="shared" si="1"/>
        <v>3 mois = 22 831 €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1082</v>
      </c>
      <c r="AQ69" s="5" t="s">
        <v>76</v>
      </c>
      <c r="AR69" s="11" t="s">
        <v>380</v>
      </c>
      <c r="AS69" s="13" t="s">
        <v>37</v>
      </c>
      <c r="AT69" s="14"/>
      <c r="AU69" s="44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12" t="str">
        <f t="shared" si="1"/>
        <v>3 mois = 13 650 €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1083</v>
      </c>
      <c r="AQ70" s="5" t="s">
        <v>76</v>
      </c>
      <c r="AR70" s="11" t="s">
        <v>380</v>
      </c>
      <c r="AS70" s="13" t="s">
        <v>37</v>
      </c>
      <c r="AT70" s="14"/>
      <c r="AU70" s="44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12" t="str">
        <f t="shared" si="1"/>
        <v>3 mois = 18 525 €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1084</v>
      </c>
      <c r="AQ71" s="5" t="s">
        <v>76</v>
      </c>
      <c r="AR71" s="11" t="s">
        <v>380</v>
      </c>
      <c r="AS71" s="13" t="s">
        <v>37</v>
      </c>
      <c r="AT71" s="14"/>
      <c r="AU71" s="44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12" t="str">
        <f t="shared" si="1"/>
        <v>3 mois = 10 806 €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1085</v>
      </c>
      <c r="AQ72" s="5" t="s">
        <v>76</v>
      </c>
      <c r="AR72" s="11" t="s">
        <v>380</v>
      </c>
      <c r="AS72" s="13" t="s">
        <v>37</v>
      </c>
      <c r="AT72" s="14"/>
      <c r="AU72" s="44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12" t="str">
        <f t="shared" si="1"/>
        <v>3 mois = 29 838 €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1086</v>
      </c>
      <c r="AQ73" s="5" t="s">
        <v>76</v>
      </c>
      <c r="AR73" s="11" t="s">
        <v>380</v>
      </c>
      <c r="AS73" s="13" t="s">
        <v>37</v>
      </c>
      <c r="AT73" s="14"/>
      <c r="AU73" s="44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12" t="str">
        <f t="shared" si="1"/>
        <v>3 mois = 38 850 €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1087</v>
      </c>
      <c r="AQ74" s="5" t="s">
        <v>76</v>
      </c>
      <c r="AR74" s="11" t="s">
        <v>380</v>
      </c>
      <c r="AS74" s="13" t="s">
        <v>37</v>
      </c>
      <c r="AT74" s="14"/>
      <c r="AU74" s="44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12" t="str">
        <f t="shared" si="1"/>
        <v>3 mois = 18 025 €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1088</v>
      </c>
      <c r="AQ75" s="5" t="s">
        <v>76</v>
      </c>
      <c r="AR75" s="11" t="s">
        <v>380</v>
      </c>
      <c r="AS75" s="13" t="s">
        <v>37</v>
      </c>
      <c r="AT75" s="14"/>
      <c r="AU75" s="44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12" t="str">
        <f t="shared" si="1"/>
        <v>3 mois = 23 100 €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1089</v>
      </c>
      <c r="AQ76" s="5" t="s">
        <v>76</v>
      </c>
      <c r="AR76" s="11" t="s">
        <v>380</v>
      </c>
      <c r="AS76" s="13" t="s">
        <v>37</v>
      </c>
      <c r="AT76" s="14"/>
      <c r="AU76" s="44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12" t="str">
        <f t="shared" si="1"/>
        <v>3 mois = 20 563 €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1090</v>
      </c>
      <c r="AQ77" s="5" t="s">
        <v>76</v>
      </c>
      <c r="AR77" s="11" t="s">
        <v>380</v>
      </c>
      <c r="AS77" s="13" t="s">
        <v>37</v>
      </c>
      <c r="AT77" s="14"/>
      <c r="AU77" s="44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12" t="str">
        <f t="shared" si="1"/>
        <v>3 mois = 27 056 €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1091</v>
      </c>
      <c r="AQ78" s="5" t="s">
        <v>76</v>
      </c>
      <c r="AR78" s="11" t="s">
        <v>380</v>
      </c>
      <c r="AS78" s="13" t="s">
        <v>37</v>
      </c>
      <c r="AT78" s="14"/>
      <c r="AU78" s="44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12" t="str">
        <f t="shared" si="1"/>
        <v>3 mois = 15 488 €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1092</v>
      </c>
      <c r="AQ79" s="5" t="s">
        <v>76</v>
      </c>
      <c r="AR79" s="11" t="s">
        <v>380</v>
      </c>
      <c r="AS79" s="13" t="s">
        <v>37</v>
      </c>
      <c r="AT79" s="14"/>
      <c r="AU79" s="44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12" t="str">
        <f t="shared" si="1"/>
        <v>3 mois = 8 663 €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1093</v>
      </c>
      <c r="AQ80" s="5" t="s">
        <v>76</v>
      </c>
      <c r="AR80" s="11" t="s">
        <v>380</v>
      </c>
      <c r="AS80" s="13" t="s">
        <v>37</v>
      </c>
      <c r="AT80" s="14"/>
      <c r="AU80" s="44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12" t="str">
        <f t="shared" si="1"/>
        <v>3 mois = 13 731 €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1094</v>
      </c>
      <c r="AQ81" s="5" t="s">
        <v>76</v>
      </c>
      <c r="AR81" s="11" t="s">
        <v>380</v>
      </c>
      <c r="AS81" s="13" t="s">
        <v>37</v>
      </c>
      <c r="AT81" s="14"/>
      <c r="AU81" s="44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12" t="str">
        <f t="shared" si="1"/>
        <v>3 mois = 17 150 €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1095</v>
      </c>
      <c r="AQ82" s="5" t="s">
        <v>76</v>
      </c>
      <c r="AR82" s="11" t="s">
        <v>380</v>
      </c>
      <c r="AS82" s="13" t="s">
        <v>37</v>
      </c>
      <c r="AT82" s="14"/>
      <c r="AU82" s="44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12" t="str">
        <f t="shared" si="1"/>
        <v>3 mois = 17 063 €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1096</v>
      </c>
      <c r="AQ83" s="5" t="s">
        <v>76</v>
      </c>
      <c r="AR83" s="11" t="s">
        <v>380</v>
      </c>
      <c r="AS83" s="13" t="s">
        <v>37</v>
      </c>
      <c r="AT83" s="14"/>
      <c r="AU83" s="44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12" t="str">
        <f t="shared" si="1"/>
        <v>3 mois = 15 838 €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1097</v>
      </c>
      <c r="AQ84" s="5" t="s">
        <v>76</v>
      </c>
      <c r="AR84" s="11" t="s">
        <v>380</v>
      </c>
      <c r="AS84" s="13" t="s">
        <v>37</v>
      </c>
      <c r="AT84" s="14"/>
      <c r="AU84" s="44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12" t="str">
        <f t="shared" si="1"/>
        <v>3 mois = 24 238 €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1098</v>
      </c>
      <c r="AQ85" s="5" t="s">
        <v>76</v>
      </c>
      <c r="AR85" s="11" t="s">
        <v>380</v>
      </c>
      <c r="AS85" s="13" t="s">
        <v>37</v>
      </c>
      <c r="AT85" s="14"/>
      <c r="AU85" s="44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12" t="str">
        <f t="shared" si="1"/>
        <v>3 mois = 11 538 €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1099</v>
      </c>
      <c r="AQ86" s="5" t="s">
        <v>76</v>
      </c>
      <c r="AR86" s="11" t="s">
        <v>380</v>
      </c>
      <c r="AS86" s="13" t="s">
        <v>37</v>
      </c>
      <c r="AT86" s="14"/>
      <c r="AU86" s="44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12" t="str">
        <f t="shared" si="1"/>
        <v>3 mois = 9 263 €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1100</v>
      </c>
      <c r="AQ87" s="5" t="s">
        <v>76</v>
      </c>
      <c r="AR87" s="11" t="s">
        <v>380</v>
      </c>
      <c r="AS87" s="13" t="s">
        <v>37</v>
      </c>
      <c r="AT87" s="14"/>
      <c r="AU87" s="44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12" t="str">
        <f t="shared" si="1"/>
        <v>3 mois = 13 569 €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1101</v>
      </c>
      <c r="AQ88" s="5" t="s">
        <v>76</v>
      </c>
      <c r="AR88" s="11" t="s">
        <v>380</v>
      </c>
      <c r="AS88" s="13" t="s">
        <v>37</v>
      </c>
      <c r="AT88" s="14"/>
      <c r="AU88" s="44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12" t="str">
        <f t="shared" si="1"/>
        <v>3 mois = 7 150 €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1102</v>
      </c>
      <c r="AQ89" s="5" t="s">
        <v>76</v>
      </c>
      <c r="AR89" s="11" t="s">
        <v>380</v>
      </c>
      <c r="AS89" s="13" t="s">
        <v>37</v>
      </c>
      <c r="AT89" s="14"/>
      <c r="AU89" s="44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44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44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44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44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44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44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44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44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12" t="str">
        <f t="shared" ref="AD98:AD102" si="2">"3 mois = "&amp;TEXT(ROUND(3/12*R98,0),"### ### ##0 €")</f>
        <v>3 mois = 23 238 €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44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12" t="str">
        <f t="shared" si="2"/>
        <v>3 mois = 7 350 €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44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12" t="str">
        <f t="shared" si="2"/>
        <v>3 mois = 18 700 €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44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12" t="str">
        <f t="shared" si="2"/>
        <v>3 mois = 13 163 €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44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12" t="str">
        <f t="shared" si="2"/>
        <v>3 mois = 22 019 €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44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44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U104" s="4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  <c r="AU105" s="4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  <c r="AU106" s="4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  <c r="AU107" s="4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  <c r="AU108" s="4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  <c r="AU109" s="4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  <c r="AU110" s="4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  <c r="AU111" s="4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U112" s="4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U113" s="4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U114" s="4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U115" s="4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U116" s="4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907</v>
      </c>
      <c r="E117" s="10">
        <v>67600</v>
      </c>
      <c r="F117" s="10" t="s">
        <v>894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895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896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tr">
        <f>"2 mois = "&amp;TEXT(ROUND(2/12*R117,0),"### ### ##0 €")</f>
        <v>2 mois = 4 900 €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901</v>
      </c>
      <c r="AK117" s="11" t="s">
        <v>897</v>
      </c>
      <c r="AL117" s="5" t="s">
        <v>370</v>
      </c>
      <c r="AM117" s="11" t="s">
        <v>898</v>
      </c>
      <c r="AN117" s="11" t="s">
        <v>899</v>
      </c>
      <c r="AO117" s="11">
        <v>25</v>
      </c>
      <c r="AP117" s="36" t="s">
        <v>902</v>
      </c>
      <c r="AQ117" s="11" t="s">
        <v>76</v>
      </c>
      <c r="AR117" s="11" t="s">
        <v>380</v>
      </c>
      <c r="AS117" s="13" t="s">
        <v>900</v>
      </c>
      <c r="AT117" s="14"/>
      <c r="AU117" s="4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908</v>
      </c>
      <c r="E118" s="26">
        <v>84507</v>
      </c>
      <c r="F118" s="10" t="s">
        <v>905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906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tr">
        <f>"2 mois = "&amp;TEXT(ROUND(2/12*R118,0),"### ### ##0 €")</f>
        <v>2 mois = 27 950 €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909</v>
      </c>
      <c r="AK118" s="11" t="s">
        <v>910</v>
      </c>
      <c r="AL118" s="5" t="s">
        <v>370</v>
      </c>
      <c r="AM118" s="11" t="s">
        <v>911</v>
      </c>
      <c r="AN118" s="11" t="s">
        <v>912</v>
      </c>
      <c r="AO118" s="11">
        <v>26</v>
      </c>
      <c r="AP118" s="36" t="s">
        <v>914</v>
      </c>
      <c r="AQ118" s="11" t="s">
        <v>76</v>
      </c>
      <c r="AR118" s="11" t="s">
        <v>913</v>
      </c>
      <c r="AS118" s="13" t="s">
        <v>900</v>
      </c>
      <c r="AT118" s="14"/>
      <c r="AU118" s="4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918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915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916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917</v>
      </c>
      <c r="AL119" s="5" t="s">
        <v>370</v>
      </c>
      <c r="AM119" s="11" t="s">
        <v>919</v>
      </c>
      <c r="AN119" s="11" t="s">
        <v>920</v>
      </c>
      <c r="AO119" s="11">
        <v>27</v>
      </c>
      <c r="AP119" s="36" t="s">
        <v>927</v>
      </c>
      <c r="AQ119" s="11" t="s">
        <v>76</v>
      </c>
      <c r="AR119" s="11" t="s">
        <v>380</v>
      </c>
      <c r="AS119" s="13" t="s">
        <v>31</v>
      </c>
      <c r="AT119" s="14"/>
      <c r="AU119" s="4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921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922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923</v>
      </c>
      <c r="AK120" s="11" t="s">
        <v>929</v>
      </c>
      <c r="AL120" s="5" t="s">
        <v>370</v>
      </c>
      <c r="AM120" s="11" t="s">
        <v>924</v>
      </c>
      <c r="AN120" s="11" t="s">
        <v>925</v>
      </c>
      <c r="AO120" s="11">
        <v>28</v>
      </c>
      <c r="AP120" s="36" t="s">
        <v>928</v>
      </c>
      <c r="AQ120" s="11" t="s">
        <v>76</v>
      </c>
      <c r="AR120" s="11" t="s">
        <v>926</v>
      </c>
      <c r="AS120" s="13" t="s">
        <v>31</v>
      </c>
      <c r="AT120" s="14"/>
      <c r="AU120" s="4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931</v>
      </c>
      <c r="E121" s="10">
        <v>93430</v>
      </c>
      <c r="F121" s="10" t="s">
        <v>930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932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933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12" t="str">
        <f t="shared" ref="AD121:AD133" si="3">"3 mois = "&amp;TEXT(ROUND(3/12*R121,0),"### ### ##0 €")</f>
        <v>3 mois = 14 263 €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955</v>
      </c>
      <c r="AK121" s="11" t="s">
        <v>992</v>
      </c>
      <c r="AL121" s="5" t="s">
        <v>370</v>
      </c>
      <c r="AM121" s="11" t="s">
        <v>958</v>
      </c>
      <c r="AN121" s="11" t="s">
        <v>959</v>
      </c>
      <c r="AO121" s="11" t="s">
        <v>938</v>
      </c>
      <c r="AP121" s="36" t="s">
        <v>1040</v>
      </c>
      <c r="AQ121" s="11" t="s">
        <v>76</v>
      </c>
      <c r="AR121" s="11" t="s">
        <v>956</v>
      </c>
      <c r="AS121" s="13" t="s">
        <v>957</v>
      </c>
      <c r="AT121" s="14"/>
      <c r="AU121" s="4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931</v>
      </c>
      <c r="E122" s="10">
        <v>93430</v>
      </c>
      <c r="F122" s="10" t="s">
        <v>930</v>
      </c>
      <c r="G122" s="39" t="str">
        <f>Tableau1[[#This Row],[Rue]]&amp;CHAR(10)&amp;Tableau1[[#This Row],[Code Postal]]&amp;" - "&amp;Tableau1[[#This Row],[Ville]]</f>
        <v>8 Route de Saint-Leu
93430 - Villetaneuse</v>
      </c>
      <c r="H122" s="15" t="s">
        <v>932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12" t="str">
        <f t="shared" si="3"/>
        <v>3 mois = 8 925 €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955</v>
      </c>
      <c r="AK122" s="11" t="s">
        <v>992</v>
      </c>
      <c r="AL122" s="5" t="s">
        <v>370</v>
      </c>
      <c r="AM122" s="11" t="s">
        <v>960</v>
      </c>
      <c r="AN122" s="11" t="s">
        <v>961</v>
      </c>
      <c r="AO122" s="11" t="s">
        <v>939</v>
      </c>
      <c r="AP122" s="36" t="s">
        <v>1040</v>
      </c>
      <c r="AQ122" s="11" t="s">
        <v>76</v>
      </c>
      <c r="AR122" s="11" t="s">
        <v>956</v>
      </c>
      <c r="AS122" s="13" t="s">
        <v>957</v>
      </c>
      <c r="AT122" s="14"/>
      <c r="AU122" s="4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931</v>
      </c>
      <c r="E123" s="10">
        <v>93430</v>
      </c>
      <c r="F123" s="10" t="s">
        <v>930</v>
      </c>
      <c r="G123" s="39" t="str">
        <f>Tableau1[[#This Row],[Rue]]&amp;CHAR(10)&amp;Tableau1[[#This Row],[Code Postal]]&amp;" - "&amp;Tableau1[[#This Row],[Ville]]</f>
        <v>8 Route de Saint-Leu
93430 - Villetaneuse</v>
      </c>
      <c r="H123" s="15" t="s">
        <v>932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12" t="str">
        <f t="shared" si="3"/>
        <v>3 mois = 7 613 €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955</v>
      </c>
      <c r="AK123" s="11" t="s">
        <v>992</v>
      </c>
      <c r="AL123" s="5" t="s">
        <v>370</v>
      </c>
      <c r="AM123" s="11" t="s">
        <v>962</v>
      </c>
      <c r="AN123" s="11" t="s">
        <v>963</v>
      </c>
      <c r="AO123" s="11" t="s">
        <v>940</v>
      </c>
      <c r="AP123" s="36" t="s">
        <v>1040</v>
      </c>
      <c r="AQ123" s="11" t="s">
        <v>76</v>
      </c>
      <c r="AR123" s="11" t="s">
        <v>956</v>
      </c>
      <c r="AS123" s="13" t="s">
        <v>957</v>
      </c>
      <c r="AT123" s="14"/>
      <c r="AU123" s="4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931</v>
      </c>
      <c r="E124" s="10">
        <v>93430</v>
      </c>
      <c r="F124" s="10" t="s">
        <v>930</v>
      </c>
      <c r="G124" s="39" t="str">
        <f>Tableau1[[#This Row],[Rue]]&amp;CHAR(10)&amp;Tableau1[[#This Row],[Code Postal]]&amp;" - "&amp;Tableau1[[#This Row],[Ville]]</f>
        <v>8 Route de Saint-Leu
93430 - Villetaneuse</v>
      </c>
      <c r="H124" s="15" t="s">
        <v>932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934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12" t="str">
        <f t="shared" si="3"/>
        <v>3 mois = 38 325 €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955</v>
      </c>
      <c r="AK124" s="11" t="s">
        <v>993</v>
      </c>
      <c r="AL124" s="5" t="s">
        <v>370</v>
      </c>
      <c r="AM124" s="11" t="s">
        <v>964</v>
      </c>
      <c r="AN124" s="11" t="s">
        <v>965</v>
      </c>
      <c r="AO124" s="11" t="s">
        <v>941</v>
      </c>
      <c r="AP124" s="36" t="s">
        <v>1040</v>
      </c>
      <c r="AQ124" s="11" t="s">
        <v>76</v>
      </c>
      <c r="AR124" s="11" t="s">
        <v>956</v>
      </c>
      <c r="AS124" s="13" t="s">
        <v>957</v>
      </c>
      <c r="AT124" s="14"/>
      <c r="AU124" s="4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931</v>
      </c>
      <c r="E125" s="10">
        <v>93430</v>
      </c>
      <c r="F125" s="10" t="s">
        <v>930</v>
      </c>
      <c r="G125" s="39" t="str">
        <f>Tableau1[[#This Row],[Rue]]&amp;CHAR(10)&amp;Tableau1[[#This Row],[Code Postal]]&amp;" - "&amp;Tableau1[[#This Row],[Ville]]</f>
        <v>8 Route de Saint-Leu
93430 - Villetaneuse</v>
      </c>
      <c r="H125" s="15" t="s">
        <v>932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935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12" t="str">
        <f t="shared" si="3"/>
        <v>3 mois = 8 488 €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955</v>
      </c>
      <c r="AK125" s="11" t="s">
        <v>992</v>
      </c>
      <c r="AL125" s="5" t="s">
        <v>370</v>
      </c>
      <c r="AM125" s="11" t="s">
        <v>966</v>
      </c>
      <c r="AN125" s="11" t="s">
        <v>967</v>
      </c>
      <c r="AO125" s="11" t="s">
        <v>942</v>
      </c>
      <c r="AP125" s="36" t="s">
        <v>1040</v>
      </c>
      <c r="AQ125" s="11" t="s">
        <v>76</v>
      </c>
      <c r="AR125" s="11" t="s">
        <v>956</v>
      </c>
      <c r="AS125" s="13" t="s">
        <v>957</v>
      </c>
      <c r="AT125" s="14"/>
      <c r="AU125" s="4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931</v>
      </c>
      <c r="E126" s="10">
        <v>93430</v>
      </c>
      <c r="F126" s="10" t="s">
        <v>930</v>
      </c>
      <c r="G126" s="39" t="str">
        <f>Tableau1[[#This Row],[Rue]]&amp;CHAR(10)&amp;Tableau1[[#This Row],[Code Postal]]&amp;" - "&amp;Tableau1[[#This Row],[Ville]]</f>
        <v>8 Route de Saint-Leu
93430 - Villetaneuse</v>
      </c>
      <c r="H126" s="15" t="s">
        <v>932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12" t="str">
        <f t="shared" si="3"/>
        <v>3 mois = 6 563 €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955</v>
      </c>
      <c r="AK126" s="11" t="s">
        <v>992</v>
      </c>
      <c r="AL126" s="5" t="s">
        <v>370</v>
      </c>
      <c r="AM126" s="11" t="s">
        <v>974</v>
      </c>
      <c r="AN126" s="11" t="s">
        <v>975</v>
      </c>
      <c r="AO126" s="11" t="s">
        <v>943</v>
      </c>
      <c r="AP126" s="36" t="s">
        <v>1040</v>
      </c>
      <c r="AQ126" s="11" t="s">
        <v>76</v>
      </c>
      <c r="AR126" s="11" t="s">
        <v>956</v>
      </c>
      <c r="AS126" s="13" t="s">
        <v>957</v>
      </c>
      <c r="AT126" s="14"/>
      <c r="AU126" s="4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931</v>
      </c>
      <c r="E127" s="10">
        <v>93430</v>
      </c>
      <c r="F127" s="10" t="s">
        <v>930</v>
      </c>
      <c r="G127" s="39" t="str">
        <f>Tableau1[[#This Row],[Rue]]&amp;CHAR(10)&amp;Tableau1[[#This Row],[Code Postal]]&amp;" - "&amp;Tableau1[[#This Row],[Ville]]</f>
        <v>8 Route de Saint-Leu
93430 - Villetaneuse</v>
      </c>
      <c r="H127" s="15" t="s">
        <v>932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936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12" t="str">
        <f t="shared" si="3"/>
        <v>3 mois = 10 938 €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955</v>
      </c>
      <c r="AK127" s="11" t="s">
        <v>992</v>
      </c>
      <c r="AL127" s="5" t="s">
        <v>370</v>
      </c>
      <c r="AM127" s="11" t="s">
        <v>972</v>
      </c>
      <c r="AN127" s="11" t="s">
        <v>973</v>
      </c>
      <c r="AO127" s="11" t="s">
        <v>944</v>
      </c>
      <c r="AP127" s="36" t="s">
        <v>1040</v>
      </c>
      <c r="AQ127" s="11" t="s">
        <v>76</v>
      </c>
      <c r="AR127" s="11" t="s">
        <v>956</v>
      </c>
      <c r="AS127" s="13" t="s">
        <v>957</v>
      </c>
      <c r="AT127" s="14"/>
      <c r="AU127" s="4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931</v>
      </c>
      <c r="E128" s="10">
        <v>93430</v>
      </c>
      <c r="F128" s="10" t="s">
        <v>930</v>
      </c>
      <c r="G128" s="39" t="str">
        <f>Tableau1[[#This Row],[Rue]]&amp;CHAR(10)&amp;Tableau1[[#This Row],[Code Postal]]&amp;" - "&amp;Tableau1[[#This Row],[Ville]]</f>
        <v>8 Route de Saint-Leu
93430 - Villetaneuse</v>
      </c>
      <c r="H128" s="15" t="s">
        <v>932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12" t="str">
        <f t="shared" si="3"/>
        <v>3 mois = 6 038 €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955</v>
      </c>
      <c r="AK128" s="11" t="s">
        <v>992</v>
      </c>
      <c r="AL128" s="5" t="s">
        <v>370</v>
      </c>
      <c r="AM128" s="11" t="s">
        <v>970</v>
      </c>
      <c r="AN128" s="11" t="s">
        <v>971</v>
      </c>
      <c r="AO128" s="11" t="s">
        <v>945</v>
      </c>
      <c r="AP128" s="36" t="s">
        <v>1040</v>
      </c>
      <c r="AQ128" s="11" t="s">
        <v>76</v>
      </c>
      <c r="AR128" s="11" t="s">
        <v>956</v>
      </c>
      <c r="AS128" s="13" t="s">
        <v>957</v>
      </c>
      <c r="AT128" s="14"/>
      <c r="AU128" s="44"/>
    </row>
    <row r="129" spans="1:47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931</v>
      </c>
      <c r="E129" s="10">
        <v>93430</v>
      </c>
      <c r="F129" s="10" t="s">
        <v>930</v>
      </c>
      <c r="G129" s="39" t="str">
        <f>Tableau1[[#This Row],[Rue]]&amp;CHAR(10)&amp;Tableau1[[#This Row],[Code Postal]]&amp;" - "&amp;Tableau1[[#This Row],[Ville]]</f>
        <v>8 Route de Saint-Leu
93430 - Villetaneuse</v>
      </c>
      <c r="H129" s="15" t="s">
        <v>932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12" t="str">
        <f t="shared" si="3"/>
        <v>3 mois = 5 688 €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955</v>
      </c>
      <c r="AK129" s="11" t="s">
        <v>992</v>
      </c>
      <c r="AL129" s="5" t="s">
        <v>370</v>
      </c>
      <c r="AM129" s="11" t="s">
        <v>968</v>
      </c>
      <c r="AN129" s="11" t="s">
        <v>969</v>
      </c>
      <c r="AO129" s="11" t="s">
        <v>946</v>
      </c>
      <c r="AP129" s="36" t="s">
        <v>1040</v>
      </c>
      <c r="AQ129" s="11" t="s">
        <v>76</v>
      </c>
      <c r="AR129" s="11" t="s">
        <v>956</v>
      </c>
      <c r="AS129" s="13" t="s">
        <v>957</v>
      </c>
      <c r="AT129" s="14"/>
      <c r="AU129" s="44"/>
    </row>
    <row r="130" spans="1:47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931</v>
      </c>
      <c r="E130" s="10">
        <v>93430</v>
      </c>
      <c r="F130" s="10" t="s">
        <v>930</v>
      </c>
      <c r="G130" s="39" t="str">
        <f>Tableau1[[#This Row],[Rue]]&amp;CHAR(10)&amp;Tableau1[[#This Row],[Code Postal]]&amp;" - "&amp;Tableau1[[#This Row],[Ville]]</f>
        <v>8 Route de Saint-Leu
93430 - Villetaneuse</v>
      </c>
      <c r="H130" s="15" t="s">
        <v>932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12" t="str">
        <f t="shared" si="3"/>
        <v>3 mois = 6 388 €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955</v>
      </c>
      <c r="AK130" s="11" t="s">
        <v>992</v>
      </c>
      <c r="AL130" s="5" t="s">
        <v>370</v>
      </c>
      <c r="AM130" s="11" t="s">
        <v>976</v>
      </c>
      <c r="AN130" s="11" t="s">
        <v>977</v>
      </c>
      <c r="AO130" s="11" t="s">
        <v>947</v>
      </c>
      <c r="AP130" s="36" t="s">
        <v>1040</v>
      </c>
      <c r="AQ130" s="11" t="s">
        <v>76</v>
      </c>
      <c r="AR130" s="11" t="s">
        <v>956</v>
      </c>
      <c r="AS130" s="13" t="s">
        <v>957</v>
      </c>
      <c r="AT130" s="14"/>
      <c r="AU130" s="44"/>
    </row>
    <row r="131" spans="1:47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931</v>
      </c>
      <c r="E131" s="10">
        <v>93430</v>
      </c>
      <c r="F131" s="10" t="s">
        <v>930</v>
      </c>
      <c r="G131" s="39" t="str">
        <f>Tableau1[[#This Row],[Rue]]&amp;CHAR(10)&amp;Tableau1[[#This Row],[Code Postal]]&amp;" - "&amp;Tableau1[[#This Row],[Ville]]</f>
        <v>8 Route de Saint-Leu
93430 - Villetaneuse</v>
      </c>
      <c r="H131" s="15" t="s">
        <v>932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12" t="str">
        <f t="shared" si="3"/>
        <v>3 mois = 6 563 €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955</v>
      </c>
      <c r="AK131" s="11" t="s">
        <v>992</v>
      </c>
      <c r="AL131" s="5" t="s">
        <v>370</v>
      </c>
      <c r="AM131" s="11" t="s">
        <v>978</v>
      </c>
      <c r="AN131" s="11" t="s">
        <v>979</v>
      </c>
      <c r="AO131" s="11" t="s">
        <v>948</v>
      </c>
      <c r="AP131" s="36" t="s">
        <v>1040</v>
      </c>
      <c r="AQ131" s="11" t="s">
        <v>76</v>
      </c>
      <c r="AR131" s="11" t="s">
        <v>956</v>
      </c>
      <c r="AS131" s="13" t="s">
        <v>957</v>
      </c>
      <c r="AT131" s="14"/>
      <c r="AU131" s="44"/>
    </row>
    <row r="132" spans="1:47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931</v>
      </c>
      <c r="E132" s="10">
        <v>93430</v>
      </c>
      <c r="F132" s="10" t="s">
        <v>930</v>
      </c>
      <c r="G132" s="39" t="str">
        <f>Tableau1[[#This Row],[Rue]]&amp;CHAR(10)&amp;Tableau1[[#This Row],[Code Postal]]&amp;" - "&amp;Tableau1[[#This Row],[Ville]]</f>
        <v>8 Route de Saint-Leu
93430 - Villetaneuse</v>
      </c>
      <c r="H132" s="15" t="s">
        <v>932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12" t="str">
        <f t="shared" si="3"/>
        <v>3 mois = 4 988 €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955</v>
      </c>
      <c r="AK132" s="11" t="s">
        <v>992</v>
      </c>
      <c r="AL132" s="5" t="s">
        <v>370</v>
      </c>
      <c r="AM132" s="11" t="s">
        <v>980</v>
      </c>
      <c r="AN132" s="11" t="s">
        <v>981</v>
      </c>
      <c r="AO132" s="11" t="s">
        <v>949</v>
      </c>
      <c r="AP132" s="36" t="s">
        <v>1040</v>
      </c>
      <c r="AQ132" s="11" t="s">
        <v>76</v>
      </c>
      <c r="AR132" s="11" t="s">
        <v>956</v>
      </c>
      <c r="AS132" s="13" t="s">
        <v>957</v>
      </c>
      <c r="AT132" s="14"/>
      <c r="AU132" s="44"/>
    </row>
    <row r="133" spans="1:47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931</v>
      </c>
      <c r="E133" s="10">
        <v>93430</v>
      </c>
      <c r="F133" s="10" t="s">
        <v>930</v>
      </c>
      <c r="G133" s="39" t="str">
        <f>Tableau1[[#This Row],[Rue]]&amp;CHAR(10)&amp;Tableau1[[#This Row],[Code Postal]]&amp;" - "&amp;Tableau1[[#This Row],[Ville]]</f>
        <v>8 Route de Saint-Leu
93430 - Villetaneuse</v>
      </c>
      <c r="H133" s="15" t="s">
        <v>932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12" t="str">
        <f t="shared" si="3"/>
        <v>3 mois = 5 075 €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955</v>
      </c>
      <c r="AK133" s="11" t="s">
        <v>992</v>
      </c>
      <c r="AL133" s="5" t="s">
        <v>370</v>
      </c>
      <c r="AM133" s="11" t="s">
        <v>982</v>
      </c>
      <c r="AN133" s="11" t="s">
        <v>983</v>
      </c>
      <c r="AO133" s="11" t="s">
        <v>950</v>
      </c>
      <c r="AP133" s="36" t="s">
        <v>1040</v>
      </c>
      <c r="AQ133" s="11" t="s">
        <v>76</v>
      </c>
      <c r="AR133" s="11" t="s">
        <v>956</v>
      </c>
      <c r="AS133" s="13" t="s">
        <v>957</v>
      </c>
      <c r="AT133" s="14"/>
      <c r="AU133" s="44"/>
    </row>
    <row r="134" spans="1:47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931</v>
      </c>
      <c r="E134" s="10">
        <v>93430</v>
      </c>
      <c r="F134" s="10" t="s">
        <v>930</v>
      </c>
      <c r="G134" s="39" t="str">
        <f>Tableau1[[#This Row],[Rue]]&amp;CHAR(10)&amp;Tableau1[[#This Row],[Code Postal]]&amp;" - "&amp;Tableau1[[#This Row],[Ville]]</f>
        <v>8 Route de Saint-Leu
93430 - Villetaneuse</v>
      </c>
      <c r="H134" s="15" t="s">
        <v>932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12" t="str">
        <f t="shared" ref="AD134:AD137" si="4">"3 mois = "&amp;TEXT(ROUND(3/12*R134,0),"### ### ##0 €")</f>
        <v>3 mois = 5 513 €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955</v>
      </c>
      <c r="AK134" s="11" t="s">
        <v>992</v>
      </c>
      <c r="AL134" s="5" t="s">
        <v>370</v>
      </c>
      <c r="AM134" s="11" t="s">
        <v>984</v>
      </c>
      <c r="AN134" s="11" t="s">
        <v>985</v>
      </c>
      <c r="AO134" s="11" t="s">
        <v>951</v>
      </c>
      <c r="AP134" s="36" t="s">
        <v>1040</v>
      </c>
      <c r="AQ134" s="11" t="s">
        <v>76</v>
      </c>
      <c r="AR134" s="11" t="s">
        <v>956</v>
      </c>
      <c r="AS134" s="13" t="s">
        <v>957</v>
      </c>
      <c r="AT134" s="14"/>
      <c r="AU134" s="44"/>
    </row>
    <row r="135" spans="1:47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931</v>
      </c>
      <c r="E135" s="10">
        <v>93430</v>
      </c>
      <c r="F135" s="10" t="s">
        <v>930</v>
      </c>
      <c r="G135" s="39" t="str">
        <f>Tableau1[[#This Row],[Rue]]&amp;CHAR(10)&amp;Tableau1[[#This Row],[Code Postal]]&amp;" - "&amp;Tableau1[[#This Row],[Ville]]</f>
        <v>8 Route de Saint-Leu
93430 - Villetaneuse</v>
      </c>
      <c r="H135" s="15" t="s">
        <v>932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12" t="str">
        <f t="shared" si="4"/>
        <v>3 mois = 7 350 €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955</v>
      </c>
      <c r="AK135" s="11" t="s">
        <v>992</v>
      </c>
      <c r="AL135" s="5" t="s">
        <v>370</v>
      </c>
      <c r="AM135" s="11" t="s">
        <v>986</v>
      </c>
      <c r="AN135" s="11" t="s">
        <v>987</v>
      </c>
      <c r="AO135" s="11" t="s">
        <v>952</v>
      </c>
      <c r="AP135" s="36" t="s">
        <v>1040</v>
      </c>
      <c r="AQ135" s="11" t="s">
        <v>76</v>
      </c>
      <c r="AR135" s="11" t="s">
        <v>956</v>
      </c>
      <c r="AS135" s="13" t="s">
        <v>957</v>
      </c>
      <c r="AT135" s="14"/>
      <c r="AU135" s="44"/>
    </row>
    <row r="136" spans="1:47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931</v>
      </c>
      <c r="E136" s="10">
        <v>93430</v>
      </c>
      <c r="F136" s="10" t="s">
        <v>930</v>
      </c>
      <c r="G136" s="39" t="str">
        <f>Tableau1[[#This Row],[Rue]]&amp;CHAR(10)&amp;Tableau1[[#This Row],[Code Postal]]&amp;" - "&amp;Tableau1[[#This Row],[Ville]]</f>
        <v>8 Route de Saint-Leu
93430 - Villetaneuse</v>
      </c>
      <c r="H136" s="15" t="s">
        <v>932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12" t="str">
        <f t="shared" si="4"/>
        <v>3 mois = 8 225 €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955</v>
      </c>
      <c r="AK136" s="11" t="s">
        <v>992</v>
      </c>
      <c r="AL136" s="5" t="s">
        <v>370</v>
      </c>
      <c r="AM136" s="11" t="s">
        <v>988</v>
      </c>
      <c r="AN136" s="11" t="s">
        <v>989</v>
      </c>
      <c r="AO136" s="11" t="s">
        <v>953</v>
      </c>
      <c r="AP136" s="36" t="s">
        <v>1040</v>
      </c>
      <c r="AQ136" s="11" t="s">
        <v>76</v>
      </c>
      <c r="AR136" s="11" t="s">
        <v>956</v>
      </c>
      <c r="AS136" s="13" t="s">
        <v>957</v>
      </c>
      <c r="AT136" s="14"/>
      <c r="AU136" s="44"/>
    </row>
    <row r="137" spans="1:47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931</v>
      </c>
      <c r="E137" s="10">
        <v>93430</v>
      </c>
      <c r="F137" s="10" t="s">
        <v>930</v>
      </c>
      <c r="G137" s="39" t="str">
        <f>Tableau1[[#This Row],[Rue]]&amp;CHAR(10)&amp;Tableau1[[#This Row],[Code Postal]]&amp;" - "&amp;Tableau1[[#This Row],[Ville]]</f>
        <v>8 Route de Saint-Leu
93430 - Villetaneuse</v>
      </c>
      <c r="H137" s="15" t="s">
        <v>932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937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12" t="str">
        <f t="shared" si="4"/>
        <v>3 mois = 5 425 €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955</v>
      </c>
      <c r="AK137" s="11" t="s">
        <v>992</v>
      </c>
      <c r="AL137" s="5" t="s">
        <v>370</v>
      </c>
      <c r="AM137" s="11" t="s">
        <v>990</v>
      </c>
      <c r="AN137" s="11" t="s">
        <v>991</v>
      </c>
      <c r="AO137" s="11" t="s">
        <v>954</v>
      </c>
      <c r="AP137" s="36" t="s">
        <v>1040</v>
      </c>
      <c r="AQ137" s="11" t="s">
        <v>76</v>
      </c>
      <c r="AR137" s="11" t="s">
        <v>956</v>
      </c>
      <c r="AS137" s="13" t="s">
        <v>957</v>
      </c>
      <c r="AT137" s="14"/>
      <c r="AU137" s="44"/>
    </row>
    <row r="138" spans="1:47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42" t="s">
        <v>995</v>
      </c>
      <c r="E138" s="10">
        <v>95290</v>
      </c>
      <c r="F138" s="10" t="s">
        <v>994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996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997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12" t="str">
        <f>"3 mois = "&amp;TEXT(ROUND(3/12*R138,0),"### ### ##0 €")</f>
        <v>3 mois = 12 000 €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998</v>
      </c>
      <c r="AK138" s="11" t="s">
        <v>1002</v>
      </c>
      <c r="AL138" s="5" t="s">
        <v>370</v>
      </c>
      <c r="AM138" s="11" t="s">
        <v>1000</v>
      </c>
      <c r="AN138" s="11" t="s">
        <v>1001</v>
      </c>
      <c r="AO138" s="11">
        <v>30</v>
      </c>
      <c r="AP138" s="36" t="s">
        <v>1003</v>
      </c>
      <c r="AQ138" s="11" t="s">
        <v>76</v>
      </c>
      <c r="AR138" s="11" t="s">
        <v>999</v>
      </c>
      <c r="AS138" s="13" t="s">
        <v>957</v>
      </c>
      <c r="AT138" s="14"/>
      <c r="AU138" s="44"/>
    </row>
    <row r="139" spans="1:47" ht="38.25">
      <c r="A139" s="38" t="str">
        <f>VLOOKUP(Tableau1[[#This Row],[N° Département]],Feuil1!$C$6:$E$106,3)</f>
        <v>Ile-de-France</v>
      </c>
      <c r="B139" s="38" t="str">
        <f>VLOOKUP(Tableau1[[#This Row],[N° Département]],Feuil1!$C$6:$E$106,2)</f>
        <v>Val-D'Oise</v>
      </c>
      <c r="C139" s="38">
        <f>LEFT(Tableau1[[#This Row],[Code Postal]],2)*1</f>
        <v>95</v>
      </c>
      <c r="D139" s="42" t="s">
        <v>1005</v>
      </c>
      <c r="E139" s="10">
        <v>95260</v>
      </c>
      <c r="F139" s="10" t="s">
        <v>1004</v>
      </c>
      <c r="G139" s="39" t="str">
        <f>Tableau1[[#This Row],[Rue]]&amp;CHAR(10)&amp;Tableau1[[#This Row],[Code Postal]]&amp;" - "&amp;Tableau1[[#This Row],[Ville]]</f>
        <v>Parc d’activités Col’Vert Rue du Kiosque
95260 - Mours</v>
      </c>
      <c r="H139" s="15" t="s">
        <v>1011</v>
      </c>
      <c r="I139" s="12" t="s">
        <v>47</v>
      </c>
      <c r="J139" s="12" t="s">
        <v>50</v>
      </c>
      <c r="K139" s="12" t="s">
        <v>104</v>
      </c>
      <c r="L139" s="12" t="s">
        <v>104</v>
      </c>
      <c r="M139" s="36" t="s">
        <v>337</v>
      </c>
      <c r="N139" s="34">
        <v>620</v>
      </c>
      <c r="O139" s="6" t="s">
        <v>104</v>
      </c>
      <c r="P139" s="34" t="s">
        <v>104</v>
      </c>
      <c r="Q139" s="6" t="s">
        <v>104</v>
      </c>
      <c r="R139" s="12">
        <f>Tableau1[[#This Row],[Loyer €/m²]]*Tableau1[[#This Row],[Surface GLA]]</f>
        <v>0</v>
      </c>
      <c r="S139" s="12">
        <f>IFERROR(Tableau1[[#This Row],[Loyer annuel]]/12,"")</f>
        <v>0</v>
      </c>
      <c r="T139" s="12"/>
      <c r="U139" s="6" t="s">
        <v>104</v>
      </c>
      <c r="V139" s="6">
        <f>Tableau1[[#This Row],[Charges €/m²]]*Tableau1[[#This Row],[Surface GLA]]</f>
        <v>0</v>
      </c>
      <c r="W139" s="12">
        <f>Tableau1[[#This Row],[Charges annuelles]]/12</f>
        <v>0</v>
      </c>
      <c r="X139" s="12"/>
      <c r="Y139" s="12">
        <f>IFERROR(Tableau1[[#This Row],[Taxe foncière €/m²]]*Tableau1[[#This Row],[Surface GLA]],)</f>
        <v>0</v>
      </c>
      <c r="Z139" s="6" t="s">
        <v>104</v>
      </c>
      <c r="AA139" s="12">
        <f>IFERROR(Tableau1[[#This Row],[Marketing €/m²]]*Tableau1[[#This Row],[Surface GLA]],)</f>
        <v>0</v>
      </c>
      <c r="AB139" s="6" t="s">
        <v>104</v>
      </c>
      <c r="AC139" s="12">
        <f>IFERROR(Tableau1[[#This Row],[Loyer annuel]]+Tableau1[[#This Row],[Charges annuelles]]+Tableau1[[#This Row],[Taxe foncière]]+Tableau1[[#This Row],[Marketing]],"")</f>
        <v>0</v>
      </c>
      <c r="AD139" s="12"/>
      <c r="AE139" s="6" t="s">
        <v>104</v>
      </c>
      <c r="AF139" s="6" t="s">
        <v>104</v>
      </c>
      <c r="AG139" s="12" t="s">
        <v>384</v>
      </c>
      <c r="AH139" s="10" t="s">
        <v>379</v>
      </c>
      <c r="AI139" s="10" t="s">
        <v>372</v>
      </c>
      <c r="AJ139" s="10" t="s">
        <v>1012</v>
      </c>
      <c r="AK139" s="11" t="s">
        <v>1013</v>
      </c>
      <c r="AL139" s="5" t="s">
        <v>370</v>
      </c>
      <c r="AM139" s="11" t="s">
        <v>1014</v>
      </c>
      <c r="AN139" s="11" t="s">
        <v>1015</v>
      </c>
      <c r="AO139" s="11" t="s">
        <v>1006</v>
      </c>
      <c r="AP139" s="36" t="s">
        <v>1041</v>
      </c>
      <c r="AQ139" s="11" t="s">
        <v>76</v>
      </c>
      <c r="AR139" s="11"/>
      <c r="AS139" s="13" t="s">
        <v>957</v>
      </c>
      <c r="AT139" s="14"/>
      <c r="AU139" s="44"/>
    </row>
    <row r="140" spans="1:47" ht="38.25">
      <c r="A140" s="38" t="str">
        <f>VLOOKUP(Tableau1[[#This Row],[N° Département]],Feuil1!$C$6:$E$106,3)</f>
        <v>Ile-de-France</v>
      </c>
      <c r="B140" s="38" t="str">
        <f>VLOOKUP(Tableau1[[#This Row],[N° Département]],Feuil1!$C$6:$E$106,2)</f>
        <v>Val-D'Oise</v>
      </c>
      <c r="C140" s="38">
        <f>LEFT(Tableau1[[#This Row],[Code Postal]],2)*1</f>
        <v>95</v>
      </c>
      <c r="D140" s="42" t="s">
        <v>1005</v>
      </c>
      <c r="E140" s="10">
        <v>95260</v>
      </c>
      <c r="F140" s="10" t="s">
        <v>1004</v>
      </c>
      <c r="G140" s="39" t="str">
        <f>Tableau1[[#This Row],[Rue]]&amp;CHAR(10)&amp;Tableau1[[#This Row],[Code Postal]]&amp;" - "&amp;Tableau1[[#This Row],[Ville]]</f>
        <v>Parc d’activités Col’Vert Rue du Kiosque
95260 - Mours</v>
      </c>
      <c r="H140" s="15" t="s">
        <v>1011</v>
      </c>
      <c r="I140" s="12" t="s">
        <v>47</v>
      </c>
      <c r="J140" s="12" t="s">
        <v>50</v>
      </c>
      <c r="K140" s="12" t="s">
        <v>104</v>
      </c>
      <c r="L140" s="12" t="s">
        <v>104</v>
      </c>
      <c r="M140" s="36" t="s">
        <v>338</v>
      </c>
      <c r="N140" s="34">
        <v>620</v>
      </c>
      <c r="O140" s="6" t="s">
        <v>104</v>
      </c>
      <c r="P140" s="34" t="s">
        <v>104</v>
      </c>
      <c r="Q140" s="6" t="s">
        <v>104</v>
      </c>
      <c r="R140" s="12">
        <f>Tableau1[[#This Row],[Loyer €/m²]]*Tableau1[[#This Row],[Surface GLA]]</f>
        <v>0</v>
      </c>
      <c r="S140" s="12">
        <f>IFERROR(Tableau1[[#This Row],[Loyer annuel]]/12,"")</f>
        <v>0</v>
      </c>
      <c r="T140" s="12"/>
      <c r="U140" s="6" t="s">
        <v>104</v>
      </c>
      <c r="V140" s="6">
        <f>Tableau1[[#This Row],[Charges €/m²]]*Tableau1[[#This Row],[Surface GLA]]</f>
        <v>0</v>
      </c>
      <c r="W140" s="12">
        <f>Tableau1[[#This Row],[Charges annuelles]]/12</f>
        <v>0</v>
      </c>
      <c r="X140" s="12"/>
      <c r="Y140" s="12">
        <f>IFERROR(Tableau1[[#This Row],[Taxe foncière €/m²]]*Tableau1[[#This Row],[Surface GLA]],)</f>
        <v>0</v>
      </c>
      <c r="Z140" s="6" t="s">
        <v>104</v>
      </c>
      <c r="AA140" s="12">
        <f>IFERROR(Tableau1[[#This Row],[Marketing €/m²]]*Tableau1[[#This Row],[Surface GLA]],)</f>
        <v>0</v>
      </c>
      <c r="AB140" s="6" t="s">
        <v>104</v>
      </c>
      <c r="AC140" s="12">
        <f>IFERROR(Tableau1[[#This Row],[Loyer annuel]]+Tableau1[[#This Row],[Charges annuelles]]+Tableau1[[#This Row],[Taxe foncière]]+Tableau1[[#This Row],[Marketing]],"")</f>
        <v>0</v>
      </c>
      <c r="AD140" s="12"/>
      <c r="AE140" s="6" t="s">
        <v>104</v>
      </c>
      <c r="AF140" s="6" t="s">
        <v>104</v>
      </c>
      <c r="AG140" s="12" t="s">
        <v>384</v>
      </c>
      <c r="AH140" s="10" t="s">
        <v>379</v>
      </c>
      <c r="AI140" s="10" t="s">
        <v>372</v>
      </c>
      <c r="AJ140" s="10" t="s">
        <v>1012</v>
      </c>
      <c r="AK140" s="11" t="s">
        <v>1013</v>
      </c>
      <c r="AL140" s="5" t="s">
        <v>370</v>
      </c>
      <c r="AM140" s="11" t="s">
        <v>1016</v>
      </c>
      <c r="AN140" s="11" t="s">
        <v>1017</v>
      </c>
      <c r="AO140" s="11" t="s">
        <v>1007</v>
      </c>
      <c r="AP140" s="36" t="s">
        <v>1041</v>
      </c>
      <c r="AQ140" s="11" t="s">
        <v>76</v>
      </c>
      <c r="AR140" s="11"/>
      <c r="AS140" s="13" t="s">
        <v>957</v>
      </c>
      <c r="AT140" s="14"/>
      <c r="AU140" s="44"/>
    </row>
    <row r="141" spans="1:47" ht="38.25">
      <c r="A141" s="38" t="str">
        <f>VLOOKUP(Tableau1[[#This Row],[N° Département]],Feuil1!$C$6:$E$106,3)</f>
        <v>Ile-de-France</v>
      </c>
      <c r="B141" s="38" t="str">
        <f>VLOOKUP(Tableau1[[#This Row],[N° Département]],Feuil1!$C$6:$E$106,2)</f>
        <v>Val-D'Oise</v>
      </c>
      <c r="C141" s="38">
        <f>LEFT(Tableau1[[#This Row],[Code Postal]],2)*1</f>
        <v>95</v>
      </c>
      <c r="D141" s="42" t="s">
        <v>1005</v>
      </c>
      <c r="E141" s="10">
        <v>95260</v>
      </c>
      <c r="F141" s="10" t="s">
        <v>1004</v>
      </c>
      <c r="G141" s="39" t="str">
        <f>Tableau1[[#This Row],[Rue]]&amp;CHAR(10)&amp;Tableau1[[#This Row],[Code Postal]]&amp;" - "&amp;Tableau1[[#This Row],[Ville]]</f>
        <v>Parc d’activités Col’Vert Rue du Kiosque
95260 - Mours</v>
      </c>
      <c r="H141" s="15" t="s">
        <v>1011</v>
      </c>
      <c r="I141" s="12" t="s">
        <v>47</v>
      </c>
      <c r="J141" s="12" t="s">
        <v>50</v>
      </c>
      <c r="K141" s="12" t="s">
        <v>104</v>
      </c>
      <c r="L141" s="12" t="s">
        <v>104</v>
      </c>
      <c r="M141" s="36" t="s">
        <v>359</v>
      </c>
      <c r="N141" s="34">
        <v>620</v>
      </c>
      <c r="O141" s="6" t="s">
        <v>104</v>
      </c>
      <c r="P141" s="34" t="s">
        <v>104</v>
      </c>
      <c r="Q141" s="6" t="s">
        <v>104</v>
      </c>
      <c r="R141" s="12">
        <f>Tableau1[[#This Row],[Loyer €/m²]]*Tableau1[[#This Row],[Surface GLA]]</f>
        <v>0</v>
      </c>
      <c r="S141" s="12">
        <f>IFERROR(Tableau1[[#This Row],[Loyer annuel]]/12,"")</f>
        <v>0</v>
      </c>
      <c r="T141" s="12"/>
      <c r="U141" s="6" t="s">
        <v>104</v>
      </c>
      <c r="V141" s="6">
        <f>Tableau1[[#This Row],[Charges €/m²]]*Tableau1[[#This Row],[Surface GLA]]</f>
        <v>0</v>
      </c>
      <c r="W141" s="12">
        <f>Tableau1[[#This Row],[Charges annuelles]]/12</f>
        <v>0</v>
      </c>
      <c r="X141" s="12"/>
      <c r="Y141" s="12">
        <f>IFERROR(Tableau1[[#This Row],[Taxe foncière €/m²]]*Tableau1[[#This Row],[Surface GLA]],)</f>
        <v>0</v>
      </c>
      <c r="Z141" s="6" t="s">
        <v>104</v>
      </c>
      <c r="AA141" s="12">
        <f>IFERROR(Tableau1[[#This Row],[Marketing €/m²]]*Tableau1[[#This Row],[Surface GLA]],)</f>
        <v>0</v>
      </c>
      <c r="AB141" s="6" t="s">
        <v>104</v>
      </c>
      <c r="AC141" s="12">
        <f>IFERROR(Tableau1[[#This Row],[Loyer annuel]]+Tableau1[[#This Row],[Charges annuelles]]+Tableau1[[#This Row],[Taxe foncière]]+Tableau1[[#This Row],[Marketing]],"")</f>
        <v>0</v>
      </c>
      <c r="AD141" s="12"/>
      <c r="AE141" s="6" t="s">
        <v>104</v>
      </c>
      <c r="AF141" s="6" t="s">
        <v>104</v>
      </c>
      <c r="AG141" s="12" t="s">
        <v>384</v>
      </c>
      <c r="AH141" s="10" t="s">
        <v>379</v>
      </c>
      <c r="AI141" s="10" t="s">
        <v>372</v>
      </c>
      <c r="AJ141" s="10" t="s">
        <v>1012</v>
      </c>
      <c r="AK141" s="11" t="s">
        <v>1013</v>
      </c>
      <c r="AL141" s="5" t="s">
        <v>370</v>
      </c>
      <c r="AM141" s="11" t="s">
        <v>1018</v>
      </c>
      <c r="AN141" s="11" t="s">
        <v>1019</v>
      </c>
      <c r="AO141" s="11" t="s">
        <v>1008</v>
      </c>
      <c r="AP141" s="36" t="s">
        <v>1041</v>
      </c>
      <c r="AQ141" s="11" t="s">
        <v>76</v>
      </c>
      <c r="AR141" s="11"/>
      <c r="AS141" s="13" t="s">
        <v>957</v>
      </c>
      <c r="AT141" s="14"/>
      <c r="AU141" s="44"/>
    </row>
    <row r="142" spans="1:47" ht="38.25">
      <c r="A142" s="38" t="str">
        <f>VLOOKUP(Tableau1[[#This Row],[N° Département]],Feuil1!$C$6:$E$106,3)</f>
        <v>Ile-de-France</v>
      </c>
      <c r="B142" s="38" t="str">
        <f>VLOOKUP(Tableau1[[#This Row],[N° Département]],Feuil1!$C$6:$E$106,2)</f>
        <v>Val-D'Oise</v>
      </c>
      <c r="C142" s="38">
        <f>LEFT(Tableau1[[#This Row],[Code Postal]],2)*1</f>
        <v>95</v>
      </c>
      <c r="D142" s="42" t="s">
        <v>1005</v>
      </c>
      <c r="E142" s="10">
        <v>95260</v>
      </c>
      <c r="F142" s="10" t="s">
        <v>1004</v>
      </c>
      <c r="G142" s="39" t="str">
        <f>Tableau1[[#This Row],[Rue]]&amp;CHAR(10)&amp;Tableau1[[#This Row],[Code Postal]]&amp;" - "&amp;Tableau1[[#This Row],[Ville]]</f>
        <v>Parc d’activités Col’Vert Rue du Kiosque
95260 - Mours</v>
      </c>
      <c r="H142" s="15" t="s">
        <v>1011</v>
      </c>
      <c r="I142" s="12" t="s">
        <v>47</v>
      </c>
      <c r="J142" s="12" t="s">
        <v>50</v>
      </c>
      <c r="K142" s="12" t="s">
        <v>104</v>
      </c>
      <c r="L142" s="12" t="s">
        <v>104</v>
      </c>
      <c r="M142" s="36" t="s">
        <v>360</v>
      </c>
      <c r="N142" s="34">
        <v>628</v>
      </c>
      <c r="O142" s="6" t="s">
        <v>104</v>
      </c>
      <c r="P142" s="34" t="s">
        <v>104</v>
      </c>
      <c r="Q142" s="6" t="s">
        <v>104</v>
      </c>
      <c r="R142" s="12">
        <f>Tableau1[[#This Row],[Loyer €/m²]]*Tableau1[[#This Row],[Surface GLA]]</f>
        <v>0</v>
      </c>
      <c r="S142" s="12">
        <f>IFERROR(Tableau1[[#This Row],[Loyer annuel]]/12,"")</f>
        <v>0</v>
      </c>
      <c r="T142" s="12"/>
      <c r="U142" s="6" t="s">
        <v>104</v>
      </c>
      <c r="V142" s="6">
        <f>Tableau1[[#This Row],[Charges €/m²]]*Tableau1[[#This Row],[Surface GLA]]</f>
        <v>0</v>
      </c>
      <c r="W142" s="12">
        <f>Tableau1[[#This Row],[Charges annuelles]]/12</f>
        <v>0</v>
      </c>
      <c r="X142" s="12"/>
      <c r="Y142" s="12">
        <f>IFERROR(Tableau1[[#This Row],[Taxe foncière €/m²]]*Tableau1[[#This Row],[Surface GLA]],)</f>
        <v>0</v>
      </c>
      <c r="Z142" s="6" t="s">
        <v>104</v>
      </c>
      <c r="AA142" s="12">
        <f>IFERROR(Tableau1[[#This Row],[Marketing €/m²]]*Tableau1[[#This Row],[Surface GLA]],)</f>
        <v>0</v>
      </c>
      <c r="AB142" s="6" t="s">
        <v>104</v>
      </c>
      <c r="AC142" s="12">
        <f>IFERROR(Tableau1[[#This Row],[Loyer annuel]]+Tableau1[[#This Row],[Charges annuelles]]+Tableau1[[#This Row],[Taxe foncière]]+Tableau1[[#This Row],[Marketing]],"")</f>
        <v>0</v>
      </c>
      <c r="AD142" s="12"/>
      <c r="AE142" s="6" t="s">
        <v>104</v>
      </c>
      <c r="AF142" s="6" t="s">
        <v>104</v>
      </c>
      <c r="AG142" s="12" t="s">
        <v>384</v>
      </c>
      <c r="AH142" s="10" t="s">
        <v>379</v>
      </c>
      <c r="AI142" s="10" t="s">
        <v>372</v>
      </c>
      <c r="AJ142" s="10" t="s">
        <v>1012</v>
      </c>
      <c r="AK142" s="11" t="s">
        <v>1013</v>
      </c>
      <c r="AL142" s="5" t="s">
        <v>370</v>
      </c>
      <c r="AM142" s="11" t="s">
        <v>1020</v>
      </c>
      <c r="AN142" s="11" t="s">
        <v>1021</v>
      </c>
      <c r="AO142" s="11" t="s">
        <v>1009</v>
      </c>
      <c r="AP142" s="36" t="s">
        <v>1041</v>
      </c>
      <c r="AQ142" s="11" t="s">
        <v>76</v>
      </c>
      <c r="AR142" s="11"/>
      <c r="AS142" s="13" t="s">
        <v>957</v>
      </c>
      <c r="AT142" s="14"/>
      <c r="AU142" s="44"/>
    </row>
    <row r="143" spans="1:47" ht="38.25">
      <c r="A143" s="38" t="str">
        <f>VLOOKUP(Tableau1[[#This Row],[N° Département]],Feuil1!$C$6:$E$106,3)</f>
        <v>Ile-de-France</v>
      </c>
      <c r="B143" s="38" t="str">
        <f>VLOOKUP(Tableau1[[#This Row],[N° Département]],Feuil1!$C$6:$E$106,2)</f>
        <v>Val-D'Oise</v>
      </c>
      <c r="C143" s="38">
        <f>LEFT(Tableau1[[#This Row],[Code Postal]],2)*1</f>
        <v>95</v>
      </c>
      <c r="D143" s="42" t="s">
        <v>1005</v>
      </c>
      <c r="E143" s="10">
        <v>95260</v>
      </c>
      <c r="F143" s="10" t="s">
        <v>1004</v>
      </c>
      <c r="G143" s="39" t="str">
        <f>Tableau1[[#This Row],[Rue]]&amp;CHAR(10)&amp;Tableau1[[#This Row],[Code Postal]]&amp;" - "&amp;Tableau1[[#This Row],[Ville]]</f>
        <v>Parc d’activités Col’Vert Rue du Kiosque
95260 - Mours</v>
      </c>
      <c r="H143" s="15" t="s">
        <v>1011</v>
      </c>
      <c r="I143" s="12" t="s">
        <v>47</v>
      </c>
      <c r="J143" s="12" t="s">
        <v>50</v>
      </c>
      <c r="K143" s="12" t="s">
        <v>104</v>
      </c>
      <c r="L143" s="12" t="s">
        <v>104</v>
      </c>
      <c r="M143" s="36" t="s">
        <v>361</v>
      </c>
      <c r="N143" s="34"/>
      <c r="O143" s="6" t="s">
        <v>104</v>
      </c>
      <c r="P143" s="34" t="s">
        <v>104</v>
      </c>
      <c r="Q143" s="6" t="s">
        <v>104</v>
      </c>
      <c r="R143" s="12">
        <f>Tableau1[[#This Row],[Loyer €/m²]]*Tableau1[[#This Row],[Surface GLA]]</f>
        <v>0</v>
      </c>
      <c r="S143" s="12">
        <f>IFERROR(Tableau1[[#This Row],[Loyer annuel]]/12,"")</f>
        <v>0</v>
      </c>
      <c r="T143" s="12"/>
      <c r="U143" s="6" t="s">
        <v>104</v>
      </c>
      <c r="V143" s="6">
        <f>Tableau1[[#This Row],[Charges €/m²]]*Tableau1[[#This Row],[Surface GLA]]</f>
        <v>0</v>
      </c>
      <c r="W143" s="12">
        <f>Tableau1[[#This Row],[Charges annuelles]]/12</f>
        <v>0</v>
      </c>
      <c r="X143" s="12"/>
      <c r="Y143" s="12">
        <f>IFERROR(Tableau1[[#This Row],[Taxe foncière €/m²]]*Tableau1[[#This Row],[Surface GLA]],)</f>
        <v>0</v>
      </c>
      <c r="Z143" s="6" t="s">
        <v>104</v>
      </c>
      <c r="AA143" s="12">
        <f>IFERROR(Tableau1[[#This Row],[Marketing €/m²]]*Tableau1[[#This Row],[Surface GLA]],)</f>
        <v>0</v>
      </c>
      <c r="AB143" s="6" t="s">
        <v>104</v>
      </c>
      <c r="AC143" s="12">
        <f>IFERROR(Tableau1[[#This Row],[Loyer annuel]]+Tableau1[[#This Row],[Charges annuelles]]+Tableau1[[#This Row],[Taxe foncière]]+Tableau1[[#This Row],[Marketing]],"")</f>
        <v>0</v>
      </c>
      <c r="AD143" s="12"/>
      <c r="AE143" s="6" t="s">
        <v>104</v>
      </c>
      <c r="AF143" s="6" t="s">
        <v>104</v>
      </c>
      <c r="AG143" s="12" t="s">
        <v>384</v>
      </c>
      <c r="AH143" s="10" t="s">
        <v>379</v>
      </c>
      <c r="AI143" s="10" t="s">
        <v>372</v>
      </c>
      <c r="AJ143" s="10" t="s">
        <v>1012</v>
      </c>
      <c r="AK143" s="11" t="s">
        <v>1013</v>
      </c>
      <c r="AL143" s="5" t="s">
        <v>370</v>
      </c>
      <c r="AM143" s="11" t="s">
        <v>1022</v>
      </c>
      <c r="AN143" s="11" t="s">
        <v>1023</v>
      </c>
      <c r="AO143" s="11" t="s">
        <v>1010</v>
      </c>
      <c r="AP143" s="36" t="s">
        <v>1042</v>
      </c>
      <c r="AQ143" s="11" t="s">
        <v>76</v>
      </c>
      <c r="AR143" s="11"/>
      <c r="AS143" s="13" t="s">
        <v>957</v>
      </c>
      <c r="AT143" s="14"/>
      <c r="AU143" s="44"/>
    </row>
    <row r="144" spans="1:47" ht="51">
      <c r="A144" s="38" t="str">
        <f>VLOOKUP(Tableau1[[#This Row],[N° Département]],Feuil1!$C$6:$E$106,3)</f>
        <v>Pays de la Loire</v>
      </c>
      <c r="B144" s="38" t="str">
        <f>VLOOKUP(Tableau1[[#This Row],[N° Département]],Feuil1!$C$6:$E$106,2)</f>
        <v>Loire-Atlantique</v>
      </c>
      <c r="C144" s="38">
        <f>LEFT(Tableau1[[#This Row],[Code Postal]],2)*1</f>
        <v>44</v>
      </c>
      <c r="D144" s="10" t="s">
        <v>1027</v>
      </c>
      <c r="E144" s="10">
        <v>44200</v>
      </c>
      <c r="F144" s="10" t="s">
        <v>1028</v>
      </c>
      <c r="G144" s="39" t="str">
        <f>Tableau1[[#This Row],[Rue]]&amp;CHAR(10)&amp;Tableau1[[#This Row],[Code Postal]]&amp;" - "&amp;Tableau1[[#This Row],[Ville]]</f>
        <v>15 Boulevard Léon Bureau
44200 - Nantes</v>
      </c>
      <c r="H144" s="15" t="s">
        <v>1026</v>
      </c>
      <c r="I144" s="12" t="s">
        <v>45</v>
      </c>
      <c r="J144" s="12" t="s">
        <v>44</v>
      </c>
      <c r="K144" s="12" t="s">
        <v>104</v>
      </c>
      <c r="L144" s="12" t="s">
        <v>104</v>
      </c>
      <c r="M144" s="36" t="s">
        <v>337</v>
      </c>
      <c r="N144" s="34">
        <v>285</v>
      </c>
      <c r="O144" s="6" t="s">
        <v>104</v>
      </c>
      <c r="P144" s="34" t="s">
        <v>104</v>
      </c>
      <c r="Q144" s="6" t="s">
        <v>104</v>
      </c>
      <c r="R144" s="12">
        <f>Tableau1[[#This Row],[Loyer €/m²]]*Tableau1[[#This Row],[Surface GLA]]</f>
        <v>128250</v>
      </c>
      <c r="S144" s="12">
        <f>IFERROR(Tableau1[[#This Row],[Loyer annuel]]/12,"")</f>
        <v>10687.5</v>
      </c>
      <c r="T144" s="12">
        <v>450</v>
      </c>
      <c r="U144" s="6" t="s">
        <v>104</v>
      </c>
      <c r="V144" s="6">
        <f>Tableau1[[#This Row],[Charges €/m²]]*Tableau1[[#This Row],[Surface GLA]]</f>
        <v>8550</v>
      </c>
      <c r="W144" s="12">
        <f>Tableau1[[#This Row],[Charges annuelles]]/12</f>
        <v>712.5</v>
      </c>
      <c r="X144" s="12">
        <v>30</v>
      </c>
      <c r="Y144" s="12">
        <f>IFERROR(Tableau1[[#This Row],[Taxe foncière €/m²]]*Tableau1[[#This Row],[Surface GLA]],)</f>
        <v>0</v>
      </c>
      <c r="Z144" s="6" t="s">
        <v>104</v>
      </c>
      <c r="AA144" s="12">
        <f>IFERROR(Tableau1[[#This Row],[Marketing €/m²]]*Tableau1[[#This Row],[Surface GLA]],)</f>
        <v>0</v>
      </c>
      <c r="AB144" s="6" t="s">
        <v>104</v>
      </c>
      <c r="AC144" s="12">
        <f>IFERROR(Tableau1[[#This Row],[Loyer annuel]]+Tableau1[[#This Row],[Charges annuelles]]+Tableau1[[#This Row],[Taxe foncière]]+Tableau1[[#This Row],[Marketing]],"")</f>
        <v>136800</v>
      </c>
      <c r="AD144" s="12" t="str">
        <f t="shared" ref="AD144:AD145" si="5">"3 mois = "&amp;TEXT(ROUND(3/12*R144,0),"### ### ##0 €")</f>
        <v>3 mois = 32 063 €</v>
      </c>
      <c r="AE144" s="6" t="s">
        <v>104</v>
      </c>
      <c r="AF144" s="6" t="s">
        <v>104</v>
      </c>
      <c r="AG144" s="12" t="s">
        <v>384</v>
      </c>
      <c r="AH144" s="10" t="s">
        <v>76</v>
      </c>
      <c r="AI144" s="10" t="s">
        <v>372</v>
      </c>
      <c r="AJ144" s="10" t="s">
        <v>1035</v>
      </c>
      <c r="AK144" s="11" t="s">
        <v>1231</v>
      </c>
      <c r="AL144" s="5" t="s">
        <v>370</v>
      </c>
      <c r="AM144" s="11" t="s">
        <v>1031</v>
      </c>
      <c r="AN144" s="11" t="s">
        <v>1032</v>
      </c>
      <c r="AO144" s="11" t="s">
        <v>1024</v>
      </c>
      <c r="AP144" s="36" t="s">
        <v>1039</v>
      </c>
      <c r="AQ144" s="11" t="s">
        <v>76</v>
      </c>
      <c r="AR144" s="11" t="s">
        <v>1029</v>
      </c>
      <c r="AS144" s="13" t="s">
        <v>37</v>
      </c>
      <c r="AT144" s="14"/>
      <c r="AU144" s="44"/>
    </row>
    <row r="145" spans="1:47" ht="38.25">
      <c r="A145" s="38" t="str">
        <f>VLOOKUP(Tableau1[[#This Row],[N° Département]],Feuil1!$C$6:$E$106,3)</f>
        <v>Pays de la Loire</v>
      </c>
      <c r="B145" s="38" t="str">
        <f>VLOOKUP(Tableau1[[#This Row],[N° Département]],Feuil1!$C$6:$E$106,2)</f>
        <v>Loire-Atlantique</v>
      </c>
      <c r="C145" s="38">
        <f>LEFT(Tableau1[[#This Row],[Code Postal]],2)*1</f>
        <v>44</v>
      </c>
      <c r="D145" s="10" t="s">
        <v>1027</v>
      </c>
      <c r="E145" s="10">
        <v>44200</v>
      </c>
      <c r="F145" s="10" t="s">
        <v>1028</v>
      </c>
      <c r="G145" s="39" t="str">
        <f>Tableau1[[#This Row],[Rue]]&amp;CHAR(10)&amp;Tableau1[[#This Row],[Code Postal]]&amp;" - "&amp;Tableau1[[#This Row],[Ville]]</f>
        <v>15 Boulevard Léon Bureau
44200 - Nantes</v>
      </c>
      <c r="H145" s="15" t="s">
        <v>1026</v>
      </c>
      <c r="I145" s="12" t="s">
        <v>45</v>
      </c>
      <c r="J145" s="12" t="s">
        <v>44</v>
      </c>
      <c r="K145" s="12" t="s">
        <v>104</v>
      </c>
      <c r="L145" s="12" t="s">
        <v>104</v>
      </c>
      <c r="M145" s="36" t="s">
        <v>338</v>
      </c>
      <c r="N145" s="34">
        <v>224</v>
      </c>
      <c r="O145" s="6" t="s">
        <v>104</v>
      </c>
      <c r="P145" s="34" t="s">
        <v>104</v>
      </c>
      <c r="Q145" s="6" t="s">
        <v>104</v>
      </c>
      <c r="R145" s="12">
        <f>Tableau1[[#This Row],[Loyer €/m²]]*Tableau1[[#This Row],[Surface GLA]]</f>
        <v>78400</v>
      </c>
      <c r="S145" s="12">
        <f>IFERROR(Tableau1[[#This Row],[Loyer annuel]]/12,"")</f>
        <v>6533.333333333333</v>
      </c>
      <c r="T145" s="12">
        <v>350</v>
      </c>
      <c r="U145" s="6" t="s">
        <v>104</v>
      </c>
      <c r="V145" s="6">
        <f>Tableau1[[#This Row],[Charges €/m²]]*Tableau1[[#This Row],[Surface GLA]]</f>
        <v>6720</v>
      </c>
      <c r="W145" s="12">
        <f>Tableau1[[#This Row],[Charges annuelles]]/12</f>
        <v>560</v>
      </c>
      <c r="X145" s="12">
        <v>30</v>
      </c>
      <c r="Y145" s="12">
        <f>IFERROR(Tableau1[[#This Row],[Taxe foncière €/m²]]*Tableau1[[#This Row],[Surface GLA]],)</f>
        <v>0</v>
      </c>
      <c r="Z145" s="6" t="s">
        <v>104</v>
      </c>
      <c r="AA145" s="12">
        <f>IFERROR(Tableau1[[#This Row],[Marketing €/m²]]*Tableau1[[#This Row],[Surface GLA]],)</f>
        <v>0</v>
      </c>
      <c r="AB145" s="6" t="s">
        <v>104</v>
      </c>
      <c r="AC145" s="12">
        <f>IFERROR(Tableau1[[#This Row],[Loyer annuel]]+Tableau1[[#This Row],[Charges annuelles]]+Tableau1[[#This Row],[Taxe foncière]]+Tableau1[[#This Row],[Marketing]],"")</f>
        <v>85120</v>
      </c>
      <c r="AD145" s="12" t="str">
        <f t="shared" si="5"/>
        <v>3 mois = 19 600 €</v>
      </c>
      <c r="AE145" s="6" t="s">
        <v>104</v>
      </c>
      <c r="AF145" s="6" t="s">
        <v>104</v>
      </c>
      <c r="AG145" s="12" t="s">
        <v>384</v>
      </c>
      <c r="AH145" s="10" t="s">
        <v>53</v>
      </c>
      <c r="AI145" s="10" t="s">
        <v>371</v>
      </c>
      <c r="AJ145" s="10" t="s">
        <v>1035</v>
      </c>
      <c r="AK145" s="11" t="s">
        <v>1232</v>
      </c>
      <c r="AL145" s="5" t="s">
        <v>370</v>
      </c>
      <c r="AM145" s="11" t="s">
        <v>1033</v>
      </c>
      <c r="AN145" s="11" t="s">
        <v>1034</v>
      </c>
      <c r="AO145" s="11" t="s">
        <v>1025</v>
      </c>
      <c r="AP145" s="36" t="s">
        <v>1036</v>
      </c>
      <c r="AQ145" s="11" t="s">
        <v>76</v>
      </c>
      <c r="AR145" s="11" t="s">
        <v>1030</v>
      </c>
      <c r="AS145" s="13" t="s">
        <v>37</v>
      </c>
      <c r="AT145" s="14"/>
      <c r="AU145" s="44"/>
    </row>
    <row r="146" spans="1:47" ht="25.5">
      <c r="A146" s="38" t="str">
        <f>VLOOKUP(Tableau1[[#This Row],[N° Département]],Feuil1!$C$6:$E$106,3)</f>
        <v>Grand Est</v>
      </c>
      <c r="B146" s="38" t="str">
        <f>VLOOKUP(Tableau1[[#This Row],[N° Département]],Feuil1!$C$6:$E$106,2)</f>
        <v>Haut-Rhin</v>
      </c>
      <c r="C146" s="38">
        <f>LEFT(Tableau1[[#This Row],[Code Postal]],2)*1</f>
        <v>68</v>
      </c>
      <c r="D146" s="42" t="s">
        <v>1043</v>
      </c>
      <c r="E146" s="10">
        <v>68330</v>
      </c>
      <c r="F146" s="10" t="s">
        <v>903</v>
      </c>
      <c r="G146" s="39" t="str">
        <f>Tableau1[[#This Row],[Rue]]&amp;CHAR(10)&amp;Tableau1[[#This Row],[Code Postal]]&amp;" - "&amp;Tableau1[[#This Row],[Ville]]</f>
        <v>5 avenue d'Alsace
68330 - Huningue</v>
      </c>
      <c r="H146" s="15" t="s">
        <v>1045</v>
      </c>
      <c r="I146" s="12" t="s">
        <v>45</v>
      </c>
      <c r="J146" s="12" t="s">
        <v>50</v>
      </c>
      <c r="K146" s="12" t="s">
        <v>104</v>
      </c>
      <c r="L146" s="12" t="s">
        <v>104</v>
      </c>
      <c r="M146" s="36" t="s">
        <v>1044</v>
      </c>
      <c r="N146" s="34">
        <v>287</v>
      </c>
      <c r="O146" s="6" t="s">
        <v>104</v>
      </c>
      <c r="P146" s="34" t="s">
        <v>104</v>
      </c>
      <c r="Q146" s="6" t="s">
        <v>104</v>
      </c>
      <c r="R146" s="12">
        <f>Tableau1[[#This Row],[Loyer €/m²]]*Tableau1[[#This Row],[Surface GLA]]</f>
        <v>0</v>
      </c>
      <c r="S146" s="12">
        <f>IFERROR(Tableau1[[#This Row],[Loyer annuel]]/12,"")</f>
        <v>0</v>
      </c>
      <c r="T146" s="12"/>
      <c r="U146" s="6" t="s">
        <v>104</v>
      </c>
      <c r="V146" s="6">
        <f>Tableau1[[#This Row],[Charges €/m²]]*Tableau1[[#This Row],[Surface GLA]]</f>
        <v>0</v>
      </c>
      <c r="W146" s="12">
        <f>Tableau1[[#This Row],[Charges annuelles]]/12</f>
        <v>0</v>
      </c>
      <c r="X146" s="12"/>
      <c r="Y146" s="12">
        <f>IFERROR(Tableau1[[#This Row],[Taxe foncière €/m²]]*Tableau1[[#This Row],[Surface GLA]],)</f>
        <v>0</v>
      </c>
      <c r="Z146" s="6" t="s">
        <v>104</v>
      </c>
      <c r="AA146" s="12">
        <f>IFERROR(Tableau1[[#This Row],[Marketing €/m²]]*Tableau1[[#This Row],[Surface GLA]],)</f>
        <v>0</v>
      </c>
      <c r="AB146" s="6" t="s">
        <v>104</v>
      </c>
      <c r="AC146" s="12">
        <f>IFERROR(Tableau1[[#This Row],[Loyer annuel]]+Tableau1[[#This Row],[Charges annuelles]]+Tableau1[[#This Row],[Taxe foncière]]+Tableau1[[#This Row],[Marketing]],"")</f>
        <v>0</v>
      </c>
      <c r="AD146" s="12"/>
      <c r="AE146" s="6" t="s">
        <v>104</v>
      </c>
      <c r="AF146" s="6" t="s">
        <v>104</v>
      </c>
      <c r="AG146" s="12"/>
      <c r="AH146" s="10"/>
      <c r="AI146" s="10"/>
      <c r="AJ146" s="10"/>
      <c r="AK146" s="11" t="s">
        <v>1057</v>
      </c>
      <c r="AL146" s="5" t="s">
        <v>370</v>
      </c>
      <c r="AM146" s="11" t="s">
        <v>1046</v>
      </c>
      <c r="AN146" s="11" t="s">
        <v>1047</v>
      </c>
      <c r="AO146" s="11">
        <v>33</v>
      </c>
      <c r="AP146" s="36" t="s">
        <v>1058</v>
      </c>
      <c r="AQ146" s="11" t="s">
        <v>76</v>
      </c>
      <c r="AR146" s="11"/>
      <c r="AS146" s="13" t="s">
        <v>1054</v>
      </c>
      <c r="AT146" s="14"/>
      <c r="AU146" s="44"/>
    </row>
    <row r="147" spans="1:47" ht="38.25">
      <c r="A147" s="38" t="str">
        <f>VLOOKUP(Tableau1[[#This Row],[N° Département]],Feuil1!$C$6:$E$106,3)</f>
        <v>Centre-Val de Loire</v>
      </c>
      <c r="B147" s="38" t="str">
        <f>VLOOKUP(Tableau1[[#This Row],[N° Département]],Feuil1!$C$6:$E$106,2)</f>
        <v>Indre-et-Loire</v>
      </c>
      <c r="C147" s="38">
        <f>LEFT(Tableau1[[#This Row],[Code Postal]],2)*1</f>
        <v>37</v>
      </c>
      <c r="D147" s="10" t="s">
        <v>1049</v>
      </c>
      <c r="E147" s="10">
        <v>37600</v>
      </c>
      <c r="F147" s="10" t="s">
        <v>904</v>
      </c>
      <c r="G147" s="39" t="str">
        <f>Tableau1[[#This Row],[Rue]]&amp;CHAR(10)&amp;Tableau1[[#This Row],[Code Postal]]&amp;" - "&amp;Tableau1[[#This Row],[Ville]]</f>
        <v>Super U 38 Route de Vauzelles, Rue du Bon Raisin
37600 - Loches</v>
      </c>
      <c r="H147" s="15" t="s">
        <v>1048</v>
      </c>
      <c r="I147" s="12" t="s">
        <v>47</v>
      </c>
      <c r="J147" s="12" t="s">
        <v>51</v>
      </c>
      <c r="K147" s="12" t="s">
        <v>104</v>
      </c>
      <c r="L147" s="12">
        <v>25000</v>
      </c>
      <c r="M147" s="36" t="s">
        <v>337</v>
      </c>
      <c r="N147" s="34">
        <v>73</v>
      </c>
      <c r="O147" s="6" t="s">
        <v>104</v>
      </c>
      <c r="P147" s="34" t="s">
        <v>104</v>
      </c>
      <c r="Q147" s="6" t="s">
        <v>104</v>
      </c>
      <c r="R147" s="12">
        <f>Tableau1[[#This Row],[Loyer €/m²]]*Tableau1[[#This Row],[Surface GLA]]</f>
        <v>25550</v>
      </c>
      <c r="S147" s="12">
        <f>IFERROR(Tableau1[[#This Row],[Loyer annuel]]/12,"")</f>
        <v>2129.1666666666665</v>
      </c>
      <c r="T147" s="12">
        <v>350</v>
      </c>
      <c r="U147" s="6" t="s">
        <v>104</v>
      </c>
      <c r="V147" s="6">
        <f>Tableau1[[#This Row],[Charges €/m²]]*Tableau1[[#This Row],[Surface GLA]]</f>
        <v>0</v>
      </c>
      <c r="W147" s="12">
        <f>Tableau1[[#This Row],[Charges annuelles]]/12</f>
        <v>0</v>
      </c>
      <c r="X147" s="12"/>
      <c r="Y147" s="12">
        <f>IFERROR(Tableau1[[#This Row],[Taxe foncière €/m²]]*Tableau1[[#This Row],[Surface GLA]],)</f>
        <v>0</v>
      </c>
      <c r="Z147" s="6" t="s">
        <v>104</v>
      </c>
      <c r="AA147" s="12">
        <f>IFERROR(Tableau1[[#This Row],[Marketing €/m²]]*Tableau1[[#This Row],[Surface GLA]],)</f>
        <v>0</v>
      </c>
      <c r="AB147" s="6" t="s">
        <v>104</v>
      </c>
      <c r="AC147" s="12">
        <f>IFERROR(Tableau1[[#This Row],[Loyer annuel]]+Tableau1[[#This Row],[Charges annuelles]]+Tableau1[[#This Row],[Taxe foncière]]+Tableau1[[#This Row],[Marketing]],"")</f>
        <v>25550</v>
      </c>
      <c r="AD147" s="12" t="str">
        <f>"3 mois = "&amp;TEXT(ROUND(3/12*R147,0),"### ### ##0 €")</f>
        <v>3 mois = 6 388 €</v>
      </c>
      <c r="AE147" s="6" t="s">
        <v>104</v>
      </c>
      <c r="AF147" s="6" t="s">
        <v>104</v>
      </c>
      <c r="AG147" s="12" t="s">
        <v>365</v>
      </c>
      <c r="AH147" s="10" t="s">
        <v>53</v>
      </c>
      <c r="AI147" s="10" t="s">
        <v>104</v>
      </c>
      <c r="AJ147" s="10" t="s">
        <v>1050</v>
      </c>
      <c r="AK147" s="11" t="s">
        <v>1056</v>
      </c>
      <c r="AL147" s="5" t="s">
        <v>370</v>
      </c>
      <c r="AM147" s="11" t="s">
        <v>1051</v>
      </c>
      <c r="AN147" s="11" t="s">
        <v>1052</v>
      </c>
      <c r="AO147" s="11">
        <v>34</v>
      </c>
      <c r="AP147" s="36" t="s">
        <v>1059</v>
      </c>
      <c r="AQ147" s="11" t="s">
        <v>76</v>
      </c>
      <c r="AR147" s="43" t="s">
        <v>1055</v>
      </c>
      <c r="AS147" s="13" t="s">
        <v>1053</v>
      </c>
      <c r="AT147" s="14"/>
      <c r="AU147" s="44">
        <v>45999</v>
      </c>
    </row>
    <row r="148" spans="1:47" ht="38.25">
      <c r="A148" s="38" t="str">
        <f>VLOOKUP(Tableau1[[#This Row],[N° Département]],Feuil1!$C$6:$E$106,3)</f>
        <v>Centre-Val de Loire</v>
      </c>
      <c r="B148" s="38" t="str">
        <f>VLOOKUP(Tableau1[[#This Row],[N° Département]],Feuil1!$C$6:$E$106,2)</f>
        <v>Indre-et-Loire</v>
      </c>
      <c r="C148" s="38">
        <f>LEFT(Tableau1[[#This Row],[Code Postal]],2)*1</f>
        <v>37</v>
      </c>
      <c r="D148" s="10" t="s">
        <v>1049</v>
      </c>
      <c r="E148" s="10">
        <v>37600</v>
      </c>
      <c r="F148" s="10" t="s">
        <v>904</v>
      </c>
      <c r="G148" s="39" t="str">
        <f>Tableau1[[#This Row],[Rue]]&amp;CHAR(10)&amp;Tableau1[[#This Row],[Code Postal]]&amp;" - "&amp;Tableau1[[#This Row],[Ville]]</f>
        <v>Super U 38 Route de Vauzelles, Rue du Bon Raisin
37600 - Loches</v>
      </c>
      <c r="H148" s="15" t="s">
        <v>1060</v>
      </c>
      <c r="I148" s="12" t="s">
        <v>47</v>
      </c>
      <c r="J148" s="12" t="s">
        <v>50</v>
      </c>
      <c r="K148" s="12" t="s">
        <v>104</v>
      </c>
      <c r="L148" s="12">
        <f>100*Tableau1[[#This Row],[Surface GLA]]</f>
        <v>20000</v>
      </c>
      <c r="M148" s="36" t="s">
        <v>337</v>
      </c>
      <c r="N148" s="34">
        <v>200</v>
      </c>
      <c r="O148" s="6" t="s">
        <v>104</v>
      </c>
      <c r="P148" s="34" t="s">
        <v>104</v>
      </c>
      <c r="Q148" s="6" t="s">
        <v>104</v>
      </c>
      <c r="R148" s="12">
        <f>Tableau1[[#This Row],[Loyer €/m²]]*Tableau1[[#This Row],[Surface GLA]]</f>
        <v>40000</v>
      </c>
      <c r="S148" s="12">
        <f>IFERROR(Tableau1[[#This Row],[Loyer annuel]]/12,"")</f>
        <v>3333.3333333333335</v>
      </c>
      <c r="T148" s="12">
        <v>200</v>
      </c>
      <c r="U148" s="6" t="s">
        <v>104</v>
      </c>
      <c r="V148" s="6">
        <f>Tableau1[[#This Row],[Charges €/m²]]*Tableau1[[#This Row],[Surface GLA]]</f>
        <v>10000</v>
      </c>
      <c r="W148" s="12">
        <f>Tableau1[[#This Row],[Charges annuelles]]/12</f>
        <v>833.33333333333337</v>
      </c>
      <c r="X148" s="12">
        <v>50</v>
      </c>
      <c r="Y148" s="12">
        <f>IFERROR(Tableau1[[#This Row],[Taxe foncière €/m²]]*Tableau1[[#This Row],[Surface GLA]],)</f>
        <v>6000</v>
      </c>
      <c r="Z148" s="6">
        <v>30</v>
      </c>
      <c r="AA148" s="12">
        <f>IFERROR(Tableau1[[#This Row],[Marketing €/m²]]*Tableau1[[#This Row],[Surface GLA]],)</f>
        <v>0</v>
      </c>
      <c r="AB148" s="6" t="s">
        <v>104</v>
      </c>
      <c r="AC148" s="12">
        <f>IFERROR(Tableau1[[#This Row],[Loyer annuel]]+Tableau1[[#This Row],[Charges annuelles]]+Tableau1[[#This Row],[Taxe foncière]]+Tableau1[[#This Row],[Marketing]],"")</f>
        <v>56000</v>
      </c>
      <c r="AD148" s="12" t="str">
        <f t="shared" ref="AD148:AD152" si="6">"3 mois = "&amp;TEXT(ROUND(3/12*R148,0),"### ### ##0 €")</f>
        <v>3 mois = 10 000 €</v>
      </c>
      <c r="AE148" s="6" t="s">
        <v>104</v>
      </c>
      <c r="AF148" s="6" t="s">
        <v>104</v>
      </c>
      <c r="AG148" s="12" t="s">
        <v>384</v>
      </c>
      <c r="AH148" s="10" t="s">
        <v>53</v>
      </c>
      <c r="AI148" s="10" t="s">
        <v>104</v>
      </c>
      <c r="AJ148" s="10" t="s">
        <v>1064</v>
      </c>
      <c r="AK148" s="11" t="s">
        <v>1061</v>
      </c>
      <c r="AL148" s="5" t="s">
        <v>370</v>
      </c>
      <c r="AM148" s="11" t="s">
        <v>1069</v>
      </c>
      <c r="AN148" s="11" t="s">
        <v>1070</v>
      </c>
      <c r="AO148" s="11" t="s">
        <v>1062</v>
      </c>
      <c r="AP148" s="36" t="s">
        <v>1079</v>
      </c>
      <c r="AQ148" s="11" t="s">
        <v>76</v>
      </c>
      <c r="AR148" s="11" t="s">
        <v>1063</v>
      </c>
      <c r="AS148" s="13" t="s">
        <v>1053</v>
      </c>
      <c r="AT148" s="14"/>
      <c r="AU148" s="44">
        <v>45999</v>
      </c>
    </row>
    <row r="149" spans="1:47" ht="38.25">
      <c r="A149" s="38" t="str">
        <f>VLOOKUP(Tableau1[[#This Row],[N° Département]],Feuil1!$C$6:$E$106,3)</f>
        <v>Centre-Val de Loire</v>
      </c>
      <c r="B149" s="38" t="str">
        <f>VLOOKUP(Tableau1[[#This Row],[N° Département]],Feuil1!$C$6:$E$106,2)</f>
        <v>Indre-et-Loire</v>
      </c>
      <c r="C149" s="38">
        <f>LEFT(Tableau1[[#This Row],[Code Postal]],2)*1</f>
        <v>37</v>
      </c>
      <c r="D149" s="10" t="s">
        <v>1049</v>
      </c>
      <c r="E149" s="10">
        <v>37601</v>
      </c>
      <c r="F149" s="10" t="s">
        <v>904</v>
      </c>
      <c r="G149" s="39" t="str">
        <f>Tableau1[[#This Row],[Rue]]&amp;CHAR(10)&amp;Tableau1[[#This Row],[Code Postal]]&amp;" - "&amp;Tableau1[[#This Row],[Ville]]</f>
        <v>Super U 38 Route de Vauzelles, Rue du Bon Raisin
37601 - Loches</v>
      </c>
      <c r="H149" s="15" t="s">
        <v>1060</v>
      </c>
      <c r="I149" s="12" t="s">
        <v>47</v>
      </c>
      <c r="J149" s="12" t="s">
        <v>50</v>
      </c>
      <c r="K149" s="12" t="s">
        <v>104</v>
      </c>
      <c r="L149" s="12">
        <f>100*Tableau1[[#This Row],[Surface GLA]]</f>
        <v>50000</v>
      </c>
      <c r="M149" s="36" t="s">
        <v>338</v>
      </c>
      <c r="N149" s="34">
        <v>500</v>
      </c>
      <c r="O149" s="6" t="s">
        <v>104</v>
      </c>
      <c r="P149" s="34" t="s">
        <v>104</v>
      </c>
      <c r="Q149" s="6" t="s">
        <v>104</v>
      </c>
      <c r="R149" s="12">
        <f>Tableau1[[#This Row],[Loyer €/m²]]*Tableau1[[#This Row],[Surface GLA]]</f>
        <v>100000</v>
      </c>
      <c r="S149" s="12">
        <f>IFERROR(Tableau1[[#This Row],[Loyer annuel]]/12,"")</f>
        <v>8333.3333333333339</v>
      </c>
      <c r="T149" s="12">
        <v>200</v>
      </c>
      <c r="U149" s="6" t="s">
        <v>104</v>
      </c>
      <c r="V149" s="6">
        <f>Tableau1[[#This Row],[Charges €/m²]]*Tableau1[[#This Row],[Surface GLA]]</f>
        <v>25000</v>
      </c>
      <c r="W149" s="12">
        <f>Tableau1[[#This Row],[Charges annuelles]]/12</f>
        <v>2083.3333333333335</v>
      </c>
      <c r="X149" s="12">
        <v>50</v>
      </c>
      <c r="Y149" s="12">
        <f>IFERROR(Tableau1[[#This Row],[Taxe foncière €/m²]]*Tableau1[[#This Row],[Surface GLA]],)</f>
        <v>15000</v>
      </c>
      <c r="Z149" s="6">
        <v>30</v>
      </c>
      <c r="AA149" s="12">
        <f>IFERROR(Tableau1[[#This Row],[Marketing €/m²]]*Tableau1[[#This Row],[Surface GLA]],)</f>
        <v>0</v>
      </c>
      <c r="AB149" s="6" t="s">
        <v>104</v>
      </c>
      <c r="AC149" s="12">
        <f>IFERROR(Tableau1[[#This Row],[Loyer annuel]]+Tableau1[[#This Row],[Charges annuelles]]+Tableau1[[#This Row],[Taxe foncière]]+Tableau1[[#This Row],[Marketing]],"")</f>
        <v>140000</v>
      </c>
      <c r="AD149" s="12" t="str">
        <f t="shared" si="6"/>
        <v>3 mois = 25 000 €</v>
      </c>
      <c r="AE149" s="6" t="s">
        <v>104</v>
      </c>
      <c r="AF149" s="6" t="s">
        <v>104</v>
      </c>
      <c r="AG149" s="12" t="s">
        <v>384</v>
      </c>
      <c r="AH149" s="10" t="s">
        <v>53</v>
      </c>
      <c r="AI149" s="10" t="s">
        <v>104</v>
      </c>
      <c r="AJ149" s="10" t="s">
        <v>1064</v>
      </c>
      <c r="AK149" s="11" t="s">
        <v>1061</v>
      </c>
      <c r="AL149" s="5" t="s">
        <v>370</v>
      </c>
      <c r="AM149" s="11" t="s">
        <v>1071</v>
      </c>
      <c r="AN149" s="11" t="s">
        <v>1072</v>
      </c>
      <c r="AO149" s="11" t="s">
        <v>1065</v>
      </c>
      <c r="AP149" s="36" t="s">
        <v>1079</v>
      </c>
      <c r="AQ149" s="11" t="s">
        <v>76</v>
      </c>
      <c r="AR149" s="11" t="s">
        <v>1063</v>
      </c>
      <c r="AS149" s="13" t="s">
        <v>1053</v>
      </c>
      <c r="AT149" s="14"/>
      <c r="AU149" s="44">
        <v>45999</v>
      </c>
    </row>
    <row r="150" spans="1:47" ht="38.25">
      <c r="A150" s="38" t="str">
        <f>VLOOKUP(Tableau1[[#This Row],[N° Département]],Feuil1!$C$6:$E$106,3)</f>
        <v>Centre-Val de Loire</v>
      </c>
      <c r="B150" s="38" t="str">
        <f>VLOOKUP(Tableau1[[#This Row],[N° Département]],Feuil1!$C$6:$E$106,2)</f>
        <v>Indre-et-Loire</v>
      </c>
      <c r="C150" s="38">
        <f>LEFT(Tableau1[[#This Row],[Code Postal]],2)*1</f>
        <v>37</v>
      </c>
      <c r="D150" s="10" t="s">
        <v>1049</v>
      </c>
      <c r="E150" s="10">
        <v>37602</v>
      </c>
      <c r="F150" s="10" t="s">
        <v>904</v>
      </c>
      <c r="G150" s="39" t="str">
        <f>Tableau1[[#This Row],[Rue]]&amp;CHAR(10)&amp;Tableau1[[#This Row],[Code Postal]]&amp;" - "&amp;Tableau1[[#This Row],[Ville]]</f>
        <v>Super U 38 Route de Vauzelles, Rue du Bon Raisin
37602 - Loches</v>
      </c>
      <c r="H150" s="15" t="s">
        <v>1060</v>
      </c>
      <c r="I150" s="12" t="s">
        <v>47</v>
      </c>
      <c r="J150" s="12" t="s">
        <v>50</v>
      </c>
      <c r="K150" s="12" t="s">
        <v>104</v>
      </c>
      <c r="L150" s="12">
        <f>100*Tableau1[[#This Row],[Surface GLA]]</f>
        <v>100000</v>
      </c>
      <c r="M150" s="36" t="s">
        <v>359</v>
      </c>
      <c r="N150" s="34">
        <v>1000</v>
      </c>
      <c r="O150" s="6" t="s">
        <v>104</v>
      </c>
      <c r="P150" s="34" t="s">
        <v>104</v>
      </c>
      <c r="Q150" s="6" t="s">
        <v>104</v>
      </c>
      <c r="R150" s="12">
        <f>Tableau1[[#This Row],[Loyer €/m²]]*Tableau1[[#This Row],[Surface GLA]]</f>
        <v>200000</v>
      </c>
      <c r="S150" s="12">
        <f>IFERROR(Tableau1[[#This Row],[Loyer annuel]]/12,"")</f>
        <v>16666.666666666668</v>
      </c>
      <c r="T150" s="12">
        <v>200</v>
      </c>
      <c r="U150" s="6" t="s">
        <v>104</v>
      </c>
      <c r="V150" s="6">
        <f>Tableau1[[#This Row],[Charges €/m²]]*Tableau1[[#This Row],[Surface GLA]]</f>
        <v>50000</v>
      </c>
      <c r="W150" s="12">
        <f>Tableau1[[#This Row],[Charges annuelles]]/12</f>
        <v>4166.666666666667</v>
      </c>
      <c r="X150" s="12">
        <v>50</v>
      </c>
      <c r="Y150" s="12">
        <f>IFERROR(Tableau1[[#This Row],[Taxe foncière €/m²]]*Tableau1[[#This Row],[Surface GLA]],)</f>
        <v>30000</v>
      </c>
      <c r="Z150" s="6">
        <v>30</v>
      </c>
      <c r="AA150" s="12">
        <f>IFERROR(Tableau1[[#This Row],[Marketing €/m²]]*Tableau1[[#This Row],[Surface GLA]],)</f>
        <v>0</v>
      </c>
      <c r="AB150" s="6" t="s">
        <v>104</v>
      </c>
      <c r="AC150" s="12">
        <f>IFERROR(Tableau1[[#This Row],[Loyer annuel]]+Tableau1[[#This Row],[Charges annuelles]]+Tableau1[[#This Row],[Taxe foncière]]+Tableau1[[#This Row],[Marketing]],"")</f>
        <v>280000</v>
      </c>
      <c r="AD150" s="12" t="str">
        <f t="shared" si="6"/>
        <v>3 mois = 50 000 €</v>
      </c>
      <c r="AE150" s="6" t="s">
        <v>104</v>
      </c>
      <c r="AF150" s="6" t="s">
        <v>104</v>
      </c>
      <c r="AG150" s="12" t="s">
        <v>384</v>
      </c>
      <c r="AH150" s="10" t="s">
        <v>53</v>
      </c>
      <c r="AI150" s="10" t="s">
        <v>104</v>
      </c>
      <c r="AJ150" s="10" t="s">
        <v>1064</v>
      </c>
      <c r="AK150" s="11" t="s">
        <v>1061</v>
      </c>
      <c r="AL150" s="5" t="s">
        <v>370</v>
      </c>
      <c r="AM150" s="11" t="s">
        <v>1073</v>
      </c>
      <c r="AN150" s="11" t="s">
        <v>1074</v>
      </c>
      <c r="AO150" s="11" t="s">
        <v>1066</v>
      </c>
      <c r="AP150" s="36" t="s">
        <v>1079</v>
      </c>
      <c r="AQ150" s="11" t="s">
        <v>76</v>
      </c>
      <c r="AR150" s="11" t="s">
        <v>1063</v>
      </c>
      <c r="AS150" s="13" t="s">
        <v>1053</v>
      </c>
      <c r="AT150" s="14"/>
      <c r="AU150" s="44">
        <v>45999</v>
      </c>
    </row>
    <row r="151" spans="1:47" ht="38.25">
      <c r="A151" s="38" t="str">
        <f>VLOOKUP(Tableau1[[#This Row],[N° Département]],Feuil1!$C$6:$E$106,3)</f>
        <v>Centre-Val de Loire</v>
      </c>
      <c r="B151" s="38" t="str">
        <f>VLOOKUP(Tableau1[[#This Row],[N° Département]],Feuil1!$C$6:$E$106,2)</f>
        <v>Indre-et-Loire</v>
      </c>
      <c r="C151" s="38">
        <f>LEFT(Tableau1[[#This Row],[Code Postal]],2)*1</f>
        <v>37</v>
      </c>
      <c r="D151" s="10" t="s">
        <v>1049</v>
      </c>
      <c r="E151" s="10">
        <v>37603</v>
      </c>
      <c r="F151" s="10" t="s">
        <v>904</v>
      </c>
      <c r="G151" s="39" t="str">
        <f>Tableau1[[#This Row],[Rue]]&amp;CHAR(10)&amp;Tableau1[[#This Row],[Code Postal]]&amp;" - "&amp;Tableau1[[#This Row],[Ville]]</f>
        <v>Super U 38 Route de Vauzelles, Rue du Bon Raisin
37603 - Loches</v>
      </c>
      <c r="H151" s="15" t="s">
        <v>1060</v>
      </c>
      <c r="I151" s="12" t="s">
        <v>47</v>
      </c>
      <c r="J151" s="12" t="s">
        <v>50</v>
      </c>
      <c r="K151" s="12" t="s">
        <v>104</v>
      </c>
      <c r="L151" s="12">
        <f>100*Tableau1[[#This Row],[Surface GLA]]</f>
        <v>200000</v>
      </c>
      <c r="M151" s="36" t="s">
        <v>360</v>
      </c>
      <c r="N151" s="34">
        <v>2000</v>
      </c>
      <c r="O151" s="6" t="s">
        <v>104</v>
      </c>
      <c r="P151" s="34" t="s">
        <v>104</v>
      </c>
      <c r="Q151" s="6" t="s">
        <v>104</v>
      </c>
      <c r="R151" s="12">
        <f>Tableau1[[#This Row],[Loyer €/m²]]*Tableau1[[#This Row],[Surface GLA]]</f>
        <v>400000</v>
      </c>
      <c r="S151" s="12">
        <f>IFERROR(Tableau1[[#This Row],[Loyer annuel]]/12,"")</f>
        <v>33333.333333333336</v>
      </c>
      <c r="T151" s="12">
        <v>200</v>
      </c>
      <c r="U151" s="6" t="s">
        <v>104</v>
      </c>
      <c r="V151" s="6">
        <f>Tableau1[[#This Row],[Charges €/m²]]*Tableau1[[#This Row],[Surface GLA]]</f>
        <v>100000</v>
      </c>
      <c r="W151" s="12">
        <f>Tableau1[[#This Row],[Charges annuelles]]/12</f>
        <v>8333.3333333333339</v>
      </c>
      <c r="X151" s="12">
        <v>50</v>
      </c>
      <c r="Y151" s="12">
        <f>IFERROR(Tableau1[[#This Row],[Taxe foncière €/m²]]*Tableau1[[#This Row],[Surface GLA]],)</f>
        <v>60000</v>
      </c>
      <c r="Z151" s="6">
        <v>30</v>
      </c>
      <c r="AA151" s="12">
        <f>IFERROR(Tableau1[[#This Row],[Marketing €/m²]]*Tableau1[[#This Row],[Surface GLA]],)</f>
        <v>0</v>
      </c>
      <c r="AB151" s="6" t="s">
        <v>104</v>
      </c>
      <c r="AC151" s="12">
        <f>IFERROR(Tableau1[[#This Row],[Loyer annuel]]+Tableau1[[#This Row],[Charges annuelles]]+Tableau1[[#This Row],[Taxe foncière]]+Tableau1[[#This Row],[Marketing]],"")</f>
        <v>560000</v>
      </c>
      <c r="AD151" s="12" t="str">
        <f t="shared" si="6"/>
        <v>3 mois = 100 000 €</v>
      </c>
      <c r="AE151" s="6" t="s">
        <v>104</v>
      </c>
      <c r="AF151" s="6" t="s">
        <v>104</v>
      </c>
      <c r="AG151" s="12" t="s">
        <v>384</v>
      </c>
      <c r="AH151" s="10" t="s">
        <v>53</v>
      </c>
      <c r="AI151" s="10" t="s">
        <v>104</v>
      </c>
      <c r="AJ151" s="10" t="s">
        <v>1064</v>
      </c>
      <c r="AK151" s="11" t="s">
        <v>1061</v>
      </c>
      <c r="AL151" s="5" t="s">
        <v>370</v>
      </c>
      <c r="AM151" s="11" t="s">
        <v>1075</v>
      </c>
      <c r="AN151" s="11" t="s">
        <v>1076</v>
      </c>
      <c r="AO151" s="11" t="s">
        <v>1067</v>
      </c>
      <c r="AP151" s="36" t="s">
        <v>1079</v>
      </c>
      <c r="AQ151" s="11" t="s">
        <v>76</v>
      </c>
      <c r="AR151" s="11" t="s">
        <v>1063</v>
      </c>
      <c r="AS151" s="13" t="s">
        <v>1053</v>
      </c>
      <c r="AT151" s="14"/>
      <c r="AU151" s="44">
        <v>45999</v>
      </c>
    </row>
    <row r="152" spans="1:47" ht="38.25">
      <c r="A152" s="38" t="str">
        <f>VLOOKUP(Tableau1[[#This Row],[N° Département]],Feuil1!$C$6:$E$106,3)</f>
        <v>Centre-Val de Loire</v>
      </c>
      <c r="B152" s="38" t="str">
        <f>VLOOKUP(Tableau1[[#This Row],[N° Département]],Feuil1!$C$6:$E$106,2)</f>
        <v>Indre-et-Loire</v>
      </c>
      <c r="C152" s="38">
        <f>LEFT(Tableau1[[#This Row],[Code Postal]],2)*1</f>
        <v>37</v>
      </c>
      <c r="D152" s="10" t="s">
        <v>1049</v>
      </c>
      <c r="E152" s="10">
        <v>37604</v>
      </c>
      <c r="F152" s="10" t="s">
        <v>904</v>
      </c>
      <c r="G152" s="39" t="str">
        <f>Tableau1[[#This Row],[Rue]]&amp;CHAR(10)&amp;Tableau1[[#This Row],[Code Postal]]&amp;" - "&amp;Tableau1[[#This Row],[Ville]]</f>
        <v>Super U 38 Route de Vauzelles, Rue du Bon Raisin
37604 - Loches</v>
      </c>
      <c r="H152" s="15" t="s">
        <v>1060</v>
      </c>
      <c r="I152" s="12" t="s">
        <v>47</v>
      </c>
      <c r="J152" s="12" t="s">
        <v>50</v>
      </c>
      <c r="K152" s="12" t="s">
        <v>104</v>
      </c>
      <c r="L152" s="12">
        <f>100*Tableau1[[#This Row],[Surface GLA]]</f>
        <v>500000</v>
      </c>
      <c r="M152" s="36" t="s">
        <v>361</v>
      </c>
      <c r="N152" s="34">
        <v>5000</v>
      </c>
      <c r="O152" s="6" t="s">
        <v>104</v>
      </c>
      <c r="P152" s="34" t="s">
        <v>104</v>
      </c>
      <c r="Q152" s="6" t="s">
        <v>104</v>
      </c>
      <c r="R152" s="12">
        <f>Tableau1[[#This Row],[Loyer €/m²]]*Tableau1[[#This Row],[Surface GLA]]</f>
        <v>1000000</v>
      </c>
      <c r="S152" s="12">
        <f>IFERROR(Tableau1[[#This Row],[Loyer annuel]]/12,"")</f>
        <v>83333.333333333328</v>
      </c>
      <c r="T152" s="12">
        <v>200</v>
      </c>
      <c r="U152" s="6" t="s">
        <v>104</v>
      </c>
      <c r="V152" s="6">
        <f>Tableau1[[#This Row],[Charges €/m²]]*Tableau1[[#This Row],[Surface GLA]]</f>
        <v>250000</v>
      </c>
      <c r="W152" s="12">
        <f>Tableau1[[#This Row],[Charges annuelles]]/12</f>
        <v>20833.333333333332</v>
      </c>
      <c r="X152" s="12">
        <v>50</v>
      </c>
      <c r="Y152" s="12">
        <f>IFERROR(Tableau1[[#This Row],[Taxe foncière €/m²]]*Tableau1[[#This Row],[Surface GLA]],)</f>
        <v>150000</v>
      </c>
      <c r="Z152" s="6">
        <v>30</v>
      </c>
      <c r="AA152" s="12">
        <f>IFERROR(Tableau1[[#This Row],[Marketing €/m²]]*Tableau1[[#This Row],[Surface GLA]],)</f>
        <v>0</v>
      </c>
      <c r="AB152" s="6" t="s">
        <v>104</v>
      </c>
      <c r="AC152" s="12">
        <f>IFERROR(Tableau1[[#This Row],[Loyer annuel]]+Tableau1[[#This Row],[Charges annuelles]]+Tableau1[[#This Row],[Taxe foncière]]+Tableau1[[#This Row],[Marketing]],"")</f>
        <v>1400000</v>
      </c>
      <c r="AD152" s="12" t="str">
        <f t="shared" si="6"/>
        <v>3 mois = 250 000 €</v>
      </c>
      <c r="AE152" s="6" t="s">
        <v>104</v>
      </c>
      <c r="AF152" s="6" t="s">
        <v>104</v>
      </c>
      <c r="AG152" s="12" t="s">
        <v>384</v>
      </c>
      <c r="AH152" s="10" t="s">
        <v>53</v>
      </c>
      <c r="AI152" s="10" t="s">
        <v>104</v>
      </c>
      <c r="AJ152" s="10" t="s">
        <v>1064</v>
      </c>
      <c r="AK152" s="11" t="s">
        <v>1061</v>
      </c>
      <c r="AL152" s="5" t="s">
        <v>370</v>
      </c>
      <c r="AM152" s="11" t="s">
        <v>1077</v>
      </c>
      <c r="AN152" s="11" t="s">
        <v>1078</v>
      </c>
      <c r="AO152" s="11" t="s">
        <v>1068</v>
      </c>
      <c r="AP152" s="36" t="s">
        <v>1079</v>
      </c>
      <c r="AQ152" s="11" t="s">
        <v>76</v>
      </c>
      <c r="AR152" s="11" t="s">
        <v>1063</v>
      </c>
      <c r="AS152" s="13" t="s">
        <v>1053</v>
      </c>
      <c r="AT152" s="14"/>
      <c r="AU152" s="44">
        <v>45999</v>
      </c>
    </row>
    <row r="153" spans="1:47" ht="25.5">
      <c r="A153" s="38" t="str">
        <f>VLOOKUP(Tableau1[[#This Row],[N° Département]],Feuil1!$C$6:$E$106,3)</f>
        <v>Provence-Alpes-Côte d'Azur</v>
      </c>
      <c r="B153" s="38" t="str">
        <f>VLOOKUP(Tableau1[[#This Row],[N° Département]],Feuil1!$C$6:$E$106,2)</f>
        <v>Bouches-du-Rhône</v>
      </c>
      <c r="C153" s="38">
        <f>LEFT(Tableau1[[#This Row],[Code Postal]],2)*1</f>
        <v>13</v>
      </c>
      <c r="D153" s="10" t="s">
        <v>1107</v>
      </c>
      <c r="E153" s="10">
        <v>13127</v>
      </c>
      <c r="F153" s="10" t="s">
        <v>1103</v>
      </c>
      <c r="G153" s="39" t="str">
        <f>Tableau1[[#This Row],[Rue]]&amp;CHAR(10)&amp;Tableau1[[#This Row],[Code Postal]]&amp;" - "&amp;Tableau1[[#This Row],[Ville]]</f>
        <v>14 Boulevard de l'Europe
13127 - Vitrolles</v>
      </c>
      <c r="H153" s="15" t="s">
        <v>1108</v>
      </c>
      <c r="I153" s="12" t="s">
        <v>47</v>
      </c>
      <c r="J153" s="12" t="s">
        <v>48</v>
      </c>
      <c r="K153" s="10" t="s">
        <v>104</v>
      </c>
      <c r="L153" s="12"/>
      <c r="M153" s="36"/>
      <c r="N153" s="34">
        <v>181</v>
      </c>
      <c r="O153" s="6" t="s">
        <v>104</v>
      </c>
      <c r="P153" s="34" t="s">
        <v>104</v>
      </c>
      <c r="Q153" s="6" t="s">
        <v>104</v>
      </c>
      <c r="R153" s="12"/>
      <c r="S153" s="12">
        <f>IFERROR(Tableau1[[#This Row],[Loyer annuel]]/12,"")</f>
        <v>0</v>
      </c>
      <c r="T153" s="12"/>
      <c r="U153" s="6" t="s">
        <v>104</v>
      </c>
      <c r="V153" s="12"/>
      <c r="W153" s="12">
        <f>Tableau1[[#This Row],[Charges annuelles]]/12</f>
        <v>0</v>
      </c>
      <c r="X153" s="12"/>
      <c r="Y153" s="12">
        <f>IFERROR(Tableau1[[#This Row],[Taxe foncière €/m²]]*Tableau1[[#This Row],[Surface GLA]],)</f>
        <v>0</v>
      </c>
      <c r="Z153" s="12"/>
      <c r="AA153" s="12">
        <f>IFERROR(Tableau1[[#This Row],[Marketing €/m²]]*Tableau1[[#This Row],[Surface GLA]],)</f>
        <v>0</v>
      </c>
      <c r="AB153" s="6" t="s">
        <v>104</v>
      </c>
      <c r="AC153" s="12">
        <f>IFERROR(Tableau1[[#This Row],[Loyer annuel]]+Tableau1[[#This Row],[Charges annuelles]]+Tableau1[[#This Row],[Taxe foncière]]+Tableau1[[#This Row],[Marketing]],"")</f>
        <v>0</v>
      </c>
      <c r="AD153" s="12"/>
      <c r="AE153" s="6" t="s">
        <v>104</v>
      </c>
      <c r="AF153" s="6" t="s">
        <v>104</v>
      </c>
      <c r="AG153" s="12" t="s">
        <v>365</v>
      </c>
      <c r="AH153" s="10" t="s">
        <v>76</v>
      </c>
      <c r="AI153" s="10" t="s">
        <v>372</v>
      </c>
      <c r="AJ153" s="10" t="s">
        <v>1160</v>
      </c>
      <c r="AK153" s="11" t="s">
        <v>1110</v>
      </c>
      <c r="AL153" s="5" t="s">
        <v>370</v>
      </c>
      <c r="AM153" s="11" t="s">
        <v>1148</v>
      </c>
      <c r="AN153" s="11" t="s">
        <v>1149</v>
      </c>
      <c r="AO153" s="11">
        <v>36</v>
      </c>
      <c r="AP153" s="36" t="s">
        <v>1211</v>
      </c>
      <c r="AQ153" s="11" t="s">
        <v>76</v>
      </c>
      <c r="AR153" s="11"/>
      <c r="AS153" s="13" t="s">
        <v>1157</v>
      </c>
      <c r="AT153" s="14"/>
      <c r="AU153" s="44">
        <v>46003</v>
      </c>
    </row>
    <row r="154" spans="1:47" ht="38.25">
      <c r="A154" s="38" t="str">
        <f>VLOOKUP(Tableau1[[#This Row],[N° Département]],Feuil1!$C$6:$E$106,3)</f>
        <v>Provence-Alpes-Côte d'Azur</v>
      </c>
      <c r="B154" s="38" t="str">
        <f>VLOOKUP(Tableau1[[#This Row],[N° Département]],Feuil1!$C$6:$E$106,2)</f>
        <v>Bouches-du-Rhône</v>
      </c>
      <c r="C154" s="38">
        <f>LEFT(Tableau1[[#This Row],[Code Postal]],2)*1</f>
        <v>13</v>
      </c>
      <c r="D154" s="10" t="s">
        <v>1147</v>
      </c>
      <c r="E154" s="10">
        <v>13170</v>
      </c>
      <c r="F154" s="10" t="s">
        <v>1134</v>
      </c>
      <c r="G154" s="39" t="str">
        <f>Tableau1[[#This Row],[Rue]]&amp;CHAR(10)&amp;Tableau1[[#This Row],[Code Postal]]&amp;" - "&amp;Tableau1[[#This Row],[Ville]]</f>
        <v>Plan de Campagne, Chemin des Pennes CD6
13170 - Les Pennes-Mirabeau</v>
      </c>
      <c r="H154" s="2" t="s">
        <v>1112</v>
      </c>
      <c r="I154" s="12" t="s">
        <v>47</v>
      </c>
      <c r="J154" s="12" t="s">
        <v>48</v>
      </c>
      <c r="K154" s="10" t="s">
        <v>104</v>
      </c>
      <c r="L154" s="12"/>
      <c r="M154" s="36"/>
      <c r="N154" s="34">
        <v>1390</v>
      </c>
      <c r="O154" s="6" t="s">
        <v>104</v>
      </c>
      <c r="P154" s="34" t="s">
        <v>104</v>
      </c>
      <c r="Q154" s="6" t="s">
        <v>104</v>
      </c>
      <c r="R154" s="12"/>
      <c r="S154" s="12">
        <f>IFERROR(Tableau1[[#This Row],[Loyer annuel]]/12,"")</f>
        <v>0</v>
      </c>
      <c r="T154" s="12"/>
      <c r="U154" s="6" t="s">
        <v>104</v>
      </c>
      <c r="V154" s="12"/>
      <c r="W154" s="12">
        <f>Tableau1[[#This Row],[Charges annuelles]]/12</f>
        <v>0</v>
      </c>
      <c r="X154" s="12"/>
      <c r="Y154" s="12">
        <f>IFERROR(Tableau1[[#This Row],[Taxe foncière €/m²]]*Tableau1[[#This Row],[Surface GLA]],)</f>
        <v>0</v>
      </c>
      <c r="Z154" s="12"/>
      <c r="AA154" s="12">
        <f>IFERROR(Tableau1[[#This Row],[Marketing €/m²]]*Tableau1[[#This Row],[Surface GLA]],)</f>
        <v>0</v>
      </c>
      <c r="AB154" s="6" t="s">
        <v>104</v>
      </c>
      <c r="AC154" s="12">
        <f>IFERROR(Tableau1[[#This Row],[Loyer annuel]]+Tableau1[[#This Row],[Charges annuelles]]+Tableau1[[#This Row],[Taxe foncière]]+Tableau1[[#This Row],[Marketing]],"")</f>
        <v>0</v>
      </c>
      <c r="AD154" s="12"/>
      <c r="AE154" s="6" t="s">
        <v>104</v>
      </c>
      <c r="AF154" s="6" t="s">
        <v>104</v>
      </c>
      <c r="AG154" s="12" t="s">
        <v>365</v>
      </c>
      <c r="AH154" s="10" t="s">
        <v>379</v>
      </c>
      <c r="AI154" s="10" t="s">
        <v>372</v>
      </c>
      <c r="AJ154" s="10" t="s">
        <v>1161</v>
      </c>
      <c r="AK154" s="11" t="s">
        <v>1162</v>
      </c>
      <c r="AL154" s="5" t="s">
        <v>370</v>
      </c>
      <c r="AM154" s="11" t="s">
        <v>1150</v>
      </c>
      <c r="AN154" s="11" t="s">
        <v>1151</v>
      </c>
      <c r="AO154" s="11">
        <v>37</v>
      </c>
      <c r="AP154" s="36" t="s">
        <v>1212</v>
      </c>
      <c r="AQ154" s="11" t="s">
        <v>76</v>
      </c>
      <c r="AR154" s="11"/>
      <c r="AS154" s="13" t="s">
        <v>1157</v>
      </c>
      <c r="AT154" s="14"/>
      <c r="AU154" s="44">
        <v>46003</v>
      </c>
    </row>
    <row r="155" spans="1:47" ht="25.5">
      <c r="A155" s="38" t="str">
        <f>VLOOKUP(Tableau1[[#This Row],[N° Département]],Feuil1!$C$6:$E$106,3)</f>
        <v>Centre-Val de Loire</v>
      </c>
      <c r="B155" s="38" t="str">
        <f>VLOOKUP(Tableau1[[#This Row],[N° Département]],Feuil1!$C$6:$E$106,2)</f>
        <v>Cher</v>
      </c>
      <c r="C155" s="38">
        <f>LEFT(Tableau1[[#This Row],[Code Postal]],2)*1</f>
        <v>18</v>
      </c>
      <c r="D155" s="10" t="s">
        <v>1135</v>
      </c>
      <c r="E155" s="10">
        <v>18390</v>
      </c>
      <c r="F155" s="10" t="s">
        <v>1136</v>
      </c>
      <c r="G155" s="39" t="str">
        <f>Tableau1[[#This Row],[Rue]]&amp;CHAR(10)&amp;Tableau1[[#This Row],[Code Postal]]&amp;" - "&amp;Tableau1[[#This Row],[Ville]]</f>
        <v>8 Rue des Vignes
18390 - Saint-Germain-du-Puy</v>
      </c>
      <c r="H155" s="15" t="s">
        <v>1113</v>
      </c>
      <c r="I155" s="12" t="s">
        <v>47</v>
      </c>
      <c r="J155" s="12" t="s">
        <v>48</v>
      </c>
      <c r="K155" s="10" t="s">
        <v>104</v>
      </c>
      <c r="L155" s="12"/>
      <c r="M155" s="36"/>
      <c r="N155" s="34">
        <v>1000</v>
      </c>
      <c r="O155" s="6" t="s">
        <v>104</v>
      </c>
      <c r="P155" s="34" t="s">
        <v>104</v>
      </c>
      <c r="Q155" s="6" t="s">
        <v>104</v>
      </c>
      <c r="R155" s="12"/>
      <c r="S155" s="12">
        <f>IFERROR(Tableau1[[#This Row],[Loyer annuel]]/12,"")</f>
        <v>0</v>
      </c>
      <c r="T155" s="12"/>
      <c r="U155" s="6" t="s">
        <v>104</v>
      </c>
      <c r="V155" s="12"/>
      <c r="W155" s="12">
        <f>Tableau1[[#This Row],[Charges annuelles]]/12</f>
        <v>0</v>
      </c>
      <c r="X155" s="12"/>
      <c r="Y155" s="12">
        <f>IFERROR(Tableau1[[#This Row],[Taxe foncière €/m²]]*Tableau1[[#This Row],[Surface GLA]],)</f>
        <v>0</v>
      </c>
      <c r="Z155" s="12"/>
      <c r="AA155" s="12">
        <f>IFERROR(Tableau1[[#This Row],[Marketing €/m²]]*Tableau1[[#This Row],[Surface GLA]],)</f>
        <v>0</v>
      </c>
      <c r="AB155" s="6" t="s">
        <v>104</v>
      </c>
      <c r="AC155" s="12">
        <f>IFERROR(Tableau1[[#This Row],[Loyer annuel]]+Tableau1[[#This Row],[Charges annuelles]]+Tableau1[[#This Row],[Taxe foncière]]+Tableau1[[#This Row],[Marketing]],"")</f>
        <v>0</v>
      </c>
      <c r="AD155" s="12"/>
      <c r="AE155" s="6" t="s">
        <v>104</v>
      </c>
      <c r="AF155" s="6" t="s">
        <v>104</v>
      </c>
      <c r="AG155" s="12" t="s">
        <v>365</v>
      </c>
      <c r="AH155" s="10" t="s">
        <v>379</v>
      </c>
      <c r="AI155" s="10" t="s">
        <v>372</v>
      </c>
      <c r="AJ155" s="10" t="s">
        <v>1163</v>
      </c>
      <c r="AK155" s="11" t="s">
        <v>1164</v>
      </c>
      <c r="AL155" s="5" t="s">
        <v>370</v>
      </c>
      <c r="AM155" s="11" t="s">
        <v>1165</v>
      </c>
      <c r="AN155" s="11" t="s">
        <v>1166</v>
      </c>
      <c r="AO155" s="11">
        <v>38</v>
      </c>
      <c r="AP155" s="36" t="s">
        <v>1213</v>
      </c>
      <c r="AQ155" s="11" t="s">
        <v>76</v>
      </c>
      <c r="AR155" s="11"/>
      <c r="AS155" s="13" t="s">
        <v>1157</v>
      </c>
      <c r="AT155" s="14"/>
      <c r="AU155" s="44">
        <v>46003</v>
      </c>
    </row>
    <row r="156" spans="1:47" ht="38.25">
      <c r="A156" s="38" t="str">
        <f>VLOOKUP(Tableau1[[#This Row],[N° Département]],Feuil1!$C$6:$E$106,3)</f>
        <v>Centre-Val de Loire</v>
      </c>
      <c r="B156" s="38" t="str">
        <f>VLOOKUP(Tableau1[[#This Row],[N° Département]],Feuil1!$C$6:$E$106,2)</f>
        <v>Cher</v>
      </c>
      <c r="C156" s="38">
        <f>LEFT(Tableau1[[#This Row],[Code Postal]],2)*1</f>
        <v>18</v>
      </c>
      <c r="D156" s="10" t="s">
        <v>1138</v>
      </c>
      <c r="E156" s="10">
        <v>18230</v>
      </c>
      <c r="F156" s="10" t="s">
        <v>1137</v>
      </c>
      <c r="G156" s="39" t="str">
        <f>Tableau1[[#This Row],[Rue]]&amp;CHAR(10)&amp;Tableau1[[#This Row],[Code Postal]]&amp;" - "&amp;Tableau1[[#This Row],[Ville]]</f>
        <v>Centre Commercial Géant,  548 Route d'Orléans
18230 -  Saint-Doulchard</v>
      </c>
      <c r="H156" s="15" t="s">
        <v>1114</v>
      </c>
      <c r="I156" s="12" t="s">
        <v>47</v>
      </c>
      <c r="J156" s="12" t="s">
        <v>49</v>
      </c>
      <c r="K156" s="10" t="s">
        <v>104</v>
      </c>
      <c r="L156" s="12"/>
      <c r="M156" s="36"/>
      <c r="N156" s="34">
        <v>5000</v>
      </c>
      <c r="O156" s="6" t="s">
        <v>104</v>
      </c>
      <c r="P156" s="34" t="s">
        <v>104</v>
      </c>
      <c r="Q156" s="6" t="s">
        <v>104</v>
      </c>
      <c r="R156" s="12"/>
      <c r="S156" s="12">
        <f>IFERROR(Tableau1[[#This Row],[Loyer annuel]]/12,"")</f>
        <v>0</v>
      </c>
      <c r="T156" s="12"/>
      <c r="U156" s="6" t="s">
        <v>104</v>
      </c>
      <c r="V156" s="12"/>
      <c r="W156" s="12">
        <f>Tableau1[[#This Row],[Charges annuelles]]/12</f>
        <v>0</v>
      </c>
      <c r="X156" s="12"/>
      <c r="Y156" s="12">
        <f>IFERROR(Tableau1[[#This Row],[Taxe foncière €/m²]]*Tableau1[[#This Row],[Surface GLA]],)</f>
        <v>0</v>
      </c>
      <c r="Z156" s="12"/>
      <c r="AA156" s="12">
        <f>IFERROR(Tableau1[[#This Row],[Marketing €/m²]]*Tableau1[[#This Row],[Surface GLA]],)</f>
        <v>0</v>
      </c>
      <c r="AB156" s="6" t="s">
        <v>104</v>
      </c>
      <c r="AC156" s="12">
        <f>IFERROR(Tableau1[[#This Row],[Loyer annuel]]+Tableau1[[#This Row],[Charges annuelles]]+Tableau1[[#This Row],[Taxe foncière]]+Tableau1[[#This Row],[Marketing]],"")</f>
        <v>0</v>
      </c>
      <c r="AD156" s="12"/>
      <c r="AE156" s="6" t="s">
        <v>104</v>
      </c>
      <c r="AF156" s="6" t="s">
        <v>104</v>
      </c>
      <c r="AG156" s="12" t="s">
        <v>365</v>
      </c>
      <c r="AH156" s="10" t="s">
        <v>53</v>
      </c>
      <c r="AI156" s="10" t="s">
        <v>104</v>
      </c>
      <c r="AJ156" s="10" t="s">
        <v>1167</v>
      </c>
      <c r="AK156" s="11" t="s">
        <v>1170</v>
      </c>
      <c r="AL156" s="5" t="s">
        <v>370</v>
      </c>
      <c r="AM156" s="11" t="s">
        <v>1168</v>
      </c>
      <c r="AN156" s="11" t="s">
        <v>1169</v>
      </c>
      <c r="AO156" s="11">
        <v>39</v>
      </c>
      <c r="AP156" s="36" t="s">
        <v>1215</v>
      </c>
      <c r="AQ156" s="11" t="s">
        <v>76</v>
      </c>
      <c r="AR156" s="11"/>
      <c r="AS156" s="13" t="s">
        <v>1157</v>
      </c>
      <c r="AT156" s="14"/>
      <c r="AU156" s="44">
        <v>46003</v>
      </c>
    </row>
    <row r="157" spans="1:47" ht="25.5">
      <c r="A157" s="38" t="str">
        <f>VLOOKUP(Tableau1[[#This Row],[N° Département]],Feuil1!$C$6:$E$106,3)</f>
        <v>Grand Est</v>
      </c>
      <c r="B157" s="38" t="str">
        <f>VLOOKUP(Tableau1[[#This Row],[N° Département]],Feuil1!$C$6:$E$106,2)</f>
        <v>Meurthe-et-Moselle</v>
      </c>
      <c r="C157" s="38">
        <f>LEFT(Tableau1[[#This Row],[Code Postal]],2)*1</f>
        <v>54</v>
      </c>
      <c r="D157" s="10" t="s">
        <v>1139</v>
      </c>
      <c r="E157" s="10">
        <v>54000</v>
      </c>
      <c r="F157" s="10" t="s">
        <v>1104</v>
      </c>
      <c r="G157" s="39" t="str">
        <f>Tableau1[[#This Row],[Rue]]&amp;CHAR(10)&amp;Tableau1[[#This Row],[Code Postal]]&amp;" - "&amp;Tableau1[[#This Row],[Ville]]</f>
        <v>50 Rue Saint-Dizier
54000 - Nancy</v>
      </c>
      <c r="H157" s="15" t="s">
        <v>1115</v>
      </c>
      <c r="I157" s="12" t="s">
        <v>45</v>
      </c>
      <c r="J157" s="12" t="s">
        <v>44</v>
      </c>
      <c r="K157" s="10" t="s">
        <v>104</v>
      </c>
      <c r="L157" s="12"/>
      <c r="M157" s="36"/>
      <c r="N157" s="34">
        <v>449</v>
      </c>
      <c r="O157" s="6" t="s">
        <v>104</v>
      </c>
      <c r="P157" s="34" t="s">
        <v>104</v>
      </c>
      <c r="Q157" s="6" t="s">
        <v>104</v>
      </c>
      <c r="R157" s="12"/>
      <c r="S157" s="12">
        <f>IFERROR(Tableau1[[#This Row],[Loyer annuel]]/12,"")</f>
        <v>0</v>
      </c>
      <c r="T157" s="12"/>
      <c r="U157" s="6" t="s">
        <v>104</v>
      </c>
      <c r="V157" s="12"/>
      <c r="W157" s="12">
        <f>Tableau1[[#This Row],[Charges annuelles]]/12</f>
        <v>0</v>
      </c>
      <c r="X157" s="12"/>
      <c r="Y157" s="12">
        <f>IFERROR(Tableau1[[#This Row],[Taxe foncière €/m²]]*Tableau1[[#This Row],[Surface GLA]],)</f>
        <v>0</v>
      </c>
      <c r="Z157" s="12"/>
      <c r="AA157" s="12">
        <f>IFERROR(Tableau1[[#This Row],[Marketing €/m²]]*Tableau1[[#This Row],[Surface GLA]],)</f>
        <v>0</v>
      </c>
      <c r="AB157" s="6" t="s">
        <v>104</v>
      </c>
      <c r="AC157" s="12">
        <f>IFERROR(Tableau1[[#This Row],[Loyer annuel]]+Tableau1[[#This Row],[Charges annuelles]]+Tableau1[[#This Row],[Taxe foncière]]+Tableau1[[#This Row],[Marketing]],"")</f>
        <v>0</v>
      </c>
      <c r="AD157" s="12"/>
      <c r="AE157" s="6" t="s">
        <v>104</v>
      </c>
      <c r="AF157" s="6" t="s">
        <v>104</v>
      </c>
      <c r="AG157" s="12" t="s">
        <v>365</v>
      </c>
      <c r="AH157" s="10" t="s">
        <v>76</v>
      </c>
      <c r="AI157" s="10" t="s">
        <v>372</v>
      </c>
      <c r="AJ157" s="10" t="s">
        <v>1174</v>
      </c>
      <c r="AK157" s="11" t="s">
        <v>1173</v>
      </c>
      <c r="AL157" s="5" t="s">
        <v>370</v>
      </c>
      <c r="AM157" s="11" t="s">
        <v>1171</v>
      </c>
      <c r="AN157" s="11" t="s">
        <v>1172</v>
      </c>
      <c r="AO157" s="11">
        <v>40</v>
      </c>
      <c r="AP157" s="36" t="s">
        <v>1214</v>
      </c>
      <c r="AQ157" s="11" t="s">
        <v>76</v>
      </c>
      <c r="AR157" s="11"/>
      <c r="AS157" s="13" t="s">
        <v>1157</v>
      </c>
      <c r="AT157" s="14"/>
      <c r="AU157" s="44">
        <v>46003</v>
      </c>
    </row>
    <row r="158" spans="1:47" ht="25.5">
      <c r="A158" s="38" t="str">
        <f>VLOOKUP(Tableau1[[#This Row],[N° Département]],Feuil1!$C$6:$E$106,3)</f>
        <v>Hauts-de-France</v>
      </c>
      <c r="B158" s="38" t="str">
        <f>VLOOKUP(Tableau1[[#This Row],[N° Département]],Feuil1!$C$6:$E$106,2)</f>
        <v>Nord</v>
      </c>
      <c r="C158" s="38">
        <f>LEFT(Tableau1[[#This Row],[Code Postal]],2)*1</f>
        <v>59</v>
      </c>
      <c r="D158" s="10" t="s">
        <v>1140</v>
      </c>
      <c r="E158" s="10">
        <v>59300</v>
      </c>
      <c r="F158" s="10" t="s">
        <v>1141</v>
      </c>
      <c r="G158" s="39" t="str">
        <f>Tableau1[[#This Row],[Rue]]&amp;CHAR(10)&amp;Tableau1[[#This Row],[Code Postal]]&amp;" - "&amp;Tableau1[[#This Row],[Ville]]</f>
        <v>ZAC D'Aulnoy
59300 - Aulnoy-lez-Valenciennes</v>
      </c>
      <c r="H158" s="15" t="s">
        <v>1116</v>
      </c>
      <c r="I158" s="12" t="s">
        <v>47</v>
      </c>
      <c r="J158" s="12" t="s">
        <v>49</v>
      </c>
      <c r="K158" s="10" t="s">
        <v>104</v>
      </c>
      <c r="L158" s="12"/>
      <c r="M158" s="36"/>
      <c r="N158" s="34" t="s">
        <v>1109</v>
      </c>
      <c r="O158" s="6" t="s">
        <v>104</v>
      </c>
      <c r="P158" s="34" t="s">
        <v>104</v>
      </c>
      <c r="Q158" s="6" t="s">
        <v>104</v>
      </c>
      <c r="R158" s="12"/>
      <c r="S158" s="12">
        <f>IFERROR(Tableau1[[#This Row],[Loyer annuel]]/12,"")</f>
        <v>0</v>
      </c>
      <c r="T158" s="12"/>
      <c r="U158" s="6" t="s">
        <v>104</v>
      </c>
      <c r="V158" s="12"/>
      <c r="W158" s="12">
        <f>Tableau1[[#This Row],[Charges annuelles]]/12</f>
        <v>0</v>
      </c>
      <c r="X158" s="12"/>
      <c r="Y158" s="12">
        <f>IFERROR(Tableau1[[#This Row],[Taxe foncière €/m²]]*Tableau1[[#This Row],[Surface GLA]],)</f>
        <v>0</v>
      </c>
      <c r="Z158" s="12"/>
      <c r="AA158" s="12">
        <f>IFERROR(Tableau1[[#This Row],[Marketing €/m²]]*Tableau1[[#This Row],[Surface GLA]],)</f>
        <v>0</v>
      </c>
      <c r="AB158" s="6" t="s">
        <v>104</v>
      </c>
      <c r="AC158" s="12">
        <f>IFERROR(Tableau1[[#This Row],[Loyer annuel]]+Tableau1[[#This Row],[Charges annuelles]]+Tableau1[[#This Row],[Taxe foncière]]+Tableau1[[#This Row],[Marketing]],"")</f>
        <v>0</v>
      </c>
      <c r="AD158" s="12"/>
      <c r="AE158" s="6" t="s">
        <v>104</v>
      </c>
      <c r="AF158" s="6" t="s">
        <v>104</v>
      </c>
      <c r="AG158" s="12" t="s">
        <v>365</v>
      </c>
      <c r="AH158" s="10" t="s">
        <v>76</v>
      </c>
      <c r="AI158" s="10" t="s">
        <v>372</v>
      </c>
      <c r="AJ158" s="10"/>
      <c r="AK158" s="11" t="s">
        <v>1177</v>
      </c>
      <c r="AL158" s="5" t="s">
        <v>370</v>
      </c>
      <c r="AM158" s="11" t="s">
        <v>1175</v>
      </c>
      <c r="AN158" s="11" t="s">
        <v>1176</v>
      </c>
      <c r="AO158" s="11">
        <v>41</v>
      </c>
      <c r="AP158" s="36" t="s">
        <v>1216</v>
      </c>
      <c r="AQ158" s="11" t="s">
        <v>76</v>
      </c>
      <c r="AR158" s="11"/>
      <c r="AS158" s="13" t="s">
        <v>1157</v>
      </c>
      <c r="AT158" s="14"/>
      <c r="AU158" s="44">
        <v>46003</v>
      </c>
    </row>
    <row r="159" spans="1:47" ht="38.25">
      <c r="A159" s="38" t="str">
        <f>VLOOKUP(Tableau1[[#This Row],[N° Département]],Feuil1!$C$6:$E$106,3)</f>
        <v>Hauts-de-France</v>
      </c>
      <c r="B159" s="38" t="str">
        <f>VLOOKUP(Tableau1[[#This Row],[N° Département]],Feuil1!$C$6:$E$106,2)</f>
        <v>Nord</v>
      </c>
      <c r="C159" s="38">
        <f>LEFT(Tableau1[[#This Row],[Code Postal]],2)*1</f>
        <v>59</v>
      </c>
      <c r="D159" s="10" t="s">
        <v>1142</v>
      </c>
      <c r="E159" s="10">
        <v>59320</v>
      </c>
      <c r="F159" s="10" t="s">
        <v>1143</v>
      </c>
      <c r="G159" s="39" t="str">
        <f>Tableau1[[#This Row],[Rue]]&amp;CHAR(10)&amp;Tableau1[[#This Row],[Code Postal]]&amp;" - "&amp;Tableau1[[#This Row],[Ville]]</f>
        <v>352 Route nationale, Rue des Fusillés de 1940
59320 - Ennetières-en-Weppes</v>
      </c>
      <c r="H159" s="15" t="s">
        <v>1179</v>
      </c>
      <c r="I159" s="12" t="s">
        <v>47</v>
      </c>
      <c r="J159" s="12" t="s">
        <v>48</v>
      </c>
      <c r="K159" s="10" t="s">
        <v>104</v>
      </c>
      <c r="L159" s="12"/>
      <c r="M159" s="36"/>
      <c r="N159" s="34">
        <v>750</v>
      </c>
      <c r="O159" s="6" t="s">
        <v>104</v>
      </c>
      <c r="P159" s="34" t="s">
        <v>104</v>
      </c>
      <c r="Q159" s="6" t="s">
        <v>104</v>
      </c>
      <c r="R159" s="12"/>
      <c r="S159" s="12">
        <f>IFERROR(Tableau1[[#This Row],[Loyer annuel]]/12,"")</f>
        <v>0</v>
      </c>
      <c r="T159" s="12"/>
      <c r="U159" s="6" t="s">
        <v>104</v>
      </c>
      <c r="V159" s="12"/>
      <c r="W159" s="12">
        <f>Tableau1[[#This Row],[Charges annuelles]]/12</f>
        <v>0</v>
      </c>
      <c r="X159" s="12"/>
      <c r="Y159" s="12">
        <f>IFERROR(Tableau1[[#This Row],[Taxe foncière €/m²]]*Tableau1[[#This Row],[Surface GLA]],)</f>
        <v>0</v>
      </c>
      <c r="Z159" s="12"/>
      <c r="AA159" s="12">
        <f>IFERROR(Tableau1[[#This Row],[Marketing €/m²]]*Tableau1[[#This Row],[Surface GLA]],)</f>
        <v>0</v>
      </c>
      <c r="AB159" s="6" t="s">
        <v>104</v>
      </c>
      <c r="AC159" s="12">
        <f>IFERROR(Tableau1[[#This Row],[Loyer annuel]]+Tableau1[[#This Row],[Charges annuelles]]+Tableau1[[#This Row],[Taxe foncière]]+Tableau1[[#This Row],[Marketing]],"")</f>
        <v>0</v>
      </c>
      <c r="AD159" s="12"/>
      <c r="AE159" s="6" t="s">
        <v>104</v>
      </c>
      <c r="AF159" s="6" t="s">
        <v>104</v>
      </c>
      <c r="AG159" s="12" t="s">
        <v>365</v>
      </c>
      <c r="AH159" s="10" t="s">
        <v>76</v>
      </c>
      <c r="AI159" s="10" t="s">
        <v>372</v>
      </c>
      <c r="AJ159" s="10" t="s">
        <v>1178</v>
      </c>
      <c r="AK159" s="11" t="s">
        <v>1227</v>
      </c>
      <c r="AL159" s="5" t="s">
        <v>370</v>
      </c>
      <c r="AM159" s="11" t="s">
        <v>1158</v>
      </c>
      <c r="AN159" s="11" t="s">
        <v>1159</v>
      </c>
      <c r="AO159" s="11">
        <v>42</v>
      </c>
      <c r="AP159" s="36" t="s">
        <v>1217</v>
      </c>
      <c r="AQ159" s="11" t="s">
        <v>76</v>
      </c>
      <c r="AR159" s="11"/>
      <c r="AS159" s="13" t="s">
        <v>1157</v>
      </c>
      <c r="AT159" s="14"/>
      <c r="AU159" s="44">
        <v>46003</v>
      </c>
    </row>
    <row r="160" spans="1:47" ht="25.5">
      <c r="A160" s="38" t="str">
        <f>VLOOKUP(Tableau1[[#This Row],[N° Département]],Feuil1!$C$6:$E$106,3)</f>
        <v>Grand Est</v>
      </c>
      <c r="B160" s="38" t="str">
        <f>VLOOKUP(Tableau1[[#This Row],[N° Département]],Feuil1!$C$6:$E$106,2)</f>
        <v>Haut-Rhin</v>
      </c>
      <c r="C160" s="38">
        <f>LEFT(Tableau1[[#This Row],[Code Postal]],2)*1</f>
        <v>68</v>
      </c>
      <c r="D160" s="10" t="s">
        <v>1144</v>
      </c>
      <c r="E160" s="10">
        <v>68270</v>
      </c>
      <c r="F160" s="10" t="s">
        <v>1145</v>
      </c>
      <c r="G160" s="39" t="str">
        <f>Tableau1[[#This Row],[Rue]]&amp;CHAR(10)&amp;Tableau1[[#This Row],[Code Postal]]&amp;" - "&amp;Tableau1[[#This Row],[Ville]]</f>
        <v>11 Rue de Soultz
68270 - Wittenheim</v>
      </c>
      <c r="H160" s="15" t="s">
        <v>1117</v>
      </c>
      <c r="I160" s="12" t="s">
        <v>47</v>
      </c>
      <c r="J160" s="12" t="s">
        <v>48</v>
      </c>
      <c r="K160" s="10" t="s">
        <v>104</v>
      </c>
      <c r="L160" s="12"/>
      <c r="M160" s="36"/>
      <c r="N160" s="34">
        <v>930</v>
      </c>
      <c r="O160" s="6" t="s">
        <v>104</v>
      </c>
      <c r="P160" s="34" t="s">
        <v>104</v>
      </c>
      <c r="Q160" s="6" t="s">
        <v>104</v>
      </c>
      <c r="R160" s="12"/>
      <c r="S160" s="12">
        <f>IFERROR(Tableau1[[#This Row],[Loyer annuel]]/12,"")</f>
        <v>0</v>
      </c>
      <c r="T160" s="12"/>
      <c r="U160" s="6" t="s">
        <v>104</v>
      </c>
      <c r="V160" s="12"/>
      <c r="W160" s="12">
        <f>Tableau1[[#This Row],[Charges annuelles]]/12</f>
        <v>0</v>
      </c>
      <c r="X160" s="12"/>
      <c r="Y160" s="12">
        <f>IFERROR(Tableau1[[#This Row],[Taxe foncière €/m²]]*Tableau1[[#This Row],[Surface GLA]],)</f>
        <v>0</v>
      </c>
      <c r="Z160" s="12"/>
      <c r="AA160" s="12">
        <f>IFERROR(Tableau1[[#This Row],[Marketing €/m²]]*Tableau1[[#This Row],[Surface GLA]],)</f>
        <v>0</v>
      </c>
      <c r="AB160" s="6" t="s">
        <v>104</v>
      </c>
      <c r="AC160" s="12">
        <f>IFERROR(Tableau1[[#This Row],[Loyer annuel]]+Tableau1[[#This Row],[Charges annuelles]]+Tableau1[[#This Row],[Taxe foncière]]+Tableau1[[#This Row],[Marketing]],"")</f>
        <v>0</v>
      </c>
      <c r="AD160" s="12"/>
      <c r="AE160" s="6" t="s">
        <v>104</v>
      </c>
      <c r="AF160" s="6" t="s">
        <v>104</v>
      </c>
      <c r="AG160" s="12" t="s">
        <v>365</v>
      </c>
      <c r="AH160" s="10" t="s">
        <v>379</v>
      </c>
      <c r="AI160" s="10" t="s">
        <v>372</v>
      </c>
      <c r="AJ160" s="10" t="s">
        <v>1182</v>
      </c>
      <c r="AK160" s="11" t="s">
        <v>1228</v>
      </c>
      <c r="AL160" s="5" t="s">
        <v>370</v>
      </c>
      <c r="AM160" s="11" t="s">
        <v>1180</v>
      </c>
      <c r="AN160" s="11" t="s">
        <v>1181</v>
      </c>
      <c r="AO160" s="11">
        <v>43</v>
      </c>
      <c r="AP160" s="36" t="s">
        <v>1218</v>
      </c>
      <c r="AQ160" s="11" t="s">
        <v>76</v>
      </c>
      <c r="AR160" s="11"/>
      <c r="AS160" s="13" t="s">
        <v>1157</v>
      </c>
      <c r="AT160" s="14"/>
      <c r="AU160" s="44">
        <v>46003</v>
      </c>
    </row>
    <row r="161" spans="1:47" ht="25.5">
      <c r="A161" s="38" t="str">
        <f>VLOOKUP(Tableau1[[#This Row],[N° Département]],Feuil1!$C$6:$E$106,3)</f>
        <v>Ile-de-France</v>
      </c>
      <c r="B161" s="38" t="str">
        <f>VLOOKUP(Tableau1[[#This Row],[N° Département]],Feuil1!$C$6:$E$106,2)</f>
        <v>Seine-et-Marne</v>
      </c>
      <c r="C161" s="38">
        <f>LEFT(Tableau1[[#This Row],[Code Postal]],2)*1</f>
        <v>77</v>
      </c>
      <c r="D161" s="10" t="s">
        <v>1146</v>
      </c>
      <c r="E161" s="10">
        <v>77140</v>
      </c>
      <c r="F161" s="10" t="s">
        <v>1105</v>
      </c>
      <c r="G161" s="39" t="str">
        <f>Tableau1[[#This Row],[Rue]]&amp;CHAR(10)&amp;Tableau1[[#This Row],[Code Postal]]&amp;" - "&amp;Tableau1[[#This Row],[Ville]]</f>
        <v>31 Rue de Montargis
77140 - Nemours</v>
      </c>
      <c r="H161" s="15" t="s">
        <v>1118</v>
      </c>
      <c r="I161" s="12" t="s">
        <v>47</v>
      </c>
      <c r="J161" s="12" t="s">
        <v>48</v>
      </c>
      <c r="K161" s="10" t="s">
        <v>104</v>
      </c>
      <c r="L161" s="12"/>
      <c r="M161" s="36"/>
      <c r="N161" s="34">
        <v>760</v>
      </c>
      <c r="O161" s="6" t="s">
        <v>104</v>
      </c>
      <c r="P161" s="34" t="s">
        <v>104</v>
      </c>
      <c r="Q161" s="6" t="s">
        <v>104</v>
      </c>
      <c r="R161" s="12"/>
      <c r="S161" s="12">
        <f>IFERROR(Tableau1[[#This Row],[Loyer annuel]]/12,"")</f>
        <v>0</v>
      </c>
      <c r="T161" s="12"/>
      <c r="U161" s="6" t="s">
        <v>104</v>
      </c>
      <c r="V161" s="12"/>
      <c r="W161" s="12">
        <f>Tableau1[[#This Row],[Charges annuelles]]/12</f>
        <v>0</v>
      </c>
      <c r="X161" s="12"/>
      <c r="Y161" s="12">
        <f>IFERROR(Tableau1[[#This Row],[Taxe foncière €/m²]]*Tableau1[[#This Row],[Surface GLA]],)</f>
        <v>0</v>
      </c>
      <c r="Z161" s="12"/>
      <c r="AA161" s="12">
        <f>IFERROR(Tableau1[[#This Row],[Marketing €/m²]]*Tableau1[[#This Row],[Surface GLA]],)</f>
        <v>0</v>
      </c>
      <c r="AB161" s="6" t="s">
        <v>104</v>
      </c>
      <c r="AC161" s="12">
        <f>IFERROR(Tableau1[[#This Row],[Loyer annuel]]+Tableau1[[#This Row],[Charges annuelles]]+Tableau1[[#This Row],[Taxe foncière]]+Tableau1[[#This Row],[Marketing]],"")</f>
        <v>0</v>
      </c>
      <c r="AD161" s="12"/>
      <c r="AE161" s="6" t="s">
        <v>104</v>
      </c>
      <c r="AF161" s="6" t="s">
        <v>104</v>
      </c>
      <c r="AG161" s="12" t="s">
        <v>365</v>
      </c>
      <c r="AH161" s="10" t="s">
        <v>379</v>
      </c>
      <c r="AI161" s="10" t="s">
        <v>372</v>
      </c>
      <c r="AJ161" s="10" t="s">
        <v>1185</v>
      </c>
      <c r="AK161" s="11" t="s">
        <v>1186</v>
      </c>
      <c r="AL161" s="5" t="s">
        <v>370</v>
      </c>
      <c r="AM161" s="11" t="s">
        <v>1183</v>
      </c>
      <c r="AN161" s="11" t="s">
        <v>1184</v>
      </c>
      <c r="AO161" s="11">
        <v>44</v>
      </c>
      <c r="AP161" s="36" t="s">
        <v>1219</v>
      </c>
      <c r="AQ161" s="11" t="s">
        <v>76</v>
      </c>
      <c r="AR161" s="11"/>
      <c r="AS161" s="13" t="s">
        <v>1157</v>
      </c>
      <c r="AT161" s="14"/>
      <c r="AU161" s="44">
        <v>46003</v>
      </c>
    </row>
    <row r="162" spans="1:47" ht="25.5">
      <c r="A162" s="38" t="str">
        <f>VLOOKUP(Tableau1[[#This Row],[N° Département]],Feuil1!$C$6:$E$106,3)</f>
        <v>Provence-Alpes-Côte d'Azur</v>
      </c>
      <c r="B162" s="38" t="str">
        <f>VLOOKUP(Tableau1[[#This Row],[N° Département]],Feuil1!$C$6:$E$106,2)</f>
        <v>Var</v>
      </c>
      <c r="C162" s="38">
        <f>LEFT(Tableau1[[#This Row],[Code Postal]],2)*1</f>
        <v>83</v>
      </c>
      <c r="D162" s="10" t="s">
        <v>1125</v>
      </c>
      <c r="E162" s="10">
        <v>83160</v>
      </c>
      <c r="F162" s="10" t="s">
        <v>1124</v>
      </c>
      <c r="G162" s="39" t="str">
        <f>Tableau1[[#This Row],[Rue]]&amp;CHAR(10)&amp;Tableau1[[#This Row],[Code Postal]]&amp;" - "&amp;Tableau1[[#This Row],[Ville]]</f>
        <v>23 Avenue des Frères Lumière
83160 - La Valette-du-Var</v>
      </c>
      <c r="H162" s="15" t="s">
        <v>1119</v>
      </c>
      <c r="I162" s="12" t="s">
        <v>45</v>
      </c>
      <c r="J162" s="12" t="s">
        <v>50</v>
      </c>
      <c r="K162" s="10" t="s">
        <v>104</v>
      </c>
      <c r="L162" s="12"/>
      <c r="M162" s="36"/>
      <c r="N162" s="34">
        <v>276</v>
      </c>
      <c r="O162" s="6" t="s">
        <v>104</v>
      </c>
      <c r="P162" s="34" t="s">
        <v>104</v>
      </c>
      <c r="Q162" s="6" t="s">
        <v>104</v>
      </c>
      <c r="R162" s="12"/>
      <c r="S162" s="12">
        <f>IFERROR(Tableau1[[#This Row],[Loyer annuel]]/12,"")</f>
        <v>0</v>
      </c>
      <c r="T162" s="12"/>
      <c r="U162" s="6" t="s">
        <v>104</v>
      </c>
      <c r="V162" s="12"/>
      <c r="W162" s="12">
        <f>Tableau1[[#This Row],[Charges annuelles]]/12</f>
        <v>0</v>
      </c>
      <c r="X162" s="12"/>
      <c r="Y162" s="12">
        <f>IFERROR(Tableau1[[#This Row],[Taxe foncière €/m²]]*Tableau1[[#This Row],[Surface GLA]],)</f>
        <v>0</v>
      </c>
      <c r="Z162" s="12"/>
      <c r="AA162" s="12">
        <f>IFERROR(Tableau1[[#This Row],[Marketing €/m²]]*Tableau1[[#This Row],[Surface GLA]],)</f>
        <v>0</v>
      </c>
      <c r="AB162" s="6" t="s">
        <v>104</v>
      </c>
      <c r="AC162" s="12">
        <f>IFERROR(Tableau1[[#This Row],[Loyer annuel]]+Tableau1[[#This Row],[Charges annuelles]]+Tableau1[[#This Row],[Taxe foncière]]+Tableau1[[#This Row],[Marketing]],"")</f>
        <v>0</v>
      </c>
      <c r="AD162" s="12"/>
      <c r="AE162" s="6" t="s">
        <v>104</v>
      </c>
      <c r="AF162" s="6" t="s">
        <v>104</v>
      </c>
      <c r="AG162" s="12" t="s">
        <v>365</v>
      </c>
      <c r="AH162" s="10" t="s">
        <v>76</v>
      </c>
      <c r="AI162" s="10" t="s">
        <v>372</v>
      </c>
      <c r="AJ162" s="10" t="s">
        <v>1189</v>
      </c>
      <c r="AK162" s="11" t="s">
        <v>1229</v>
      </c>
      <c r="AL162" s="5" t="s">
        <v>370</v>
      </c>
      <c r="AM162" s="11" t="s">
        <v>1187</v>
      </c>
      <c r="AN162" s="11" t="s">
        <v>1188</v>
      </c>
      <c r="AO162" s="11" t="s">
        <v>1153</v>
      </c>
      <c r="AP162" s="36" t="s">
        <v>1220</v>
      </c>
      <c r="AQ162" s="11" t="s">
        <v>76</v>
      </c>
      <c r="AR162" s="11"/>
      <c r="AS162" s="13" t="s">
        <v>1157</v>
      </c>
      <c r="AT162" s="14"/>
      <c r="AU162" s="44">
        <v>46003</v>
      </c>
    </row>
    <row r="163" spans="1:47" ht="51">
      <c r="A163" s="38" t="str">
        <f>VLOOKUP(Tableau1[[#This Row],[N° Département]],Feuil1!$C$6:$E$106,3)</f>
        <v>Provence-Alpes-Côte d'Azur</v>
      </c>
      <c r="B163" s="38" t="str">
        <f>VLOOKUP(Tableau1[[#This Row],[N° Département]],Feuil1!$C$6:$E$106,2)</f>
        <v>Var</v>
      </c>
      <c r="C163" s="38">
        <f>LEFT(Tableau1[[#This Row],[Code Postal]],2)*1</f>
        <v>83</v>
      </c>
      <c r="D163" s="10" t="s">
        <v>1126</v>
      </c>
      <c r="E163" s="10">
        <v>83161</v>
      </c>
      <c r="F163" s="10" t="s">
        <v>1124</v>
      </c>
      <c r="G163" s="39" t="str">
        <f>Tableau1[[#This Row],[Rue]]&amp;CHAR(10)&amp;Tableau1[[#This Row],[Code Postal]]&amp;" - "&amp;Tableau1[[#This Row],[Ville]]</f>
        <v xml:space="preserve"> Lotissement d'activité économique Castel Les Espaluns, Avenue de l'Université
83161 - La Valette-du-Var</v>
      </c>
      <c r="H163" s="15" t="s">
        <v>1120</v>
      </c>
      <c r="I163" s="12" t="s">
        <v>45</v>
      </c>
      <c r="J163" s="12" t="s">
        <v>50</v>
      </c>
      <c r="K163" s="10" t="s">
        <v>104</v>
      </c>
      <c r="L163" s="12"/>
      <c r="M163" s="36"/>
      <c r="N163" s="34">
        <v>470</v>
      </c>
      <c r="O163" s="6" t="s">
        <v>104</v>
      </c>
      <c r="P163" s="34" t="s">
        <v>104</v>
      </c>
      <c r="Q163" s="6" t="s">
        <v>104</v>
      </c>
      <c r="R163" s="12"/>
      <c r="S163" s="12">
        <f>IFERROR(Tableau1[[#This Row],[Loyer annuel]]/12,"")</f>
        <v>0</v>
      </c>
      <c r="T163" s="12"/>
      <c r="U163" s="6" t="s">
        <v>104</v>
      </c>
      <c r="V163" s="12"/>
      <c r="W163" s="12">
        <f>Tableau1[[#This Row],[Charges annuelles]]/12</f>
        <v>0</v>
      </c>
      <c r="X163" s="12"/>
      <c r="Y163" s="12">
        <f>IFERROR(Tableau1[[#This Row],[Taxe foncière €/m²]]*Tableau1[[#This Row],[Surface GLA]],)</f>
        <v>0</v>
      </c>
      <c r="Z163" s="12"/>
      <c r="AA163" s="12">
        <f>IFERROR(Tableau1[[#This Row],[Marketing €/m²]]*Tableau1[[#This Row],[Surface GLA]],)</f>
        <v>0</v>
      </c>
      <c r="AB163" s="6" t="s">
        <v>104</v>
      </c>
      <c r="AC163" s="12">
        <f>IFERROR(Tableau1[[#This Row],[Loyer annuel]]+Tableau1[[#This Row],[Charges annuelles]]+Tableau1[[#This Row],[Taxe foncière]]+Tableau1[[#This Row],[Marketing]],"")</f>
        <v>0</v>
      </c>
      <c r="AD163" s="12"/>
      <c r="AE163" s="6" t="s">
        <v>104</v>
      </c>
      <c r="AF163" s="6" t="s">
        <v>104</v>
      </c>
      <c r="AG163" s="12" t="s">
        <v>365</v>
      </c>
      <c r="AH163" s="10" t="s">
        <v>379</v>
      </c>
      <c r="AI163" s="10" t="s">
        <v>372</v>
      </c>
      <c r="AJ163" s="10" t="s">
        <v>1190</v>
      </c>
      <c r="AK163" s="11" t="s">
        <v>1191</v>
      </c>
      <c r="AL163" s="5" t="s">
        <v>370</v>
      </c>
      <c r="AM163" s="11" t="s">
        <v>1192</v>
      </c>
      <c r="AN163" s="11" t="s">
        <v>1193</v>
      </c>
      <c r="AO163" s="11" t="s">
        <v>1152</v>
      </c>
      <c r="AP163" s="36" t="s">
        <v>1221</v>
      </c>
      <c r="AQ163" s="11" t="s">
        <v>76</v>
      </c>
      <c r="AR163" s="11"/>
      <c r="AS163" s="13" t="s">
        <v>1157</v>
      </c>
      <c r="AT163" s="14"/>
      <c r="AU163" s="44">
        <v>46003</v>
      </c>
    </row>
    <row r="164" spans="1:47" ht="25.5">
      <c r="A164" s="38" t="str">
        <f>VLOOKUP(Tableau1[[#This Row],[N° Département]],Feuil1!$C$6:$E$106,3)</f>
        <v>Provence-Alpes-Côte d'Azur</v>
      </c>
      <c r="B164" s="38" t="str">
        <f>VLOOKUP(Tableau1[[#This Row],[N° Département]],Feuil1!$C$6:$E$106,2)</f>
        <v>Vaucluse</v>
      </c>
      <c r="C164" s="38">
        <f>LEFT(Tableau1[[#This Row],[Code Postal]],2)*1</f>
        <v>84</v>
      </c>
      <c r="D164" s="10" t="s">
        <v>1127</v>
      </c>
      <c r="E164" s="10">
        <v>84140</v>
      </c>
      <c r="F164" s="10" t="s">
        <v>1106</v>
      </c>
      <c r="G164" s="39" t="str">
        <f>Tableau1[[#This Row],[Rue]]&amp;CHAR(10)&amp;Tableau1[[#This Row],[Code Postal]]&amp;" - "&amp;Tableau1[[#This Row],[Ville]]</f>
        <v>330 Avenue Marcou Delanglade
84140 - Avignon</v>
      </c>
      <c r="H164" s="15" t="s">
        <v>1197</v>
      </c>
      <c r="I164" s="12" t="s">
        <v>47</v>
      </c>
      <c r="J164" s="12" t="s">
        <v>48</v>
      </c>
      <c r="K164" s="10" t="s">
        <v>104</v>
      </c>
      <c r="L164" s="12"/>
      <c r="M164" s="36"/>
      <c r="N164" s="34">
        <v>420</v>
      </c>
      <c r="O164" s="6" t="s">
        <v>104</v>
      </c>
      <c r="P164" s="34" t="s">
        <v>104</v>
      </c>
      <c r="Q164" s="6" t="s">
        <v>104</v>
      </c>
      <c r="R164" s="12"/>
      <c r="S164" s="12">
        <f>IFERROR(Tableau1[[#This Row],[Loyer annuel]]/12,"")</f>
        <v>0</v>
      </c>
      <c r="T164" s="12"/>
      <c r="U164" s="6" t="s">
        <v>104</v>
      </c>
      <c r="V164" s="12"/>
      <c r="W164" s="12">
        <f>Tableau1[[#This Row],[Charges annuelles]]/12</f>
        <v>0</v>
      </c>
      <c r="X164" s="12"/>
      <c r="Y164" s="12">
        <f>IFERROR(Tableau1[[#This Row],[Taxe foncière €/m²]]*Tableau1[[#This Row],[Surface GLA]],)</f>
        <v>0</v>
      </c>
      <c r="Z164" s="12"/>
      <c r="AA164" s="12">
        <f>IFERROR(Tableau1[[#This Row],[Marketing €/m²]]*Tableau1[[#This Row],[Surface GLA]],)</f>
        <v>0</v>
      </c>
      <c r="AB164" s="6" t="s">
        <v>104</v>
      </c>
      <c r="AC164" s="12">
        <f>IFERROR(Tableau1[[#This Row],[Loyer annuel]]+Tableau1[[#This Row],[Charges annuelles]]+Tableau1[[#This Row],[Taxe foncière]]+Tableau1[[#This Row],[Marketing]],"")</f>
        <v>0</v>
      </c>
      <c r="AD164" s="12"/>
      <c r="AE164" s="6" t="s">
        <v>104</v>
      </c>
      <c r="AF164" s="6" t="s">
        <v>104</v>
      </c>
      <c r="AG164" s="12" t="s">
        <v>365</v>
      </c>
      <c r="AH164" s="10" t="s">
        <v>76</v>
      </c>
      <c r="AI164" s="10" t="s">
        <v>372</v>
      </c>
      <c r="AJ164" s="10" t="s">
        <v>1196</v>
      </c>
      <c r="AK164" s="11" t="s">
        <v>1230</v>
      </c>
      <c r="AL164" s="5" t="s">
        <v>370</v>
      </c>
      <c r="AM164" s="11" t="s">
        <v>1194</v>
      </c>
      <c r="AN164" s="11" t="s">
        <v>1195</v>
      </c>
      <c r="AO164" s="11">
        <v>46</v>
      </c>
      <c r="AP164" s="45" t="s">
        <v>1223</v>
      </c>
      <c r="AQ164" s="11" t="s">
        <v>76</v>
      </c>
      <c r="AR164" s="11"/>
      <c r="AS164" s="13" t="s">
        <v>1157</v>
      </c>
      <c r="AT164" s="14"/>
      <c r="AU164" s="44">
        <v>46003</v>
      </c>
    </row>
    <row r="165" spans="1:47" ht="25.5">
      <c r="A165" s="38" t="str">
        <f>VLOOKUP(Tableau1[[#This Row],[N° Département]],Feuil1!$C$6:$E$106,3)</f>
        <v>Ile-de-France</v>
      </c>
      <c r="B165" s="38" t="str">
        <f>VLOOKUP(Tableau1[[#This Row],[N° Département]],Feuil1!$C$6:$E$106,2)</f>
        <v>Val-de-Marne</v>
      </c>
      <c r="C165" s="38">
        <f>LEFT(Tableau1[[#This Row],[Code Postal]],2)*1</f>
        <v>94</v>
      </c>
      <c r="D165" s="10" t="s">
        <v>1131</v>
      </c>
      <c r="E165" s="10">
        <v>94500</v>
      </c>
      <c r="F165" s="10" t="s">
        <v>1129</v>
      </c>
      <c r="G165" s="39" t="str">
        <f>Tableau1[[#This Row],[Rue]]&amp;CHAR(10)&amp;Tableau1[[#This Row],[Code Postal]]&amp;" - "&amp;Tableau1[[#This Row],[Ville]]</f>
        <v>12 Rue Serpente
94500 - Champigny-sur-Marne</v>
      </c>
      <c r="H165" s="15" t="s">
        <v>1123</v>
      </c>
      <c r="I165" s="12" t="s">
        <v>45</v>
      </c>
      <c r="J165" s="12" t="s">
        <v>48</v>
      </c>
      <c r="K165" s="10" t="s">
        <v>104</v>
      </c>
      <c r="L165" s="12"/>
      <c r="M165" s="36"/>
      <c r="N165" s="34">
        <v>875</v>
      </c>
      <c r="O165" s="6" t="s">
        <v>104</v>
      </c>
      <c r="P165" s="34" t="s">
        <v>104</v>
      </c>
      <c r="Q165" s="6" t="s">
        <v>104</v>
      </c>
      <c r="R165" s="12"/>
      <c r="S165" s="12">
        <f>IFERROR(Tableau1[[#This Row],[Loyer annuel]]/12,"")</f>
        <v>0</v>
      </c>
      <c r="T165" s="12"/>
      <c r="U165" s="6" t="s">
        <v>104</v>
      </c>
      <c r="V165" s="12"/>
      <c r="W165" s="12">
        <f>Tableau1[[#This Row],[Charges annuelles]]/12</f>
        <v>0</v>
      </c>
      <c r="X165" s="12"/>
      <c r="Y165" s="12">
        <f>IFERROR(Tableau1[[#This Row],[Taxe foncière €/m²]]*Tableau1[[#This Row],[Surface GLA]],)</f>
        <v>0</v>
      </c>
      <c r="Z165" s="12"/>
      <c r="AA165" s="12">
        <f>IFERROR(Tableau1[[#This Row],[Marketing €/m²]]*Tableau1[[#This Row],[Surface GLA]],)</f>
        <v>0</v>
      </c>
      <c r="AB165" s="6" t="s">
        <v>104</v>
      </c>
      <c r="AC165" s="12">
        <f>IFERROR(Tableau1[[#This Row],[Loyer annuel]]+Tableau1[[#This Row],[Charges annuelles]]+Tableau1[[#This Row],[Taxe foncière]]+Tableau1[[#This Row],[Marketing]],"")</f>
        <v>0</v>
      </c>
      <c r="AD165" s="12"/>
      <c r="AE165" s="6" t="s">
        <v>104</v>
      </c>
      <c r="AF165" s="6" t="s">
        <v>104</v>
      </c>
      <c r="AG165" s="12" t="s">
        <v>365</v>
      </c>
      <c r="AH165" s="10" t="s">
        <v>379</v>
      </c>
      <c r="AI165" s="10" t="s">
        <v>372</v>
      </c>
      <c r="AJ165" s="10" t="s">
        <v>1205</v>
      </c>
      <c r="AK165" s="11" t="s">
        <v>1204</v>
      </c>
      <c r="AL165" s="5" t="s">
        <v>370</v>
      </c>
      <c r="AM165" s="11" t="s">
        <v>1198</v>
      </c>
      <c r="AN165" s="11" t="s">
        <v>1199</v>
      </c>
      <c r="AO165" s="11" t="s">
        <v>1154</v>
      </c>
      <c r="AP165" s="45" t="s">
        <v>1222</v>
      </c>
      <c r="AQ165" s="11" t="s">
        <v>76</v>
      </c>
      <c r="AR165" s="11"/>
      <c r="AS165" s="13" t="s">
        <v>1157</v>
      </c>
      <c r="AT165" s="14"/>
      <c r="AU165" s="44">
        <v>46003</v>
      </c>
    </row>
    <row r="166" spans="1:47" ht="25.5">
      <c r="A166" s="38" t="str">
        <f>VLOOKUP(Tableau1[[#This Row],[N° Département]],Feuil1!$C$6:$E$106,3)</f>
        <v>Ile-de-France</v>
      </c>
      <c r="B166" s="38" t="str">
        <f>VLOOKUP(Tableau1[[#This Row],[N° Département]],Feuil1!$C$6:$E$106,2)</f>
        <v>Val-de-Marne</v>
      </c>
      <c r="C166" s="38">
        <f>LEFT(Tableau1[[#This Row],[Code Postal]],2)*1</f>
        <v>94</v>
      </c>
      <c r="D166" s="10" t="s">
        <v>1128</v>
      </c>
      <c r="E166" s="10">
        <v>94500</v>
      </c>
      <c r="F166" s="10" t="s">
        <v>1129</v>
      </c>
      <c r="G166" s="39" t="str">
        <f>Tableau1[[#This Row],[Rue]]&amp;CHAR(10)&amp;Tableau1[[#This Row],[Code Postal]]&amp;" - "&amp;Tableau1[[#This Row],[Ville]]</f>
        <v>13 Rue Serpente
94500 - Champigny-sur-Marne</v>
      </c>
      <c r="H166" s="15" t="s">
        <v>1121</v>
      </c>
      <c r="I166" s="12" t="s">
        <v>45</v>
      </c>
      <c r="J166" s="12" t="s">
        <v>48</v>
      </c>
      <c r="K166" s="10" t="s">
        <v>104</v>
      </c>
      <c r="L166" s="12"/>
      <c r="M166" s="36"/>
      <c r="N166" s="34">
        <v>387</v>
      </c>
      <c r="O166" s="6" t="s">
        <v>104</v>
      </c>
      <c r="P166" s="34" t="s">
        <v>104</v>
      </c>
      <c r="Q166" s="6" t="s">
        <v>104</v>
      </c>
      <c r="R166" s="12"/>
      <c r="S166" s="12">
        <f>IFERROR(Tableau1[[#This Row],[Loyer annuel]]/12,"")</f>
        <v>0</v>
      </c>
      <c r="T166" s="12"/>
      <c r="U166" s="6" t="s">
        <v>104</v>
      </c>
      <c r="V166" s="12"/>
      <c r="W166" s="12">
        <f>Tableau1[[#This Row],[Charges annuelles]]/12</f>
        <v>0</v>
      </c>
      <c r="X166" s="12"/>
      <c r="Y166" s="12">
        <f>IFERROR(Tableau1[[#This Row],[Taxe foncière €/m²]]*Tableau1[[#This Row],[Surface GLA]],)</f>
        <v>0</v>
      </c>
      <c r="Z166" s="12"/>
      <c r="AA166" s="12">
        <f>IFERROR(Tableau1[[#This Row],[Marketing €/m²]]*Tableau1[[#This Row],[Surface GLA]],)</f>
        <v>0</v>
      </c>
      <c r="AB166" s="6" t="s">
        <v>104</v>
      </c>
      <c r="AC166" s="12">
        <f>IFERROR(Tableau1[[#This Row],[Loyer annuel]]+Tableau1[[#This Row],[Charges annuelles]]+Tableau1[[#This Row],[Taxe foncière]]+Tableau1[[#This Row],[Marketing]],"")</f>
        <v>0</v>
      </c>
      <c r="AD166" s="12"/>
      <c r="AE166" s="6" t="s">
        <v>104</v>
      </c>
      <c r="AF166" s="6" t="s">
        <v>104</v>
      </c>
      <c r="AG166" s="12" t="s">
        <v>365</v>
      </c>
      <c r="AH166" s="10" t="s">
        <v>379</v>
      </c>
      <c r="AI166" s="10" t="s">
        <v>372</v>
      </c>
      <c r="AJ166" s="10" t="s">
        <v>1205</v>
      </c>
      <c r="AK166" s="11" t="s">
        <v>1204</v>
      </c>
      <c r="AL166" s="5" t="s">
        <v>370</v>
      </c>
      <c r="AM166" s="11" t="s">
        <v>1200</v>
      </c>
      <c r="AN166" s="11" t="s">
        <v>1201</v>
      </c>
      <c r="AO166" s="11" t="s">
        <v>1155</v>
      </c>
      <c r="AP166" s="36" t="s">
        <v>1224</v>
      </c>
      <c r="AQ166" s="11" t="s">
        <v>76</v>
      </c>
      <c r="AR166" s="11"/>
      <c r="AS166" s="13" t="s">
        <v>1157</v>
      </c>
      <c r="AT166" s="14"/>
      <c r="AU166" s="44">
        <v>46003</v>
      </c>
    </row>
    <row r="167" spans="1:47" ht="25.5">
      <c r="A167" s="38" t="str">
        <f>VLOOKUP(Tableau1[[#This Row],[N° Département]],Feuil1!$C$6:$E$106,3)</f>
        <v>Ile-de-France</v>
      </c>
      <c r="B167" s="38" t="str">
        <f>VLOOKUP(Tableau1[[#This Row],[N° Département]],Feuil1!$C$6:$E$106,2)</f>
        <v>Val-de-Marne</v>
      </c>
      <c r="C167" s="38">
        <f>LEFT(Tableau1[[#This Row],[Code Postal]],2)*1</f>
        <v>94</v>
      </c>
      <c r="D167" s="10" t="s">
        <v>1130</v>
      </c>
      <c r="E167" s="10">
        <v>94500</v>
      </c>
      <c r="F167" s="10" t="s">
        <v>1129</v>
      </c>
      <c r="G167" s="39" t="str">
        <f>Tableau1[[#This Row],[Rue]]&amp;CHAR(10)&amp;Tableau1[[#This Row],[Code Postal]]&amp;" - "&amp;Tableau1[[#This Row],[Ville]]</f>
        <v>14 Rue Serpente
94500 - Champigny-sur-Marne</v>
      </c>
      <c r="H167" s="15" t="s">
        <v>1122</v>
      </c>
      <c r="I167" s="12" t="s">
        <v>45</v>
      </c>
      <c r="J167" s="12" t="s">
        <v>48</v>
      </c>
      <c r="K167" s="10" t="s">
        <v>104</v>
      </c>
      <c r="L167" s="12"/>
      <c r="M167" s="36"/>
      <c r="N167" s="34">
        <v>723</v>
      </c>
      <c r="O167" s="6" t="s">
        <v>104</v>
      </c>
      <c r="P167" s="34" t="s">
        <v>104</v>
      </c>
      <c r="Q167" s="6" t="s">
        <v>104</v>
      </c>
      <c r="R167" s="12"/>
      <c r="S167" s="12">
        <f>IFERROR(Tableau1[[#This Row],[Loyer annuel]]/12,"")</f>
        <v>0</v>
      </c>
      <c r="T167" s="12"/>
      <c r="U167" s="6" t="s">
        <v>104</v>
      </c>
      <c r="V167" s="12"/>
      <c r="W167" s="12">
        <f>Tableau1[[#This Row],[Charges annuelles]]/12</f>
        <v>0</v>
      </c>
      <c r="X167" s="12"/>
      <c r="Y167" s="12">
        <f>IFERROR(Tableau1[[#This Row],[Taxe foncière €/m²]]*Tableau1[[#This Row],[Surface GLA]],)</f>
        <v>0</v>
      </c>
      <c r="Z167" s="12"/>
      <c r="AA167" s="12">
        <f>IFERROR(Tableau1[[#This Row],[Marketing €/m²]]*Tableau1[[#This Row],[Surface GLA]],)</f>
        <v>0</v>
      </c>
      <c r="AB167" s="6" t="s">
        <v>104</v>
      </c>
      <c r="AC167" s="12">
        <f>IFERROR(Tableau1[[#This Row],[Loyer annuel]]+Tableau1[[#This Row],[Charges annuelles]]+Tableau1[[#This Row],[Taxe foncière]]+Tableau1[[#This Row],[Marketing]],"")</f>
        <v>0</v>
      </c>
      <c r="AD167" s="12"/>
      <c r="AE167" s="6" t="s">
        <v>104</v>
      </c>
      <c r="AF167" s="6" t="s">
        <v>104</v>
      </c>
      <c r="AG167" s="12" t="s">
        <v>365</v>
      </c>
      <c r="AH167" s="10" t="s">
        <v>379</v>
      </c>
      <c r="AI167" s="10" t="s">
        <v>372</v>
      </c>
      <c r="AJ167" s="10" t="s">
        <v>1205</v>
      </c>
      <c r="AK167" s="11" t="s">
        <v>1204</v>
      </c>
      <c r="AL167" s="5" t="s">
        <v>370</v>
      </c>
      <c r="AM167" s="11" t="s">
        <v>1202</v>
      </c>
      <c r="AN167" s="11" t="s">
        <v>1203</v>
      </c>
      <c r="AO167" s="11" t="s">
        <v>1156</v>
      </c>
      <c r="AP167" s="36" t="s">
        <v>1225</v>
      </c>
      <c r="AQ167" s="11" t="s">
        <v>76</v>
      </c>
      <c r="AR167" s="11"/>
      <c r="AS167" s="13" t="s">
        <v>1157</v>
      </c>
      <c r="AT167" s="14"/>
      <c r="AU167" s="44">
        <v>46003</v>
      </c>
    </row>
    <row r="168" spans="1:47" ht="25.5">
      <c r="A168" s="38" t="str">
        <f>VLOOKUP(Tableau1[[#This Row],[N° Département]],Feuil1!$C$6:$E$106,3)</f>
        <v>Ile-de-France</v>
      </c>
      <c r="B168" s="38" t="str">
        <f>VLOOKUP(Tableau1[[#This Row],[N° Département]],Feuil1!$C$6:$E$106,2)</f>
        <v>Val-D'Oise</v>
      </c>
      <c r="C168" s="38">
        <f>LEFT(Tableau1[[#This Row],[Code Postal]],2)*1</f>
        <v>95</v>
      </c>
      <c r="D168" s="10" t="s">
        <v>1133</v>
      </c>
      <c r="E168" s="10">
        <v>95220</v>
      </c>
      <c r="F168" s="10" t="s">
        <v>1132</v>
      </c>
      <c r="G168" s="39" t="str">
        <f>Tableau1[[#This Row],[Rue]]&amp;CHAR(10)&amp;Tableau1[[#This Row],[Code Postal]]&amp;" - "&amp;Tableau1[[#This Row],[Ville]]</f>
        <v>8 Avenue Paul Langevin
95220 - Herblay-sur-Seine</v>
      </c>
      <c r="H168" s="15" t="s">
        <v>1206</v>
      </c>
      <c r="I168" s="12" t="s">
        <v>47</v>
      </c>
      <c r="J168" s="12" t="s">
        <v>48</v>
      </c>
      <c r="K168" s="10" t="s">
        <v>104</v>
      </c>
      <c r="L168" s="12"/>
      <c r="M168" s="36"/>
      <c r="N168" s="34">
        <v>402</v>
      </c>
      <c r="O168" s="6" t="s">
        <v>104</v>
      </c>
      <c r="P168" s="34" t="s">
        <v>104</v>
      </c>
      <c r="Q168" s="6" t="s">
        <v>104</v>
      </c>
      <c r="R168" s="12"/>
      <c r="S168" s="12">
        <f>IFERROR(Tableau1[[#This Row],[Loyer annuel]]/12,"")</f>
        <v>0</v>
      </c>
      <c r="T168" s="12"/>
      <c r="U168" s="6" t="s">
        <v>104</v>
      </c>
      <c r="V168" s="12"/>
      <c r="W168" s="12">
        <f>Tableau1[[#This Row],[Charges annuelles]]/12</f>
        <v>0</v>
      </c>
      <c r="X168" s="12"/>
      <c r="Y168" s="12">
        <f>IFERROR(Tableau1[[#This Row],[Taxe foncière €/m²]]*Tableau1[[#This Row],[Surface GLA]],)</f>
        <v>0</v>
      </c>
      <c r="Z168" s="12"/>
      <c r="AA168" s="12">
        <f>IFERROR(Tableau1[[#This Row],[Marketing €/m²]]*Tableau1[[#This Row],[Surface GLA]],)</f>
        <v>0</v>
      </c>
      <c r="AB168" s="6" t="s">
        <v>104</v>
      </c>
      <c r="AC168" s="12">
        <f>IFERROR(Tableau1[[#This Row],[Loyer annuel]]+Tableau1[[#This Row],[Charges annuelles]]+Tableau1[[#This Row],[Taxe foncière]]+Tableau1[[#This Row],[Marketing]],"")</f>
        <v>0</v>
      </c>
      <c r="AD168" s="12"/>
      <c r="AE168" s="6" t="s">
        <v>104</v>
      </c>
      <c r="AF168" s="6" t="s">
        <v>104</v>
      </c>
      <c r="AG168" s="12" t="s">
        <v>365</v>
      </c>
      <c r="AH168" s="10" t="s">
        <v>379</v>
      </c>
      <c r="AI168" s="10" t="s">
        <v>372</v>
      </c>
      <c r="AJ168" s="10" t="s">
        <v>1209</v>
      </c>
      <c r="AK168" s="11" t="s">
        <v>1210</v>
      </c>
      <c r="AL168" s="5" t="s">
        <v>370</v>
      </c>
      <c r="AM168" s="11" t="s">
        <v>1207</v>
      </c>
      <c r="AN168" s="11" t="s">
        <v>1208</v>
      </c>
      <c r="AO168" s="11">
        <v>48</v>
      </c>
      <c r="AP168" s="36" t="s">
        <v>1226</v>
      </c>
      <c r="AQ168" s="11" t="s">
        <v>76</v>
      </c>
      <c r="AR168" s="11"/>
      <c r="AS168" s="13" t="s">
        <v>1157</v>
      </c>
      <c r="AT168" s="14"/>
      <c r="AU168" s="44">
        <v>46003</v>
      </c>
    </row>
    <row r="169" spans="1:47" ht="38.25">
      <c r="A169" s="38" t="str">
        <f>VLOOKUP(Tableau1[[#This Row],[N° Département]],Feuil1!$C$6:$E$106,3)</f>
        <v>Grand Est</v>
      </c>
      <c r="B169" s="38" t="str">
        <f>VLOOKUP(Tableau1[[#This Row],[N° Département]],Feuil1!$C$6:$E$106,2)</f>
        <v>Bas-Rhin</v>
      </c>
      <c r="C169" s="38">
        <f>LEFT(Tableau1[[#This Row],[Code Postal]],2)*1</f>
        <v>67</v>
      </c>
      <c r="D169" s="11" t="s">
        <v>1234</v>
      </c>
      <c r="E169" s="10">
        <v>6700</v>
      </c>
      <c r="F169" s="10" t="s">
        <v>1233</v>
      </c>
      <c r="G169" s="39" t="str">
        <f>Tableau1[[#This Row],[Rue]]&amp;CHAR(10)&amp;Tableau1[[#This Row],[Code Postal]]&amp;" - "&amp;Tableau1[[#This Row],[Ville]]</f>
        <v>CAP 3000
217 Av. Eugène Donadeï
6700 - Saint-Laurent-du-Var</v>
      </c>
      <c r="H169" s="46" t="s">
        <v>1235</v>
      </c>
      <c r="I169" s="12" t="s">
        <v>47</v>
      </c>
      <c r="J169" s="12" t="s">
        <v>49</v>
      </c>
      <c r="K169" s="10" t="s">
        <v>104</v>
      </c>
      <c r="L169" s="12" t="s">
        <v>1236</v>
      </c>
      <c r="M169" s="36"/>
      <c r="N169" s="34">
        <v>80</v>
      </c>
      <c r="O169" s="6" t="s">
        <v>104</v>
      </c>
      <c r="P169" s="34" t="s">
        <v>104</v>
      </c>
      <c r="Q169" s="6" t="s">
        <v>104</v>
      </c>
      <c r="R169" s="12"/>
      <c r="S169" s="12">
        <f>IFERROR(Tableau1[[#This Row],[Loyer annuel]]/12,"")</f>
        <v>0</v>
      </c>
      <c r="T169" s="12"/>
      <c r="U169" s="6" t="s">
        <v>104</v>
      </c>
      <c r="V169" s="12"/>
      <c r="W169" s="12">
        <f>Tableau1[[#This Row],[Charges annuelles]]/12</f>
        <v>0</v>
      </c>
      <c r="X169" s="12"/>
      <c r="Y169" s="12">
        <f>IFERROR(Tableau1[[#This Row],[Taxe foncière €/m²]]*Tableau1[[#This Row],[Surface GLA]],)</f>
        <v>0</v>
      </c>
      <c r="Z169" s="12"/>
      <c r="AA169" s="12">
        <f>IFERROR(Tableau1[[#This Row],[Marketing €/m²]]*Tableau1[[#This Row],[Surface GLA]],)</f>
        <v>0</v>
      </c>
      <c r="AB169" s="6" t="s">
        <v>104</v>
      </c>
      <c r="AC169" s="12">
        <f>IFERROR(Tableau1[[#This Row],[Loyer annuel]]+Tableau1[[#This Row],[Charges annuelles]]+Tableau1[[#This Row],[Taxe foncière]]+Tableau1[[#This Row],[Marketing]],"")</f>
        <v>0</v>
      </c>
      <c r="AD169" s="12"/>
      <c r="AE169" s="6" t="s">
        <v>104</v>
      </c>
      <c r="AF169" s="6" t="s">
        <v>104</v>
      </c>
      <c r="AG169" s="12" t="s">
        <v>365</v>
      </c>
      <c r="AH169" s="10" t="s">
        <v>53</v>
      </c>
      <c r="AI169" s="10" t="s">
        <v>104</v>
      </c>
      <c r="AJ169" s="10" t="s">
        <v>1238</v>
      </c>
      <c r="AK169" s="11" t="s">
        <v>1237</v>
      </c>
      <c r="AL169" s="5" t="s">
        <v>370</v>
      </c>
      <c r="AM169" s="11" t="s">
        <v>1239</v>
      </c>
      <c r="AN169" s="11" t="s">
        <v>1240</v>
      </c>
      <c r="AO169" s="11">
        <v>49</v>
      </c>
      <c r="AP169" s="36"/>
      <c r="AQ169" s="11" t="s">
        <v>76</v>
      </c>
      <c r="AR169" s="11"/>
      <c r="AS169" s="13" t="s">
        <v>1241</v>
      </c>
      <c r="AT169" s="14"/>
      <c r="AU169" s="44">
        <v>46010</v>
      </c>
    </row>
    <row r="174" spans="1:47">
      <c r="F174" s="1" t="s">
        <v>1037</v>
      </c>
    </row>
    <row r="175" spans="1:47">
      <c r="F175" s="1" t="s">
        <v>1038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38" r:id="rId88" xr:uid="{080B1A9F-E5F0-49E3-97CD-6FCCA68308F4}"/>
    <hyperlink ref="H139" r:id="rId89" xr:uid="{60277B5C-FF5B-46B3-BBF6-66AFD5E516D1}"/>
    <hyperlink ref="H122" r:id="rId90" xr:uid="{62405CFE-5DA9-4596-886C-3ACF426D9309}"/>
    <hyperlink ref="H123" r:id="rId91" xr:uid="{B587046D-852F-4EB8-948D-F8411549618B}"/>
    <hyperlink ref="H125" r:id="rId92" xr:uid="{399D402E-7B20-4D08-860B-714F86DCE34E}"/>
    <hyperlink ref="H127" r:id="rId93" xr:uid="{CD670C98-2375-4F18-8B63-AF74138521E2}"/>
    <hyperlink ref="H129" r:id="rId94" xr:uid="{A7F7D7EA-169E-4B8A-8DED-291B7521F6F3}"/>
    <hyperlink ref="H131" r:id="rId95" xr:uid="{98F88FD2-383A-4139-A7C5-40E54E0859F2}"/>
    <hyperlink ref="H133" r:id="rId96" xr:uid="{939111DF-00E5-4CD9-877C-3E829B22A01A}"/>
    <hyperlink ref="H135" r:id="rId97" xr:uid="{10CC2294-8549-42BC-A814-C5F6C4548A64}"/>
    <hyperlink ref="H137" r:id="rId98" xr:uid="{E7B223E3-8313-4C2F-8F51-1B96502CE206}"/>
    <hyperlink ref="H124" r:id="rId99" xr:uid="{92E083BD-C893-485B-97AF-85307610A42F}"/>
    <hyperlink ref="H126" r:id="rId100" xr:uid="{5E642C7F-73C6-47A9-8F05-40EA30F1E4CB}"/>
    <hyperlink ref="H128" r:id="rId101" xr:uid="{CC865E32-87C8-46B6-9B7C-7C5CE55CC5C6}"/>
    <hyperlink ref="H130" r:id="rId102" xr:uid="{54BBC918-33F4-4455-BB76-5E897445C5C8}"/>
    <hyperlink ref="H132" r:id="rId103" xr:uid="{DBAA1B38-C94A-4F88-A4D2-2B9015202629}"/>
    <hyperlink ref="H134" r:id="rId104" xr:uid="{CAD15A8F-0FDF-468F-841D-5DB3005468A0}"/>
    <hyperlink ref="H136" r:id="rId105" xr:uid="{56259A3A-CABA-4CC7-8994-C525611F5A2A}"/>
    <hyperlink ref="H140" r:id="rId106" xr:uid="{54D9C84A-9E79-4E6C-94AD-0B1E658B9727}"/>
    <hyperlink ref="H141" r:id="rId107" xr:uid="{03D798D2-CCD2-4F77-BE5B-6E2A2FE47845}"/>
    <hyperlink ref="H143" r:id="rId108" xr:uid="{0816FF13-6441-462C-A055-21680CDF255C}"/>
    <hyperlink ref="H142" r:id="rId109" xr:uid="{01C599EF-C1DF-4C31-ADC2-E79CCD9D3420}"/>
    <hyperlink ref="H144" r:id="rId110" xr:uid="{48DF072A-5724-4516-9EB9-B2B092F9ECBF}"/>
    <hyperlink ref="H145" r:id="rId111" xr:uid="{2D52890D-990D-499F-92B9-790A6B56B2C1}"/>
    <hyperlink ref="H146" r:id="rId112" xr:uid="{D89787FE-D414-4ADC-AC02-C8B9D2520919}"/>
    <hyperlink ref="H147" r:id="rId113" xr:uid="{83F81C45-2D7B-4019-9457-DB12A08DE525}"/>
    <hyperlink ref="H148" r:id="rId114" xr:uid="{5DD490B2-A51A-488D-BCDE-B83932141509}"/>
    <hyperlink ref="H149" r:id="rId115" xr:uid="{8FDF2590-E1B8-4CE8-9753-7BFB747102D3}"/>
    <hyperlink ref="H150" r:id="rId116" xr:uid="{F9E1A7BC-0810-451D-AAC4-F0BE420D1B9F}"/>
    <hyperlink ref="H151" r:id="rId117" xr:uid="{6B38E304-7485-42E7-9EFC-3CDA0B79C692}"/>
    <hyperlink ref="H152" r:id="rId118" xr:uid="{9BAD643D-2774-4811-AF7F-3253EB54E8FC}"/>
    <hyperlink ref="H153" r:id="rId119" xr:uid="{8C4EE05C-7B50-4EF6-B2F7-FACAB92DA663}"/>
    <hyperlink ref="H154" r:id="rId120" xr:uid="{0D1E98E9-4BCF-4406-AFDA-600010FB176B}"/>
    <hyperlink ref="H155" r:id="rId121" xr:uid="{580F9DBE-E800-4F84-BEDC-E8B38FD61F7A}"/>
    <hyperlink ref="H156" r:id="rId122" xr:uid="{372123E9-8C5B-4111-8443-C1645E86AD4D}"/>
    <hyperlink ref="H157" r:id="rId123" xr:uid="{CC20D8BA-62C0-4205-8CD5-E236C90A7669}"/>
    <hyperlink ref="H158" r:id="rId124" xr:uid="{C2AFB330-1F62-4366-8E85-4A36FC54F3CA}"/>
    <hyperlink ref="H159" r:id="rId125" xr:uid="{D9CEB66C-2A2B-4C50-90E4-25DDB2866B82}"/>
    <hyperlink ref="H160" r:id="rId126" xr:uid="{77194CDF-321B-4F1D-8892-C65AB2918B74}"/>
    <hyperlink ref="H161" r:id="rId127" xr:uid="{A510C509-E61B-4228-AC93-D0093532C7D2}"/>
    <hyperlink ref="H162" r:id="rId128" xr:uid="{13D66F57-470F-41F4-93A6-03D5A2A4CCDB}"/>
    <hyperlink ref="H163" r:id="rId129" xr:uid="{5B7EA501-9646-45C8-A6A4-6075F4FADE70}"/>
    <hyperlink ref="H164" r:id="rId130" xr:uid="{6D822EC9-F492-4D93-A1BA-8FA65E1327B7}"/>
    <hyperlink ref="H166" r:id="rId131" xr:uid="{3C8BCE0A-AAD1-4E3F-915C-B7BFA9B07703}"/>
    <hyperlink ref="H167" r:id="rId132" xr:uid="{EB1761D0-DA2C-4FCB-8A87-DC3BF56A199A}"/>
    <hyperlink ref="H165" r:id="rId133" xr:uid="{AC7B9731-155A-409D-B7DE-6A2C81027D18}"/>
    <hyperlink ref="H168" r:id="rId134" xr:uid="{ED7C6A33-7CA0-4B59-BFC3-713467DF5837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3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2025-12-19T16:08:04Z</dcterms:modified>
</cp:coreProperties>
</file>