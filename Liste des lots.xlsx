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67C85D1F-4A16-49F6-99FF-3D825DC4BABE}"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F353" i="2" l="1"/>
  <c r="AF354" i="2"/>
  <c r="AF355" i="2"/>
  <c r="AF356" i="2"/>
  <c r="AF357" i="2"/>
  <c r="AF358" i="2"/>
  <c r="AF359" i="2"/>
  <c r="AF360" i="2"/>
  <c r="AF361" i="2"/>
  <c r="X361" i="2"/>
  <c r="Y361" i="2" s="1"/>
  <c r="Y360" i="2"/>
  <c r="X360" i="2"/>
  <c r="X359" i="2"/>
  <c r="Y359" i="2" s="1"/>
  <c r="X358" i="2"/>
  <c r="Y358" i="2" s="1"/>
  <c r="X357" i="2"/>
  <c r="Y357" i="2" s="1"/>
  <c r="X356" i="2"/>
  <c r="Y356" i="2" s="1"/>
  <c r="X355" i="2"/>
  <c r="Y355" i="2" s="1"/>
  <c r="Y354" i="2"/>
  <c r="X354" i="2"/>
  <c r="X353" i="2"/>
  <c r="Y353" i="2" s="1"/>
  <c r="T353" i="2"/>
  <c r="U353" i="2" s="1"/>
  <c r="T354" i="2"/>
  <c r="U354" i="2" s="1"/>
  <c r="T355" i="2"/>
  <c r="U355" i="2" s="1"/>
  <c r="T356" i="2"/>
  <c r="U356" i="2"/>
  <c r="T357" i="2"/>
  <c r="U357" i="2"/>
  <c r="T358" i="2"/>
  <c r="U358" i="2"/>
  <c r="T359" i="2"/>
  <c r="U359" i="2"/>
  <c r="T360" i="2"/>
  <c r="U360" i="2" s="1"/>
  <c r="T361" i="2"/>
  <c r="U361" i="2"/>
  <c r="B357" i="2"/>
  <c r="C355" i="2"/>
  <c r="A355" i="2" s="1"/>
  <c r="C356" i="2"/>
  <c r="A356" i="2" s="1"/>
  <c r="C357" i="2"/>
  <c r="A357" i="2" s="1"/>
  <c r="C358" i="2"/>
  <c r="A358" i="2" s="1"/>
  <c r="C359" i="2"/>
  <c r="A359" i="2" s="1"/>
  <c r="C360" i="2"/>
  <c r="B360" i="2" s="1"/>
  <c r="C361" i="2"/>
  <c r="B361" i="2" s="1"/>
  <c r="AA355" i="2"/>
  <c r="AA356" i="2"/>
  <c r="AA357" i="2"/>
  <c r="AA358" i="2"/>
  <c r="AA359" i="2"/>
  <c r="AA360" i="2"/>
  <c r="AA361" i="2"/>
  <c r="AC355" i="2"/>
  <c r="AC356" i="2"/>
  <c r="AC357" i="2"/>
  <c r="AC358" i="2"/>
  <c r="AC359" i="2"/>
  <c r="AC360" i="2"/>
  <c r="AE360" i="2" s="1"/>
  <c r="AC361" i="2"/>
  <c r="AE361" i="2" s="1"/>
  <c r="G355" i="2"/>
  <c r="G356" i="2"/>
  <c r="G357" i="2"/>
  <c r="G358" i="2"/>
  <c r="G359" i="2"/>
  <c r="G360" i="2"/>
  <c r="G361" i="2"/>
  <c r="C354" i="2"/>
  <c r="A354" i="2" s="1"/>
  <c r="AA354" i="2"/>
  <c r="AC354" i="2"/>
  <c r="G354" i="2"/>
  <c r="G353" i="2"/>
  <c r="C353" i="2"/>
  <c r="A353" i="2" s="1"/>
  <c r="AA353" i="2"/>
  <c r="AC353" i="2"/>
  <c r="G348" i="2"/>
  <c r="G349" i="2"/>
  <c r="G350" i="2"/>
  <c r="G351" i="2"/>
  <c r="G352" i="2"/>
  <c r="T330" i="2"/>
  <c r="U330" i="2" s="1"/>
  <c r="X330" i="2"/>
  <c r="Y330" i="2" s="1"/>
  <c r="AA330" i="2"/>
  <c r="T331" i="2"/>
  <c r="AF331" i="2" s="1"/>
  <c r="X331" i="2"/>
  <c r="Y331" i="2" s="1"/>
  <c r="AA331" i="2"/>
  <c r="T332" i="2"/>
  <c r="AF332" i="2" s="1"/>
  <c r="X332" i="2"/>
  <c r="Y332" i="2" s="1"/>
  <c r="AA332" i="2"/>
  <c r="T333" i="2"/>
  <c r="AF333" i="2" s="1"/>
  <c r="X333" i="2"/>
  <c r="Y333" i="2" s="1"/>
  <c r="AA333" i="2"/>
  <c r="T334" i="2"/>
  <c r="U334" i="2" s="1"/>
  <c r="X334" i="2"/>
  <c r="Y334" i="2" s="1"/>
  <c r="AA334" i="2"/>
  <c r="T335" i="2"/>
  <c r="U335" i="2" s="1"/>
  <c r="X335" i="2"/>
  <c r="Y335" i="2"/>
  <c r="AA335" i="2"/>
  <c r="T336" i="2"/>
  <c r="AF336" i="2" s="1"/>
  <c r="X336" i="2"/>
  <c r="Y336" i="2" s="1"/>
  <c r="AA336" i="2"/>
  <c r="T337" i="2"/>
  <c r="U337" i="2" s="1"/>
  <c r="X337" i="2"/>
  <c r="Y337" i="2" s="1"/>
  <c r="AA337" i="2"/>
  <c r="T338" i="2"/>
  <c r="U338" i="2" s="1"/>
  <c r="X338" i="2"/>
  <c r="Y338" i="2" s="1"/>
  <c r="AA338" i="2"/>
  <c r="T339" i="2"/>
  <c r="AF339" i="2" s="1"/>
  <c r="X339" i="2"/>
  <c r="Y339" i="2" s="1"/>
  <c r="AA339" i="2"/>
  <c r="T340" i="2"/>
  <c r="U340" i="2" s="1"/>
  <c r="X340" i="2"/>
  <c r="Y340" i="2" s="1"/>
  <c r="AA340" i="2"/>
  <c r="T341" i="2"/>
  <c r="AF341" i="2" s="1"/>
  <c r="X341" i="2"/>
  <c r="Y341" i="2"/>
  <c r="AA341" i="2"/>
  <c r="T342" i="2"/>
  <c r="U342" i="2" s="1"/>
  <c r="X342" i="2"/>
  <c r="Y342" i="2" s="1"/>
  <c r="AA342" i="2"/>
  <c r="T343" i="2"/>
  <c r="AF343" i="2" s="1"/>
  <c r="X343" i="2"/>
  <c r="Y343" i="2" s="1"/>
  <c r="AA343" i="2"/>
  <c r="T344" i="2"/>
  <c r="AF344" i="2" s="1"/>
  <c r="U344" i="2"/>
  <c r="X344" i="2"/>
  <c r="Y344" i="2" s="1"/>
  <c r="AA344" i="2"/>
  <c r="T345" i="2"/>
  <c r="AF345" i="2" s="1"/>
  <c r="X345" i="2"/>
  <c r="Y345" i="2" s="1"/>
  <c r="AA345" i="2"/>
  <c r="T346" i="2"/>
  <c r="U346" i="2" s="1"/>
  <c r="X346" i="2"/>
  <c r="Y346" i="2" s="1"/>
  <c r="AA346" i="2"/>
  <c r="T347" i="2"/>
  <c r="AF347" i="2" s="1"/>
  <c r="X347" i="2"/>
  <c r="Y347" i="2" s="1"/>
  <c r="AA347" i="2"/>
  <c r="T348" i="2"/>
  <c r="AF348" i="2" s="1"/>
  <c r="U348" i="2"/>
  <c r="X348" i="2"/>
  <c r="Y348" i="2" s="1"/>
  <c r="AA348" i="2"/>
  <c r="T349" i="2"/>
  <c r="U349" i="2" s="1"/>
  <c r="X349" i="2"/>
  <c r="Y349" i="2"/>
  <c r="AA349" i="2"/>
  <c r="T350" i="2"/>
  <c r="U350" i="2" s="1"/>
  <c r="X350" i="2"/>
  <c r="Y350" i="2" s="1"/>
  <c r="AA350" i="2"/>
  <c r="T351" i="2"/>
  <c r="AF351" i="2" s="1"/>
  <c r="X351" i="2"/>
  <c r="Y351" i="2" s="1"/>
  <c r="AA351" i="2"/>
  <c r="T352" i="2"/>
  <c r="U352" i="2" s="1"/>
  <c r="X352" i="2"/>
  <c r="Y352" i="2" s="1"/>
  <c r="AA352" i="2"/>
  <c r="AA329" i="2"/>
  <c r="X329" i="2"/>
  <c r="Y329" i="2" s="1"/>
  <c r="T329" i="2"/>
  <c r="AF329" i="2" s="1"/>
  <c r="AA328" i="2"/>
  <c r="X328" i="2"/>
  <c r="Y328" i="2" s="1"/>
  <c r="T328" i="2"/>
  <c r="U328" i="2" s="1"/>
  <c r="AA327" i="2"/>
  <c r="X327" i="2"/>
  <c r="Y327" i="2" s="1"/>
  <c r="T327" i="2"/>
  <c r="U327" i="2" s="1"/>
  <c r="X326" i="2"/>
  <c r="Y326" i="2" s="1"/>
  <c r="T326" i="2"/>
  <c r="U326" i="2" s="1"/>
  <c r="C352" i="2"/>
  <c r="A352" i="2" s="1"/>
  <c r="AC352" i="2"/>
  <c r="C351" i="2"/>
  <c r="A351" i="2" s="1"/>
  <c r="AC351" i="2"/>
  <c r="C350" i="2"/>
  <c r="A350" i="2" s="1"/>
  <c r="AC350" i="2"/>
  <c r="B356" i="2" l="1"/>
  <c r="AE359" i="2"/>
  <c r="AE354" i="2"/>
  <c r="AE356" i="2"/>
  <c r="AE355" i="2"/>
  <c r="AE358" i="2"/>
  <c r="AE353" i="2"/>
  <c r="AE357" i="2"/>
  <c r="B359" i="2"/>
  <c r="B358" i="2"/>
  <c r="B355" i="2"/>
  <c r="A361" i="2"/>
  <c r="A360" i="2"/>
  <c r="U336" i="2"/>
  <c r="B354" i="2"/>
  <c r="U332" i="2"/>
  <c r="AF346" i="2"/>
  <c r="B353" i="2"/>
  <c r="AF326" i="2"/>
  <c r="U351" i="2"/>
  <c r="U345" i="2"/>
  <c r="U339" i="2"/>
  <c r="U333" i="2"/>
  <c r="U341" i="2"/>
  <c r="U343" i="2"/>
  <c r="AF334" i="2"/>
  <c r="U331" i="2"/>
  <c r="AF350" i="2"/>
  <c r="AF338" i="2"/>
  <c r="AF349" i="2"/>
  <c r="AF337" i="2"/>
  <c r="U329" i="2"/>
  <c r="U347" i="2"/>
  <c r="AF335" i="2"/>
  <c r="AF342" i="2"/>
  <c r="AF330" i="2"/>
  <c r="AF352" i="2"/>
  <c r="AF340" i="2"/>
  <c r="AF328" i="2"/>
  <c r="AF327" i="2"/>
  <c r="AE351" i="2"/>
  <c r="AE352" i="2"/>
  <c r="B352" i="2"/>
  <c r="AE350" i="2"/>
  <c r="B351" i="2"/>
  <c r="B350" i="2"/>
  <c r="C349" i="2"/>
  <c r="A349" i="2" s="1"/>
  <c r="AC349" i="2"/>
  <c r="C348" i="2"/>
  <c r="A348" i="2" s="1"/>
  <c r="AC348" i="2"/>
  <c r="C328" i="2"/>
  <c r="A328" i="2" s="1"/>
  <c r="C329" i="2"/>
  <c r="A329" i="2" s="1"/>
  <c r="C330" i="2"/>
  <c r="A330" i="2" s="1"/>
  <c r="C331" i="2"/>
  <c r="A331" i="2" s="1"/>
  <c r="C332" i="2"/>
  <c r="B332" i="2" s="1"/>
  <c r="C333" i="2"/>
  <c r="B333" i="2" s="1"/>
  <c r="C334" i="2"/>
  <c r="B334" i="2" s="1"/>
  <c r="C335" i="2"/>
  <c r="A335" i="2" s="1"/>
  <c r="C336" i="2"/>
  <c r="B336" i="2" s="1"/>
  <c r="C337" i="2"/>
  <c r="B337" i="2" s="1"/>
  <c r="C338" i="2"/>
  <c r="B338" i="2" s="1"/>
  <c r="C339" i="2"/>
  <c r="A339" i="2" s="1"/>
  <c r="C340" i="2"/>
  <c r="A340" i="2" s="1"/>
  <c r="C341" i="2"/>
  <c r="A341" i="2" s="1"/>
  <c r="C342" i="2"/>
  <c r="A342" i="2" s="1"/>
  <c r="C343" i="2"/>
  <c r="A343" i="2" s="1"/>
  <c r="C344" i="2"/>
  <c r="B344" i="2" s="1"/>
  <c r="C345" i="2"/>
  <c r="B345" i="2" s="1"/>
  <c r="C346" i="2"/>
  <c r="B346" i="2" s="1"/>
  <c r="C347" i="2"/>
  <c r="B347" i="2" s="1"/>
  <c r="AC328" i="2"/>
  <c r="AC329" i="2"/>
  <c r="AC330" i="2"/>
  <c r="AC331" i="2"/>
  <c r="AC332" i="2"/>
  <c r="AC333" i="2"/>
  <c r="AC334" i="2"/>
  <c r="AC335" i="2"/>
  <c r="AC336" i="2"/>
  <c r="AC337" i="2"/>
  <c r="AC338" i="2"/>
  <c r="AC339" i="2"/>
  <c r="AC340" i="2"/>
  <c r="AC341" i="2"/>
  <c r="AC342" i="2"/>
  <c r="AC343" i="2"/>
  <c r="AC344" i="2"/>
  <c r="AC345" i="2"/>
  <c r="AC346" i="2"/>
  <c r="AC347" i="2"/>
  <c r="G328" i="2"/>
  <c r="G329" i="2"/>
  <c r="G330" i="2"/>
  <c r="G331" i="2"/>
  <c r="G332" i="2"/>
  <c r="G333" i="2"/>
  <c r="G334" i="2"/>
  <c r="G335" i="2"/>
  <c r="G336" i="2"/>
  <c r="G337" i="2"/>
  <c r="G338" i="2"/>
  <c r="G339" i="2"/>
  <c r="G340" i="2"/>
  <c r="G341" i="2"/>
  <c r="G342" i="2"/>
  <c r="G343" i="2"/>
  <c r="G344" i="2"/>
  <c r="G345" i="2"/>
  <c r="G346" i="2"/>
  <c r="G347" i="2"/>
  <c r="C327" i="2"/>
  <c r="A327" i="2" s="1"/>
  <c r="AC327" i="2"/>
  <c r="G327" i="2"/>
  <c r="G326" i="2"/>
  <c r="C326" i="2"/>
  <c r="A326" i="2" s="1"/>
  <c r="AA326" i="2"/>
  <c r="AC326" i="2"/>
  <c r="X325" i="2"/>
  <c r="Y325" i="2" s="1"/>
  <c r="T325" i="2"/>
  <c r="G325" i="2"/>
  <c r="C325" i="2"/>
  <c r="A325" i="2" s="1"/>
  <c r="AA325" i="2"/>
  <c r="AC325" i="2"/>
  <c r="X311" i="2"/>
  <c r="Y311" i="2" s="1"/>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T311" i="2"/>
  <c r="U311" i="2" s="1"/>
  <c r="T312" i="2"/>
  <c r="U312" i="2" s="1"/>
  <c r="T313" i="2"/>
  <c r="U313" i="2" s="1"/>
  <c r="T314" i="2"/>
  <c r="AF314" i="2" s="1"/>
  <c r="T315" i="2"/>
  <c r="U315" i="2" s="1"/>
  <c r="T316" i="2"/>
  <c r="AF316" i="2" s="1"/>
  <c r="T317" i="2"/>
  <c r="U317" i="2" s="1"/>
  <c r="T318" i="2"/>
  <c r="U318" i="2" s="1"/>
  <c r="T319" i="2"/>
  <c r="AF319" i="2" s="1"/>
  <c r="T320" i="2"/>
  <c r="AF320" i="2" s="1"/>
  <c r="T321" i="2"/>
  <c r="AF321" i="2" s="1"/>
  <c r="T322" i="2"/>
  <c r="AF322" i="2" s="1"/>
  <c r="T323" i="2"/>
  <c r="U323" i="2" s="1"/>
  <c r="T324" i="2"/>
  <c r="U324" i="2" s="1"/>
  <c r="G310" i="2"/>
  <c r="G311" i="2"/>
  <c r="G312" i="2"/>
  <c r="G313" i="2"/>
  <c r="G314" i="2"/>
  <c r="G315" i="2"/>
  <c r="G316" i="2"/>
  <c r="G317" i="2"/>
  <c r="G318" i="2"/>
  <c r="G319" i="2"/>
  <c r="G320" i="2"/>
  <c r="G321" i="2"/>
  <c r="G322" i="2"/>
  <c r="G323" i="2"/>
  <c r="G324" i="2"/>
  <c r="C319" i="2"/>
  <c r="A319" i="2" s="1"/>
  <c r="C320" i="2"/>
  <c r="A320" i="2" s="1"/>
  <c r="C321" i="2"/>
  <c r="A321" i="2" s="1"/>
  <c r="C322" i="2"/>
  <c r="A322" i="2" s="1"/>
  <c r="C323" i="2"/>
  <c r="A323" i="2" s="1"/>
  <c r="C324" i="2"/>
  <c r="A324" i="2" s="1"/>
  <c r="AA319" i="2"/>
  <c r="AA320" i="2"/>
  <c r="AA321" i="2"/>
  <c r="AA322" i="2"/>
  <c r="AA323" i="2"/>
  <c r="AA324" i="2"/>
  <c r="AC319" i="2"/>
  <c r="AC320" i="2"/>
  <c r="AC321" i="2"/>
  <c r="AC322" i="2"/>
  <c r="AC323" i="2"/>
  <c r="AC324" i="2"/>
  <c r="X306" i="2"/>
  <c r="Y306" i="2" s="1"/>
  <c r="X307" i="2"/>
  <c r="Y307" i="2" s="1"/>
  <c r="X308" i="2"/>
  <c r="Y308" i="2" s="1"/>
  <c r="X309" i="2"/>
  <c r="Y309" i="2" s="1"/>
  <c r="X310" i="2"/>
  <c r="Y310" i="2" s="1"/>
  <c r="T306" i="2"/>
  <c r="U306" i="2" s="1"/>
  <c r="T307" i="2"/>
  <c r="U307" i="2" s="1"/>
  <c r="T308" i="2"/>
  <c r="U308" i="2" s="1"/>
  <c r="T309" i="2"/>
  <c r="U309" i="2" s="1"/>
  <c r="T310" i="2"/>
  <c r="AF310" i="2" s="1"/>
  <c r="G307" i="2"/>
  <c r="G308" i="2"/>
  <c r="G309" i="2"/>
  <c r="X302" i="2"/>
  <c r="Y302" i="2" s="1"/>
  <c r="X303" i="2"/>
  <c r="Y303" i="2" s="1"/>
  <c r="X304" i="2"/>
  <c r="Y304" i="2" s="1"/>
  <c r="X305" i="2"/>
  <c r="Y305" i="2" s="1"/>
  <c r="T302" i="2"/>
  <c r="U302" i="2" s="1"/>
  <c r="T303" i="2"/>
  <c r="U303" i="2" s="1"/>
  <c r="T304" i="2"/>
  <c r="U304" i="2" s="1"/>
  <c r="T305" i="2"/>
  <c r="U305" i="2" s="1"/>
  <c r="G305" i="2"/>
  <c r="G304" i="2"/>
  <c r="G303" i="2"/>
  <c r="C318" i="2"/>
  <c r="A318" i="2" s="1"/>
  <c r="AA318" i="2"/>
  <c r="AC318" i="2"/>
  <c r="G302" i="2"/>
  <c r="G306"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4" i="2"/>
  <c r="A304" i="2" s="1"/>
  <c r="C305" i="2"/>
  <c r="A305" i="2" s="1"/>
  <c r="C306" i="2"/>
  <c r="B306" i="2" s="1"/>
  <c r="C307" i="2"/>
  <c r="B307" i="2" s="1"/>
  <c r="C308" i="2"/>
  <c r="A308" i="2" s="1"/>
  <c r="C309" i="2"/>
  <c r="A309" i="2" s="1"/>
  <c r="C310" i="2"/>
  <c r="A310" i="2" s="1"/>
  <c r="C311" i="2"/>
  <c r="B311" i="2" s="1"/>
  <c r="C312" i="2"/>
  <c r="A312" i="2" s="1"/>
  <c r="C313" i="2"/>
  <c r="A313" i="2" s="1"/>
  <c r="C314" i="2"/>
  <c r="B314" i="2" s="1"/>
  <c r="C315" i="2"/>
  <c r="B315" i="2" s="1"/>
  <c r="C316" i="2"/>
  <c r="B316" i="2" s="1"/>
  <c r="C317" i="2"/>
  <c r="A317" i="2" s="1"/>
  <c r="AA296" i="2"/>
  <c r="AA297" i="2"/>
  <c r="AA298" i="2"/>
  <c r="AA299" i="2"/>
  <c r="AA300" i="2"/>
  <c r="AA301" i="2"/>
  <c r="AA302" i="2"/>
  <c r="AA303" i="2"/>
  <c r="AA304" i="2"/>
  <c r="AA305" i="2"/>
  <c r="AA306" i="2"/>
  <c r="AA307" i="2"/>
  <c r="AA308" i="2"/>
  <c r="AA309" i="2"/>
  <c r="AA310" i="2"/>
  <c r="AA311" i="2"/>
  <c r="AA312" i="2"/>
  <c r="AA313" i="2"/>
  <c r="AA314" i="2"/>
  <c r="AA315" i="2"/>
  <c r="AA316" i="2"/>
  <c r="AA317" i="2"/>
  <c r="AC296" i="2"/>
  <c r="AC297" i="2"/>
  <c r="AC298" i="2"/>
  <c r="AC299" i="2"/>
  <c r="AC300" i="2"/>
  <c r="AC301" i="2"/>
  <c r="AC302" i="2"/>
  <c r="AC303" i="2"/>
  <c r="AC304" i="2"/>
  <c r="AC305" i="2"/>
  <c r="AC306" i="2"/>
  <c r="AC307" i="2"/>
  <c r="AC308" i="2"/>
  <c r="AC309" i="2"/>
  <c r="AC310" i="2"/>
  <c r="AC311" i="2"/>
  <c r="AC312" i="2"/>
  <c r="AC313" i="2"/>
  <c r="AC314" i="2"/>
  <c r="AC315" i="2"/>
  <c r="AC316" i="2"/>
  <c r="AC317"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8" i="2" l="1"/>
  <c r="AE336" i="2"/>
  <c r="AE335" i="2"/>
  <c r="AE343" i="2"/>
  <c r="AE331" i="2"/>
  <c r="AE349" i="2"/>
  <c r="AE347" i="2"/>
  <c r="AE337" i="2"/>
  <c r="AE330" i="2"/>
  <c r="AE329" i="2"/>
  <c r="AE340" i="2"/>
  <c r="B349" i="2"/>
  <c r="AE341" i="2"/>
  <c r="AE338" i="2"/>
  <c r="AE344" i="2"/>
  <c r="AE332" i="2"/>
  <c r="A338" i="2"/>
  <c r="AE342" i="2"/>
  <c r="AE348" i="2"/>
  <c r="AE339" i="2"/>
  <c r="AE346" i="2"/>
  <c r="AE334" i="2"/>
  <c r="AE345" i="2"/>
  <c r="A347" i="2"/>
  <c r="A336" i="2"/>
  <c r="AE327" i="2"/>
  <c r="B342" i="2"/>
  <c r="B340" i="2"/>
  <c r="B339" i="2"/>
  <c r="B335" i="2"/>
  <c r="B330" i="2"/>
  <c r="B348" i="2"/>
  <c r="AE333" i="2"/>
  <c r="B328" i="2"/>
  <c r="B343" i="2"/>
  <c r="B331" i="2"/>
  <c r="AF306" i="2"/>
  <c r="B341" i="2"/>
  <c r="B329" i="2"/>
  <c r="A337" i="2"/>
  <c r="A346" i="2"/>
  <c r="A334" i="2"/>
  <c r="A345" i="2"/>
  <c r="A333" i="2"/>
  <c r="A344" i="2"/>
  <c r="A332" i="2"/>
  <c r="U321" i="2"/>
  <c r="AE325" i="2"/>
  <c r="AF305" i="2"/>
  <c r="AE326" i="2"/>
  <c r="B327" i="2"/>
  <c r="B326" i="2"/>
  <c r="AE324" i="2"/>
  <c r="U325" i="2"/>
  <c r="AF325" i="2"/>
  <c r="U319" i="2"/>
  <c r="U316" i="2"/>
  <c r="U314" i="2"/>
  <c r="AE323" i="2"/>
  <c r="AF312" i="2"/>
  <c r="AF324" i="2"/>
  <c r="AF313" i="2"/>
  <c r="U320" i="2"/>
  <c r="AF315" i="2"/>
  <c r="AE319" i="2"/>
  <c r="AF317" i="2"/>
  <c r="AF318" i="2"/>
  <c r="U310" i="2"/>
  <c r="AF309" i="2"/>
  <c r="U322" i="2"/>
  <c r="B325" i="2"/>
  <c r="AF311" i="2"/>
  <c r="AF323" i="2"/>
  <c r="AE321" i="2"/>
  <c r="AE322" i="2"/>
  <c r="AE320" i="2"/>
  <c r="AE317" i="2"/>
  <c r="B324" i="2"/>
  <c r="AE313" i="2"/>
  <c r="AE318" i="2"/>
  <c r="B323" i="2"/>
  <c r="B322" i="2"/>
  <c r="B321" i="2"/>
  <c r="B320" i="2"/>
  <c r="AE311" i="2"/>
  <c r="B319" i="2"/>
  <c r="AF302" i="2"/>
  <c r="AF308" i="2"/>
  <c r="AF307" i="2"/>
  <c r="AF294" i="2"/>
  <c r="AF304" i="2"/>
  <c r="AE314" i="2"/>
  <c r="AF303" i="2"/>
  <c r="A273" i="2"/>
  <c r="AE302" i="2"/>
  <c r="AE305" i="2"/>
  <c r="AE315" i="2"/>
  <c r="AE303" i="2"/>
  <c r="B312" i="2"/>
  <c r="AE309" i="2"/>
  <c r="AE308" i="2"/>
  <c r="AE301" i="2"/>
  <c r="B317" i="2"/>
  <c r="AE312" i="2"/>
  <c r="A316" i="2"/>
  <c r="U301" i="2"/>
  <c r="AE306" i="2"/>
  <c r="AE316" i="2"/>
  <c r="AE304" i="2"/>
  <c r="B305" i="2"/>
  <c r="B313" i="2"/>
  <c r="AF300" i="2"/>
  <c r="AE295" i="2"/>
  <c r="B310" i="2"/>
  <c r="AF299" i="2"/>
  <c r="AE310" i="2"/>
  <c r="U298" i="2"/>
  <c r="B304" i="2"/>
  <c r="AF297" i="2"/>
  <c r="A271" i="2"/>
  <c r="U288" i="2"/>
  <c r="B301" i="2"/>
  <c r="AF296" i="2"/>
  <c r="AE307" i="2"/>
  <c r="B298" i="2"/>
  <c r="AF295" i="2"/>
  <c r="B318" i="2"/>
  <c r="AE297" i="2"/>
  <c r="AE299" i="2"/>
  <c r="AE298" i="2"/>
  <c r="AE296" i="2"/>
  <c r="AE300" i="2"/>
  <c r="AE294" i="2"/>
  <c r="AF287" i="2"/>
  <c r="B309" i="2"/>
  <c r="B297" i="2"/>
  <c r="A307" i="2"/>
  <c r="AF286" i="2"/>
  <c r="B308" i="2"/>
  <c r="B296" i="2"/>
  <c r="A306" i="2"/>
  <c r="AF285" i="2"/>
  <c r="AF284" i="2"/>
  <c r="A315" i="2"/>
  <c r="A303" i="2"/>
  <c r="A314" i="2"/>
  <c r="A302" i="2"/>
  <c r="AE284" i="2"/>
  <c r="A300" i="2"/>
  <c r="A311"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<sst xmlns="http://schemas.openxmlformats.org/spreadsheetml/2006/main" count="10107" uniqueCount="2195">
  <si>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</si>
  <si>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</si>
  <si>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</si>
  <si>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</si>
  <si>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</si>
  <si>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</si>
  <si>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</si>
  <si>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</si>
  <si>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</si>
  <si>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</si>
  <si>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</si>
  <si>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</si>
  <si>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</si>
  <si>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</si>
  <si>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</si>
  <si>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</si>
  <si>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</si>
  <si>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</si>
  <si>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</si>
  <si>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</si>
  <si>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</si>
  <si>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</si>
  <si>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</si>
  <si>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</si>
  <si>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</si>
  <si>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</si>
  <si>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</si>
  <si>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</si>
  <si>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</si>
  <si>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</si>
  <si>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</si>
  <si>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</si>
  <si>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</si>
  <si>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</si>
  <si>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</si>
  <si>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</si>
  <si>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</si>
  <si>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</si>
  <si>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</si>
  <si>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</si>
  <si>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</si>
  <si>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</si>
  <si>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</si>
  <si>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</si>
  <si>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</si>
  <si>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</si>
  <si>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</si>
  <si>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</si>
  <si>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</si>
  <si>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</si>
  <si>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</si>
  <si>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</si>
  <si>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</si>
  <si>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</si>
  <si>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</si>
  <si>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</si>
  <si>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</si>
  <si>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</si>
  <si>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</si>
  <si>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</si>
  <si>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</si>
  <si>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</si>
  <si>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</si>
  <si>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</si>
  <si>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</si>
  <si>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</si>
  <si>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</si>
  <si>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</si>
  <si>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</si>
  <si>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</si>
  <si>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</si>
  <si>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</si>
  <si>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</si>
  <si>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</si>
  <si>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</si>
  <si>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</si>
  <si>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</si>
  <si>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</si>
  <si>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</si>
  <si>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</si>
  <si>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</si>
  <si>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</si>
  <si>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</si>
  <si>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</si>
  <si>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</si>
  <si>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</si>
  <si>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</si>
  <si>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</si>
  <si>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</si>
  <si>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</si>
  <si>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</si>
  <si>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</si>
  <si>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</si>
  <si>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</si>
  <si>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</si>
  <si>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</si>
  <si>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</si>
  <si>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</si>
  <si>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</si>
  <si>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</si>
  <si>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</si>
  <si>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</si>
  <si>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</si>
  <si>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</si>
  <si>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</si>
  <si>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</si>
  <si>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</si>
  <si>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</si>
  <si>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</si>
  <si>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</si>
  <si>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</si>
  <si>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</si>
  <si>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</si>
  <si>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</si>
  <si>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</si>
  <si>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</si>
  <si>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</si>
  <si>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</si>
  <si>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</si>
  <si>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</si>
  <si>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</si>
  <si>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</si>
  <si>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</si>
  <si>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</si>
  <si>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</si>
  <si>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</si>
  <si>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</si>
  <si>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</si>
  <si>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</si>
  <si>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</si>
  <si>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</si>
  <si>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</si>
  <si>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</si>
  <si>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</si>
  <si>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</si>
  <si>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</si>
  <si>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</si>
  <si>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</si>
  <si>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</si>
  <si>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</si>
  <si>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</si>
  <si>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</si>
  <si>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</si>
  <si>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</si>
  <si>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</si>
  <si>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</si>
  <si>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</si>
  <si>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</si>
  <si>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</si>
  <si>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</si>
  <si>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</si>
  <si>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</si>
  <si>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</si>
  <si>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</si>
  <si>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</si>
  <si>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</si>
  <si>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</si>
  <si>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</si>
  <si>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</si>
  <si>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</si>
  <si>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</si>
  <si>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</si>
  <si>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</si>
  <si>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</si>
  <si>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</si>
  <si>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</si>
  <si>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</si>
  <si>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</si>
  <si>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</si>
  <si>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</si>
  <si>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</si>
  <si>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</si>
  <si>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</si>
  <si>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</si>
  <si>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</si>
  <si>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</si>
  <si>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</si>
  <si>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</si>
  <si>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</si>
  <si>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</si>
  <si>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</si>
  <si>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</si>
  <si>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</si>
  <si>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</si>
  <si>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</si>
  <si>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</si>
  <si>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</si>
  <si>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</si>
  <si>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</si>
  <si>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</si>
  <si>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</si>
  <si>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</si>
  <si>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</si>
  <si>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</si>
  <si>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</si>
  <si>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</si>
  <si>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</si>
  <si>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</si>
  <si>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</si>
  <si>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</si>
  <si>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</si>
  <si>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</si>
  <si>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</si>
  <si>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</si>
  <si>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</si>
  <si>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</si>
  <si>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</si>
  <si>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</si>
  <si>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</si>
  <si>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</si>
  <si>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</si>
  <si>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</si>
  <si>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</si>
  <si>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</si>
  <si>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</si>
  <si>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</si>
  <si>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</si>
  <si>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</si>
  <si>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</si>
  <si>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</si>
  <si>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</si>
  <si>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</si>
  <si>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</si>
  <si>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</si>
  <si>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</si>
  <si>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</si>
  <si>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</si>
  <si>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</si>
  <si>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</si>
  <si>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</si>
  <si>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</si>
  <si>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</si>
  <si>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</si>
  <si>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</si>
  <si>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</si>
  <si>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</si>
  <si>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</si>
  <si>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</si>
  <si>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</si>
  <si>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</si>
  <si>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</si>
  <si>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</si>
  <si>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</si>
  <si>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</si>
  <si>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</si>
  <si>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</si>
  <si>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</si>
  <si>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</si>
  <si>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</si>
  <si>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</si>
  <si>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</si>
  <si>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</si>
  <si>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</si>
  <si>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</si>
  <si>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</si>
  <si>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</si>
  <si>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</si>
  <si>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</si>
  <si>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</si>
  <si>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</si>
  <si>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</si>
  <si>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</si>
  <si>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</si>
  <si>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</si>
  <si>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</si>
  <si>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</si>
  <si>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</si>
  <si>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</si>
  <si>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</si>
  <si>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</si>
  <si>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</si>
  <si>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</si>
  <si>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</si>
  <si>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</si>
  <si>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</si>
  <si>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</si>
  <si>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</si>
  <si>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</si>
  <si>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</si>
  <si>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</si>
  <si>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</si>
  <si>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</si>
  <si>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</si>
  <si>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</si>
  <si>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</si>
  <si>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</si>
  <si>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</si>
  <si>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</si>
  <si>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</si>
  <si>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</si>
  <si>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</si>
  <si>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</si>
  <si>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</si>
  <si>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</si>
  <si>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</si>
  <si>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</si>
  <si>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</si>
  <si>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</si>
  <si>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</si>
  <si>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</si>
  <si>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</si>
  <si>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</si>
  <si>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</si>
  <si>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</si>
  <si>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</si>
  <si>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</si>
  <si>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</si>
  <si>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</si>
  <si>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</si>
  <si>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</si>
  <si>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</si>
  <si>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</si>
  <si>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</si>
  <si>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</si>
  <si>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</si>
  <si>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</si>
  <si>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</si>
  <si>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</si>
  <si>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</si>
  <si>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</si>
  <si>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</si>
  <si>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</si>
  <si>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</si>
  <si>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</si>
  <si>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</si>
  <si>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</si>
  <si>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</si>
  <si>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</si>
  <si>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</si>
  <si>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</si>
  <si>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</si>
  <si>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</si>
  <si>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</si>
  <si>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</si>
  <si>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</si>
  <si>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</si>
  <si>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</si>
  <si>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</si>
  <si>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</si>
  <si>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</si>
  <si>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</si>
  <si>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</si>
  <si>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</si>
  <si>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</si>
  <si>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</si>
  <si>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</si>
  <si>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</si>
  <si>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</si>
  <si>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</si>
  <si>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</si>
  <si>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</si>
  <si>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</si>
  <si>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</si>
  <si>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</si>
  <si>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</si>
  <si>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</si>
  <si>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</si>
  <si>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</si>
  <si>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</si>
  <si>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</si>
  <si>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</si>
  <si>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</si>
  <si>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</si>
  <si>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</si>
  <si>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</si>
  <si>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</si>
  <si>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</si>
  <si>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</si>
  <si>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</si>
  <si>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</si>
  <si>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</si>
  <si>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</si>
  <si>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</si>
  <si>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</si>
  <si>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</si>
  <si>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</si>
  <si>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</si>
  <si>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</si>
  <si>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</si>
  <si>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</si>
  <si>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</si>
  <si>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</si>
  <si>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</si>
  <si>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</si>
  <si>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</si>
  <si>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</si>
  <si>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</si>
  <si>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</si>
  <si>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</si>
  <si>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</si>
  <si>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</si>
  <si>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</si>
  <si>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</si>
  <si>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</si>
  <si>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</si>
  <si>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</si>
  <si>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</si>
  <si>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</si>
  <si>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</si>
  <si>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</si>
  <si>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</si>
  <si>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</si>
  <si>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</si>
  <si>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</si>
  <si>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</si>
  <si>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</si>
  <si>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</si>
  <si>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</si>
  <si>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</si>
  <si>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</si>
  <si>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</si>
  <si>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</si>
  <si>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</si>
  <si>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</si>
  <si>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</si>
  <si>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</si>
  <si>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</si>
  <si>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</si>
  <si>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</si>
  <si>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</si>
  <si>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</si>
  <si>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</si>
  <si>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</si>
  <si>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</si>
  <si>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</si>
  <si>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</si>
  <si>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</si>
  <si>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</si>
  <si>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</si>
  <si>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</si>
  <si>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</si>
  <si>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</si>
  <si>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</si>
  <si>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</si>
  <si>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</si>
  <si>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</si>
  <si>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</si>
  <si>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</si>
  <si>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</si>
  <si>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</si>
  <si>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</si>
  <si>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</si>
  <si>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</si>
  <si>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</si>
  <si>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</si>
  <si>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</si>
  <si>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</si>
  <si>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</si>
  <si>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</si>
  <si>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</si>
  <si>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</si>
  <si>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</si>
  <si>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</si>
  <si>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</si>
  <si>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</si>
  <si>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</si>
  <si>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</si>
  <si>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</si>
  <si>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</si>
  <si>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</si>
  <si>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</si>
  <si>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</si>
  <si>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</si>
  <si>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</si>
  <si>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</si>
  <si>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</si>
  <si>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</si>
  <si>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</si>
  <si>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</si>
  <si>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</si>
  <si>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</si>
  <si>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</si>
  <si>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</si>
  <si>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</si>
  <si>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</si>
  <si>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</si>
  <si>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</si>
  <si>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</si>
  <si>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</si>
  <si>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</si>
  <si>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</si>
  <si>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</si>
  <si>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</si>
  <si>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</si>
  <si>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</si>
  <si>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</si>
  <si>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</si>
  <si>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</si>
  <si>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</si>
  <si>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</si>
  <si>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</si>
  <si>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</si>
  <si>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</si>
  <si>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</si>
  <si>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</si>
  <si>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</si>
  <si>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</si>
  <si>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</si>
  <si>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</si>
  <si>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</si>
  <si>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</si>
  <si>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</si>
  <si>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</si>
  <si>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</si>
  <si>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</si>
  <si>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</si>
  <si>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</si>
  <si>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</si>
  <si>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</si>
  <si>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</si>
  <si>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</si>
  <si>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</si>
  <si>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</si>
  <si>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</si>
  <si>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</si>
  <si>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</si>
  <si>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</si>
  <si>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</si>
  <si>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</si>
  <si>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</si>
  <si>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</si>
  <si>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</si>
  <si>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</si>
  <si>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</si>
  <si>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</si>
  <si>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</si>
  <si>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</si>
  <si>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</si>
  <si>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</si>
  <si>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</si>
  <si>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</si>
  <si>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</si>
  <si>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</si>
  <si>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</si>
  <si>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</si>
  <si>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</si>
  <si>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</si>
  <si>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</si>
  <si>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</si>
  <si>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</si>
  <si>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</si>
  <si>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</si>
  <si>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</si>
  <si>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</si>
  <si>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</si>
  <si>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</si>
  <si>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</si>
  <si>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</si>
  <si>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</si>
  <si>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</si>
  <si>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</si>
  <si>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</si>
  <si>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</si>
  <si>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</si>
  <si>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</si>
  <si>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</si>
  <si>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</si>
  <si>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</si>
  <si>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</si>
  <si>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</si>
  <si>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</si>
  <si>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</si>
  <si>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</si>
  <si>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</si>
  <si>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</si>
  <si>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</si>
  <si>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</si>
  <si>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</si>
  <si>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</si>
  <si>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</si>
  <si>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</si>
  <si>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</si>
  <si>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</si>
  <si>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</si>
  <si>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</si>
  <si>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</si>
  <si>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</si>
  <si>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</si>
  <si>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</si>
  <si>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</si>
  <si>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</si>
  <si>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</si>
  <si>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</si>
  <si>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</si>
  <si>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</si>
  <si>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</si>
  <si>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</si>
  <si>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</si>
  <si>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</si>
  <si>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</si>
  <si>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</si>
  <si>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</si>
  <si>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</si>
  <si>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</si>
  <si>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</si>
  <si>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</si>
  <si>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</si>
  <si>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</si>
  <si>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</si>
  <si>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</si>
  <si>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</si>
  <si>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</si>
  <si>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</si>
  <si>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</si>
  <si>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</si>
  <si>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</si>
  <si>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</si>
  <si>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</si>
  <si>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</si>
  <si>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</si>
  <si>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</si>
  <si>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</si>
  <si>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</si>
  <si>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</si>
  <si>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</si>
  <si>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</si>
  <si>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</si>
  <si>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</si>
  <si>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</si>
  <si>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</si>
  <si>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</si>
  <si>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</si>
  <si>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</si>
  <si>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</si>
  <si>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</si>
  <si>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</si>
  <si>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</si>
  <si>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</si>
  <si>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</si>
  <si>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</si>
  <si>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</si>
  <si>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</si>
  <si>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</si>
  <si>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</si>
  <si>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</si>
  <si>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</si>
  <si>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</si>
  <si>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</si>
  <si>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</si>
  <si>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</si>
  <si>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</si>
  <si>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</si>
  <si>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</si>
  <si>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</si>
  <si>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</si>
  <si>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</si>
  <si>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</si>
  <si>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</si>
  <si>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</si>
  <si>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</si>
  <si>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</si>
  <si>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</si>
  <si>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</si>
  <si>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</si>
  <si>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</si>
  <si>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</si>
  <si>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</si>
  <si>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</si>
  <si>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</si>
  <si>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</si>
  <si>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</si>
  <si>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</si>
  <si>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</si>
  <si>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</si>
  <si>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</si>
  <si>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</si>
  <si>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</si>
  <si>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</si>
  <si>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</si>
  <si>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</si>
  <si>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</si>
  <si>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</si>
  <si>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</si>
  <si>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</si>
  <si>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</si>
  <si>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</si>
  <si>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</si>
  <si>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</si>
  <si>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</si>
  <si>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</si>
  <si>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</si>
  <si>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</si>
  <si>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</si>
  <si>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</si>
  <si>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</si>
  <si>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</si>
  <si>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</si>
  <si>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</si>
  <si>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</si>
  <si>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</si>
  <si>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</si>
  <si>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</si>
  <si>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</si>
  <si>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</si>
  <si>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</si>
  <si>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</si>
  <si>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</si>
  <si>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</si>
  <si>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</si>
  <si>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</si>
  <si>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</si>
  <si>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</si>
  <si>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</si>
  <si>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</si>
  <si>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</si>
  <si>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</si>
  <si>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</si>
  <si>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</si>
  <si>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</si>
  <si>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</si>
  <si>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</si>
  <si>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</si>
  <si>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</si>
  <si>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</si>
  <si>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</si>
  <si>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</si>
  <si>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</si>
  <si>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</si>
  <si>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</si>
  <si>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</si>
  <si>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</si>
  <si>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</si>
  <si>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</si>
  <si>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</si>
  <si>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</si>
  <si>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</si>
  <si>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</si>
  <si>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</si>
  <si>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</si>
  <si>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</si>
  <si>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</si>
  <si>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</si>
  <si>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</si>
  <si>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</si>
  <si>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</si>
  <si>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</si>
  <si>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</si>
  <si>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</si>
  <si>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</si>
  <si>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</si>
  <si>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</si>
  <si>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</si>
  <si>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</si>
  <si>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</si>
  <si>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</si>
  <si>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</si>
  <si>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</si>
  <si>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</si>
  <si>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</si>
  <si>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</si>
  <si>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</si>
  <si>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</si>
  <si>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</si>
  <si>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</si>
  <si>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</si>
  <si>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</si>
  <si>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</si>
  <si>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</si>
  <si>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</si>
  <si>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</si>
  <si>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</si>
  <si>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</si>
  <si>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</si>
  <si>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</si>
  <si>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</si>
  <si>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</si>
  <si>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</si>
  <si>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</si>
  <si>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</si>
  <si>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</si>
  <si>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</si>
  <si>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</si>
  <si>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</si>
  <si>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</si>
  <si>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</si>
  <si>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</si>
  <si>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</si>
  <si>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</si>
  <si>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</si>
  <si>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</si>
  <si>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</si>
  <si>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</si>
  <si>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</si>
  <si>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</si>
  <si>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</si>
  <si>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</si>
  <si>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</si>
  <si>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</si>
  <si>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</si>
  <si>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</si>
  <si>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</si>
  <si>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</si>
  <si>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</si>
  <si>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</si>
  <si>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</si>
  <si>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</si>
  <si>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</si>
  <si>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</si>
  <si>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</si>
  <si>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</si>
  <si>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</si>
  <si>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</si>
  <si>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</si>
  <si>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</si>
  <si>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</si>
  <si>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</si>
  <si>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</si>
  <si>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</si>
  <si>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</si>
  <si>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</si>
  <si>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</si>
  <si>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</si>
  <si>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</si>
  <si>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</si>
  <si>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</si>
  <si>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</si>
  <si>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</si>
  <si>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</si>
  <si>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</si>
  <si>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</si>
  <si>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</si>
  <si>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</si>
  <si>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</si>
  <si>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</si>
  <si>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</si>
  <si>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</si>
  <si>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</si>
  <si>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</si>
  <si>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</si>
  <si>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</si>
  <si>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</si>
  <si>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</si>
  <si>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</si>
  <si>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</si>
  <si>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</si>
  <si>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</si>
  <si>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</si>
  <si>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</si>
  <si>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</si>
  <si>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</si>
  <si>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</si>
  <si>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</si>
  <si>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</si>
  <si>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</si>
  <si>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</si>
  <si>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</si>
  <si>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</si>
  <si>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</si>
  <si>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</si>
  <si>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</si>
  <si>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</si>
  <si>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</si>
  <si>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</si>
  <si>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</si>
  <si>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</si>
  <si>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</si>
  <si>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</si>
  <si>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</si>
  <si>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</si>
  <si>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</si>
  <si>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</si>
  <si>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</si>
  <si>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</si>
  <si>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</si>
  <si>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</si>
  <si>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</si>
  <si>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</si>
  <si>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</si>
  <si>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</si>
  <si>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</si>
  <si>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</si>
  <si>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</si>
  <si>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</si>
  <si>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</si>
  <si>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</si>
  <si>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</si>
  <si>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</si>
  <si>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</si>
  <si>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</si>
  <si>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</si>
  <si>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</si>
  <si>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</si>
  <si>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</si>
  <si>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</si>
  <si>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</si>
  <si>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</si>
  <si>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</si>
  <si>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</si>
  <si>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</si>
  <si>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</si>
  <si>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</si>
  <si>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</si>
  <si>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</si>
  <si>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</si>
  <si>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</si>
  <si>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</si>
  <si>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</si>
  <si>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</si>
  <si>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</si>
  <si>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</si>
  <si>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</si>
  <si>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</si>
  <si>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</si>
  <si>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</si>
  <si>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</si>
  <si>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</si>
  <si>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</si>
  <si>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</si>
  <si>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</si>
  <si>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</si>
  <si>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</si>
  <si>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</si>
  <si>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</si>
  <si>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</si>
  <si>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</si>
  <si>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</si>
  <si>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</si>
  <si>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</si>
  <si>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</si>
  <si>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</si>
  <si>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</si>
  <si>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</si>
  <si>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</si>
  <si>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</si>
  <si>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</si>
  <si>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</si>
  <si>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</si>
  <si>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</si>
  <si>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</si>
  <si>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</si>
  <si>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</si>
  <si>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</si>
  <si>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</si>
  <si>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</si>
  <si>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</si>
  <si>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</si>
  <si>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</si>
  <si>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</si>
  <si>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</si>
  <si>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</si>
  <si>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</si>
  <si>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</si>
  <si>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</si>
  <si>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</si>
  <si>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</si>
  <si>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</si>
  <si>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</si>
  <si>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</si>
  <si>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</si>
  <si>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</si>
  <si>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</si>
  <si>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</si>
  <si>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</si>
  <si>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</si>
  <si>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</si>
  <si>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</si>
  <si>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</si>
  <si>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</si>
  <si>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</si>
  <si>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</si>
  <si>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</si>
  <si>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</si>
  <si>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</si>
  <si>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</si>
  <si>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</si>
  <si>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</si>
  <si>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</si>
  <si>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</si>
  <si>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</si>
  <si>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</si>
  <si>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</si>
  <si>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</si>
  <si>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</si>
  <si>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</si>
  <si>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</si>
  <si>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</si>
  <si>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</si>
  <si>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</si>
  <si>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</si>
  <si>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</si>
  <si>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</si>
  <si>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</si>
  <si>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</si>
  <si>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</si>
  <si>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</si>
  <si>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</si>
  <si>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</si>
  <si>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</si>
  <si>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</si>
  <si>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</si>
  <si>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</si>
  <si>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</si>
  <si>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</si>
  <si>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</si>
  <si>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</si>
  <si>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</si>
  <si>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</si>
  <si>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</si>
  <si>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</si>
  <si>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</si>
  <si>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</si>
  <si>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</si>
  <si>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</si>
  <si>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</si>
  <si>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</si>
  <si>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</si>
  <si>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</si>
  <si>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</si>
  <si>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</si>
  <si>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</si>
  <si>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</si>
  <si>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</si>
  <si>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</si>
  <si>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</si>
  <si>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</si>
  <si>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</si>
  <si>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</si>
  <si>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</si>
  <si>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</si>
  <si>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</si>
  <si>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</si>
  <si>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</si>
  <si>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</si>
  <si>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</si>
  <si>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</si>
  <si>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</si>
  <si>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</si>
  <si>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</si>
  <si>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</si>
  <si>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</si>
  <si>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</si>
  <si>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</si>
  <si>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</si>
  <si>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</si>
  <si>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</si>
  <si>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</si>
  <si>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</si>
  <si>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</si>
  <si>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</si>
  <si>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</si>
  <si>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</si>
  <si>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</si>
  <si>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</si>
  <si>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</si>
  <si>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</si>
  <si>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</si>
  <si>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</si>
  <si>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</si>
  <si>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</si>
  <si>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</si>
  <si>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</si>
  <si>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</si>
  <si>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</si>
  <si>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</si>
  <si>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</si>
  <si>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</si>
  <si>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</si>
  <si>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</si>
  <si>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</si>
  <si>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</si>
  <si>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</si>
  <si>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</si>
  <si>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</si>
  <si>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</si>
  <si>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</si>
  <si>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</si>
  <si>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</si>
  <si>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</si>
  <si>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</si>
  <si>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</si>
  <si>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</si>
  <si>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</si>
  <si>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</si>
  <si>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</si>
  <si>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</si>
  <si>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</si>
  <si>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</si>
  <si>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</si>
  <si>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</si>
  <si>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</si>
  <si>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</si>
  <si>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</si>
  <si>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</si>
  <si>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</si>
  <si>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</si>
  <si>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</si>
  <si>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</si>
  <si>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</si>
  <si>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</si>
  <si>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</si>
  <si>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</si>
  <si>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</si>
  <si>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</si>
  <si>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</si>
  <si>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</si>
  <si>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</si>
  <si>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</si>
  <si>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</si>
  <si>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</si>
  <si>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</si>
  <si>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</si>
  <si>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</si>
  <si>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</si>
  <si>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</si>
  <si>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</si>
  <si>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</si>
  <si>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</si>
  <si>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</si>
  <si>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</si>
  <si>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</si>
  <si>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</si>
  <si>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</si>
  <si>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</si>
  <si>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</si>
  <si>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</si>
  <si>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</si>
  <si>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</si>
  <si>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</si>
  <si>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</si>
  <si>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</si>
  <si>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</si>
  <si>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</si>
  <si>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</si>
  <si>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</si>
  <si>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</si>
  <si>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</si>
  <si>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</si>
  <si>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</si>
  <si>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</si>
  <si>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</si>
  <si>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</si>
  <si>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</si>
  <si>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</si>
  <si>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</si>
  <si>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</si>
  <si>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</si>
  <si>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</si>
  <si>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</si>
  <si>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</si>
  <si>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</si>
  <si>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</si>
  <si>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</si>
  <si>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</si>
  <si>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</si>
  <si>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</si>
  <si>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</si>
  <si>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</si>
  <si>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</si>
  <si>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</si>
  <si>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</si>
  <si>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</si>
  <si>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</si>
  <si>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</si>
  <si>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</si>
  <si>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</si>
  <si>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</si>
  <si>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</si>
  <si>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</si>
  <si>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</si>
  <si>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</si>
  <si>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</si>
  <si>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</si>
  <si>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</si>
  <si>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</si>
  <si>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</si>
  <si>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</si>
  <si>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</si>
  <si>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</si>
  <si>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</si>
  <si>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</si>
  <si>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</si>
  <si>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</si>
  <si>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</si>
  <si>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</si>
  <si>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</si>
  <si>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</si>
  <si>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</si>
  <si>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</si>
  <si>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</si>
  <si>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</si>
  <si>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</si>
  <si>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</si>
  <si>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</si>
  <si>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</si>
  <si>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</si>
  <si>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</si>
  <si>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</si>
  <si>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</si>
  <si>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</si>
  <si>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</si>
  <si>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</si>
  <si>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</si>
  <si>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</si>
  <si>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</si>
  <si>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</si>
  <si>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</si>
  <si>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</si>
  <si>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</si>
  <si>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</si>
  <si>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</si>
  <si>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</si>
  <si>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</si>
  <si>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</si>
  <si>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</si>
  <si>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</si>
  <si>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</si>
  <si>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</si>
  <si>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</si>
  <si>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</si>
  <si>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</si>
  <si>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</si>
  <si>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</si>
  <si>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</si>
  <si>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</si>
  <si>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</si>
  <si>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</si>
  <si>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</si>
  <si>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</si>
  <si>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</si>
  <si>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</si>
  <si>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</si>
  <si>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</si>
  <si>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</si>
  <si>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</si>
  <si>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</si>
  <si>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</si>
  <si>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</si>
  <si>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</si>
  <si>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</si>
  <si>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</si>
  <si>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</si>
  <si>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</si>
  <si>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</si>
  <si>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</si>
  <si>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</si>
  <si>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</si>
  <si>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</si>
  <si>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</si>
  <si>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</si>
  <si>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</si>
  <si>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</si>
  <si>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</si>
  <si>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</si>
  <si>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</si>
  <si>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</si>
  <si>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</si>
  <si>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</si>
  <si>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</si>
  <si>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</si>
  <si>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</si>
  <si>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</si>
  <si>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</si>
  <si>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</si>
  <si>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</si>
  <si>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</si>
  <si>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</si>
  <si>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</si>
  <si>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</si>
  <si>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</si>
  <si>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</si>
  <si>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</si>
  <si>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</si>
  <si>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</si>
  <si>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</si>
  <si>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</si>
  <si>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</si>
  <si>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</si>
  <si>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</si>
  <si>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</si>
  <si>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</si>
  <si>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</si>
  <si>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</si>
  <si>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</si>
  <si>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</si>
  <si>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</si>
  <si>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</si>
  <si>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</si>
  <si>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</si>
  <si>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</si>
  <si>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</si>
  <si>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</si>
  <si>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</si>
  <si>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</si>
  <si>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</si>
  <si>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</si>
  <si>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</si>
  <si>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</si>
  <si>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</si>
  <si>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</si>
  <si>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</si>
  <si>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</si>
  <si>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</si>
  <si>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</si>
  <si>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</si>
  <si>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</si>
  <si>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</si>
  <si>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</si>
  <si>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</si>
  <si>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</si>
  <si>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</si>
  <si>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</si>
  <si>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</si>
  <si>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</si>
  <si>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</si>
  <si>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</si>
  <si>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</si>
  <si>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</si>
  <si>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</si>
  <si>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</si>
  <si>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</si>
  <si>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</si>
  <si>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</si>
  <si>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</si>
  <si>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</si>
  <si>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</si>
  <si>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</si>
  <si>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</si>
  <si>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</si>
  <si>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</si>
  <si>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</si>
  <si>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</si>
  <si>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</si>
  <si>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</si>
  <si>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</si>
  <si>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</si>
  <si>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</si>
  <si>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</si>
  <si>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</si>
  <si>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</si>
  <si>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</si>
  <si>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</si>
  <si>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</si>
  <si>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</si>
  <si>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</si>
  <si>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</si>
  <si>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</si>
  <si>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</si>
  <si>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</si>
  <si>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</si>
  <si>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</si>
  <si>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</si>
  <si>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</si>
  <si>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</si>
  <si>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</si>
  <si>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</si>
  <si>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</si>
  <si>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</si>
  <si>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</si>
  <si>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</si>
  <si>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</si>
  <si>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</si>
  <si>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</si>
  <si>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</si>
  <si>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</si>
  <si>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</si>
  <si>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</si>
  <si>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</si>
  <si>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</si>
  <si>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</si>
  <si>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</si>
  <si>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</si>
  <si>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</si>
  <si>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</si>
  <si>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</si>
  <si>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</si>
  <si>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</si>
  <si>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</si>
  <si>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</si>
  <si>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</si>
  <si>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</si>
  <si>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</si>
  <si>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</si>
  <si>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</si>
  <si>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</si>
  <si>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</si>
  <si>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</si>
  <si>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</si>
  <si>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</si>
  <si>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</si>
  <si>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</si>
  <si>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</si>
  <si>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</si>
  <si>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</si>
  <si>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</si>
  <si>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</si>
  <si>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</si>
  <si>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</si>
  <si>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</si>
  <si>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</si>
  <si>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</si>
  <si>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</si>
  <si>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</si>
  <si>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</si>
  <si>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</si>
  <si>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</si>
  <si>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</si>
  <si>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</si>
  <si>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</si>
  <si>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</si>
  <si>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</si>
  <si>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</si>
  <si>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</si>
  <si>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</si>
  <si>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</si>
  <si>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</si>
  <si>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</si>
  <si>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</si>
  <si>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</si>
  <si>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</si>
  <si>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</si>
  <si>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</si>
  <si>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</si>
  <si>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</si>
  <si>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</si>
  <si>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</si>
  <si>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</si>
  <si>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</si>
  <si>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</si>
  <si>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</si>
  <si>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</si>
  <si>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</si>
  <si>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</si>
  <si>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</si>
  <si>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</si>
  <si>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</si>
  <si>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</si>
  <si>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</si>
  <si>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</si>
  <si>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</si>
  <si>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</si>
  <si>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</si>
  <si>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</si>
  <si>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</si>
  <si>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</si>
  <si>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</si>
  <si>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</si>
  <si>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</si>
  <si>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</si>
  <si>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</si>
  <si>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</si>
  <si>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</si>
  <si>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</si>
  <si>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</si>
  <si>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</si>
  <si>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</si>
  <si>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</si>
  <si>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</si>
  <si>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</si>
  <si>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</si>
  <si>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</si>
  <si>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</si>
  <si>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</si>
  <si>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</si>
  <si>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</si>
  <si>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</si>
  <si>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</si>
  <si>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</si>
  <si>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</si>
  <si>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</si>
  <si>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</si>
  <si>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</si>
  <si>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</si>
  <si>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</si>
  <si>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</si>
  <si>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</si>
  <si>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</si>
  <si>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</si>
  <si>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</si>
  <si>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</si>
  <si>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</si>
  <si>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</si>
  <si>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</si>
  <si>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</si>
  <si>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</si>
  <si>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</si>
  <si>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</si>
  <si>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</si>
  <si>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</si>
  <si>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</si>
  <si>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</si>
  <si>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</si>
  <si>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</si>
  <si>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</si>
  <si>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</si>
  <si>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</si>
  <si>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</si>
  <si>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</si>
  <si>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</si>
  <si>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</si>
  <si>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</si>
  <si>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</si>
  <si>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</si>
  <si>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</si>
  <si>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</si>
  <si>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</si>
  <si>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</si>
  <si>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</si>
  <si>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</si>
  <si>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</si>
  <si>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</si>
  <si>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</si>
  <si>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</si>
  <si>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</si>
  <si>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</si>
  <si>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</si>
  <si>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</si>
  <si>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</si>
  <si>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</si>
  <si>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</si>
  <si>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</si>
  <si>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</si>
  <si>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</si>
  <si>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</si>
  <si>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</si>
  <si>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</si>
  <si>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</si>
  <si>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</si>
  <si>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</si>
  <si>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</si>
  <si>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</si>
  <si>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</si>
  <si>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</si>
  <si>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</si>
  <si>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</si>
  <si>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</si>
  <si>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</si>
  <si>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</si>
  <si>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</si>
  <si>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</si>
  <si>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</si>
  <si>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</si>
  <si>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</si>
  <si>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</si>
  <si>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</si>
  <si>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</si>
  <si>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</si>
  <si>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</si>
  <si>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</si>
  <si>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</si>
  <si>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</si>
  <si>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</si>
  <si>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</si>
  <si>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</si>
  <si>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</si>
  <si>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</si>
  <si>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</si>
  <si>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</si>
  <si>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</si>
  <si>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</si>
  <si>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</si>
  <si>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</si>
  <si>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</si>
  <si>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</si>
  <si>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</si>
  <si>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</si>
  <si>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</si>
  <si>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</si>
  <si>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</si>
  <si>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</si>
  <si>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</si>
  <si>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</si>
  <si>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</si>
  <si>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</si>
  <si>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</si>
  <si>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</si>
  <si>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</si>
  <si>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</si>
  <si>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</si>
  <si>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</si>
  <si>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</si>
  <si>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</si>
  <si>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</si>
  <si>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</si>
  <si>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</si>
  <si>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</si>
  <si>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</si>
  <si>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</si>
  <si>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</si>
  <si>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</si>
  <si>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</si>
  <si>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</si>
  <si>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</si>
  <si>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</si>
  <si>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</si>
  <si>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</si>
  <si>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</si>
  <si>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</si>
  <si>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</si>
  <si>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</si>
  <si>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</si>
  <si>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</si>
  <si>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</si>
  <si>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</si>
  <si>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</si>
  <si>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</si>
  <si>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</si>
  <si>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</si>
  <si>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</si>
  <si>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</si>
  <si>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</si>
  <si>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</si>
  <si>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</si>
  <si>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</si>
  <si>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</si>
  <si>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</si>
  <si>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</si>
  <si>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</si>
  <si>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</si>
  <si>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</si>
  <si>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</si>
  <si>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</si>
  <si>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</si>
  <si>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</si>
  <si>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</si>
  <si>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</si>
  <si>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</si>
  <si>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</si>
  <si>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</si>
  <si>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</si>
  <si>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</si>
  <si>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</si>
  <si>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</si>
  <si>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</si>
  <si>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</si>
  <si>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</si>
  <si>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</si>
  <si>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</si>
  <si>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</si>
  <si>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</si>
  <si>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</si>
  <si>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</si>
  <si>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</si>
  <si>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</si>
  <si>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</si>
  <si>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</si>
  <si>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</si>
  <si>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</si>
  <si>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</si>
  <si>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</si>
  <si>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</si>
  <si>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</si>
  <si>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</si>
  <si>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</si>
  <si>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</si>
  <si>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</si>
  <si>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</si>
  <si>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</si>
  <si>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</si>
  <si>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</si>
  <si>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</si>
  <si>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</si>
  <si>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</si>
  <si>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</si>
  <si>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</si>
  <si>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</si>
  <si>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</si>
  <si>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</si>
  <si>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</si>
  <si>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</si>
  <si>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</si>
  <si>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</si>
  <si>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</si>
  <si>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</si>
  <si>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</si>
  <si>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</si>
  <si>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</si>
  <si>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</si>
  <si>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</si>
  <si>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</si>
  <si>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</si>
  <si>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</si>
  <si>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</si>
  <si>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</si>
  <si>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</si>
  <si>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</si>
  <si>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</si>
  <si>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</si>
  <si>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</si>
  <si>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</si>
  <si>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</si>
  <si>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</si>
  <si>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</si>
  <si>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</si>
  <si>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</si>
  <si>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</si>
  <si>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</si>
  <si>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</si>
  <si>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</si>
  <si>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</si>
  <si>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</si>
  <si>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</si>
  <si>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</si>
  <si>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</si>
  <si>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</si>
  <si>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</si>
  <si>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</si>
  <si>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</si>
  <si>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</si>
  <si>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</si>
  <si>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</si>
  <si>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</si>
  <si>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</si>
  <si>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</si>
  <si>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</si>
  <si>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</si>
  <si>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</si>
  <si>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</si>
  <si>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</si>
  <si>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</si>
  <si>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</si>
  <si>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</si>
  <si>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</si>
  <si>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</si>
  <si>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</si>
  <si>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</si>
  <si>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</si>
  <si>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</si>
  <si>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</si>
  <si>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</si>
  <si>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</si>
  <si>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</si>
  <si>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</si>
  <si>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</si>
  <si>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</si>
  <si>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</si>
  <si>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</si>
  <si>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</si>
  <si>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</si>
  <si>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</si>
  <si>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</si>
  <si>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</si>
  <si>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</si>
  <si>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</si>
  <si>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</si>
  <si>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</si>
  <si>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</si>
  <si>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</si>
  <si>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</si>
  <si>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</si>
  <si>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</si>
  <si>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</si>
  <si>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</si>
  <si>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</si>
  <si>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</si>
  <si>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</si>
  <si>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</si>
  <si>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</si>
  <si>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</si>
  <si>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</si>
  <si>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</si>
  <si>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</si>
  <si>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</si>
  <si>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</si>
  <si>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</si>
  <si>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</si>
  <si>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</si>
  <si>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</si>
  <si>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</si>
  <si>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</si>
  <si>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</si>
  <si>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</si>
  <si>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</si>
  <si>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</si>
  <si>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</si>
  <si>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</si>
  <si>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</si>
  <si>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</si>
  <si>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</si>
  <si>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</si>
  <si>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</si>
  <si>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</si>
  <si>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</si>
  <si>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</si>
  <si>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</si>
  <si>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</si>
  <si>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</si>
  <si>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</si>
  <si>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</si>
  <si>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</si>
  <si>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</si>
  <si>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</si>
  <si>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</si>
  <si>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</si>
  <si>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</si>
  <si>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</si>
  <si>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</si>
  <si>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</si>
  <si>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</si>
  <si>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</si>
  <si>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</si>
  <si>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</si>
  <si>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</si>
  <si>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</si>
  <si>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</si>
  <si>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</si>
  <si>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</si>
  <si>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</si>
  <si>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</si>
  <si>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</si>
  <si>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</si>
  <si>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</si>
  <si>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</si>
  <si>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</si>
  <si>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</si>
  <si>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</si>
  <si>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</si>
  <si>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</si>
  <si>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</si>
  <si>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</si>
  <si>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</si>
  <si>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</si>
  <si>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</si>
  <si>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</si>
  <si>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</si>
  <si>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</si>
  <si>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</si>
  <si>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</si>
  <si>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</si>
  <si>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</si>
  <si>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</si>
  <si>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</si>
  <si>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</si>
  <si>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</si>
  <si>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</si>
  <si>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</si>
  <si>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</si>
  <si>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</si>
  <si>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</si>
  <si>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</si>
  <si>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</si>
  <si>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</si>
  <si>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</si>
  <si>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</si>
  <si>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</si>
  <si>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</si>
  <si>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</si>
  <si>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</si>
  <si>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</si>
  <si>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</si>
  <si>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</si>
  <si>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</si>
  <si>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</si>
  <si>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</si>
  <si>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</si>
  <si>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</si>
  <si>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</si>
  <si>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</si>
  <si>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</si>
  <si>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</si>
  <si>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</si>
  <si>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</si>
  <si>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</si>
  <si>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</si>
  <si>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10 Rue du Grand Launay</t>
  </si>
  <si>
    <t>https://maps.app.goo.gl/ZB7EoAbkDh1u5HFp8</t>
  </si>
  <si>
    <t>02 - 03</t>
  </si>
  <si>
    <t>10 - 11</t>
  </si>
  <si>
    <t>22</t>
  </si>
  <si>
    <t>29 - 30</t>
  </si>
  <si>
    <t>34</t>
  </si>
  <si>
    <t>43</t>
  </si>
  <si>
    <t>44</t>
  </si>
  <si>
    <t>48A</t>
  </si>
  <si>
    <t>49</t>
  </si>
  <si>
    <t>51 - 52</t>
  </si>
  <si>
    <t>54</t>
  </si>
  <si>
    <t>56 - 57</t>
  </si>
  <si>
    <t>59</t>
  </si>
  <si>
    <t>70</t>
  </si>
  <si>
    <t>3,1 M de flux/an avec 67 boutiques. 22 000 m² de surface de la galerie. 1 500 places de parking. Rénovation du centre en 2013.</t>
  </si>
  <si>
    <t>Carrol, Nocibé, Promod, Adopt, Histoire d'Or, Pharmacie, Normal</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</si>
  <si>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</si>
  <si>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</si>
  <si>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</si>
  <si>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</si>
  <si>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</si>
  <si>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</si>
  <si>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</si>
  <si>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</si>
  <si>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</si>
  <si>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</si>
  <si>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</si>
  <si>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</si>
  <si>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</si>
  <si>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</si>
  <si>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</si>
  <si>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</si>
  <si>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</si>
  <si>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</si>
  <si>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</si>
  <si>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</si>
  <si>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</si>
  <si>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</si>
  <si>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</si>
  <si>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</si>
  <si>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</si>
  <si>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</si>
  <si>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</si>
  <si>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</si>
  <si>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</si>
  <si>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</si>
  <si>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</si>
  <si>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</si>
  <si>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</si>
  <si>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3,1 M de flux/an avec 67 boutiques. Cellule située au 1er étage. 22 000 m² de surface de la galerie. 1 500 places de parking. Rénovation du centre en 2013.</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</si>
  <si>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</si>
  <si>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</si>
  <si>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</si>
  <si>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</si>
  <si>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</si>
  <si>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</si>
  <si>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</si>
  <si>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</si>
  <si>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</si>
  <si>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</si>
  <si>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</si>
  <si>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</si>
  <si>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</si>
  <si>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</si>
  <si>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</si>
  <si>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</si>
  <si>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</si>
  <si>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</si>
  <si>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390 Rue Jean Marie Tjibaou</t>
  </si>
  <si>
    <t>9 - 10</t>
  </si>
  <si>
    <t>12 - 13 - 14</t>
  </si>
  <si>
    <t>20 - 21</t>
  </si>
  <si>
    <t>22 - 23 - 24</t>
  </si>
  <si>
    <t>25</t>
  </si>
  <si>
    <t>27 - 28</t>
  </si>
  <si>
    <t>31 - 32</t>
  </si>
  <si>
    <t>33 - 34 - 35 - 36</t>
  </si>
  <si>
    <t>38</t>
  </si>
  <si>
    <t>41 - 42</t>
  </si>
  <si>
    <t>Action pharmacie, optique, services</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</si>
  <si>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</si>
  <si>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</si>
  <si>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</si>
  <si>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</si>
  <si>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</si>
  <si>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</si>
  <si>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</si>
  <si>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</si>
  <si>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</si>
  <si>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</si>
  <si>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</si>
  <si>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</si>
  <si>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</si>
  <si>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</si>
  <si>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</si>
  <si>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</si>
  <si>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</si>
  <si>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</si>
  <si>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</si>
  <si>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</si>
  <si>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</si>
  <si>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</si>
  <si>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</si>
  <si>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</si>
  <si>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</si>
  <si>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</si>
  <si>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</si>
  <si>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</si>
  <si>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</si>
  <si>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</si>
  <si>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</si>
  <si>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</si>
  <si>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</si>
  <si>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</si>
  <si>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</si>
  <si>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</si>
  <si>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</si>
  <si>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</si>
  <si>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</si>
  <si>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</si>
  <si>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</si>
  <si>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</si>
  <si>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</si>
  <si>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</si>
  <si>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</si>
  <si>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</si>
  <si>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</si>
  <si>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</si>
  <si>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</si>
  <si>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</si>
  <si>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</si>
  <si>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</si>
  <si>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</si>
  <si>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</si>
  <si>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</si>
  <si>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</si>
  <si>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</si>
  <si>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</si>
  <si>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</si>
  <si>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</si>
  <si>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</si>
  <si>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</si>
  <si>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</si>
  <si>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</si>
  <si>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</si>
  <si>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</si>
  <si>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</si>
  <si>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</si>
  <si>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</si>
  <si>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</si>
  <si>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</si>
  <si>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</si>
  <si>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</si>
  <si>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</si>
  <si>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</si>
  <si>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</si>
  <si>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</si>
  <si>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</si>
  <si>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</si>
  <si>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Auchan, 1 Rue de Longeville</t>
  </si>
  <si>
    <t>89.1</t>
  </si>
  <si>
    <t>89.2</t>
  </si>
  <si>
    <t>89.3</t>
  </si>
  <si>
    <t>89.4</t>
  </si>
  <si>
    <t>47.016321</t>
  </si>
  <si>
    <t>4.838673</t>
  </si>
  <si>
    <t>47.016195</t>
  </si>
  <si>
    <t>4.838646</t>
  </si>
  <si>
    <t>47.016138</t>
  </si>
  <si>
    <t>4.837680</t>
  </si>
  <si>
    <t>47.016142</t>
  </si>
  <si>
    <t>4.838048</t>
  </si>
  <si>
    <t>Beaune St-Jacques, 9 Av. du Général de Gaulle</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</si>
  <si>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</si>
  <si>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</si>
  <si>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</si>
  <si>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</si>
  <si>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</si>
  <si>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</si>
  <si>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</si>
  <si>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</si>
  <si>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</si>
  <si>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</si>
  <si>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</si>
  <si>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</si>
  <si>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</si>
  <si>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</si>
  <si>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</si>
  <si>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</si>
  <si>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</si>
  <si>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</si>
  <si>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</si>
  <si>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Hyper à 100 M€ HT de CA</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</si>
  <si>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</si>
  <si>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</si>
  <si>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</si>
  <si>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</si>
  <si>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</si>
  <si>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</si>
  <si>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</si>
  <si>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</si>
  <si>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</si>
  <si>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</si>
  <si>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</si>
  <si>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</si>
  <si>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</si>
  <si>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</si>
  <si>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</si>
  <si>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</si>
  <si>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</si>
  <si>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</si>
  <si>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</si>
  <si>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</si>
  <si>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</si>
  <si>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</si>
  <si>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</si>
  <si>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</si>
  <si>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</si>
  <si>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</si>
  <si>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</si>
  <si>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</si>
  <si>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</si>
  <si>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</si>
  <si>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</si>
  <si>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</si>
  <si>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</si>
  <si>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</si>
  <si>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</si>
  <si>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</si>
  <si>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</si>
  <si>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</si>
  <si>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</si>
  <si>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</si>
  <si>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</si>
  <si>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</si>
  <si>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</si>
  <si>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</si>
  <si>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</si>
  <si>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</si>
  <si>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</si>
  <si>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</si>
  <si>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</si>
  <si>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https://pub-843c46afc4cb41489909bce00c9b143d.r2.dev/91.1%20-%20Ch%C3%A2tellerault/1.jpg; https://pub-843c46afc4cb41489909bce00c9b143d.r2.dev/91.1%20-%20Ch%C3%A2tellerault/1.jpg; https://pub-843c46afc4cb41489909bce00c9b143d.r2.dev/91.1%20-%20Ch%C3%A2tellerault/1.jpg; https://pub-843c46afc4cb41489909bce00c9b143d.r2.dev/91.1%20-%20Ch%C3%A2tellerault/1.jpg; https://pub-843c46afc4cb41489909bce00c9b143d.r2.dev/91.1%20-%20Ch%C3%A2tellerault/5%20Plan%20du%20Centre.jpg</t>
  </si>
  <si>
    <t>Auchan 26 Av. Jean Moulin</t>
  </si>
  <si>
    <t>46.797511</t>
  </si>
  <si>
    <t>0.531405</t>
  </si>
  <si>
    <t>91.15</t>
  </si>
  <si>
    <t>https://maps.app.goo.gl/fZZw5jPfwTLEadoe7</t>
  </si>
  <si>
    <t>Chelles</t>
  </si>
  <si>
    <t>Centre Terre Ciel (Chelles 2) Avenue du Gendarme Castermant</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</si>
  <si>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</si>
  <si>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</si>
  <si>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</si>
  <si>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</si>
  <si>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</si>
  <si>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</si>
  <si>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</si>
  <si>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</si>
  <si>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</si>
  <si>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</si>
  <si>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</si>
  <si>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</si>
  <si>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</si>
  <si>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</si>
  <si>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</si>
  <si>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</si>
  <si>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</si>
  <si>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</si>
  <si>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</si>
  <si>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</si>
  <si>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</si>
  <si>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</si>
  <si>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</si>
  <si>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</si>
  <si>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</si>
  <si>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</si>
  <si>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</si>
  <si>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</si>
  <si>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</si>
  <si>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</si>
  <si>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</si>
  <si>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</si>
  <si>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</si>
  <si>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</si>
  <si>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</si>
  <si>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</si>
  <si>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</si>
  <si>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</si>
  <si>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</si>
  <si>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</si>
  <si>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</si>
  <si>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</si>
  <si>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</si>
  <si>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</si>
  <si>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</si>
  <si>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</si>
  <si>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</si>
  <si>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</si>
  <si>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</si>
  <si>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</si>
  <si>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</si>
  <si>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</si>
  <si>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Cc Terre Neuve, Route De Guéret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</si>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</sst>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361" totalsRowShown="0" headerRowCellStyle="Normal 2" dataCellStyle="Normal 2">
  <autoFilter ref="A1:AX36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table" Target="../tables/table1.xm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223" Type="http://schemas.openxmlformats.org/officeDocument/2006/relationships/hyperlink" Target="https://maps.app.goo.gl/ZB7EoAbkDh1u5HFp8" TargetMode="External"/><Relationship Id="rId228" Type="http://schemas.openxmlformats.org/officeDocument/2006/relationships/hyperlink" Target="https://maps.app.goo.gl/Xe5mVhv32b2SqSBH7" TargetMode="External"/><Relationship Id="rId244" Type="http://schemas.openxmlformats.org/officeDocument/2006/relationships/hyperlink" Target="https://maps.app.goo.gl/fZZw5jPfwTLEadoe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65" Type="http://schemas.openxmlformats.org/officeDocument/2006/relationships/hyperlink" Target="https://maps.app.goo.gl/fZZw5jPfwTLEadoe7"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3" Type="http://schemas.openxmlformats.org/officeDocument/2006/relationships/hyperlink" Target="https://maps.app.goo.gl/ZB7EoAbkDh1u5HFp8" TargetMode="External"/><Relationship Id="rId218"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39"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0" Type="http://schemas.openxmlformats.org/officeDocument/2006/relationships/hyperlink" Target="https://maps.app.goo.gl/fZZw5jPfwTLEadoe7" TargetMode="External"/><Relationship Id="rId255" Type="http://schemas.openxmlformats.org/officeDocument/2006/relationships/hyperlink" Target="https://maps.app.goo.gl/fZZw5jPfwTLEadoe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386"/>
  <sheetViews>
    <sheetView showZeros="0" tabSelected="1" zoomScale="80" zoomScaleNormal="80" workbookViewId="0">
      <pane xSplit="6" ySplit="1" topLeftCell="AP351" activePane="bottomRight" state="frozen"/>
      <selection pane="topRight" activeCell="G1" sqref="G1"/>
      <selection pane="bottomLeft" activeCell="A2" sqref="A2"/>
      <selection pane="bottomRight" activeCell="AQ356" sqref="AQ356"/>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1853</v>
      </c>
      <c r="E262" s="26">
        <v>49000</v>
      </c>
      <c r="F262" s="10" t="s">
        <v>1852</v>
      </c>
      <c r="G262" s="39" t="str">
        <f>Tableau1[[#This Row],[Rue]]&amp;CHAR(10)&amp;Tableau1[[#This Row],[Code Postal]]&amp;" - "&amp;Tableau1[[#This Row],[Ville]]</f>
        <v>10 Rue du Grand Launay
49000 - Angers</v>
      </c>
      <c r="H262" s="15" t="s">
        <v>1854</v>
      </c>
      <c r="I262" s="12" t="s">
        <v>47</v>
      </c>
      <c r="J262" s="12" t="s">
        <v>49</v>
      </c>
      <c r="K262" s="10" t="s">
        <v>98</v>
      </c>
      <c r="L262" s="12" t="s">
        <v>98</v>
      </c>
      <c r="M262" s="12" t="s">
        <v>98</v>
      </c>
      <c r="N262" s="36" t="s">
        <v>1855</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7" si="15">"3 mois = "&amp;TEXT(ROUND(3/12*T262,0),"### ### ##0 €")</f>
        <v>3 mois = 12 000 €</v>
      </c>
      <c r="AG262" s="12" t="s">
        <v>98</v>
      </c>
      <c r="AH262" s="12" t="s">
        <v>98</v>
      </c>
      <c r="AI262" s="12" t="s">
        <v>357</v>
      </c>
      <c r="AJ262" s="10"/>
      <c r="AK262" s="10"/>
      <c r="AL262" s="10" t="s">
        <v>1870</v>
      </c>
      <c r="AM262" s="11" t="s">
        <v>1869</v>
      </c>
      <c r="AN262" s="11" t="s">
        <v>1386</v>
      </c>
      <c r="AO262" s="5" t="s">
        <v>361</v>
      </c>
      <c r="AP262" s="11" t="s">
        <v>1872</v>
      </c>
      <c r="AQ262" s="11" t="s">
        <v>1873</v>
      </c>
      <c r="AR262" s="11" t="s">
        <v>1905</v>
      </c>
      <c r="AS262" s="36" t="s">
        <v>1921</v>
      </c>
      <c r="AT262" s="11" t="s">
        <v>70</v>
      </c>
      <c r="AU262" s="11" t="s">
        <v>370</v>
      </c>
      <c r="AV262" s="13" t="s">
        <v>1871</v>
      </c>
      <c r="AW262" s="14"/>
      <c r="AX262" s="44"/>
    </row>
    <row r="263" spans="1:50" ht="25.5">
      <c r="A263" s="38" t="str">
        <f>VLOOKUP(Tableau1[[#This Row],[N° Département]],Feuil1!$C$6:$E$106,3)</f>
        <v>Pays de la Loire</v>
      </c>
      <c r="B263" s="38" t="str">
        <f>VLOOKUP(Tableau1[[#This Row],[N° Département]],Feuil1!$C$6:$E$106,2)</f>
        <v>Maine-et-Loire</v>
      </c>
      <c r="C263" s="38">
        <f>LEFT(Tableau1[[#This Row],[Code Postal]],2)*1</f>
        <v>49</v>
      </c>
      <c r="D263" s="10" t="s">
        <v>1853</v>
      </c>
      <c r="E263" s="26">
        <v>49000</v>
      </c>
      <c r="F263" s="10" t="s">
        <v>1852</v>
      </c>
      <c r="G263" s="39" t="str">
        <f>Tableau1[[#This Row],[Rue]]&amp;CHAR(10)&amp;Tableau1[[#This Row],[Code Postal]]&amp;" - "&amp;Tableau1[[#This Row],[Ville]]</f>
        <v>10 Rue du Grand Launay
49000 - Angers</v>
      </c>
      <c r="H263" s="15" t="s">
        <v>1854</v>
      </c>
      <c r="I263" s="12" t="s">
        <v>47</v>
      </c>
      <c r="J263" s="12" t="s">
        <v>49</v>
      </c>
      <c r="K263" s="10" t="s">
        <v>98</v>
      </c>
      <c r="L263" s="12" t="s">
        <v>98</v>
      </c>
      <c r="M263" s="12" t="s">
        <v>98</v>
      </c>
      <c r="N263" s="36" t="s">
        <v>1856</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1870</v>
      </c>
      <c r="AM263" s="11" t="s">
        <v>1869</v>
      </c>
      <c r="AN263" s="11" t="s">
        <v>1386</v>
      </c>
      <c r="AO263" s="5" t="s">
        <v>361</v>
      </c>
      <c r="AP263" s="11" t="s">
        <v>1874</v>
      </c>
      <c r="AQ263" s="11" t="s">
        <v>1875</v>
      </c>
      <c r="AR263" s="11" t="s">
        <v>1906</v>
      </c>
      <c r="AS263" s="36" t="s">
        <v>1921</v>
      </c>
      <c r="AT263" s="11" t="s">
        <v>70</v>
      </c>
      <c r="AU263" s="11" t="s">
        <v>370</v>
      </c>
      <c r="AV263" s="13" t="s">
        <v>1871</v>
      </c>
      <c r="AW263" s="14"/>
      <c r="AX263" s="44"/>
    </row>
    <row r="264" spans="1:50" ht="25.5">
      <c r="A264" s="38" t="str">
        <f>VLOOKUP(Tableau1[[#This Row],[N° Département]],Feuil1!$C$6:$E$106,3)</f>
        <v>Pays de la Loire</v>
      </c>
      <c r="B264" s="38" t="str">
        <f>VLOOKUP(Tableau1[[#This Row],[N° Département]],Feuil1!$C$6:$E$106,2)</f>
        <v>Maine-et-Loire</v>
      </c>
      <c r="C264" s="38">
        <f>LEFT(Tableau1[[#This Row],[Code Postal]],2)*1</f>
        <v>49</v>
      </c>
      <c r="D264" s="10" t="s">
        <v>1853</v>
      </c>
      <c r="E264" s="26">
        <v>49000</v>
      </c>
      <c r="F264" s="10" t="s">
        <v>1852</v>
      </c>
      <c r="G264" s="39" t="str">
        <f>Tableau1[[#This Row],[Rue]]&amp;CHAR(10)&amp;Tableau1[[#This Row],[Code Postal]]&amp;" - "&amp;Tableau1[[#This Row],[Ville]]</f>
        <v>10 Rue du Grand Launay
49000 - Angers</v>
      </c>
      <c r="H264" s="15" t="s">
        <v>1854</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1870</v>
      </c>
      <c r="AM264" s="11" t="s">
        <v>1869</v>
      </c>
      <c r="AN264" s="11" t="s">
        <v>1386</v>
      </c>
      <c r="AO264" s="5" t="s">
        <v>361</v>
      </c>
      <c r="AP264" s="11" t="s">
        <v>1876</v>
      </c>
      <c r="AQ264" s="11" t="s">
        <v>1877</v>
      </c>
      <c r="AR264" s="11" t="s">
        <v>1907</v>
      </c>
      <c r="AS264" s="36" t="s">
        <v>1921</v>
      </c>
      <c r="AT264" s="11" t="s">
        <v>70</v>
      </c>
      <c r="AU264" s="11" t="s">
        <v>370</v>
      </c>
      <c r="AV264" s="13" t="s">
        <v>1871</v>
      </c>
      <c r="AW264" s="14"/>
      <c r="AX264" s="44"/>
    </row>
    <row r="265" spans="1:50" ht="25.5">
      <c r="A265" s="38" t="str">
        <f>VLOOKUP(Tableau1[[#This Row],[N° Département]],Feuil1!$C$6:$E$106,3)</f>
        <v>Pays de la Loire</v>
      </c>
      <c r="B265" s="38" t="str">
        <f>VLOOKUP(Tableau1[[#This Row],[N° Département]],Feuil1!$C$6:$E$106,2)</f>
        <v>Maine-et-Loire</v>
      </c>
      <c r="C265" s="38">
        <f>LEFT(Tableau1[[#This Row],[Code Postal]],2)*1</f>
        <v>49</v>
      </c>
      <c r="D265" s="10" t="s">
        <v>1853</v>
      </c>
      <c r="E265" s="26">
        <v>49000</v>
      </c>
      <c r="F265" s="10" t="s">
        <v>1852</v>
      </c>
      <c r="G265" s="39" t="str">
        <f>Tableau1[[#This Row],[Rue]]&amp;CHAR(10)&amp;Tableau1[[#This Row],[Code Postal]]&amp;" - "&amp;Tableau1[[#This Row],[Ville]]</f>
        <v>10 Rue du Grand Launay
49000 - Angers</v>
      </c>
      <c r="H265" s="15" t="s">
        <v>1854</v>
      </c>
      <c r="I265" s="12" t="s">
        <v>47</v>
      </c>
      <c r="J265" s="12" t="s">
        <v>49</v>
      </c>
      <c r="K265" s="10" t="s">
        <v>98</v>
      </c>
      <c r="L265" s="12" t="s">
        <v>98</v>
      </c>
      <c r="M265" s="12" t="s">
        <v>98</v>
      </c>
      <c r="N265" s="36" t="s">
        <v>1857</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1870</v>
      </c>
      <c r="AM265" s="11" t="s">
        <v>1869</v>
      </c>
      <c r="AN265" s="11" t="s">
        <v>1386</v>
      </c>
      <c r="AO265" s="5" t="s">
        <v>361</v>
      </c>
      <c r="AP265" s="11" t="s">
        <v>1878</v>
      </c>
      <c r="AQ265" s="11" t="s">
        <v>1879</v>
      </c>
      <c r="AR265" s="11" t="s">
        <v>1908</v>
      </c>
      <c r="AS265" s="36" t="s">
        <v>1921</v>
      </c>
      <c r="AT265" s="11" t="s">
        <v>70</v>
      </c>
      <c r="AU265" s="11" t="s">
        <v>370</v>
      </c>
      <c r="AV265" s="13" t="s">
        <v>1871</v>
      </c>
      <c r="AW265" s="14"/>
      <c r="AX265" s="44"/>
    </row>
    <row r="266" spans="1:50" ht="25.5">
      <c r="A266" s="38" t="str">
        <f>VLOOKUP(Tableau1[[#This Row],[N° Département]],Feuil1!$C$6:$E$106,3)</f>
        <v>Pays de la Loire</v>
      </c>
      <c r="B266" s="38" t="str">
        <f>VLOOKUP(Tableau1[[#This Row],[N° Département]],Feuil1!$C$6:$E$106,2)</f>
        <v>Maine-et-Loire</v>
      </c>
      <c r="C266" s="38">
        <f>LEFT(Tableau1[[#This Row],[Code Postal]],2)*1</f>
        <v>49</v>
      </c>
      <c r="D266" s="10" t="s">
        <v>1853</v>
      </c>
      <c r="E266" s="26">
        <v>49000</v>
      </c>
      <c r="F266" s="10" t="s">
        <v>1852</v>
      </c>
      <c r="G266" s="39" t="str">
        <f>Tableau1[[#This Row],[Rue]]&amp;CHAR(10)&amp;Tableau1[[#This Row],[Code Postal]]&amp;" - "&amp;Tableau1[[#This Row],[Ville]]</f>
        <v>10 Rue du Grand Launay
49000 - Angers</v>
      </c>
      <c r="H266" s="15" t="s">
        <v>1854</v>
      </c>
      <c r="I266" s="12" t="s">
        <v>47</v>
      </c>
      <c r="J266" s="12" t="s">
        <v>49</v>
      </c>
      <c r="K266" s="10" t="s">
        <v>98</v>
      </c>
      <c r="L266" s="12" t="s">
        <v>98</v>
      </c>
      <c r="M266" s="12" t="s">
        <v>98</v>
      </c>
      <c r="N266" s="36" t="s">
        <v>1858</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c r="AK266" s="10"/>
      <c r="AL266" s="10" t="s">
        <v>1870</v>
      </c>
      <c r="AM266" s="11" t="s">
        <v>1869</v>
      </c>
      <c r="AN266" s="11" t="s">
        <v>1386</v>
      </c>
      <c r="AO266" s="5" t="s">
        <v>361</v>
      </c>
      <c r="AP266" s="11" t="s">
        <v>1880</v>
      </c>
      <c r="AQ266" s="11" t="s">
        <v>1881</v>
      </c>
      <c r="AR266" s="11" t="s">
        <v>1909</v>
      </c>
      <c r="AS266" s="36" t="s">
        <v>1921</v>
      </c>
      <c r="AT266" s="11" t="s">
        <v>70</v>
      </c>
      <c r="AU266" s="11" t="s">
        <v>370</v>
      </c>
      <c r="AV266" s="13" t="s">
        <v>1871</v>
      </c>
      <c r="AW266" s="14"/>
      <c r="AX266" s="44"/>
    </row>
    <row r="267" spans="1:50" ht="25.5">
      <c r="A267" s="38" t="str">
        <f>VLOOKUP(Tableau1[[#This Row],[N° Département]],Feuil1!$C$6:$E$106,3)</f>
        <v>Pays de la Loire</v>
      </c>
      <c r="B267" s="38" t="str">
        <f>VLOOKUP(Tableau1[[#This Row],[N° Département]],Feuil1!$C$6:$E$106,2)</f>
        <v>Maine-et-Loire</v>
      </c>
      <c r="C267" s="38">
        <f>LEFT(Tableau1[[#This Row],[Code Postal]],2)*1</f>
        <v>49</v>
      </c>
      <c r="D267" s="10" t="s">
        <v>1853</v>
      </c>
      <c r="E267" s="26">
        <v>49000</v>
      </c>
      <c r="F267" s="10" t="s">
        <v>1852</v>
      </c>
      <c r="G267" s="39" t="str">
        <f>Tableau1[[#This Row],[Rue]]&amp;CHAR(10)&amp;Tableau1[[#This Row],[Code Postal]]&amp;" - "&amp;Tableau1[[#This Row],[Ville]]</f>
        <v>10 Rue du Grand Launay
49000 - Angers</v>
      </c>
      <c r="H267" s="15" t="s">
        <v>1854</v>
      </c>
      <c r="I267" s="12" t="s">
        <v>47</v>
      </c>
      <c r="J267" s="12" t="s">
        <v>49</v>
      </c>
      <c r="K267" s="10" t="s">
        <v>98</v>
      </c>
      <c r="L267" s="12" t="s">
        <v>98</v>
      </c>
      <c r="M267" s="12" t="s">
        <v>98</v>
      </c>
      <c r="N267" s="36" t="s">
        <v>1859</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c r="AK267" s="10"/>
      <c r="AL267" s="10" t="s">
        <v>1870</v>
      </c>
      <c r="AM267" s="11" t="s">
        <v>1869</v>
      </c>
      <c r="AN267" s="11" t="s">
        <v>1386</v>
      </c>
      <c r="AO267" s="5" t="s">
        <v>361</v>
      </c>
      <c r="AP267" s="11" t="s">
        <v>1882</v>
      </c>
      <c r="AQ267" s="11" t="s">
        <v>1883</v>
      </c>
      <c r="AR267" s="11" t="s">
        <v>1910</v>
      </c>
      <c r="AS267" s="36" t="s">
        <v>1921</v>
      </c>
      <c r="AT267" s="11" t="s">
        <v>70</v>
      </c>
      <c r="AU267" s="11" t="s">
        <v>370</v>
      </c>
      <c r="AV267" s="13" t="s">
        <v>1871</v>
      </c>
      <c r="AW267" s="14"/>
      <c r="AX267" s="44"/>
    </row>
    <row r="268" spans="1:50" ht="25.5">
      <c r="A268" s="38" t="str">
        <f>VLOOKUP(Tableau1[[#This Row],[N° Département]],Feuil1!$C$6:$E$106,3)</f>
        <v>Pays de la Loire</v>
      </c>
      <c r="B268" s="38" t="str">
        <f>VLOOKUP(Tableau1[[#This Row],[N° Département]],Feuil1!$C$6:$E$106,2)</f>
        <v>Maine-et-Loire</v>
      </c>
      <c r="C268" s="38">
        <f>LEFT(Tableau1[[#This Row],[Code Postal]],2)*1</f>
        <v>49</v>
      </c>
      <c r="D268" s="10" t="s">
        <v>1853</v>
      </c>
      <c r="E268" s="26">
        <v>49000</v>
      </c>
      <c r="F268" s="10" t="s">
        <v>1852</v>
      </c>
      <c r="G268" s="39" t="str">
        <f>Tableau1[[#This Row],[Rue]]&amp;CHAR(10)&amp;Tableau1[[#This Row],[Code Postal]]&amp;" - "&amp;Tableau1[[#This Row],[Ville]]</f>
        <v>10 Rue du Grand Launay
49000 - Angers</v>
      </c>
      <c r="H268" s="15" t="s">
        <v>1854</v>
      </c>
      <c r="I268" s="12" t="s">
        <v>47</v>
      </c>
      <c r="J268" s="12" t="s">
        <v>49</v>
      </c>
      <c r="K268" s="10" t="s">
        <v>98</v>
      </c>
      <c r="L268" s="12" t="s">
        <v>98</v>
      </c>
      <c r="M268" s="12" t="s">
        <v>98</v>
      </c>
      <c r="N268" s="36" t="s">
        <v>1860</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c r="AK268" s="10"/>
      <c r="AL268" s="10" t="s">
        <v>1870</v>
      </c>
      <c r="AM268" s="11" t="s">
        <v>1869</v>
      </c>
      <c r="AN268" s="11" t="s">
        <v>1386</v>
      </c>
      <c r="AO268" s="5" t="s">
        <v>361</v>
      </c>
      <c r="AP268" s="11" t="s">
        <v>1884</v>
      </c>
      <c r="AQ268" s="11" t="s">
        <v>1885</v>
      </c>
      <c r="AR268" s="11" t="s">
        <v>1911</v>
      </c>
      <c r="AS268" s="36" t="s">
        <v>1921</v>
      </c>
      <c r="AT268" s="11" t="s">
        <v>70</v>
      </c>
      <c r="AU268" s="11" t="s">
        <v>370</v>
      </c>
      <c r="AV268" s="13" t="s">
        <v>1871</v>
      </c>
      <c r="AW268" s="14"/>
      <c r="AX268" s="44"/>
    </row>
    <row r="269" spans="1:50" ht="25.5">
      <c r="A269" s="38" t="str">
        <f>VLOOKUP(Tableau1[[#This Row],[N° Département]],Feuil1!$C$6:$E$106,3)</f>
        <v>Pays de la Loire</v>
      </c>
      <c r="B269" s="38" t="str">
        <f>VLOOKUP(Tableau1[[#This Row],[N° Département]],Feuil1!$C$6:$E$106,2)</f>
        <v>Maine-et-Loire</v>
      </c>
      <c r="C269" s="38">
        <f>LEFT(Tableau1[[#This Row],[Code Postal]],2)*1</f>
        <v>49</v>
      </c>
      <c r="D269" s="10" t="s">
        <v>1853</v>
      </c>
      <c r="E269" s="26">
        <v>49000</v>
      </c>
      <c r="F269" s="10" t="s">
        <v>1852</v>
      </c>
      <c r="G269" s="39" t="str">
        <f>Tableau1[[#This Row],[Rue]]&amp;CHAR(10)&amp;Tableau1[[#This Row],[Code Postal]]&amp;" - "&amp;Tableau1[[#This Row],[Ville]]</f>
        <v>10 Rue du Grand Launay
49000 - Angers</v>
      </c>
      <c r="H269" s="15" t="s">
        <v>1854</v>
      </c>
      <c r="I269" s="12" t="s">
        <v>47</v>
      </c>
      <c r="J269" s="12" t="s">
        <v>49</v>
      </c>
      <c r="K269" s="10" t="s">
        <v>98</v>
      </c>
      <c r="L269" s="12" t="s">
        <v>98</v>
      </c>
      <c r="M269" s="12" t="s">
        <v>98</v>
      </c>
      <c r="N269" s="36" t="s">
        <v>1861</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c r="AK269" s="10"/>
      <c r="AL269" s="10" t="s">
        <v>1870</v>
      </c>
      <c r="AM269" s="11" t="s">
        <v>1869</v>
      </c>
      <c r="AN269" s="11" t="s">
        <v>1386</v>
      </c>
      <c r="AO269" s="5" t="s">
        <v>361</v>
      </c>
      <c r="AP269" s="11" t="s">
        <v>1886</v>
      </c>
      <c r="AQ269" s="11" t="s">
        <v>1887</v>
      </c>
      <c r="AR269" s="11" t="s">
        <v>1912</v>
      </c>
      <c r="AS269" s="36" t="s">
        <v>1921</v>
      </c>
      <c r="AT269" s="11" t="s">
        <v>70</v>
      </c>
      <c r="AU269" s="11" t="s">
        <v>370</v>
      </c>
      <c r="AV269" s="13" t="s">
        <v>1871</v>
      </c>
      <c r="AW269" s="14"/>
      <c r="AX269" s="44"/>
    </row>
    <row r="270" spans="1:50" ht="25.5">
      <c r="A270" s="38" t="str">
        <f>VLOOKUP(Tableau1[[#This Row],[N° Département]],Feuil1!$C$6:$E$106,3)</f>
        <v>Pays de la Loire</v>
      </c>
      <c r="B270" s="38" t="str">
        <f>VLOOKUP(Tableau1[[#This Row],[N° Département]],Feuil1!$C$6:$E$106,2)</f>
        <v>Maine-et-Loire</v>
      </c>
      <c r="C270" s="38">
        <f>LEFT(Tableau1[[#This Row],[Code Postal]],2)*1</f>
        <v>49</v>
      </c>
      <c r="D270" s="10" t="s">
        <v>1853</v>
      </c>
      <c r="E270" s="26">
        <v>49000</v>
      </c>
      <c r="F270" s="10" t="s">
        <v>1852</v>
      </c>
      <c r="G270" s="39" t="str">
        <f>Tableau1[[#This Row],[Rue]]&amp;CHAR(10)&amp;Tableau1[[#This Row],[Code Postal]]&amp;" - "&amp;Tableau1[[#This Row],[Ville]]</f>
        <v>10 Rue du Grand Launay
49000 - Angers</v>
      </c>
      <c r="H270" s="15" t="s">
        <v>1854</v>
      </c>
      <c r="I270" s="12" t="s">
        <v>47</v>
      </c>
      <c r="J270" s="12" t="s">
        <v>49</v>
      </c>
      <c r="K270" s="10" t="s">
        <v>98</v>
      </c>
      <c r="L270" s="12" t="s">
        <v>98</v>
      </c>
      <c r="M270" s="12" t="s">
        <v>98</v>
      </c>
      <c r="N270" s="36" t="s">
        <v>1862</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1870</v>
      </c>
      <c r="AM270" s="11" t="s">
        <v>1869</v>
      </c>
      <c r="AN270" s="11" t="s">
        <v>1386</v>
      </c>
      <c r="AO270" s="5" t="s">
        <v>361</v>
      </c>
      <c r="AP270" s="11" t="s">
        <v>1888</v>
      </c>
      <c r="AQ270" s="11" t="s">
        <v>1889</v>
      </c>
      <c r="AR270" s="11" t="s">
        <v>1913</v>
      </c>
      <c r="AS270" s="36" t="s">
        <v>1921</v>
      </c>
      <c r="AT270" s="11" t="s">
        <v>70</v>
      </c>
      <c r="AU270" s="11" t="s">
        <v>370</v>
      </c>
      <c r="AV270" s="13" t="s">
        <v>1871</v>
      </c>
      <c r="AW270" s="14"/>
      <c r="AX270" s="44"/>
    </row>
    <row r="271" spans="1:50" ht="25.5">
      <c r="A271" s="38" t="str">
        <f>VLOOKUP(Tableau1[[#This Row],[N° Département]],Feuil1!$C$6:$E$106,3)</f>
        <v>Pays de la Loire</v>
      </c>
      <c r="B271" s="38" t="str">
        <f>VLOOKUP(Tableau1[[#This Row],[N° Département]],Feuil1!$C$6:$E$106,2)</f>
        <v>Maine-et-Loire</v>
      </c>
      <c r="C271" s="38">
        <f>LEFT(Tableau1[[#This Row],[Code Postal]],2)*1</f>
        <v>49</v>
      </c>
      <c r="D271" s="10" t="s">
        <v>1853</v>
      </c>
      <c r="E271" s="26">
        <v>49000</v>
      </c>
      <c r="F271" s="10" t="s">
        <v>1852</v>
      </c>
      <c r="G271" s="39" t="str">
        <f>Tableau1[[#This Row],[Rue]]&amp;CHAR(10)&amp;Tableau1[[#This Row],[Code Postal]]&amp;" - "&amp;Tableau1[[#This Row],[Ville]]</f>
        <v>10 Rue du Grand Launay
49000 - Angers</v>
      </c>
      <c r="H271" s="15" t="s">
        <v>1854</v>
      </c>
      <c r="I271" s="12" t="s">
        <v>47</v>
      </c>
      <c r="J271" s="12" t="s">
        <v>49</v>
      </c>
      <c r="K271" s="10" t="s">
        <v>98</v>
      </c>
      <c r="L271" s="12" t="s">
        <v>98</v>
      </c>
      <c r="M271" s="12" t="s">
        <v>98</v>
      </c>
      <c r="N271" s="36" t="s">
        <v>1863</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1870</v>
      </c>
      <c r="AM271" s="11" t="s">
        <v>1869</v>
      </c>
      <c r="AN271" s="11" t="s">
        <v>1386</v>
      </c>
      <c r="AO271" s="5" t="s">
        <v>361</v>
      </c>
      <c r="AP271" s="11" t="s">
        <v>1890</v>
      </c>
      <c r="AQ271" s="11" t="s">
        <v>1891</v>
      </c>
      <c r="AR271" s="11" t="s">
        <v>1914</v>
      </c>
      <c r="AS271" s="36" t="s">
        <v>1921</v>
      </c>
      <c r="AT271" s="11" t="s">
        <v>70</v>
      </c>
      <c r="AU271" s="11" t="s">
        <v>370</v>
      </c>
      <c r="AV271" s="13" t="s">
        <v>1871</v>
      </c>
      <c r="AW271" s="14"/>
      <c r="AX271" s="44"/>
    </row>
    <row r="272" spans="1:50" ht="25.5">
      <c r="A272" s="38" t="str">
        <f>VLOOKUP(Tableau1[[#This Row],[N° Département]],Feuil1!$C$6:$E$106,3)</f>
        <v>Pays de la Loire</v>
      </c>
      <c r="B272" s="38" t="str">
        <f>VLOOKUP(Tableau1[[#This Row],[N° Département]],Feuil1!$C$6:$E$106,2)</f>
        <v>Maine-et-Loire</v>
      </c>
      <c r="C272" s="38">
        <f>LEFT(Tableau1[[#This Row],[Code Postal]],2)*1</f>
        <v>49</v>
      </c>
      <c r="D272" s="10" t="s">
        <v>1853</v>
      </c>
      <c r="E272" s="26">
        <v>49000</v>
      </c>
      <c r="F272" s="10" t="s">
        <v>1852</v>
      </c>
      <c r="G272" s="39" t="str">
        <f>Tableau1[[#This Row],[Rue]]&amp;CHAR(10)&amp;Tableau1[[#This Row],[Code Postal]]&amp;" - "&amp;Tableau1[[#This Row],[Ville]]</f>
        <v>10 Rue du Grand Launay
49000 - Angers</v>
      </c>
      <c r="H272" s="15" t="s">
        <v>1854</v>
      </c>
      <c r="I272" s="12" t="s">
        <v>47</v>
      </c>
      <c r="J272" s="12" t="s">
        <v>49</v>
      </c>
      <c r="K272" s="10" t="s">
        <v>98</v>
      </c>
      <c r="L272" s="12" t="s">
        <v>98</v>
      </c>
      <c r="M272" s="12" t="s">
        <v>98</v>
      </c>
      <c r="N272" s="36" t="s">
        <v>1864</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1870</v>
      </c>
      <c r="AM272" s="11" t="s">
        <v>1869</v>
      </c>
      <c r="AN272" s="11" t="s">
        <v>1386</v>
      </c>
      <c r="AO272" s="5" t="s">
        <v>361</v>
      </c>
      <c r="AP272" s="11" t="s">
        <v>1892</v>
      </c>
      <c r="AQ272" s="11" t="s">
        <v>1893</v>
      </c>
      <c r="AR272" s="11" t="s">
        <v>1915</v>
      </c>
      <c r="AS272" s="36" t="s">
        <v>1921</v>
      </c>
      <c r="AT272" s="11" t="s">
        <v>70</v>
      </c>
      <c r="AU272" s="11" t="s">
        <v>370</v>
      </c>
      <c r="AV272" s="13" t="s">
        <v>1871</v>
      </c>
      <c r="AW272" s="14"/>
      <c r="AX272" s="44"/>
    </row>
    <row r="273" spans="1:50" ht="25.5">
      <c r="A273" s="38" t="str">
        <f>VLOOKUP(Tableau1[[#This Row],[N° Département]],Feuil1!$C$6:$E$106,3)</f>
        <v>Pays de la Loire</v>
      </c>
      <c r="B273" s="38" t="str">
        <f>VLOOKUP(Tableau1[[#This Row],[N° Département]],Feuil1!$C$6:$E$106,2)</f>
        <v>Maine-et-Loire</v>
      </c>
      <c r="C273" s="38">
        <f>LEFT(Tableau1[[#This Row],[Code Postal]],2)*1</f>
        <v>49</v>
      </c>
      <c r="D273" s="10" t="s">
        <v>1853</v>
      </c>
      <c r="E273" s="26">
        <v>49000</v>
      </c>
      <c r="F273" s="10" t="s">
        <v>1852</v>
      </c>
      <c r="G273" s="39" t="str">
        <f>Tableau1[[#This Row],[Rue]]&amp;CHAR(10)&amp;Tableau1[[#This Row],[Code Postal]]&amp;" - "&amp;Tableau1[[#This Row],[Ville]]</f>
        <v>10 Rue du Grand Launay
49000 - Angers</v>
      </c>
      <c r="H273" s="15" t="s">
        <v>1854</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1870</v>
      </c>
      <c r="AM273" s="11" t="s">
        <v>1869</v>
      </c>
      <c r="AN273" s="11" t="s">
        <v>1386</v>
      </c>
      <c r="AO273" s="5" t="s">
        <v>361</v>
      </c>
      <c r="AP273" s="11" t="s">
        <v>1894</v>
      </c>
      <c r="AQ273" s="11" t="s">
        <v>1895</v>
      </c>
      <c r="AR273" s="11" t="s">
        <v>1916</v>
      </c>
      <c r="AS273" s="36" t="s">
        <v>1921</v>
      </c>
      <c r="AT273" s="11" t="s">
        <v>70</v>
      </c>
      <c r="AU273" s="11" t="s">
        <v>370</v>
      </c>
      <c r="AV273" s="13" t="s">
        <v>1871</v>
      </c>
      <c r="AW273" s="14"/>
      <c r="AX273" s="44"/>
    </row>
    <row r="274" spans="1:50" ht="25.5">
      <c r="A274" s="38" t="str">
        <f>VLOOKUP(Tableau1[[#This Row],[N° Département]],Feuil1!$C$6:$E$106,3)</f>
        <v>Pays de la Loire</v>
      </c>
      <c r="B274" s="38" t="str">
        <f>VLOOKUP(Tableau1[[#This Row],[N° Département]],Feuil1!$C$6:$E$106,2)</f>
        <v>Maine-et-Loire</v>
      </c>
      <c r="C274" s="38">
        <f>LEFT(Tableau1[[#This Row],[Code Postal]],2)*1</f>
        <v>49</v>
      </c>
      <c r="D274" s="10" t="s">
        <v>1853</v>
      </c>
      <c r="E274" s="26">
        <v>49000</v>
      </c>
      <c r="F274" s="10" t="s">
        <v>1852</v>
      </c>
      <c r="G274" s="39" t="str">
        <f>Tableau1[[#This Row],[Rue]]&amp;CHAR(10)&amp;Tableau1[[#This Row],[Code Postal]]&amp;" - "&amp;Tableau1[[#This Row],[Ville]]</f>
        <v>10 Rue du Grand Launay
49000 - Angers</v>
      </c>
      <c r="H274" s="15" t="s">
        <v>1854</v>
      </c>
      <c r="I274" s="12" t="s">
        <v>47</v>
      </c>
      <c r="J274" s="12" t="s">
        <v>49</v>
      </c>
      <c r="K274" s="10" t="s">
        <v>98</v>
      </c>
      <c r="L274" s="12" t="s">
        <v>98</v>
      </c>
      <c r="M274" s="12" t="s">
        <v>98</v>
      </c>
      <c r="N274" s="36" t="s">
        <v>1865</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1870</v>
      </c>
      <c r="AM274" s="11" t="s">
        <v>1869</v>
      </c>
      <c r="AN274" s="11" t="s">
        <v>1386</v>
      </c>
      <c r="AO274" s="5" t="s">
        <v>361</v>
      </c>
      <c r="AP274" s="11" t="s">
        <v>1896</v>
      </c>
      <c r="AQ274" s="11" t="s">
        <v>1897</v>
      </c>
      <c r="AR274" s="11" t="s">
        <v>1917</v>
      </c>
      <c r="AS274" s="36" t="s">
        <v>1921</v>
      </c>
      <c r="AT274" s="11" t="s">
        <v>70</v>
      </c>
      <c r="AU274" s="11" t="s">
        <v>370</v>
      </c>
      <c r="AV274" s="13" t="s">
        <v>1871</v>
      </c>
      <c r="AW274" s="14"/>
      <c r="AX274" s="44"/>
    </row>
    <row r="275" spans="1:50" ht="25.5">
      <c r="A275" s="38" t="str">
        <f>VLOOKUP(Tableau1[[#This Row],[N° Département]],Feuil1!$C$6:$E$106,3)</f>
        <v>Pays de la Loire</v>
      </c>
      <c r="B275" s="38" t="str">
        <f>VLOOKUP(Tableau1[[#This Row],[N° Département]],Feuil1!$C$6:$E$106,2)</f>
        <v>Maine-et-Loire</v>
      </c>
      <c r="C275" s="38">
        <f>LEFT(Tableau1[[#This Row],[Code Postal]],2)*1</f>
        <v>49</v>
      </c>
      <c r="D275" s="10" t="s">
        <v>1853</v>
      </c>
      <c r="E275" s="26">
        <v>49000</v>
      </c>
      <c r="F275" s="10" t="s">
        <v>1852</v>
      </c>
      <c r="G275" s="39" t="str">
        <f>Tableau1[[#This Row],[Rue]]&amp;CHAR(10)&amp;Tableau1[[#This Row],[Code Postal]]&amp;" - "&amp;Tableau1[[#This Row],[Ville]]</f>
        <v>10 Rue du Grand Launay
49000 - Angers</v>
      </c>
      <c r="H275" s="15" t="s">
        <v>1854</v>
      </c>
      <c r="I275" s="12" t="s">
        <v>47</v>
      </c>
      <c r="J275" s="12" t="s">
        <v>49</v>
      </c>
      <c r="K275" s="10" t="s">
        <v>98</v>
      </c>
      <c r="L275" s="12" t="s">
        <v>98</v>
      </c>
      <c r="M275" s="12" t="s">
        <v>98</v>
      </c>
      <c r="N275" s="36" t="s">
        <v>1866</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1870</v>
      </c>
      <c r="AM275" s="11" t="s">
        <v>1869</v>
      </c>
      <c r="AN275" s="11" t="s">
        <v>1386</v>
      </c>
      <c r="AO275" s="5" t="s">
        <v>361</v>
      </c>
      <c r="AP275" s="11" t="s">
        <v>1899</v>
      </c>
      <c r="AQ275" s="11" t="s">
        <v>1900</v>
      </c>
      <c r="AR275" s="11" t="s">
        <v>1918</v>
      </c>
      <c r="AS275" s="36" t="s">
        <v>1921</v>
      </c>
      <c r="AT275" s="11" t="s">
        <v>70</v>
      </c>
      <c r="AU275" s="11" t="s">
        <v>370</v>
      </c>
      <c r="AV275" s="13" t="s">
        <v>1871</v>
      </c>
      <c r="AW275" s="14"/>
      <c r="AX275" s="44"/>
    </row>
    <row r="276" spans="1:50" ht="25.5">
      <c r="A276" s="38" t="str">
        <f>VLOOKUP(Tableau1[[#This Row],[N° Département]],Feuil1!$C$6:$E$106,3)</f>
        <v>Pays de la Loire</v>
      </c>
      <c r="B276" s="38" t="str">
        <f>VLOOKUP(Tableau1[[#This Row],[N° Département]],Feuil1!$C$6:$E$106,2)</f>
        <v>Maine-et-Loire</v>
      </c>
      <c r="C276" s="38">
        <f>LEFT(Tableau1[[#This Row],[Code Postal]],2)*1</f>
        <v>49</v>
      </c>
      <c r="D276" s="10" t="s">
        <v>1853</v>
      </c>
      <c r="E276" s="26">
        <v>49000</v>
      </c>
      <c r="F276" s="10" t="s">
        <v>1852</v>
      </c>
      <c r="G276" s="39" t="str">
        <f>Tableau1[[#This Row],[Rue]]&amp;CHAR(10)&amp;Tableau1[[#This Row],[Code Postal]]&amp;" - "&amp;Tableau1[[#This Row],[Ville]]</f>
        <v>10 Rue du Grand Launay
49000 - Angers</v>
      </c>
      <c r="H276" s="15" t="s">
        <v>1854</v>
      </c>
      <c r="I276" s="12" t="s">
        <v>47</v>
      </c>
      <c r="J276" s="12" t="s">
        <v>49</v>
      </c>
      <c r="K276" s="10" t="s">
        <v>98</v>
      </c>
      <c r="L276" s="12" t="s">
        <v>98</v>
      </c>
      <c r="M276" s="12" t="s">
        <v>98</v>
      </c>
      <c r="N276" s="36" t="s">
        <v>1867</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1870</v>
      </c>
      <c r="AM276" s="11" t="s">
        <v>1869</v>
      </c>
      <c r="AN276" s="11" t="s">
        <v>1386</v>
      </c>
      <c r="AO276" s="5" t="s">
        <v>361</v>
      </c>
      <c r="AP276" s="11" t="s">
        <v>1901</v>
      </c>
      <c r="AQ276" s="11" t="s">
        <v>1902</v>
      </c>
      <c r="AR276" s="11" t="s">
        <v>1919</v>
      </c>
      <c r="AS276" s="36" t="s">
        <v>1921</v>
      </c>
      <c r="AT276" s="11" t="s">
        <v>70</v>
      </c>
      <c r="AU276" s="11" t="s">
        <v>370</v>
      </c>
      <c r="AV276" s="13" t="s">
        <v>1871</v>
      </c>
      <c r="AW276" s="14"/>
      <c r="AX276" s="44"/>
    </row>
    <row r="277" spans="1:50" ht="25.5">
      <c r="A277" s="38" t="str">
        <f>VLOOKUP(Tableau1[[#This Row],[N° Département]],Feuil1!$C$6:$E$106,3)</f>
        <v>Pays de la Loire</v>
      </c>
      <c r="B277" s="38" t="str">
        <f>VLOOKUP(Tableau1[[#This Row],[N° Département]],Feuil1!$C$6:$E$106,2)</f>
        <v>Maine-et-Loire</v>
      </c>
      <c r="C277" s="38">
        <f>LEFT(Tableau1[[#This Row],[Code Postal]],2)*1</f>
        <v>49</v>
      </c>
      <c r="D277" s="10" t="s">
        <v>1853</v>
      </c>
      <c r="E277" s="26">
        <v>49000</v>
      </c>
      <c r="F277" s="10" t="s">
        <v>1852</v>
      </c>
      <c r="G277" s="39" t="str">
        <f>Tableau1[[#This Row],[Rue]]&amp;CHAR(10)&amp;Tableau1[[#This Row],[Code Postal]]&amp;" - "&amp;Tableau1[[#This Row],[Ville]]</f>
        <v>10 Rue du Grand Launay
49000 - Angers</v>
      </c>
      <c r="H277" s="15" t="s">
        <v>1854</v>
      </c>
      <c r="I277" s="12" t="s">
        <v>47</v>
      </c>
      <c r="J277" s="12" t="s">
        <v>49</v>
      </c>
      <c r="K277" s="10" t="s">
        <v>98</v>
      </c>
      <c r="L277" s="12" t="s">
        <v>98</v>
      </c>
      <c r="M277" s="12" t="s">
        <v>98</v>
      </c>
      <c r="N277" s="36" t="s">
        <v>1868</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c r="AK277" s="10"/>
      <c r="AL277" s="10" t="s">
        <v>1870</v>
      </c>
      <c r="AM277" s="11" t="s">
        <v>1904</v>
      </c>
      <c r="AN277" s="11" t="s">
        <v>1386</v>
      </c>
      <c r="AO277" s="5" t="s">
        <v>361</v>
      </c>
      <c r="AP277" s="11" t="s">
        <v>1898</v>
      </c>
      <c r="AQ277" s="11" t="s">
        <v>1903</v>
      </c>
      <c r="AR277" s="11" t="s">
        <v>1920</v>
      </c>
      <c r="AS277" s="36" t="s">
        <v>1921</v>
      </c>
      <c r="AT277" s="11" t="s">
        <v>70</v>
      </c>
      <c r="AU277" s="11" t="s">
        <v>370</v>
      </c>
      <c r="AV277" s="13" t="s">
        <v>1871</v>
      </c>
      <c r="AW277" s="14"/>
      <c r="AX277" s="44"/>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1923</v>
      </c>
      <c r="E278" s="26">
        <v>84000</v>
      </c>
      <c r="F278" s="10" t="s">
        <v>1061</v>
      </c>
      <c r="G278" s="39" t="str">
        <f>Tableau1[[#This Row],[Rue]]&amp;CHAR(10)&amp;Tableau1[[#This Row],[Code Postal]]&amp;" - "&amp;Tableau1[[#This Row],[Ville]]</f>
        <v>390 Rue Jean Marie Tjibaou
84000 - Avignon</v>
      </c>
      <c r="H278" s="15" t="s">
        <v>1922</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c r="AK278" s="10"/>
      <c r="AL278" s="10" t="s">
        <v>1934</v>
      </c>
      <c r="AM278" s="11"/>
      <c r="AN278" s="11" t="s">
        <v>1386</v>
      </c>
      <c r="AO278" s="5" t="s">
        <v>361</v>
      </c>
      <c r="AP278" s="11" t="s">
        <v>1952</v>
      </c>
      <c r="AQ278" s="11" t="s">
        <v>1953</v>
      </c>
      <c r="AR278" s="11" t="s">
        <v>1935</v>
      </c>
      <c r="AS278" s="36" t="s">
        <v>1951</v>
      </c>
      <c r="AT278" s="11" t="s">
        <v>70</v>
      </c>
      <c r="AU278" s="11" t="s">
        <v>370</v>
      </c>
      <c r="AV278" s="13" t="s">
        <v>1871</v>
      </c>
      <c r="AW278" s="14"/>
      <c r="AX278" s="44"/>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1923</v>
      </c>
      <c r="E279" s="26">
        <v>84000</v>
      </c>
      <c r="F279" s="10" t="s">
        <v>1061</v>
      </c>
      <c r="G279" s="39" t="str">
        <f>Tableau1[[#This Row],[Rue]]&amp;CHAR(10)&amp;Tableau1[[#This Row],[Code Postal]]&amp;" - "&amp;Tableau1[[#This Row],[Ville]]</f>
        <v>390 Rue Jean Marie Tjibaou
84000 - Avignon</v>
      </c>
      <c r="H279" s="15" t="s">
        <v>1922</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c r="AK279" s="10"/>
      <c r="AL279" s="10" t="s">
        <v>1934</v>
      </c>
      <c r="AM279" s="11"/>
      <c r="AN279" s="11" t="s">
        <v>1386</v>
      </c>
      <c r="AO279" s="5" t="s">
        <v>361</v>
      </c>
      <c r="AP279" s="11" t="s">
        <v>1954</v>
      </c>
      <c r="AQ279" s="11" t="s">
        <v>1955</v>
      </c>
      <c r="AR279" s="11" t="s">
        <v>1939</v>
      </c>
      <c r="AS279" s="36" t="s">
        <v>1951</v>
      </c>
      <c r="AT279" s="11" t="s">
        <v>70</v>
      </c>
      <c r="AU279" s="11" t="s">
        <v>370</v>
      </c>
      <c r="AV279" s="13" t="s">
        <v>1871</v>
      </c>
      <c r="AW279" s="14"/>
      <c r="AX279" s="44"/>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1923</v>
      </c>
      <c r="E280" s="26">
        <v>84000</v>
      </c>
      <c r="F280" s="10" t="s">
        <v>1061</v>
      </c>
      <c r="G280" s="39" t="str">
        <f>Tableau1[[#This Row],[Rue]]&amp;CHAR(10)&amp;Tableau1[[#This Row],[Code Postal]]&amp;" - "&amp;Tableau1[[#This Row],[Ville]]</f>
        <v>390 Rue Jean Marie Tjibaou
84000 - Avignon</v>
      </c>
      <c r="H280" s="15" t="s">
        <v>1922</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c r="AK280" s="10"/>
      <c r="AL280" s="10" t="s">
        <v>1934</v>
      </c>
      <c r="AM280" s="11"/>
      <c r="AN280" s="11" t="s">
        <v>1386</v>
      </c>
      <c r="AO280" s="5" t="s">
        <v>361</v>
      </c>
      <c r="AP280" s="11" t="s">
        <v>1956</v>
      </c>
      <c r="AQ280" s="11" t="s">
        <v>1957</v>
      </c>
      <c r="AR280" s="11" t="s">
        <v>1938</v>
      </c>
      <c r="AS280" s="36" t="s">
        <v>1951</v>
      </c>
      <c r="AT280" s="11" t="s">
        <v>70</v>
      </c>
      <c r="AU280" s="11" t="s">
        <v>370</v>
      </c>
      <c r="AV280" s="13" t="s">
        <v>1871</v>
      </c>
      <c r="AW280" s="14"/>
      <c r="AX280" s="44"/>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1923</v>
      </c>
      <c r="E281" s="26">
        <v>84000</v>
      </c>
      <c r="F281" s="10" t="s">
        <v>1061</v>
      </c>
      <c r="G281" s="39" t="str">
        <f>Tableau1[[#This Row],[Rue]]&amp;CHAR(10)&amp;Tableau1[[#This Row],[Code Postal]]&amp;" - "&amp;Tableau1[[#This Row],[Ville]]</f>
        <v>390 Rue Jean Marie Tjibaou
84000 - Avignon</v>
      </c>
      <c r="H281" s="15" t="s">
        <v>1922</v>
      </c>
      <c r="I281" s="12" t="s">
        <v>47</v>
      </c>
      <c r="J281" s="12" t="s">
        <v>51</v>
      </c>
      <c r="K281" s="10" t="s">
        <v>98</v>
      </c>
      <c r="L281" s="10" t="s">
        <v>98</v>
      </c>
      <c r="M281" s="12" t="s">
        <v>98</v>
      </c>
      <c r="N281" s="36" t="s">
        <v>1924</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1934</v>
      </c>
      <c r="AM281" s="11"/>
      <c r="AN281" s="11" t="s">
        <v>1386</v>
      </c>
      <c r="AO281" s="5" t="s">
        <v>361</v>
      </c>
      <c r="AP281" s="11" t="s">
        <v>1958</v>
      </c>
      <c r="AQ281" s="11" t="s">
        <v>1959</v>
      </c>
      <c r="AR281" s="11" t="s">
        <v>1936</v>
      </c>
      <c r="AS281" s="36" t="s">
        <v>1951</v>
      </c>
      <c r="AT281" s="11" t="s">
        <v>70</v>
      </c>
      <c r="AU281" s="11" t="s">
        <v>370</v>
      </c>
      <c r="AV281" s="13" t="s">
        <v>1871</v>
      </c>
      <c r="AW281" s="14"/>
      <c r="AX281" s="44"/>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1923</v>
      </c>
      <c r="E282" s="26">
        <v>84000</v>
      </c>
      <c r="F282" s="10" t="s">
        <v>1061</v>
      </c>
      <c r="G282" s="39" t="str">
        <f>Tableau1[[#This Row],[Rue]]&amp;CHAR(10)&amp;Tableau1[[#This Row],[Code Postal]]&amp;" - "&amp;Tableau1[[#This Row],[Ville]]</f>
        <v>390 Rue Jean Marie Tjibaou
84000 - Avignon</v>
      </c>
      <c r="H282" s="15" t="s">
        <v>1922</v>
      </c>
      <c r="I282" s="12" t="s">
        <v>47</v>
      </c>
      <c r="J282" s="12" t="s">
        <v>51</v>
      </c>
      <c r="K282" s="10" t="s">
        <v>98</v>
      </c>
      <c r="L282" s="10" t="s">
        <v>98</v>
      </c>
      <c r="M282" s="12" t="s">
        <v>98</v>
      </c>
      <c r="N282" s="36" t="s">
        <v>1925</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c r="AK282" s="10"/>
      <c r="AL282" s="10" t="s">
        <v>1934</v>
      </c>
      <c r="AM282" s="11"/>
      <c r="AN282" s="11" t="s">
        <v>1386</v>
      </c>
      <c r="AO282" s="5" t="s">
        <v>361</v>
      </c>
      <c r="AP282" s="11" t="s">
        <v>1960</v>
      </c>
      <c r="AQ282" s="11" t="s">
        <v>1961</v>
      </c>
      <c r="AR282" s="11" t="s">
        <v>1937</v>
      </c>
      <c r="AS282" s="36" t="s">
        <v>1951</v>
      </c>
      <c r="AT282" s="11" t="s">
        <v>70</v>
      </c>
      <c r="AU282" s="11" t="s">
        <v>370</v>
      </c>
      <c r="AV282" s="13" t="s">
        <v>1871</v>
      </c>
      <c r="AW282" s="14"/>
      <c r="AX282" s="44"/>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1923</v>
      </c>
      <c r="E283" s="26">
        <v>84000</v>
      </c>
      <c r="F283" s="10" t="s">
        <v>1061</v>
      </c>
      <c r="G283" s="39" t="str">
        <f>Tableau1[[#This Row],[Rue]]&amp;CHAR(10)&amp;Tableau1[[#This Row],[Code Postal]]&amp;" - "&amp;Tableau1[[#This Row],[Ville]]</f>
        <v>390 Rue Jean Marie Tjibaou
84000 - Avignon</v>
      </c>
      <c r="H283" s="15" t="s">
        <v>1922</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c r="AK283" s="10"/>
      <c r="AL283" s="10" t="s">
        <v>1934</v>
      </c>
      <c r="AM283" s="11"/>
      <c r="AN283" s="11" t="s">
        <v>1386</v>
      </c>
      <c r="AO283" s="5" t="s">
        <v>361</v>
      </c>
      <c r="AP283" s="11" t="s">
        <v>1962</v>
      </c>
      <c r="AQ283" s="11" t="s">
        <v>1963</v>
      </c>
      <c r="AR283" s="11" t="s">
        <v>1940</v>
      </c>
      <c r="AS283" s="36" t="s">
        <v>1951</v>
      </c>
      <c r="AT283" s="11" t="s">
        <v>70</v>
      </c>
      <c r="AU283" s="11" t="s">
        <v>370</v>
      </c>
      <c r="AV283" s="13" t="s">
        <v>1871</v>
      </c>
      <c r="AW283" s="14"/>
      <c r="AX283" s="44"/>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1923</v>
      </c>
      <c r="E284" s="26">
        <v>84000</v>
      </c>
      <c r="F284" s="10" t="s">
        <v>1061</v>
      </c>
      <c r="G284" s="39" t="str">
        <f>Tableau1[[#This Row],[Rue]]&amp;CHAR(10)&amp;Tableau1[[#This Row],[Code Postal]]&amp;" - "&amp;Tableau1[[#This Row],[Ville]]</f>
        <v>390 Rue Jean Marie Tjibaou
84000 - Avignon</v>
      </c>
      <c r="H284" s="15" t="s">
        <v>1922</v>
      </c>
      <c r="I284" s="12" t="s">
        <v>47</v>
      </c>
      <c r="J284" s="12" t="s">
        <v>51</v>
      </c>
      <c r="K284" s="10" t="s">
        <v>98</v>
      </c>
      <c r="L284" s="10" t="s">
        <v>98</v>
      </c>
      <c r="M284" s="12" t="s">
        <v>98</v>
      </c>
      <c r="N284" s="36" t="s">
        <v>1926</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c r="AK284" s="10"/>
      <c r="AL284" s="10" t="s">
        <v>1934</v>
      </c>
      <c r="AM284" s="11"/>
      <c r="AN284" s="11" t="s">
        <v>1386</v>
      </c>
      <c r="AO284" s="5" t="s">
        <v>361</v>
      </c>
      <c r="AP284" s="11" t="s">
        <v>1964</v>
      </c>
      <c r="AQ284" s="11" t="s">
        <v>1965</v>
      </c>
      <c r="AR284" s="11" t="s">
        <v>1941</v>
      </c>
      <c r="AS284" s="36" t="s">
        <v>1951</v>
      </c>
      <c r="AT284" s="11" t="s">
        <v>70</v>
      </c>
      <c r="AU284" s="11" t="s">
        <v>370</v>
      </c>
      <c r="AV284" s="13" t="s">
        <v>1871</v>
      </c>
      <c r="AW284" s="14"/>
      <c r="AX284" s="44"/>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1923</v>
      </c>
      <c r="E285" s="26">
        <v>84000</v>
      </c>
      <c r="F285" s="10" t="s">
        <v>1061</v>
      </c>
      <c r="G285" s="39" t="str">
        <f>Tableau1[[#This Row],[Rue]]&amp;CHAR(10)&amp;Tableau1[[#This Row],[Code Postal]]&amp;" - "&amp;Tableau1[[#This Row],[Ville]]</f>
        <v>390 Rue Jean Marie Tjibaou
84000 - Avignon</v>
      </c>
      <c r="H285" s="15" t="s">
        <v>1922</v>
      </c>
      <c r="I285" s="12" t="s">
        <v>47</v>
      </c>
      <c r="J285" s="12" t="s">
        <v>51</v>
      </c>
      <c r="K285" s="10" t="s">
        <v>98</v>
      </c>
      <c r="L285" s="10" t="s">
        <v>98</v>
      </c>
      <c r="M285" s="12" t="s">
        <v>98</v>
      </c>
      <c r="N285" s="36" t="s">
        <v>1927</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c r="AK285" s="10"/>
      <c r="AL285" s="10" t="s">
        <v>1934</v>
      </c>
      <c r="AM285" s="11"/>
      <c r="AN285" s="11" t="s">
        <v>1386</v>
      </c>
      <c r="AO285" s="5" t="s">
        <v>361</v>
      </c>
      <c r="AP285" s="11" t="s">
        <v>1966</v>
      </c>
      <c r="AQ285" s="11" t="s">
        <v>1967</v>
      </c>
      <c r="AR285" s="11" t="s">
        <v>1942</v>
      </c>
      <c r="AS285" s="36" t="s">
        <v>1951</v>
      </c>
      <c r="AT285" s="11" t="s">
        <v>70</v>
      </c>
      <c r="AU285" s="11" t="s">
        <v>370</v>
      </c>
      <c r="AV285" s="13" t="s">
        <v>1871</v>
      </c>
      <c r="AW285" s="14"/>
      <c r="AX285" s="44"/>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1923</v>
      </c>
      <c r="E286" s="26">
        <v>84000</v>
      </c>
      <c r="F286" s="10" t="s">
        <v>1061</v>
      </c>
      <c r="G286" s="39" t="str">
        <f>Tableau1[[#This Row],[Rue]]&amp;CHAR(10)&amp;Tableau1[[#This Row],[Code Postal]]&amp;" - "&amp;Tableau1[[#This Row],[Ville]]</f>
        <v>390 Rue Jean Marie Tjibaou
84000 - Avignon</v>
      </c>
      <c r="H286" s="15" t="s">
        <v>1922</v>
      </c>
      <c r="I286" s="12" t="s">
        <v>47</v>
      </c>
      <c r="J286" s="12" t="s">
        <v>51</v>
      </c>
      <c r="K286" s="10" t="s">
        <v>98</v>
      </c>
      <c r="L286" s="10" t="s">
        <v>98</v>
      </c>
      <c r="M286" s="12" t="s">
        <v>98</v>
      </c>
      <c r="N286" s="36" t="s">
        <v>1928</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c r="AK286" s="10"/>
      <c r="AL286" s="10" t="s">
        <v>1934</v>
      </c>
      <c r="AM286" s="11"/>
      <c r="AN286" s="11" t="s">
        <v>1386</v>
      </c>
      <c r="AO286" s="5" t="s">
        <v>361</v>
      </c>
      <c r="AP286" s="11" t="s">
        <v>1968</v>
      </c>
      <c r="AQ286" s="11" t="s">
        <v>1969</v>
      </c>
      <c r="AR286" s="11" t="s">
        <v>1943</v>
      </c>
      <c r="AS286" s="36" t="s">
        <v>1951</v>
      </c>
      <c r="AT286" s="11" t="s">
        <v>70</v>
      </c>
      <c r="AU286" s="11" t="s">
        <v>370</v>
      </c>
      <c r="AV286" s="13" t="s">
        <v>1871</v>
      </c>
      <c r="AW286" s="14"/>
      <c r="AX286" s="44"/>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1923</v>
      </c>
      <c r="E287" s="26">
        <v>84000</v>
      </c>
      <c r="F287" s="10" t="s">
        <v>1061</v>
      </c>
      <c r="G287" s="39" t="str">
        <f>Tableau1[[#This Row],[Rue]]&amp;CHAR(10)&amp;Tableau1[[#This Row],[Code Postal]]&amp;" - "&amp;Tableau1[[#This Row],[Ville]]</f>
        <v>390 Rue Jean Marie Tjibaou
84000 - Avignon</v>
      </c>
      <c r="H287" s="15" t="s">
        <v>1922</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c r="AK287" s="10"/>
      <c r="AL287" s="10" t="s">
        <v>1934</v>
      </c>
      <c r="AM287" s="11"/>
      <c r="AN287" s="11" t="s">
        <v>1386</v>
      </c>
      <c r="AO287" s="5" t="s">
        <v>361</v>
      </c>
      <c r="AP287" s="11" t="s">
        <v>1970</v>
      </c>
      <c r="AQ287" s="11" t="s">
        <v>1971</v>
      </c>
      <c r="AR287" s="11" t="s">
        <v>1944</v>
      </c>
      <c r="AS287" s="36" t="s">
        <v>1951</v>
      </c>
      <c r="AT287" s="11" t="s">
        <v>70</v>
      </c>
      <c r="AU287" s="11" t="s">
        <v>370</v>
      </c>
      <c r="AV287" s="13" t="s">
        <v>1871</v>
      </c>
      <c r="AW287" s="14"/>
      <c r="AX287" s="44"/>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1923</v>
      </c>
      <c r="E288" s="26">
        <v>84000</v>
      </c>
      <c r="F288" s="10" t="s">
        <v>1061</v>
      </c>
      <c r="G288" s="39" t="str">
        <f>Tableau1[[#This Row],[Rue]]&amp;CHAR(10)&amp;Tableau1[[#This Row],[Code Postal]]&amp;" - "&amp;Tableau1[[#This Row],[Ville]]</f>
        <v>390 Rue Jean Marie Tjibaou
84000 - Avignon</v>
      </c>
      <c r="H288" s="15" t="s">
        <v>1922</v>
      </c>
      <c r="I288" s="12" t="s">
        <v>47</v>
      </c>
      <c r="J288" s="12" t="s">
        <v>51</v>
      </c>
      <c r="K288" s="10" t="s">
        <v>98</v>
      </c>
      <c r="L288" s="10" t="s">
        <v>98</v>
      </c>
      <c r="M288" s="12" t="s">
        <v>98</v>
      </c>
      <c r="N288" s="36" t="s">
        <v>1929</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c r="AK288" s="10"/>
      <c r="AL288" s="10" t="s">
        <v>1934</v>
      </c>
      <c r="AM288" s="11"/>
      <c r="AN288" s="11" t="s">
        <v>1386</v>
      </c>
      <c r="AO288" s="5" t="s">
        <v>361</v>
      </c>
      <c r="AP288" s="11" t="s">
        <v>1972</v>
      </c>
      <c r="AQ288" s="11" t="s">
        <v>1973</v>
      </c>
      <c r="AR288" s="11" t="s">
        <v>1945</v>
      </c>
      <c r="AS288" s="36" t="s">
        <v>1951</v>
      </c>
      <c r="AT288" s="11" t="s">
        <v>70</v>
      </c>
      <c r="AU288" s="11" t="s">
        <v>370</v>
      </c>
      <c r="AV288" s="13" t="s">
        <v>1871</v>
      </c>
      <c r="AW288" s="14"/>
      <c r="AX288" s="44"/>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1923</v>
      </c>
      <c r="E289" s="26">
        <v>84000</v>
      </c>
      <c r="F289" s="10" t="s">
        <v>1061</v>
      </c>
      <c r="G289" s="39" t="str">
        <f>Tableau1[[#This Row],[Rue]]&amp;CHAR(10)&amp;Tableau1[[#This Row],[Code Postal]]&amp;" - "&amp;Tableau1[[#This Row],[Ville]]</f>
        <v>390 Rue Jean Marie Tjibaou
84000 - Avignon</v>
      </c>
      <c r="H289" s="15" t="s">
        <v>1922</v>
      </c>
      <c r="I289" s="12" t="s">
        <v>47</v>
      </c>
      <c r="J289" s="12" t="s">
        <v>51</v>
      </c>
      <c r="K289" s="10" t="s">
        <v>98</v>
      </c>
      <c r="L289" s="10" t="s">
        <v>98</v>
      </c>
      <c r="M289" s="12" t="s">
        <v>98</v>
      </c>
      <c r="N289" s="36" t="s">
        <v>1930</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c r="AK289" s="10"/>
      <c r="AL289" s="10" t="s">
        <v>1934</v>
      </c>
      <c r="AM289" s="11"/>
      <c r="AN289" s="11" t="s">
        <v>1386</v>
      </c>
      <c r="AO289" s="5" t="s">
        <v>361</v>
      </c>
      <c r="AP289" s="11" t="s">
        <v>1974</v>
      </c>
      <c r="AQ289" s="11" t="s">
        <v>1975</v>
      </c>
      <c r="AR289" s="11" t="s">
        <v>1946</v>
      </c>
      <c r="AS289" s="36" t="s">
        <v>1951</v>
      </c>
      <c r="AT289" s="11" t="s">
        <v>70</v>
      </c>
      <c r="AU289" s="11" t="s">
        <v>370</v>
      </c>
      <c r="AV289" s="13" t="s">
        <v>1871</v>
      </c>
      <c r="AW289" s="14"/>
      <c r="AX289" s="44"/>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1923</v>
      </c>
      <c r="E290" s="26">
        <v>84000</v>
      </c>
      <c r="F290" s="10" t="s">
        <v>1061</v>
      </c>
      <c r="G290" s="39" t="str">
        <f>Tableau1[[#This Row],[Rue]]&amp;CHAR(10)&amp;Tableau1[[#This Row],[Code Postal]]&amp;" - "&amp;Tableau1[[#This Row],[Ville]]</f>
        <v>390 Rue Jean Marie Tjibaou
84000 - Avignon</v>
      </c>
      <c r="H290" s="15" t="s">
        <v>1922</v>
      </c>
      <c r="I290" s="12" t="s">
        <v>47</v>
      </c>
      <c r="J290" s="12" t="s">
        <v>51</v>
      </c>
      <c r="K290" s="10" t="s">
        <v>98</v>
      </c>
      <c r="L290" s="10" t="s">
        <v>98</v>
      </c>
      <c r="M290" s="12" t="s">
        <v>98</v>
      </c>
      <c r="N290" s="36" t="s">
        <v>1931</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c r="AK290" s="10"/>
      <c r="AL290" s="10" t="s">
        <v>1934</v>
      </c>
      <c r="AM290" s="11"/>
      <c r="AN290" s="11" t="s">
        <v>1386</v>
      </c>
      <c r="AO290" s="5" t="s">
        <v>361</v>
      </c>
      <c r="AP290" s="11" t="s">
        <v>1976</v>
      </c>
      <c r="AQ290" s="11" t="s">
        <v>1977</v>
      </c>
      <c r="AR290" s="11" t="s">
        <v>1947</v>
      </c>
      <c r="AS290" s="36" t="s">
        <v>1951</v>
      </c>
      <c r="AT290" s="11" t="s">
        <v>70</v>
      </c>
      <c r="AU290" s="11" t="s">
        <v>370</v>
      </c>
      <c r="AV290" s="13" t="s">
        <v>1871</v>
      </c>
      <c r="AW290" s="14"/>
      <c r="AX290" s="44"/>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1923</v>
      </c>
      <c r="E291" s="26">
        <v>84000</v>
      </c>
      <c r="F291" s="10" t="s">
        <v>1061</v>
      </c>
      <c r="G291" s="39" t="str">
        <f>Tableau1[[#This Row],[Rue]]&amp;CHAR(10)&amp;Tableau1[[#This Row],[Code Postal]]&amp;" - "&amp;Tableau1[[#This Row],[Ville]]</f>
        <v>390 Rue Jean Marie Tjibaou
84000 - Avignon</v>
      </c>
      <c r="H291" s="15" t="s">
        <v>1922</v>
      </c>
      <c r="I291" s="12" t="s">
        <v>47</v>
      </c>
      <c r="J291" s="12" t="s">
        <v>51</v>
      </c>
      <c r="K291" s="10" t="s">
        <v>98</v>
      </c>
      <c r="L291" s="10" t="s">
        <v>98</v>
      </c>
      <c r="M291" s="12" t="s">
        <v>98</v>
      </c>
      <c r="N291" s="36" t="s">
        <v>1932</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c r="AK291" s="10"/>
      <c r="AL291" s="10" t="s">
        <v>1934</v>
      </c>
      <c r="AM291" s="11"/>
      <c r="AN291" s="11" t="s">
        <v>1386</v>
      </c>
      <c r="AO291" s="5" t="s">
        <v>361</v>
      </c>
      <c r="AP291" s="11" t="s">
        <v>1978</v>
      </c>
      <c r="AQ291" s="11" t="s">
        <v>1979</v>
      </c>
      <c r="AR291" s="11" t="s">
        <v>1948</v>
      </c>
      <c r="AS291" s="36" t="s">
        <v>1951</v>
      </c>
      <c r="AT291" s="11" t="s">
        <v>70</v>
      </c>
      <c r="AU291" s="11" t="s">
        <v>370</v>
      </c>
      <c r="AV291" s="13" t="s">
        <v>1871</v>
      </c>
      <c r="AW291" s="14"/>
      <c r="AX291" s="44"/>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1923</v>
      </c>
      <c r="E292" s="26">
        <v>84000</v>
      </c>
      <c r="F292" s="10" t="s">
        <v>1061</v>
      </c>
      <c r="G292" s="39" t="str">
        <f>Tableau1[[#This Row],[Rue]]&amp;CHAR(10)&amp;Tableau1[[#This Row],[Code Postal]]&amp;" - "&amp;Tableau1[[#This Row],[Ville]]</f>
        <v>390 Rue Jean Marie Tjibaou
84000 - Avignon</v>
      </c>
      <c r="H292" s="15" t="s">
        <v>1922</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1934</v>
      </c>
      <c r="AM292" s="11"/>
      <c r="AN292" s="11" t="s">
        <v>1386</v>
      </c>
      <c r="AO292" s="5" t="s">
        <v>361</v>
      </c>
      <c r="AP292" s="11" t="s">
        <v>1980</v>
      </c>
      <c r="AQ292" s="11" t="s">
        <v>1981</v>
      </c>
      <c r="AR292" s="11" t="s">
        <v>1949</v>
      </c>
      <c r="AS292" s="36" t="s">
        <v>1951</v>
      </c>
      <c r="AT292" s="11" t="s">
        <v>70</v>
      </c>
      <c r="AU292" s="11" t="s">
        <v>370</v>
      </c>
      <c r="AV292" s="13" t="s">
        <v>1871</v>
      </c>
      <c r="AW292" s="14"/>
      <c r="AX292" s="44"/>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1923</v>
      </c>
      <c r="E293" s="26">
        <v>84000</v>
      </c>
      <c r="F293" s="10" t="s">
        <v>1061</v>
      </c>
      <c r="G293" s="39" t="str">
        <f>Tableau1[[#This Row],[Rue]]&amp;CHAR(10)&amp;Tableau1[[#This Row],[Code Postal]]&amp;" - "&amp;Tableau1[[#This Row],[Ville]]</f>
        <v>390 Rue Jean Marie Tjibaou
84000 - Avignon</v>
      </c>
      <c r="H293" s="15" t="s">
        <v>1922</v>
      </c>
      <c r="I293" s="12" t="s">
        <v>47</v>
      </c>
      <c r="J293" s="12" t="s">
        <v>51</v>
      </c>
      <c r="K293" s="10" t="s">
        <v>98</v>
      </c>
      <c r="L293" s="10" t="s">
        <v>98</v>
      </c>
      <c r="M293" s="12" t="s">
        <v>98</v>
      </c>
      <c r="N293" s="36" t="s">
        <v>1933</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c r="AK293" s="10"/>
      <c r="AL293" s="10" t="s">
        <v>1934</v>
      </c>
      <c r="AM293" s="11"/>
      <c r="AN293" s="11" t="s">
        <v>1386</v>
      </c>
      <c r="AO293" s="5" t="s">
        <v>361</v>
      </c>
      <c r="AP293" s="11" t="s">
        <v>1982</v>
      </c>
      <c r="AQ293" s="11" t="s">
        <v>1983</v>
      </c>
      <c r="AR293" s="11" t="s">
        <v>1950</v>
      </c>
      <c r="AS293" s="36" t="s">
        <v>1951</v>
      </c>
      <c r="AT293" s="11" t="s">
        <v>70</v>
      </c>
      <c r="AU293" s="11" t="s">
        <v>370</v>
      </c>
      <c r="AV293" s="13" t="s">
        <v>1871</v>
      </c>
      <c r="AW293" s="14"/>
      <c r="AX293" s="44"/>
    </row>
    <row r="294" spans="1:50" ht="25.5">
      <c r="A294" s="38" t="str">
        <f>VLOOKUP(Tableau1[[#This Row],[N° Département]],Feuil1!$C$6:$E$106,3)</f>
        <v>Grand Est</v>
      </c>
      <c r="B294" s="38" t="str">
        <f>VLOOKUP(Tableau1[[#This Row],[N° Département]],Feuil1!$C$6:$E$106,2)</f>
        <v>Meuse</v>
      </c>
      <c r="C294" s="38">
        <f>LEFT(Tableau1[[#This Row],[Code Postal]],2)*1</f>
        <v>55</v>
      </c>
      <c r="D294" s="10" t="s">
        <v>2014</v>
      </c>
      <c r="E294" s="26">
        <v>55000</v>
      </c>
      <c r="F294" s="10" t="s">
        <v>1985</v>
      </c>
      <c r="G294" s="39" t="str">
        <f>Tableau1[[#This Row],[Rue]]&amp;CHAR(10)&amp;Tableau1[[#This Row],[Code Postal]]&amp;" - "&amp;Tableau1[[#This Row],[Ville]]</f>
        <v>Auchan, 1 Rue de Longeville
55000 - Savonnières-devant-Bar</v>
      </c>
      <c r="H294" s="15" t="s">
        <v>1984</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c r="AK294" s="10"/>
      <c r="AL294" s="10"/>
      <c r="AM294" s="11"/>
      <c r="AN294" s="11" t="s">
        <v>1386</v>
      </c>
      <c r="AO294" s="5" t="s">
        <v>361</v>
      </c>
      <c r="AP294" s="11" t="s">
        <v>2001</v>
      </c>
      <c r="AQ294" s="11" t="s">
        <v>2002</v>
      </c>
      <c r="AR294" s="11" t="s">
        <v>1987</v>
      </c>
      <c r="AS294" s="36" t="s">
        <v>2011</v>
      </c>
      <c r="AT294" s="11" t="s">
        <v>70</v>
      </c>
      <c r="AU294" s="11" t="s">
        <v>370</v>
      </c>
      <c r="AV294" s="13" t="s">
        <v>1871</v>
      </c>
      <c r="AW294" s="14"/>
      <c r="AX294" s="44"/>
    </row>
    <row r="295" spans="1:50" ht="25.5">
      <c r="A295" s="38" t="str">
        <f>VLOOKUP(Tableau1[[#This Row],[N° Département]],Feuil1!$C$6:$E$106,3)</f>
        <v>Grand Est</v>
      </c>
      <c r="B295" s="38" t="str">
        <f>VLOOKUP(Tableau1[[#This Row],[N° Département]],Feuil1!$C$6:$E$106,2)</f>
        <v>Meuse</v>
      </c>
      <c r="C295" s="38">
        <f>LEFT(Tableau1[[#This Row],[Code Postal]],2)*1</f>
        <v>55</v>
      </c>
      <c r="D295" s="10" t="s">
        <v>2014</v>
      </c>
      <c r="E295" s="26">
        <v>55000</v>
      </c>
      <c r="F295" s="10" t="s">
        <v>1985</v>
      </c>
      <c r="G295" s="39" t="str">
        <f>Tableau1[[#This Row],[Rue]]&amp;CHAR(10)&amp;Tableau1[[#This Row],[Code Postal]]&amp;" - "&amp;Tableau1[[#This Row],[Ville]]</f>
        <v>Auchan, 1 Rue de Longeville
55000 - Savonnières-devant-Bar</v>
      </c>
      <c r="H295" s="15" t="s">
        <v>1984</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c r="AK295" s="10"/>
      <c r="AL295" s="10"/>
      <c r="AM295" s="11"/>
      <c r="AN295" s="11" t="s">
        <v>1386</v>
      </c>
      <c r="AO295" s="5" t="s">
        <v>361</v>
      </c>
      <c r="AP295" s="11" t="s">
        <v>1999</v>
      </c>
      <c r="AQ295" s="11" t="s">
        <v>2000</v>
      </c>
      <c r="AR295" s="11" t="s">
        <v>1988</v>
      </c>
      <c r="AS295" s="36" t="s">
        <v>2011</v>
      </c>
      <c r="AT295" s="11" t="s">
        <v>70</v>
      </c>
      <c r="AU295" s="11" t="s">
        <v>370</v>
      </c>
      <c r="AV295" s="13" t="s">
        <v>1871</v>
      </c>
      <c r="AW295" s="14"/>
      <c r="AX295" s="44"/>
    </row>
    <row r="296" spans="1:50" ht="25.5">
      <c r="A296" s="38" t="str">
        <f>VLOOKUP(Tableau1[[#This Row],[N° Département]],Feuil1!$C$6:$E$106,3)</f>
        <v>Grand Est</v>
      </c>
      <c r="B296" s="38" t="str">
        <f>VLOOKUP(Tableau1[[#This Row],[N° Département]],Feuil1!$C$6:$E$106,2)</f>
        <v>Meuse</v>
      </c>
      <c r="C296" s="38">
        <f>LEFT(Tableau1[[#This Row],[Code Postal]],2)*1</f>
        <v>55</v>
      </c>
      <c r="D296" s="10" t="s">
        <v>2014</v>
      </c>
      <c r="E296" s="26">
        <v>55000</v>
      </c>
      <c r="F296" s="10" t="s">
        <v>1985</v>
      </c>
      <c r="G296" s="39" t="str">
        <f>Tableau1[[#This Row],[Rue]]&amp;CHAR(10)&amp;Tableau1[[#This Row],[Code Postal]]&amp;" - "&amp;Tableau1[[#This Row],[Ville]]</f>
        <v>Auchan, 1 Rue de Longeville
55000 - Savonnières-devant-Bar</v>
      </c>
      <c r="H296" s="15" t="s">
        <v>1984</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c r="AK296" s="10"/>
      <c r="AL296" s="10"/>
      <c r="AM296" s="11"/>
      <c r="AN296" s="11" t="s">
        <v>1386</v>
      </c>
      <c r="AO296" s="5" t="s">
        <v>361</v>
      </c>
      <c r="AP296" s="11" t="s">
        <v>1997</v>
      </c>
      <c r="AQ296" s="11" t="s">
        <v>1998</v>
      </c>
      <c r="AR296" s="11" t="s">
        <v>1989</v>
      </c>
      <c r="AS296" s="36" t="s">
        <v>2011</v>
      </c>
      <c r="AT296" s="11" t="s">
        <v>70</v>
      </c>
      <c r="AU296" s="11" t="s">
        <v>370</v>
      </c>
      <c r="AV296" s="13" t="s">
        <v>1871</v>
      </c>
      <c r="AW296" s="14"/>
      <c r="AX296" s="44"/>
    </row>
    <row r="297" spans="1:50" ht="25.5">
      <c r="A297" s="38" t="str">
        <f>VLOOKUP(Tableau1[[#This Row],[N° Département]],Feuil1!$C$6:$E$106,3)</f>
        <v>Grand Est</v>
      </c>
      <c r="B297" s="38" t="str">
        <f>VLOOKUP(Tableau1[[#This Row],[N° Département]],Feuil1!$C$6:$E$106,2)</f>
        <v>Meuse</v>
      </c>
      <c r="C297" s="38">
        <f>LEFT(Tableau1[[#This Row],[Code Postal]],2)*1</f>
        <v>55</v>
      </c>
      <c r="D297" s="10" t="s">
        <v>2014</v>
      </c>
      <c r="E297" s="26">
        <v>55000</v>
      </c>
      <c r="F297" s="10" t="s">
        <v>1985</v>
      </c>
      <c r="G297" s="39" t="str">
        <f>Tableau1[[#This Row],[Rue]]&amp;CHAR(10)&amp;Tableau1[[#This Row],[Code Postal]]&amp;" - "&amp;Tableau1[[#This Row],[Ville]]</f>
        <v>Auchan, 1 Rue de Longeville
55000 - Savonnières-devant-Bar</v>
      </c>
      <c r="H297" s="15" t="s">
        <v>1984</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c r="AK297" s="10"/>
      <c r="AL297" s="10"/>
      <c r="AM297" s="11"/>
      <c r="AN297" s="11" t="s">
        <v>1386</v>
      </c>
      <c r="AO297" s="5" t="s">
        <v>361</v>
      </c>
      <c r="AP297" s="11" t="s">
        <v>1995</v>
      </c>
      <c r="AQ297" s="11" t="s">
        <v>1996</v>
      </c>
      <c r="AR297" s="11" t="s">
        <v>1990</v>
      </c>
      <c r="AS297" s="36" t="s">
        <v>2011</v>
      </c>
      <c r="AT297" s="11" t="s">
        <v>70</v>
      </c>
      <c r="AU297" s="11" t="s">
        <v>370</v>
      </c>
      <c r="AV297" s="13" t="s">
        <v>1871</v>
      </c>
      <c r="AW297" s="14"/>
      <c r="AX297" s="44"/>
    </row>
    <row r="298" spans="1:50" ht="25.5">
      <c r="A298" s="38" t="str">
        <f>VLOOKUP(Tableau1[[#This Row],[N° Département]],Feuil1!$C$6:$E$106,3)</f>
        <v>Grand Est</v>
      </c>
      <c r="B298" s="38" t="str">
        <f>VLOOKUP(Tableau1[[#This Row],[N° Département]],Feuil1!$C$6:$E$106,2)</f>
        <v>Meuse</v>
      </c>
      <c r="C298" s="38">
        <f>LEFT(Tableau1[[#This Row],[Code Postal]],2)*1</f>
        <v>55</v>
      </c>
      <c r="D298" s="10" t="s">
        <v>2014</v>
      </c>
      <c r="E298" s="26">
        <v>55000</v>
      </c>
      <c r="F298" s="10" t="s">
        <v>1985</v>
      </c>
      <c r="G298" s="39" t="str">
        <f>Tableau1[[#This Row],[Rue]]&amp;CHAR(10)&amp;Tableau1[[#This Row],[Code Postal]]&amp;" - "&amp;Tableau1[[#This Row],[Ville]]</f>
        <v>Auchan, 1 Rue de Longeville
55000 - Savonnières-devant-Bar</v>
      </c>
      <c r="H298" s="15" t="s">
        <v>1984</v>
      </c>
      <c r="I298" s="12" t="s">
        <v>47</v>
      </c>
      <c r="J298" s="12" t="s">
        <v>51</v>
      </c>
      <c r="K298" s="10" t="s">
        <v>98</v>
      </c>
      <c r="L298" s="10" t="s">
        <v>98</v>
      </c>
      <c r="M298" s="12" t="s">
        <v>98</v>
      </c>
      <c r="N298" s="36" t="s">
        <v>1986</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c r="AK298" s="10"/>
      <c r="AL298" s="10"/>
      <c r="AM298" s="11"/>
      <c r="AN298" s="11" t="s">
        <v>1386</v>
      </c>
      <c r="AO298" s="5" t="s">
        <v>361</v>
      </c>
      <c r="AP298" s="11" t="s">
        <v>2007</v>
      </c>
      <c r="AQ298" s="11" t="s">
        <v>2008</v>
      </c>
      <c r="AR298" s="11" t="s">
        <v>1991</v>
      </c>
      <c r="AS298" s="36" t="s">
        <v>2011</v>
      </c>
      <c r="AT298" s="11" t="s">
        <v>70</v>
      </c>
      <c r="AU298" s="11" t="s">
        <v>370</v>
      </c>
      <c r="AV298" s="13" t="s">
        <v>1871</v>
      </c>
      <c r="AW298" s="14"/>
      <c r="AX298" s="44"/>
    </row>
    <row r="299" spans="1:50" ht="25.5">
      <c r="A299" s="38" t="str">
        <f>VLOOKUP(Tableau1[[#This Row],[N° Département]],Feuil1!$C$6:$E$106,3)</f>
        <v>Grand Est</v>
      </c>
      <c r="B299" s="38" t="str">
        <f>VLOOKUP(Tableau1[[#This Row],[N° Département]],Feuil1!$C$6:$E$106,2)</f>
        <v>Meuse</v>
      </c>
      <c r="C299" s="38">
        <f>LEFT(Tableau1[[#This Row],[Code Postal]],2)*1</f>
        <v>55</v>
      </c>
      <c r="D299" s="10" t="s">
        <v>2014</v>
      </c>
      <c r="E299" s="26">
        <v>55000</v>
      </c>
      <c r="F299" s="10" t="s">
        <v>1985</v>
      </c>
      <c r="G299" s="39" t="str">
        <f>Tableau1[[#This Row],[Rue]]&amp;CHAR(10)&amp;Tableau1[[#This Row],[Code Postal]]&amp;" - "&amp;Tableau1[[#This Row],[Ville]]</f>
        <v>Auchan, 1 Rue de Longeville
55000 - Savonnières-devant-Bar</v>
      </c>
      <c r="H299" s="15" t="s">
        <v>1984</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c r="AK299" s="10"/>
      <c r="AL299" s="10"/>
      <c r="AM299" s="11"/>
      <c r="AN299" s="11" t="s">
        <v>1386</v>
      </c>
      <c r="AO299" s="5" t="s">
        <v>361</v>
      </c>
      <c r="AP299" s="11" t="s">
        <v>2006</v>
      </c>
      <c r="AQ299" s="11" t="s">
        <v>2005</v>
      </c>
      <c r="AR299" s="11" t="s">
        <v>1992</v>
      </c>
      <c r="AS299" s="36" t="s">
        <v>2011</v>
      </c>
      <c r="AT299" s="11" t="s">
        <v>70</v>
      </c>
      <c r="AU299" s="11" t="s">
        <v>370</v>
      </c>
      <c r="AV299" s="13" t="s">
        <v>1871</v>
      </c>
      <c r="AW299" s="14"/>
      <c r="AX299" s="44"/>
    </row>
    <row r="300" spans="1:50" ht="25.5">
      <c r="A300" s="38" t="str">
        <f>VLOOKUP(Tableau1[[#This Row],[N° Département]],Feuil1!$C$6:$E$106,3)</f>
        <v>Grand Est</v>
      </c>
      <c r="B300" s="38" t="str">
        <f>VLOOKUP(Tableau1[[#This Row],[N° Département]],Feuil1!$C$6:$E$106,2)</f>
        <v>Meuse</v>
      </c>
      <c r="C300" s="38">
        <f>LEFT(Tableau1[[#This Row],[Code Postal]],2)*1</f>
        <v>55</v>
      </c>
      <c r="D300" s="10" t="s">
        <v>2014</v>
      </c>
      <c r="E300" s="26">
        <v>55000</v>
      </c>
      <c r="F300" s="10" t="s">
        <v>1985</v>
      </c>
      <c r="G300" s="39" t="str">
        <f>Tableau1[[#This Row],[Rue]]&amp;CHAR(10)&amp;Tableau1[[#This Row],[Code Postal]]&amp;" - "&amp;Tableau1[[#This Row],[Ville]]</f>
        <v>Auchan, 1 Rue de Longeville
55000 - Savonnières-devant-Bar</v>
      </c>
      <c r="H300" s="15" t="s">
        <v>1984</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c r="AK300" s="10"/>
      <c r="AL300" s="10"/>
      <c r="AM300" s="11"/>
      <c r="AN300" s="11" t="s">
        <v>1386</v>
      </c>
      <c r="AO300" s="5" t="s">
        <v>361</v>
      </c>
      <c r="AP300" s="11" t="s">
        <v>2003</v>
      </c>
      <c r="AQ300" s="11" t="s">
        <v>2004</v>
      </c>
      <c r="AR300" s="11" t="s">
        <v>1993</v>
      </c>
      <c r="AS300" s="36" t="s">
        <v>2011</v>
      </c>
      <c r="AT300" s="11" t="s">
        <v>70</v>
      </c>
      <c r="AU300" s="11" t="s">
        <v>370</v>
      </c>
      <c r="AV300" s="13" t="s">
        <v>1871</v>
      </c>
      <c r="AW300" s="14"/>
      <c r="AX300" s="44"/>
    </row>
    <row r="301" spans="1:50" ht="25.5">
      <c r="A301" s="38" t="str">
        <f>VLOOKUP(Tableau1[[#This Row],[N° Département]],Feuil1!$C$6:$E$106,3)</f>
        <v>Grand Est</v>
      </c>
      <c r="B301" s="38" t="str">
        <f>VLOOKUP(Tableau1[[#This Row],[N° Département]],Feuil1!$C$6:$E$106,2)</f>
        <v>Meuse</v>
      </c>
      <c r="C301" s="38">
        <f>LEFT(Tableau1[[#This Row],[Code Postal]],2)*1</f>
        <v>55</v>
      </c>
      <c r="D301" s="10" t="s">
        <v>2014</v>
      </c>
      <c r="E301" s="26">
        <v>55000</v>
      </c>
      <c r="F301" s="10" t="s">
        <v>1985</v>
      </c>
      <c r="G301" s="39" t="str">
        <f>Tableau1[[#This Row],[Rue]]&amp;CHAR(10)&amp;Tableau1[[#This Row],[Code Postal]]&amp;" - "&amp;Tableau1[[#This Row],[Ville]]</f>
        <v>Auchan, 1 Rue de Longeville
55000 - Savonnières-devant-Bar</v>
      </c>
      <c r="H301" s="15" t="s">
        <v>1984</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c r="AK301" s="10"/>
      <c r="AL301" s="10"/>
      <c r="AM301" s="11"/>
      <c r="AN301" s="11" t="s">
        <v>1386</v>
      </c>
      <c r="AO301" s="5" t="s">
        <v>361</v>
      </c>
      <c r="AP301" s="11" t="s">
        <v>2009</v>
      </c>
      <c r="AQ301" s="11" t="s">
        <v>2010</v>
      </c>
      <c r="AR301" s="11" t="s">
        <v>1994</v>
      </c>
      <c r="AS301" s="36" t="s">
        <v>2011</v>
      </c>
      <c r="AT301" s="11" t="s">
        <v>70</v>
      </c>
      <c r="AU301" s="11" t="s">
        <v>370</v>
      </c>
      <c r="AV301" s="13" t="s">
        <v>1871</v>
      </c>
      <c r="AW301" s="14"/>
      <c r="AX301" s="44"/>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2027</v>
      </c>
      <c r="E302" s="26">
        <v>21200</v>
      </c>
      <c r="F302" s="10" t="s">
        <v>2013</v>
      </c>
      <c r="G302" s="39" t="str">
        <f>Tableau1[[#This Row],[Rue]]&amp;CHAR(10)&amp;Tableau1[[#This Row],[Code Postal]]&amp;" - "&amp;Tableau1[[#This Row],[Ville]]</f>
        <v>Beaune St-Jacques, 9 Av. du Général de Gaulle
21200 - Beaune</v>
      </c>
      <c r="H302" s="15" t="s">
        <v>2012</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c r="AK302" s="10"/>
      <c r="AL302" s="10"/>
      <c r="AM302" s="11"/>
      <c r="AN302" s="11" t="s">
        <v>1386</v>
      </c>
      <c r="AO302" s="5" t="s">
        <v>361</v>
      </c>
      <c r="AP302" s="11" t="s">
        <v>2019</v>
      </c>
      <c r="AQ302" s="11" t="s">
        <v>2020</v>
      </c>
      <c r="AR302" s="11" t="s">
        <v>2015</v>
      </c>
      <c r="AS302" s="36" t="s">
        <v>2028</v>
      </c>
      <c r="AT302" s="11" t="s">
        <v>70</v>
      </c>
      <c r="AU302" s="11" t="s">
        <v>370</v>
      </c>
      <c r="AV302" s="13" t="s">
        <v>1871</v>
      </c>
      <c r="AW302" s="14"/>
      <c r="AX302" s="44"/>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2027</v>
      </c>
      <c r="E303" s="26">
        <v>21200</v>
      </c>
      <c r="F303" s="10" t="s">
        <v>2013</v>
      </c>
      <c r="G303" s="39" t="str">
        <f>Tableau1[[#This Row],[Rue]]&amp;CHAR(10)&amp;Tableau1[[#This Row],[Code Postal]]&amp;" - "&amp;Tableau1[[#This Row],[Ville]]</f>
        <v>Beaune St-Jacques, 9 Av. du Général de Gaulle
21200 - Beaune</v>
      </c>
      <c r="H303" s="15" t="s">
        <v>2012</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c r="AK303" s="10"/>
      <c r="AL303" s="10"/>
      <c r="AM303" s="11"/>
      <c r="AN303" s="11" t="s">
        <v>1386</v>
      </c>
      <c r="AO303" s="5" t="s">
        <v>361</v>
      </c>
      <c r="AP303" s="11" t="s">
        <v>2021</v>
      </c>
      <c r="AQ303" s="11" t="s">
        <v>2022</v>
      </c>
      <c r="AR303" s="11" t="s">
        <v>2016</v>
      </c>
      <c r="AS303" s="36" t="s">
        <v>2028</v>
      </c>
      <c r="AT303" s="11" t="s">
        <v>70</v>
      </c>
      <c r="AU303" s="11" t="s">
        <v>370</v>
      </c>
      <c r="AV303" s="13" t="s">
        <v>1871</v>
      </c>
      <c r="AW303" s="14"/>
      <c r="AX303" s="44"/>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2027</v>
      </c>
      <c r="E304" s="26">
        <v>21200</v>
      </c>
      <c r="F304" s="10" t="s">
        <v>2013</v>
      </c>
      <c r="G304" s="39" t="str">
        <f>Tableau1[[#This Row],[Rue]]&amp;CHAR(10)&amp;Tableau1[[#This Row],[Code Postal]]&amp;" - "&amp;Tableau1[[#This Row],[Ville]]</f>
        <v>Beaune St-Jacques, 9 Av. du Général de Gaulle
21200 - Beaune</v>
      </c>
      <c r="H304" s="15" t="s">
        <v>2012</v>
      </c>
      <c r="I304" s="12" t="s">
        <v>47</v>
      </c>
      <c r="J304" s="12" t="s">
        <v>51</v>
      </c>
      <c r="K304" s="10" t="s">
        <v>98</v>
      </c>
      <c r="L304" s="10" t="s">
        <v>98</v>
      </c>
      <c r="M304" s="12" t="s">
        <v>98</v>
      </c>
      <c r="N304" s="36" t="s">
        <v>465</v>
      </c>
      <c r="O304" s="34">
        <v>145</v>
      </c>
      <c r="P304" s="6" t="s">
        <v>98</v>
      </c>
      <c r="Q304" s="34" t="s">
        <v>98</v>
      </c>
      <c r="R304" s="34" t="s">
        <v>98</v>
      </c>
      <c r="S304" s="6" t="s">
        <v>98</v>
      </c>
      <c r="T304" s="12">
        <f>Tableau1[[#This Row],[Loyer €/m²]]*Tableau1[[#This Row],[Surface GLA]]</f>
        <v>29000</v>
      </c>
      <c r="U304" s="12">
        <f>IFERROR(Tableau1[[#This Row],[Loyer annuel]]/12,"")</f>
        <v>2416.6666666666665</v>
      </c>
      <c r="V304" s="12">
        <v>200</v>
      </c>
      <c r="W304" s="34" t="s">
        <v>98</v>
      </c>
      <c r="X304" s="6">
        <f>Tableau1[[#This Row],[Charges €/m²]]*Tableau1[[#This Row],[Surface GLA]]</f>
        <v>6525</v>
      </c>
      <c r="Y304" s="12">
        <f>Tableau1[[#This Row],[Charges annuelles]]/12</f>
        <v>543.75</v>
      </c>
      <c r="Z304" s="12">
        <v>45</v>
      </c>
      <c r="AA304" s="12">
        <f>IFERROR(Tableau1[[#This Row],[Taxe foncière €/m²]]*Tableau1[[#This Row],[Surface GLA]],)</f>
        <v>2900</v>
      </c>
      <c r="AB304" s="12">
        <v>20</v>
      </c>
      <c r="AC304" s="12">
        <f>IFERROR(Tableau1[[#This Row],[Marketing €/m²]]*Tableau1[[#This Row],[Surface GLA]],)</f>
        <v>0</v>
      </c>
      <c r="AD304" s="12"/>
      <c r="AE304" s="12">
        <f>IFERROR(Tableau1[[#This Row],[Loyer annuel]]+Tableau1[[#This Row],[Charges annuelles]]+Tableau1[[#This Row],[Taxe foncière]]+Tableau1[[#This Row],[Marketing]],"")</f>
        <v>38425</v>
      </c>
      <c r="AF304" s="12" t="str">
        <f t="shared" si="15"/>
        <v>3 mois = 7 250 €</v>
      </c>
      <c r="AG304" s="12" t="s">
        <v>98</v>
      </c>
      <c r="AH304" s="12" t="s">
        <v>98</v>
      </c>
      <c r="AI304" s="12" t="s">
        <v>357</v>
      </c>
      <c r="AJ304" s="10"/>
      <c r="AK304" s="10"/>
      <c r="AL304" s="10"/>
      <c r="AM304" s="11"/>
      <c r="AN304" s="11" t="s">
        <v>1386</v>
      </c>
      <c r="AO304" s="5" t="s">
        <v>361</v>
      </c>
      <c r="AP304" s="11" t="s">
        <v>2023</v>
      </c>
      <c r="AQ304" s="11" t="s">
        <v>2024</v>
      </c>
      <c r="AR304" s="11" t="s">
        <v>2017</v>
      </c>
      <c r="AS304" s="36" t="s">
        <v>2028</v>
      </c>
      <c r="AT304" s="11" t="s">
        <v>70</v>
      </c>
      <c r="AU304" s="11" t="s">
        <v>370</v>
      </c>
      <c r="AV304" s="13" t="s">
        <v>1871</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2027</v>
      </c>
      <c r="E305" s="26">
        <v>21200</v>
      </c>
      <c r="F305" s="10" t="s">
        <v>2013</v>
      </c>
      <c r="G305" s="39" t="str">
        <f>Tableau1[[#This Row],[Rue]]&amp;CHAR(10)&amp;Tableau1[[#This Row],[Code Postal]]&amp;" - "&amp;Tableau1[[#This Row],[Ville]]</f>
        <v>Beaune St-Jacques, 9 Av. du Général de Gaulle
21200 - Beaune</v>
      </c>
      <c r="H305" s="15" t="s">
        <v>2012</v>
      </c>
      <c r="I305" s="12" t="s">
        <v>47</v>
      </c>
      <c r="J305" s="12" t="s">
        <v>51</v>
      </c>
      <c r="K305" s="10" t="s">
        <v>98</v>
      </c>
      <c r="L305" s="10" t="s">
        <v>98</v>
      </c>
      <c r="M305" s="12" t="s">
        <v>98</v>
      </c>
      <c r="N305" s="36" t="s">
        <v>466</v>
      </c>
      <c r="O305" s="34">
        <v>91</v>
      </c>
      <c r="P305" s="6" t="s">
        <v>98</v>
      </c>
      <c r="Q305" s="34" t="s">
        <v>98</v>
      </c>
      <c r="R305" s="34" t="s">
        <v>98</v>
      </c>
      <c r="S305" s="6" t="s">
        <v>98</v>
      </c>
      <c r="T305" s="12">
        <f>Tableau1[[#This Row],[Loyer €/m²]]*Tableau1[[#This Row],[Surface GLA]]</f>
        <v>18200</v>
      </c>
      <c r="U305" s="12">
        <f>IFERROR(Tableau1[[#This Row],[Loyer annuel]]/12,"")</f>
        <v>1516.6666666666667</v>
      </c>
      <c r="V305" s="12">
        <v>200</v>
      </c>
      <c r="W305" s="34" t="s">
        <v>98</v>
      </c>
      <c r="X305" s="6">
        <f>Tableau1[[#This Row],[Charges €/m²]]*Tableau1[[#This Row],[Surface GLA]]</f>
        <v>4095</v>
      </c>
      <c r="Y305" s="12">
        <f>Tableau1[[#This Row],[Charges annuelles]]/12</f>
        <v>341.25</v>
      </c>
      <c r="Z305" s="12">
        <v>45</v>
      </c>
      <c r="AA305" s="12">
        <f>IFERROR(Tableau1[[#This Row],[Taxe foncière €/m²]]*Tableau1[[#This Row],[Surface GLA]],)</f>
        <v>1820</v>
      </c>
      <c r="AB305" s="12">
        <v>20</v>
      </c>
      <c r="AC305" s="12">
        <f>IFERROR(Tableau1[[#This Row],[Marketing €/m²]]*Tableau1[[#This Row],[Surface GLA]],)</f>
        <v>0</v>
      </c>
      <c r="AD305" s="12"/>
      <c r="AE305" s="12">
        <f>IFERROR(Tableau1[[#This Row],[Loyer annuel]]+Tableau1[[#This Row],[Charges annuelles]]+Tableau1[[#This Row],[Taxe foncière]]+Tableau1[[#This Row],[Marketing]],"")</f>
        <v>24115</v>
      </c>
      <c r="AF305" s="12" t="str">
        <f t="shared" si="15"/>
        <v>3 mois = 4 550 €</v>
      </c>
      <c r="AG305" s="12" t="s">
        <v>98</v>
      </c>
      <c r="AH305" s="12" t="s">
        <v>98</v>
      </c>
      <c r="AI305" s="12" t="s">
        <v>357</v>
      </c>
      <c r="AJ305" s="10"/>
      <c r="AK305" s="10"/>
      <c r="AL305" s="10"/>
      <c r="AM305" s="11"/>
      <c r="AN305" s="11" t="s">
        <v>1386</v>
      </c>
      <c r="AO305" s="5" t="s">
        <v>361</v>
      </c>
      <c r="AP305" s="11" t="s">
        <v>2025</v>
      </c>
      <c r="AQ305" s="11" t="s">
        <v>2026</v>
      </c>
      <c r="AR305" s="11" t="s">
        <v>2018</v>
      </c>
      <c r="AS305" s="36" t="s">
        <v>2028</v>
      </c>
      <c r="AT305" s="11" t="s">
        <v>70</v>
      </c>
      <c r="AU305" s="11" t="s">
        <v>370</v>
      </c>
      <c r="AV305" s="13" t="s">
        <v>1871</v>
      </c>
      <c r="AW305" s="14"/>
      <c r="AX305" s="44"/>
    </row>
    <row r="306" spans="1:50" ht="25.5">
      <c r="A306" s="38" t="str">
        <f>VLOOKUP(Tableau1[[#This Row],[N° Département]],Feuil1!$C$6:$E$106,3)</f>
        <v>Hauts-de-France</v>
      </c>
      <c r="B306" s="38" t="str">
        <f>VLOOKUP(Tableau1[[#This Row],[N° Département]],Feuil1!$C$6:$E$106,2)</f>
        <v>Pas-de-Calais</v>
      </c>
      <c r="C306" s="38">
        <f>LEFT(Tableau1[[#This Row],[Code Postal]],2)*1</f>
        <v>62</v>
      </c>
      <c r="D306" s="10" t="s">
        <v>2031</v>
      </c>
      <c r="E306" s="26">
        <v>62100</v>
      </c>
      <c r="F306" s="10" t="s">
        <v>2030</v>
      </c>
      <c r="G306" s="39" t="str">
        <f>Tableau1[[#This Row],[Rue]]&amp;CHAR(10)&amp;Tableau1[[#This Row],[Code Postal]]&amp;" - "&amp;Tableau1[[#This Row],[Ville]]</f>
        <v>Auchan 1 Av. Roger Salengro
62100 - Calais</v>
      </c>
      <c r="H306" s="15" t="s">
        <v>2029</v>
      </c>
      <c r="I306" s="12" t="s">
        <v>47</v>
      </c>
      <c r="J306" s="12" t="s">
        <v>51</v>
      </c>
      <c r="K306" s="10" t="s">
        <v>98</v>
      </c>
      <c r="L306" s="10" t="s">
        <v>98</v>
      </c>
      <c r="M306" s="12" t="s">
        <v>98</v>
      </c>
      <c r="N306" s="36" t="s">
        <v>329</v>
      </c>
      <c r="O306" s="34">
        <v>202</v>
      </c>
      <c r="P306" s="6" t="s">
        <v>98</v>
      </c>
      <c r="Q306" s="34" t="s">
        <v>98</v>
      </c>
      <c r="R306" s="34" t="s">
        <v>98</v>
      </c>
      <c r="S306" s="6" t="s">
        <v>98</v>
      </c>
      <c r="T306" s="12">
        <f>Tableau1[[#This Row],[Loyer €/m²]]*Tableau1[[#This Row],[Surface GLA]]</f>
        <v>60600</v>
      </c>
      <c r="U306" s="12">
        <f>IFERROR(Tableau1[[#This Row],[Loyer annuel]]/12,"")</f>
        <v>5050</v>
      </c>
      <c r="V306" s="12">
        <v>300</v>
      </c>
      <c r="W306" s="34" t="s">
        <v>98</v>
      </c>
      <c r="X306" s="6">
        <f>Tableau1[[#This Row],[Charges €/m²]]*Tableau1[[#This Row],[Surface GLA]]</f>
        <v>9090</v>
      </c>
      <c r="Y306" s="12">
        <f>Tableau1[[#This Row],[Charges annuelles]]/12</f>
        <v>757.5</v>
      </c>
      <c r="Z306" s="12">
        <v>45</v>
      </c>
      <c r="AA306" s="12">
        <f>IFERROR(Tableau1[[#This Row],[Taxe foncière €/m²]]*Tableau1[[#This Row],[Surface GLA]],)</f>
        <v>5454</v>
      </c>
      <c r="AB306" s="12">
        <v>27</v>
      </c>
      <c r="AC306" s="12">
        <f>IFERROR(Tableau1[[#This Row],[Marketing €/m²]]*Tableau1[[#This Row],[Surface GLA]],)</f>
        <v>0</v>
      </c>
      <c r="AD306" s="12"/>
      <c r="AE306" s="12">
        <f>IFERROR(Tableau1[[#This Row],[Loyer annuel]]+Tableau1[[#This Row],[Charges annuelles]]+Tableau1[[#This Row],[Taxe foncière]]+Tableau1[[#This Row],[Marketing]],"")</f>
        <v>75144</v>
      </c>
      <c r="AF306" s="12" t="str">
        <f t="shared" si="15"/>
        <v>3 mois = 15 150 €</v>
      </c>
      <c r="AG306" s="12" t="s">
        <v>98</v>
      </c>
      <c r="AH306" s="12" t="s">
        <v>98</v>
      </c>
      <c r="AI306" s="12" t="s">
        <v>357</v>
      </c>
      <c r="AJ306" s="10"/>
      <c r="AK306" s="10"/>
      <c r="AL306" s="10"/>
      <c r="AM306" s="11" t="s">
        <v>2047</v>
      </c>
      <c r="AN306" s="11" t="s">
        <v>1386</v>
      </c>
      <c r="AO306" s="5" t="s">
        <v>361</v>
      </c>
      <c r="AP306" s="11" t="s">
        <v>2037</v>
      </c>
      <c r="AQ306" s="11" t="s">
        <v>2038</v>
      </c>
      <c r="AR306" s="11" t="s">
        <v>2032</v>
      </c>
      <c r="AS306" s="36" t="s">
        <v>2048</v>
      </c>
      <c r="AT306" s="11" t="s">
        <v>70</v>
      </c>
      <c r="AU306" s="11" t="s">
        <v>370</v>
      </c>
      <c r="AV306" s="13" t="s">
        <v>1871</v>
      </c>
      <c r="AW306" s="14"/>
      <c r="AX306" s="44"/>
    </row>
    <row r="307" spans="1:50" ht="25.5">
      <c r="A307" s="38" t="str">
        <f>VLOOKUP(Tableau1[[#This Row],[N° Département]],Feuil1!$C$6:$E$106,3)</f>
        <v>Hauts-de-France</v>
      </c>
      <c r="B307" s="38" t="str">
        <f>VLOOKUP(Tableau1[[#This Row],[N° Département]],Feuil1!$C$6:$E$106,2)</f>
        <v>Pas-de-Calais</v>
      </c>
      <c r="C307" s="38">
        <f>LEFT(Tableau1[[#This Row],[Code Postal]],2)*1</f>
        <v>62</v>
      </c>
      <c r="D307" s="10" t="s">
        <v>2031</v>
      </c>
      <c r="E307" s="26">
        <v>62101</v>
      </c>
      <c r="F307" s="10" t="s">
        <v>2030</v>
      </c>
      <c r="G307" s="39" t="str">
        <f>Tableau1[[#This Row],[Rue]]&amp;CHAR(10)&amp;Tableau1[[#This Row],[Code Postal]]&amp;" - "&amp;Tableau1[[#This Row],[Ville]]</f>
        <v>Auchan 1 Av. Roger Salengro
62101 - Calais</v>
      </c>
      <c r="H307" s="15" t="s">
        <v>2029</v>
      </c>
      <c r="I307" s="12" t="s">
        <v>47</v>
      </c>
      <c r="J307" s="12" t="s">
        <v>51</v>
      </c>
      <c r="K307" s="10" t="s">
        <v>98</v>
      </c>
      <c r="L307" s="10" t="s">
        <v>98</v>
      </c>
      <c r="M307" s="12" t="s">
        <v>98</v>
      </c>
      <c r="N307" s="36" t="s">
        <v>307</v>
      </c>
      <c r="O307" s="34">
        <v>152</v>
      </c>
      <c r="P307" s="6" t="s">
        <v>98</v>
      </c>
      <c r="Q307" s="34" t="s">
        <v>98</v>
      </c>
      <c r="R307" s="34" t="s">
        <v>98</v>
      </c>
      <c r="S307" s="6" t="s">
        <v>98</v>
      </c>
      <c r="T307" s="12">
        <f>Tableau1[[#This Row],[Loyer €/m²]]*Tableau1[[#This Row],[Surface GLA]]</f>
        <v>45600</v>
      </c>
      <c r="U307" s="12">
        <f>IFERROR(Tableau1[[#This Row],[Loyer annuel]]/12,"")</f>
        <v>3800</v>
      </c>
      <c r="V307" s="12">
        <v>300</v>
      </c>
      <c r="W307" s="34" t="s">
        <v>98</v>
      </c>
      <c r="X307" s="6">
        <f>Tableau1[[#This Row],[Charges €/m²]]*Tableau1[[#This Row],[Surface GLA]]</f>
        <v>6840</v>
      </c>
      <c r="Y307" s="12">
        <f>Tableau1[[#This Row],[Charges annuelles]]/12</f>
        <v>570</v>
      </c>
      <c r="Z307" s="12">
        <v>45</v>
      </c>
      <c r="AA307" s="12">
        <f>IFERROR(Tableau1[[#This Row],[Taxe foncière €/m²]]*Tableau1[[#This Row],[Surface GLA]],)</f>
        <v>4104</v>
      </c>
      <c r="AB307" s="12">
        <v>27</v>
      </c>
      <c r="AC307" s="12">
        <f>IFERROR(Tableau1[[#This Row],[Marketing €/m²]]*Tableau1[[#This Row],[Surface GLA]],)</f>
        <v>0</v>
      </c>
      <c r="AD307" s="12"/>
      <c r="AE307" s="12">
        <f>IFERROR(Tableau1[[#This Row],[Loyer annuel]]+Tableau1[[#This Row],[Charges annuelles]]+Tableau1[[#This Row],[Taxe foncière]]+Tableau1[[#This Row],[Marketing]],"")</f>
        <v>56544</v>
      </c>
      <c r="AF307" s="12" t="str">
        <f t="shared" si="15"/>
        <v>3 mois = 11 400 €</v>
      </c>
      <c r="AG307" s="12" t="s">
        <v>98</v>
      </c>
      <c r="AH307" s="12" t="s">
        <v>98</v>
      </c>
      <c r="AI307" s="12" t="s">
        <v>357</v>
      </c>
      <c r="AJ307" s="10"/>
      <c r="AK307" s="10"/>
      <c r="AL307" s="10"/>
      <c r="AM307" s="11" t="s">
        <v>2047</v>
      </c>
      <c r="AN307" s="11" t="s">
        <v>1386</v>
      </c>
      <c r="AO307" s="5" t="s">
        <v>361</v>
      </c>
      <c r="AP307" s="11" t="s">
        <v>2039</v>
      </c>
      <c r="AQ307" s="11" t="s">
        <v>2040</v>
      </c>
      <c r="AR307" s="11" t="s">
        <v>2033</v>
      </c>
      <c r="AS307" s="36" t="s">
        <v>2048</v>
      </c>
      <c r="AT307" s="11" t="s">
        <v>70</v>
      </c>
      <c r="AU307" s="11" t="s">
        <v>370</v>
      </c>
      <c r="AV307" s="13" t="s">
        <v>1871</v>
      </c>
      <c r="AW307" s="14"/>
      <c r="AX307" s="44"/>
    </row>
    <row r="308" spans="1:50" ht="25.5">
      <c r="A308" s="38" t="str">
        <f>VLOOKUP(Tableau1[[#This Row],[N° Département]],Feuil1!$C$6:$E$106,3)</f>
        <v>Hauts-de-France</v>
      </c>
      <c r="B308" s="38" t="str">
        <f>VLOOKUP(Tableau1[[#This Row],[N° Département]],Feuil1!$C$6:$E$106,2)</f>
        <v>Pas-de-Calais</v>
      </c>
      <c r="C308" s="38">
        <f>LEFT(Tableau1[[#This Row],[Code Postal]],2)*1</f>
        <v>62</v>
      </c>
      <c r="D308" s="10" t="s">
        <v>2031</v>
      </c>
      <c r="E308" s="26">
        <v>62102</v>
      </c>
      <c r="F308" s="10" t="s">
        <v>2030</v>
      </c>
      <c r="G308" s="39" t="str">
        <f>Tableau1[[#This Row],[Rue]]&amp;CHAR(10)&amp;Tableau1[[#This Row],[Code Postal]]&amp;" - "&amp;Tableau1[[#This Row],[Ville]]</f>
        <v>Auchan 1 Av. Roger Salengro
62102 - Calais</v>
      </c>
      <c r="H308" s="15" t="s">
        <v>2029</v>
      </c>
      <c r="I308" s="12" t="s">
        <v>47</v>
      </c>
      <c r="J308" s="12" t="s">
        <v>51</v>
      </c>
      <c r="K308" s="10" t="s">
        <v>98</v>
      </c>
      <c r="L308" s="10" t="s">
        <v>98</v>
      </c>
      <c r="M308" s="12" t="s">
        <v>98</v>
      </c>
      <c r="N308" s="36" t="s">
        <v>464</v>
      </c>
      <c r="O308" s="34">
        <v>80</v>
      </c>
      <c r="P308" s="6" t="s">
        <v>98</v>
      </c>
      <c r="Q308" s="34">
        <v>186</v>
      </c>
      <c r="R308" s="6" t="s">
        <v>98</v>
      </c>
      <c r="S308" s="6" t="s">
        <v>98</v>
      </c>
      <c r="T308" s="12">
        <f>Tableau1[[#This Row],[Loyer €/m²]]*Tableau1[[#This Row],[Surface GLA]]</f>
        <v>32000</v>
      </c>
      <c r="U308" s="12">
        <f>IFERROR(Tableau1[[#This Row],[Loyer annuel]]/12,"")</f>
        <v>2666.6666666666665</v>
      </c>
      <c r="V308" s="12">
        <v>400</v>
      </c>
      <c r="W308" s="34" t="s">
        <v>98</v>
      </c>
      <c r="X308" s="6">
        <f>Tableau1[[#This Row],[Charges €/m²]]*Tableau1[[#This Row],[Surface GLA]]</f>
        <v>3600</v>
      </c>
      <c r="Y308" s="12">
        <f>Tableau1[[#This Row],[Charges annuelles]]/12</f>
        <v>300</v>
      </c>
      <c r="Z308" s="12">
        <v>45</v>
      </c>
      <c r="AA308" s="12">
        <f>IFERROR(Tableau1[[#This Row],[Taxe foncière €/m²]]*Tableau1[[#This Row],[Surface GLA]],)</f>
        <v>2160</v>
      </c>
      <c r="AB308" s="12">
        <v>27</v>
      </c>
      <c r="AC308" s="12">
        <f>IFERROR(Tableau1[[#This Row],[Marketing €/m²]]*Tableau1[[#This Row],[Surface GLA]],)</f>
        <v>0</v>
      </c>
      <c r="AD308" s="12"/>
      <c r="AE308" s="12">
        <f>IFERROR(Tableau1[[#This Row],[Loyer annuel]]+Tableau1[[#This Row],[Charges annuelles]]+Tableau1[[#This Row],[Taxe foncière]]+Tableau1[[#This Row],[Marketing]],"")</f>
        <v>37760</v>
      </c>
      <c r="AF308" s="12" t="str">
        <f t="shared" si="15"/>
        <v>3 mois = 8 000 €</v>
      </c>
      <c r="AG308" s="12" t="s">
        <v>98</v>
      </c>
      <c r="AH308" s="12" t="s">
        <v>98</v>
      </c>
      <c r="AI308" s="12" t="s">
        <v>357</v>
      </c>
      <c r="AJ308" s="10"/>
      <c r="AK308" s="10"/>
      <c r="AL308" s="10"/>
      <c r="AM308" s="11" t="s">
        <v>2047</v>
      </c>
      <c r="AN308" s="11" t="s">
        <v>1386</v>
      </c>
      <c r="AO308" s="5" t="s">
        <v>361</v>
      </c>
      <c r="AP308" s="11" t="s">
        <v>2041</v>
      </c>
      <c r="AQ308" s="11" t="s">
        <v>2042</v>
      </c>
      <c r="AR308" s="11" t="s">
        <v>2034</v>
      </c>
      <c r="AS308" s="36" t="s">
        <v>2048</v>
      </c>
      <c r="AT308" s="11" t="s">
        <v>70</v>
      </c>
      <c r="AU308" s="11" t="s">
        <v>370</v>
      </c>
      <c r="AV308" s="13" t="s">
        <v>1871</v>
      </c>
      <c r="AW308" s="14"/>
      <c r="AX308" s="44"/>
    </row>
    <row r="309" spans="1:50" ht="25.5">
      <c r="A309" s="38" t="str">
        <f>VLOOKUP(Tableau1[[#This Row],[N° Département]],Feuil1!$C$6:$E$106,3)</f>
        <v>Hauts-de-France</v>
      </c>
      <c r="B309" s="38" t="str">
        <f>VLOOKUP(Tableau1[[#This Row],[N° Département]],Feuil1!$C$6:$E$106,2)</f>
        <v>Pas-de-Calais</v>
      </c>
      <c r="C309" s="38">
        <f>LEFT(Tableau1[[#This Row],[Code Postal]],2)*1</f>
        <v>62</v>
      </c>
      <c r="D309" s="10" t="s">
        <v>2031</v>
      </c>
      <c r="E309" s="26">
        <v>62103</v>
      </c>
      <c r="F309" s="10" t="s">
        <v>2030</v>
      </c>
      <c r="G309" s="39" t="str">
        <f>Tableau1[[#This Row],[Rue]]&amp;CHAR(10)&amp;Tableau1[[#This Row],[Code Postal]]&amp;" - "&amp;Tableau1[[#This Row],[Ville]]</f>
        <v>Auchan 1 Av. Roger Salengro
62103 - Calais</v>
      </c>
      <c r="H309" s="15" t="s">
        <v>2029</v>
      </c>
      <c r="I309" s="12" t="s">
        <v>47</v>
      </c>
      <c r="J309" s="12" t="s">
        <v>51</v>
      </c>
      <c r="K309" s="10" t="s">
        <v>98</v>
      </c>
      <c r="L309" s="10" t="s">
        <v>98</v>
      </c>
      <c r="M309" s="12" t="s">
        <v>98</v>
      </c>
      <c r="N309" s="36" t="s">
        <v>409</v>
      </c>
      <c r="O309" s="34">
        <v>106</v>
      </c>
      <c r="P309" s="6" t="s">
        <v>98</v>
      </c>
      <c r="Q309" s="34">
        <v>186</v>
      </c>
      <c r="R309" s="6" t="s">
        <v>98</v>
      </c>
      <c r="S309" s="6" t="s">
        <v>98</v>
      </c>
      <c r="T309" s="12">
        <f>Tableau1[[#This Row],[Loyer €/m²]]*Tableau1[[#This Row],[Surface GLA]]</f>
        <v>37100</v>
      </c>
      <c r="U309" s="12">
        <f>IFERROR(Tableau1[[#This Row],[Loyer annuel]]/12,"")</f>
        <v>3091.6666666666665</v>
      </c>
      <c r="V309" s="12">
        <v>350</v>
      </c>
      <c r="W309" s="34" t="s">
        <v>98</v>
      </c>
      <c r="X309" s="6">
        <f>Tableau1[[#This Row],[Charges €/m²]]*Tableau1[[#This Row],[Surface GLA]]</f>
        <v>4770</v>
      </c>
      <c r="Y309" s="12">
        <f>Tableau1[[#This Row],[Charges annuelles]]/12</f>
        <v>397.5</v>
      </c>
      <c r="Z309" s="12">
        <v>45</v>
      </c>
      <c r="AA309" s="12">
        <f>IFERROR(Tableau1[[#This Row],[Taxe foncière €/m²]]*Tableau1[[#This Row],[Surface GLA]],)</f>
        <v>2862</v>
      </c>
      <c r="AB309" s="12">
        <v>27</v>
      </c>
      <c r="AC309" s="12">
        <f>IFERROR(Tableau1[[#This Row],[Marketing €/m²]]*Tableau1[[#This Row],[Surface GLA]],)</f>
        <v>0</v>
      </c>
      <c r="AD309" s="12"/>
      <c r="AE309" s="12">
        <f>IFERROR(Tableau1[[#This Row],[Loyer annuel]]+Tableau1[[#This Row],[Charges annuelles]]+Tableau1[[#This Row],[Taxe foncière]]+Tableau1[[#This Row],[Marketing]],"")</f>
        <v>44732</v>
      </c>
      <c r="AF309" s="12" t="str">
        <f t="shared" si="15"/>
        <v>3 mois = 9 275 €</v>
      </c>
      <c r="AG309" s="12" t="s">
        <v>98</v>
      </c>
      <c r="AH309" s="12" t="s">
        <v>98</v>
      </c>
      <c r="AI309" s="12" t="s">
        <v>357</v>
      </c>
      <c r="AJ309" s="10"/>
      <c r="AK309" s="10"/>
      <c r="AL309" s="10"/>
      <c r="AM309" s="11" t="s">
        <v>2047</v>
      </c>
      <c r="AN309" s="11" t="s">
        <v>1386</v>
      </c>
      <c r="AO309" s="5" t="s">
        <v>361</v>
      </c>
      <c r="AP309" s="11" t="s">
        <v>2043</v>
      </c>
      <c r="AQ309" s="11" t="s">
        <v>2044</v>
      </c>
      <c r="AR309" s="11" t="s">
        <v>2035</v>
      </c>
      <c r="AS309" s="36" t="s">
        <v>2048</v>
      </c>
      <c r="AT309" s="11" t="s">
        <v>70</v>
      </c>
      <c r="AU309" s="11" t="s">
        <v>370</v>
      </c>
      <c r="AV309" s="13" t="s">
        <v>1871</v>
      </c>
      <c r="AW309" s="14"/>
      <c r="AX309" s="44"/>
    </row>
    <row r="310" spans="1:50" ht="25.5">
      <c r="A310" s="38" t="str">
        <f>VLOOKUP(Tableau1[[#This Row],[N° Département]],Feuil1!$C$6:$E$106,3)</f>
        <v>Hauts-de-France</v>
      </c>
      <c r="B310" s="38" t="str">
        <f>VLOOKUP(Tableau1[[#This Row],[N° Département]],Feuil1!$C$6:$E$106,2)</f>
        <v>Pas-de-Calais</v>
      </c>
      <c r="C310" s="38">
        <f>LEFT(Tableau1[[#This Row],[Code Postal]],2)*1</f>
        <v>62</v>
      </c>
      <c r="D310" s="10" t="s">
        <v>2031</v>
      </c>
      <c r="E310" s="26">
        <v>62104</v>
      </c>
      <c r="F310" s="10" t="s">
        <v>2030</v>
      </c>
      <c r="G310" s="39" t="str">
        <f>Tableau1[[#This Row],[Rue]]&amp;CHAR(10)&amp;Tableau1[[#This Row],[Code Postal]]&amp;" - "&amp;Tableau1[[#This Row],[Ville]]</f>
        <v>Auchan 1 Av. Roger Salengro
62104 - Calais</v>
      </c>
      <c r="H310" s="15" t="s">
        <v>2029</v>
      </c>
      <c r="I310" s="12" t="s">
        <v>47</v>
      </c>
      <c r="J310" s="12" t="s">
        <v>51</v>
      </c>
      <c r="K310" s="10" t="s">
        <v>98</v>
      </c>
      <c r="L310" s="10" t="s">
        <v>98</v>
      </c>
      <c r="M310" s="12" t="s">
        <v>98</v>
      </c>
      <c r="N310" s="36" t="s">
        <v>1932</v>
      </c>
      <c r="O310" s="34">
        <v>20</v>
      </c>
      <c r="P310" s="6" t="s">
        <v>98</v>
      </c>
      <c r="Q310" s="34" t="s">
        <v>98</v>
      </c>
      <c r="R310" s="34" t="s">
        <v>98</v>
      </c>
      <c r="S310" s="6" t="s">
        <v>98</v>
      </c>
      <c r="T310" s="12">
        <f>Tableau1[[#This Row],[Loyer €/m²]]*Tableau1[[#This Row],[Surface GLA]]</f>
        <v>10000</v>
      </c>
      <c r="U310" s="12">
        <f>IFERROR(Tableau1[[#This Row],[Loyer annuel]]/12,"")</f>
        <v>833.33333333333337</v>
      </c>
      <c r="V310" s="12">
        <v>500</v>
      </c>
      <c r="W310" s="34" t="s">
        <v>98</v>
      </c>
      <c r="X310" s="6">
        <f>Tableau1[[#This Row],[Charges €/m²]]*Tableau1[[#This Row],[Surface GLA]]</f>
        <v>900</v>
      </c>
      <c r="Y310" s="12">
        <f>Tableau1[[#This Row],[Charges annuelles]]/12</f>
        <v>75</v>
      </c>
      <c r="Z310" s="12">
        <v>45</v>
      </c>
      <c r="AA310" s="12">
        <f>IFERROR(Tableau1[[#This Row],[Taxe foncière €/m²]]*Tableau1[[#This Row],[Surface GLA]],)</f>
        <v>540</v>
      </c>
      <c r="AB310" s="12">
        <v>27</v>
      </c>
      <c r="AC310" s="12">
        <f>IFERROR(Tableau1[[#This Row],[Marketing €/m²]]*Tableau1[[#This Row],[Surface GLA]],)</f>
        <v>0</v>
      </c>
      <c r="AD310" s="12"/>
      <c r="AE310" s="12">
        <f>IFERROR(Tableau1[[#This Row],[Loyer annuel]]+Tableau1[[#This Row],[Charges annuelles]]+Tableau1[[#This Row],[Taxe foncière]]+Tableau1[[#This Row],[Marketing]],"")</f>
        <v>11440</v>
      </c>
      <c r="AF310" s="12" t="str">
        <f t="shared" si="15"/>
        <v>3 mois = 2 500 €</v>
      </c>
      <c r="AG310" s="12" t="s">
        <v>98</v>
      </c>
      <c r="AH310" s="12" t="s">
        <v>98</v>
      </c>
      <c r="AI310" s="12" t="s">
        <v>357</v>
      </c>
      <c r="AJ310" s="10"/>
      <c r="AK310" s="10"/>
      <c r="AL310" s="10"/>
      <c r="AM310" s="11" t="s">
        <v>2047</v>
      </c>
      <c r="AN310" s="11" t="s">
        <v>1386</v>
      </c>
      <c r="AO310" s="5" t="s">
        <v>361</v>
      </c>
      <c r="AP310" s="11" t="s">
        <v>2045</v>
      </c>
      <c r="AQ310" s="11" t="s">
        <v>2046</v>
      </c>
      <c r="AR310" s="11" t="s">
        <v>2036</v>
      </c>
      <c r="AS310" s="36" t="s">
        <v>2048</v>
      </c>
      <c r="AT310" s="11" t="s">
        <v>70</v>
      </c>
      <c r="AU310" s="11" t="s">
        <v>370</v>
      </c>
      <c r="AV310" s="13" t="s">
        <v>1871</v>
      </c>
      <c r="AW310" s="14"/>
      <c r="AX310" s="44"/>
    </row>
    <row r="311" spans="1:50" ht="25.5">
      <c r="A311" s="38" t="str">
        <f>VLOOKUP(Tableau1[[#This Row],[N° Département]],Feuil1!$C$6:$E$106,3)</f>
        <v>Nouvelle-Aquitaine</v>
      </c>
      <c r="B311" s="38" t="str">
        <f>VLOOKUP(Tableau1[[#This Row],[N° Département]],Feuil1!$C$6:$E$106,2)</f>
        <v>Vienne</v>
      </c>
      <c r="C311" s="38">
        <f>LEFT(Tableau1[[#This Row],[Code Postal]],2)*1</f>
        <v>86</v>
      </c>
      <c r="D311" s="10" t="s">
        <v>2098</v>
      </c>
      <c r="E311" s="26">
        <v>86100</v>
      </c>
      <c r="F311" s="10" t="s">
        <v>2049</v>
      </c>
      <c r="G311" s="39" t="str">
        <f>Tableau1[[#This Row],[Rue]]&amp;CHAR(10)&amp;Tableau1[[#This Row],[Code Postal]]&amp;" - "&amp;Tableau1[[#This Row],[Ville]]</f>
        <v>Auchan 26 Av. Jean Moulin
86100 - Châtellerault</v>
      </c>
      <c r="H311" s="15" t="s">
        <v>2050</v>
      </c>
      <c r="I311" s="12" t="s">
        <v>47</v>
      </c>
      <c r="J311" s="12" t="s">
        <v>51</v>
      </c>
      <c r="K311" s="10" t="s">
        <v>98</v>
      </c>
      <c r="L311" s="10" t="s">
        <v>98</v>
      </c>
      <c r="M311" s="12" t="s">
        <v>98</v>
      </c>
      <c r="N311" s="36" t="s">
        <v>329</v>
      </c>
      <c r="O311" s="34">
        <v>204</v>
      </c>
      <c r="P311" s="6" t="s">
        <v>98</v>
      </c>
      <c r="Q311" s="34">
        <v>324</v>
      </c>
      <c r="R311" s="34" t="s">
        <v>98</v>
      </c>
      <c r="S311" s="6" t="s">
        <v>98</v>
      </c>
      <c r="T311" s="12">
        <f>Tableau1[[#This Row],[Loyer €/m²]]*Tableau1[[#This Row],[Surface GLA]]</f>
        <v>40800</v>
      </c>
      <c r="U311" s="12">
        <f>IFERROR(Tableau1[[#This Row],[Loyer annuel]]/12,"")</f>
        <v>3400</v>
      </c>
      <c r="V311" s="12">
        <v>200</v>
      </c>
      <c r="W311" s="34" t="s">
        <v>98</v>
      </c>
      <c r="X311" s="6">
        <f>Tableau1[[#This Row],[Charges €/m²]]*Tableau1[[#This Row],[Surface GLA]]</f>
        <v>10200</v>
      </c>
      <c r="Y311" s="12">
        <f>Tableau1[[#This Row],[Charges annuelles]]/12</f>
        <v>850</v>
      </c>
      <c r="Z311" s="12">
        <v>50</v>
      </c>
      <c r="AA311" s="12">
        <f>IFERROR(Tableau1[[#This Row],[Taxe foncière €/m²]]*Tableau1[[#This Row],[Surface GLA]],)</f>
        <v>2856</v>
      </c>
      <c r="AB311" s="12">
        <v>14</v>
      </c>
      <c r="AC311" s="12">
        <f>IFERROR(Tableau1[[#This Row],[Marketing €/m²]]*Tableau1[[#This Row],[Surface GLA]],)</f>
        <v>0</v>
      </c>
      <c r="AD311" s="12"/>
      <c r="AE311" s="12">
        <f>IFERROR(Tableau1[[#This Row],[Loyer annuel]]+Tableau1[[#This Row],[Charges annuelles]]+Tableau1[[#This Row],[Taxe foncière]]+Tableau1[[#This Row],[Marketing]],"")</f>
        <v>53856</v>
      </c>
      <c r="AF311" s="12" t="str">
        <f t="shared" si="15"/>
        <v>3 mois = 10 200 €</v>
      </c>
      <c r="AG311" s="12" t="s">
        <v>98</v>
      </c>
      <c r="AH311" s="12" t="s">
        <v>98</v>
      </c>
      <c r="AI311" s="12" t="s">
        <v>357</v>
      </c>
      <c r="AJ311" s="10"/>
      <c r="AK311" s="10"/>
      <c r="AL311" s="10"/>
      <c r="AM311" s="11"/>
      <c r="AN311" s="11" t="s">
        <v>1386</v>
      </c>
      <c r="AO311" s="5" t="s">
        <v>361</v>
      </c>
      <c r="AP311" s="11" t="s">
        <v>2072</v>
      </c>
      <c r="AQ311" s="11" t="s">
        <v>2073</v>
      </c>
      <c r="AR311" s="11" t="s">
        <v>2057</v>
      </c>
      <c r="AS311" s="36" t="s">
        <v>2097</v>
      </c>
      <c r="AT311" s="11" t="s">
        <v>70</v>
      </c>
      <c r="AU311" s="11" t="s">
        <v>370</v>
      </c>
      <c r="AV311" s="13" t="s">
        <v>1871</v>
      </c>
      <c r="AW311" s="14"/>
      <c r="AX311" s="44"/>
    </row>
    <row r="312" spans="1:50" ht="25.5">
      <c r="A312" s="38" t="str">
        <f>VLOOKUP(Tableau1[[#This Row],[N° Département]],Feuil1!$C$6:$E$106,3)</f>
        <v>Nouvelle-Aquitaine</v>
      </c>
      <c r="B312" s="38" t="str">
        <f>VLOOKUP(Tableau1[[#This Row],[N° Département]],Feuil1!$C$6:$E$106,2)</f>
        <v>Vienne</v>
      </c>
      <c r="C312" s="38">
        <f>LEFT(Tableau1[[#This Row],[Code Postal]],2)*1</f>
        <v>86</v>
      </c>
      <c r="D312" s="10" t="s">
        <v>2098</v>
      </c>
      <c r="E312" s="26">
        <v>86100</v>
      </c>
      <c r="F312" s="10" t="s">
        <v>2049</v>
      </c>
      <c r="G312" s="39" t="str">
        <f>Tableau1[[#This Row],[Rue]]&amp;CHAR(10)&amp;Tableau1[[#This Row],[Code Postal]]&amp;" - "&amp;Tableau1[[#This Row],[Ville]]</f>
        <v>Auchan 26 Av. Jean Moulin
86100 - Châtellerault</v>
      </c>
      <c r="H312" s="15" t="s">
        <v>2050</v>
      </c>
      <c r="I312" s="12" t="s">
        <v>47</v>
      </c>
      <c r="J312" s="12" t="s">
        <v>51</v>
      </c>
      <c r="K312" s="10" t="s">
        <v>98</v>
      </c>
      <c r="L312" s="10" t="s">
        <v>98</v>
      </c>
      <c r="M312" s="12" t="s">
        <v>98</v>
      </c>
      <c r="N312" s="36" t="s">
        <v>330</v>
      </c>
      <c r="O312" s="34">
        <v>120</v>
      </c>
      <c r="P312" s="6" t="s">
        <v>98</v>
      </c>
      <c r="Q312" s="34">
        <v>324</v>
      </c>
      <c r="R312" s="34" t="s">
        <v>98</v>
      </c>
      <c r="S312" s="6" t="s">
        <v>98</v>
      </c>
      <c r="T312" s="12">
        <f>Tableau1[[#This Row],[Loyer €/m²]]*Tableau1[[#This Row],[Surface GLA]]</f>
        <v>24000</v>
      </c>
      <c r="U312" s="12">
        <f>IFERROR(Tableau1[[#This Row],[Loyer annuel]]/12,"")</f>
        <v>2000</v>
      </c>
      <c r="V312" s="12">
        <v>200</v>
      </c>
      <c r="W312" s="34" t="s">
        <v>98</v>
      </c>
      <c r="X312" s="6">
        <f>Tableau1[[#This Row],[Charges €/m²]]*Tableau1[[#This Row],[Surface GLA]]</f>
        <v>6000</v>
      </c>
      <c r="Y312" s="12">
        <f>Tableau1[[#This Row],[Charges annuelles]]/12</f>
        <v>500</v>
      </c>
      <c r="Z312" s="12">
        <v>50</v>
      </c>
      <c r="AA312" s="12">
        <f>IFERROR(Tableau1[[#This Row],[Taxe foncière €/m²]]*Tableau1[[#This Row],[Surface GLA]],)</f>
        <v>1680</v>
      </c>
      <c r="AB312" s="12">
        <v>14</v>
      </c>
      <c r="AC312" s="12">
        <f>IFERROR(Tableau1[[#This Row],[Marketing €/m²]]*Tableau1[[#This Row],[Surface GLA]],)</f>
        <v>0</v>
      </c>
      <c r="AD312" s="12"/>
      <c r="AE312" s="12">
        <f>IFERROR(Tableau1[[#This Row],[Loyer annuel]]+Tableau1[[#This Row],[Charges annuelles]]+Tableau1[[#This Row],[Taxe foncière]]+Tableau1[[#This Row],[Marketing]],"")</f>
        <v>31680</v>
      </c>
      <c r="AF312" s="12" t="str">
        <f t="shared" si="15"/>
        <v>3 mois = 6 000 €</v>
      </c>
      <c r="AG312" s="12" t="s">
        <v>98</v>
      </c>
      <c r="AH312" s="12" t="s">
        <v>98</v>
      </c>
      <c r="AI312" s="12" t="s">
        <v>357</v>
      </c>
      <c r="AJ312" s="10"/>
      <c r="AK312" s="10"/>
      <c r="AL312" s="10"/>
      <c r="AM312" s="11"/>
      <c r="AN312" s="11" t="s">
        <v>1386</v>
      </c>
      <c r="AO312" s="5" t="s">
        <v>361</v>
      </c>
      <c r="AP312" s="11">
        <v>46.797989000000001</v>
      </c>
      <c r="AQ312" s="11">
        <v>0.52867900000000001</v>
      </c>
      <c r="AR312" s="11" t="s">
        <v>2059</v>
      </c>
      <c r="AS312" s="36" t="s">
        <v>2097</v>
      </c>
      <c r="AT312" s="11" t="s">
        <v>70</v>
      </c>
      <c r="AU312" s="11" t="s">
        <v>370</v>
      </c>
      <c r="AV312" s="13" t="s">
        <v>1871</v>
      </c>
      <c r="AW312" s="14"/>
      <c r="AX312" s="44"/>
    </row>
    <row r="313" spans="1:50" ht="25.5">
      <c r="A313" s="38" t="str">
        <f>VLOOKUP(Tableau1[[#This Row],[N° Département]],Feuil1!$C$6:$E$106,3)</f>
        <v>Nouvelle-Aquitaine</v>
      </c>
      <c r="B313" s="38" t="str">
        <f>VLOOKUP(Tableau1[[#This Row],[N° Département]],Feuil1!$C$6:$E$106,2)</f>
        <v>Vienne</v>
      </c>
      <c r="C313" s="38">
        <f>LEFT(Tableau1[[#This Row],[Code Postal]],2)*1</f>
        <v>86</v>
      </c>
      <c r="D313" s="10" t="s">
        <v>2098</v>
      </c>
      <c r="E313" s="26">
        <v>86100</v>
      </c>
      <c r="F313" s="10" t="s">
        <v>2049</v>
      </c>
      <c r="G313" s="39" t="str">
        <f>Tableau1[[#This Row],[Rue]]&amp;CHAR(10)&amp;Tableau1[[#This Row],[Code Postal]]&amp;" - "&amp;Tableau1[[#This Row],[Ville]]</f>
        <v>Auchan 26 Av. Jean Moulin
86100 - Châtellerault</v>
      </c>
      <c r="H313" s="15" t="s">
        <v>2050</v>
      </c>
      <c r="I313" s="12" t="s">
        <v>47</v>
      </c>
      <c r="J313" s="12" t="s">
        <v>51</v>
      </c>
      <c r="K313" s="10" t="s">
        <v>98</v>
      </c>
      <c r="L313" s="10" t="s">
        <v>98</v>
      </c>
      <c r="M313" s="12" t="s">
        <v>98</v>
      </c>
      <c r="N313" s="36" t="s">
        <v>354</v>
      </c>
      <c r="O313" s="34">
        <v>65</v>
      </c>
      <c r="P313" s="6" t="s">
        <v>98</v>
      </c>
      <c r="Q313" s="34">
        <v>186</v>
      </c>
      <c r="R313" s="34" t="s">
        <v>98</v>
      </c>
      <c r="S313" s="6" t="s">
        <v>98</v>
      </c>
      <c r="T313" s="12">
        <f>Tableau1[[#This Row],[Loyer €/m²]]*Tableau1[[#This Row],[Surface GLA]]</f>
        <v>13000</v>
      </c>
      <c r="U313" s="12">
        <f>IFERROR(Tableau1[[#This Row],[Loyer annuel]]/12,"")</f>
        <v>1083.3333333333333</v>
      </c>
      <c r="V313" s="12">
        <v>200</v>
      </c>
      <c r="W313" s="34" t="s">
        <v>98</v>
      </c>
      <c r="X313" s="6">
        <f>Tableau1[[#This Row],[Charges €/m²]]*Tableau1[[#This Row],[Surface GLA]]</f>
        <v>3250</v>
      </c>
      <c r="Y313" s="12">
        <f>Tableau1[[#This Row],[Charges annuelles]]/12</f>
        <v>270.83333333333331</v>
      </c>
      <c r="Z313" s="12">
        <v>50</v>
      </c>
      <c r="AA313" s="12">
        <f>IFERROR(Tableau1[[#This Row],[Taxe foncière €/m²]]*Tableau1[[#This Row],[Surface GLA]],)</f>
        <v>910</v>
      </c>
      <c r="AB313" s="12">
        <v>14</v>
      </c>
      <c r="AC313" s="12">
        <f>IFERROR(Tableau1[[#This Row],[Marketing €/m²]]*Tableau1[[#This Row],[Surface GLA]],)</f>
        <v>0</v>
      </c>
      <c r="AD313" s="12"/>
      <c r="AE313" s="12">
        <f>IFERROR(Tableau1[[#This Row],[Loyer annuel]]+Tableau1[[#This Row],[Charges annuelles]]+Tableau1[[#This Row],[Taxe foncière]]+Tableau1[[#This Row],[Marketing]],"")</f>
        <v>17160</v>
      </c>
      <c r="AF313" s="12" t="str">
        <f t="shared" si="15"/>
        <v>3 mois = 3 250 €</v>
      </c>
      <c r="AG313" s="12" t="s">
        <v>98</v>
      </c>
      <c r="AH313" s="12" t="s">
        <v>98</v>
      </c>
      <c r="AI313" s="12" t="s">
        <v>357</v>
      </c>
      <c r="AJ313" s="10"/>
      <c r="AK313" s="10"/>
      <c r="AL313" s="10"/>
      <c r="AM313" s="11"/>
      <c r="AN313" s="11" t="s">
        <v>1386</v>
      </c>
      <c r="AO313" s="5" t="s">
        <v>361</v>
      </c>
      <c r="AP313" s="11" t="s">
        <v>2074</v>
      </c>
      <c r="AQ313" s="11" t="s">
        <v>2075</v>
      </c>
      <c r="AR313" s="11" t="s">
        <v>2064</v>
      </c>
      <c r="AS313" s="36" t="s">
        <v>2097</v>
      </c>
      <c r="AT313" s="11" t="s">
        <v>70</v>
      </c>
      <c r="AU313" s="11" t="s">
        <v>370</v>
      </c>
      <c r="AV313" s="13" t="s">
        <v>1871</v>
      </c>
      <c r="AW313" s="14"/>
      <c r="AX313" s="44"/>
    </row>
    <row r="314" spans="1:50" ht="25.5">
      <c r="A314" s="38" t="str">
        <f>VLOOKUP(Tableau1[[#This Row],[N° Département]],Feuil1!$C$6:$E$106,3)</f>
        <v>Nouvelle-Aquitaine</v>
      </c>
      <c r="B314" s="38" t="str">
        <f>VLOOKUP(Tableau1[[#This Row],[N° Département]],Feuil1!$C$6:$E$106,2)</f>
        <v>Vienne</v>
      </c>
      <c r="C314" s="38">
        <f>LEFT(Tableau1[[#This Row],[Code Postal]],2)*1</f>
        <v>86</v>
      </c>
      <c r="D314" s="10" t="s">
        <v>2098</v>
      </c>
      <c r="E314" s="26">
        <v>86100</v>
      </c>
      <c r="F314" s="10" t="s">
        <v>2049</v>
      </c>
      <c r="G314" s="39" t="str">
        <f>Tableau1[[#This Row],[Rue]]&amp;CHAR(10)&amp;Tableau1[[#This Row],[Code Postal]]&amp;" - "&amp;Tableau1[[#This Row],[Ville]]</f>
        <v>Auchan 26 Av. Jean Moulin
86100 - Châtellerault</v>
      </c>
      <c r="H314" s="15" t="s">
        <v>2050</v>
      </c>
      <c r="I314" s="12" t="s">
        <v>47</v>
      </c>
      <c r="J314" s="12" t="s">
        <v>51</v>
      </c>
      <c r="K314" s="10" t="s">
        <v>98</v>
      </c>
      <c r="L314" s="10" t="s">
        <v>98</v>
      </c>
      <c r="M314" s="12" t="s">
        <v>98</v>
      </c>
      <c r="N314" s="36" t="s">
        <v>1986</v>
      </c>
      <c r="O314" s="34">
        <v>121</v>
      </c>
      <c r="P314" s="6" t="s">
        <v>98</v>
      </c>
      <c r="Q314" s="34">
        <v>186</v>
      </c>
      <c r="R314" s="34" t="s">
        <v>98</v>
      </c>
      <c r="S314" s="6" t="s">
        <v>98</v>
      </c>
      <c r="T314" s="12">
        <f>Tableau1[[#This Row],[Loyer €/m²]]*Tableau1[[#This Row],[Surface GLA]]</f>
        <v>24200</v>
      </c>
      <c r="U314" s="12">
        <f>IFERROR(Tableau1[[#This Row],[Loyer annuel]]/12,"")</f>
        <v>2016.6666666666667</v>
      </c>
      <c r="V314" s="12">
        <v>200</v>
      </c>
      <c r="W314" s="34" t="s">
        <v>98</v>
      </c>
      <c r="X314" s="6">
        <f>Tableau1[[#This Row],[Charges €/m²]]*Tableau1[[#This Row],[Surface GLA]]</f>
        <v>6050</v>
      </c>
      <c r="Y314" s="12">
        <f>Tableau1[[#This Row],[Charges annuelles]]/12</f>
        <v>504.16666666666669</v>
      </c>
      <c r="Z314" s="12">
        <v>50</v>
      </c>
      <c r="AA314" s="12">
        <f>IFERROR(Tableau1[[#This Row],[Taxe foncière €/m²]]*Tableau1[[#This Row],[Surface GLA]],)</f>
        <v>1694</v>
      </c>
      <c r="AB314" s="12">
        <v>14</v>
      </c>
      <c r="AC314" s="12">
        <f>IFERROR(Tableau1[[#This Row],[Marketing €/m²]]*Tableau1[[#This Row],[Surface GLA]],)</f>
        <v>0</v>
      </c>
      <c r="AD314" s="12"/>
      <c r="AE314" s="12">
        <f>IFERROR(Tableau1[[#This Row],[Loyer annuel]]+Tableau1[[#This Row],[Charges annuelles]]+Tableau1[[#This Row],[Taxe foncière]]+Tableau1[[#This Row],[Marketing]],"")</f>
        <v>31944</v>
      </c>
      <c r="AF314" s="12" t="str">
        <f t="shared" si="15"/>
        <v>3 mois = 6 050 €</v>
      </c>
      <c r="AG314" s="12" t="s">
        <v>98</v>
      </c>
      <c r="AH314" s="12" t="s">
        <v>98</v>
      </c>
      <c r="AI314" s="12" t="s">
        <v>357</v>
      </c>
      <c r="AJ314" s="10"/>
      <c r="AK314" s="10"/>
      <c r="AL314" s="10"/>
      <c r="AM314" s="11"/>
      <c r="AN314" s="11" t="s">
        <v>1386</v>
      </c>
      <c r="AO314" s="5" t="s">
        <v>361</v>
      </c>
      <c r="AP314" s="11" t="s">
        <v>2076</v>
      </c>
      <c r="AQ314" s="11" t="s">
        <v>2077</v>
      </c>
      <c r="AR314" s="11" t="s">
        <v>2065</v>
      </c>
      <c r="AS314" s="36" t="s">
        <v>2097</v>
      </c>
      <c r="AT314" s="11" t="s">
        <v>70</v>
      </c>
      <c r="AU314" s="11" t="s">
        <v>370</v>
      </c>
      <c r="AV314" s="13" t="s">
        <v>1871</v>
      </c>
      <c r="AW314" s="14"/>
      <c r="AX314" s="44"/>
    </row>
    <row r="315" spans="1:50" ht="25.5">
      <c r="A315" s="38" t="str">
        <f>VLOOKUP(Tableau1[[#This Row],[N° Département]],Feuil1!$C$6:$E$106,3)</f>
        <v>Nouvelle-Aquitaine</v>
      </c>
      <c r="B315" s="38" t="str">
        <f>VLOOKUP(Tableau1[[#This Row],[N° Département]],Feuil1!$C$6:$E$106,2)</f>
        <v>Vienne</v>
      </c>
      <c r="C315" s="38">
        <f>LEFT(Tableau1[[#This Row],[Code Postal]],2)*1</f>
        <v>86</v>
      </c>
      <c r="D315" s="10" t="s">
        <v>2098</v>
      </c>
      <c r="E315" s="26">
        <v>86100</v>
      </c>
      <c r="F315" s="10" t="s">
        <v>2049</v>
      </c>
      <c r="G315" s="39" t="str">
        <f>Tableau1[[#This Row],[Rue]]&amp;CHAR(10)&amp;Tableau1[[#This Row],[Code Postal]]&amp;" - "&amp;Tableau1[[#This Row],[Ville]]</f>
        <v>Auchan 26 Av. Jean Moulin
86100 - Châtellerault</v>
      </c>
      <c r="H315" s="15" t="s">
        <v>2050</v>
      </c>
      <c r="I315" s="12" t="s">
        <v>47</v>
      </c>
      <c r="J315" s="12" t="s">
        <v>51</v>
      </c>
      <c r="K315" s="10" t="s">
        <v>98</v>
      </c>
      <c r="L315" s="10" t="s">
        <v>98</v>
      </c>
      <c r="M315" s="12" t="s">
        <v>98</v>
      </c>
      <c r="N315" s="36" t="s">
        <v>452</v>
      </c>
      <c r="O315" s="34">
        <v>206</v>
      </c>
      <c r="P315" s="6" t="s">
        <v>98</v>
      </c>
      <c r="Q315" s="34" t="s">
        <v>98</v>
      </c>
      <c r="R315" s="34" t="s">
        <v>98</v>
      </c>
      <c r="S315" s="6" t="s">
        <v>98</v>
      </c>
      <c r="T315" s="12">
        <f>Tableau1[[#This Row],[Loyer €/m²]]*Tableau1[[#This Row],[Surface GLA]]</f>
        <v>41200</v>
      </c>
      <c r="U315" s="12">
        <f>IFERROR(Tableau1[[#This Row],[Loyer annuel]]/12,"")</f>
        <v>3433.3333333333335</v>
      </c>
      <c r="V315" s="12">
        <v>200</v>
      </c>
      <c r="W315" s="34" t="s">
        <v>98</v>
      </c>
      <c r="X315" s="6">
        <f>Tableau1[[#This Row],[Charges €/m²]]*Tableau1[[#This Row],[Surface GLA]]</f>
        <v>10300</v>
      </c>
      <c r="Y315" s="12">
        <f>Tableau1[[#This Row],[Charges annuelles]]/12</f>
        <v>858.33333333333337</v>
      </c>
      <c r="Z315" s="12">
        <v>50</v>
      </c>
      <c r="AA315" s="12">
        <f>IFERROR(Tableau1[[#This Row],[Taxe foncière €/m²]]*Tableau1[[#This Row],[Surface GLA]],)</f>
        <v>2884</v>
      </c>
      <c r="AB315" s="12">
        <v>14</v>
      </c>
      <c r="AC315" s="12">
        <f>IFERROR(Tableau1[[#This Row],[Marketing €/m²]]*Tableau1[[#This Row],[Surface GLA]],)</f>
        <v>0</v>
      </c>
      <c r="AD315" s="12"/>
      <c r="AE315" s="12">
        <f>IFERROR(Tableau1[[#This Row],[Loyer annuel]]+Tableau1[[#This Row],[Charges annuelles]]+Tableau1[[#This Row],[Taxe foncière]]+Tableau1[[#This Row],[Marketing]],"")</f>
        <v>54384</v>
      </c>
      <c r="AF315" s="12" t="str">
        <f t="shared" si="15"/>
        <v>3 mois = 10 300 €</v>
      </c>
      <c r="AG315" s="12" t="s">
        <v>98</v>
      </c>
      <c r="AH315" s="12" t="s">
        <v>98</v>
      </c>
      <c r="AI315" s="12" t="s">
        <v>357</v>
      </c>
      <c r="AJ315" s="10"/>
      <c r="AK315" s="10"/>
      <c r="AL315" s="10"/>
      <c r="AM315" s="11"/>
      <c r="AN315" s="11" t="s">
        <v>1386</v>
      </c>
      <c r="AO315" s="5" t="s">
        <v>361</v>
      </c>
      <c r="AP315" s="11" t="s">
        <v>2078</v>
      </c>
      <c r="AQ315" s="11" t="s">
        <v>2079</v>
      </c>
      <c r="AR315" s="11" t="s">
        <v>2066</v>
      </c>
      <c r="AS315" s="36" t="s">
        <v>2097</v>
      </c>
      <c r="AT315" s="11" t="s">
        <v>70</v>
      </c>
      <c r="AU315" s="11" t="s">
        <v>370</v>
      </c>
      <c r="AV315" s="13" t="s">
        <v>1871</v>
      </c>
      <c r="AW315" s="14"/>
      <c r="AX315" s="44"/>
    </row>
    <row r="316" spans="1:50" ht="25.5">
      <c r="A316" s="38" t="str">
        <f>VLOOKUP(Tableau1[[#This Row],[N° Département]],Feuil1!$C$6:$E$106,3)</f>
        <v>Nouvelle-Aquitaine</v>
      </c>
      <c r="B316" s="38" t="str">
        <f>VLOOKUP(Tableau1[[#This Row],[N° Département]],Feuil1!$C$6:$E$106,2)</f>
        <v>Vienne</v>
      </c>
      <c r="C316" s="38">
        <f>LEFT(Tableau1[[#This Row],[Code Postal]],2)*1</f>
        <v>86</v>
      </c>
      <c r="D316" s="10" t="s">
        <v>2098</v>
      </c>
      <c r="E316" s="26">
        <v>86100</v>
      </c>
      <c r="F316" s="10" t="s">
        <v>2049</v>
      </c>
      <c r="G316" s="39" t="str">
        <f>Tableau1[[#This Row],[Rue]]&amp;CHAR(10)&amp;Tableau1[[#This Row],[Code Postal]]&amp;" - "&amp;Tableau1[[#This Row],[Ville]]</f>
        <v>Auchan 26 Av. Jean Moulin
86100 - Châtellerault</v>
      </c>
      <c r="H316" s="15" t="s">
        <v>2050</v>
      </c>
      <c r="I316" s="12" t="s">
        <v>47</v>
      </c>
      <c r="J316" s="12" t="s">
        <v>51</v>
      </c>
      <c r="K316" s="10" t="s">
        <v>98</v>
      </c>
      <c r="L316" s="10" t="s">
        <v>98</v>
      </c>
      <c r="M316" s="12" t="s">
        <v>98</v>
      </c>
      <c r="N316" s="36" t="s">
        <v>302</v>
      </c>
      <c r="O316" s="34">
        <v>129</v>
      </c>
      <c r="P316" s="6" t="s">
        <v>98</v>
      </c>
      <c r="Q316" s="34">
        <v>524</v>
      </c>
      <c r="R316" s="34" t="s">
        <v>98</v>
      </c>
      <c r="S316" s="6" t="s">
        <v>98</v>
      </c>
      <c r="T316" s="12">
        <f>Tableau1[[#This Row],[Loyer €/m²]]*Tableau1[[#This Row],[Surface GLA]]</f>
        <v>25800</v>
      </c>
      <c r="U316" s="12">
        <f>IFERROR(Tableau1[[#This Row],[Loyer annuel]]/12,"")</f>
        <v>2150</v>
      </c>
      <c r="V316" s="12">
        <v>200</v>
      </c>
      <c r="W316" s="34" t="s">
        <v>98</v>
      </c>
      <c r="X316" s="6">
        <f>Tableau1[[#This Row],[Charges €/m²]]*Tableau1[[#This Row],[Surface GLA]]</f>
        <v>6450</v>
      </c>
      <c r="Y316" s="12">
        <f>Tableau1[[#This Row],[Charges annuelles]]/12</f>
        <v>537.5</v>
      </c>
      <c r="Z316" s="12">
        <v>50</v>
      </c>
      <c r="AA316" s="12">
        <f>IFERROR(Tableau1[[#This Row],[Taxe foncière €/m²]]*Tableau1[[#This Row],[Surface GLA]],)</f>
        <v>1806</v>
      </c>
      <c r="AB316" s="12">
        <v>14</v>
      </c>
      <c r="AC316" s="12">
        <f>IFERROR(Tableau1[[#This Row],[Marketing €/m²]]*Tableau1[[#This Row],[Surface GLA]],)</f>
        <v>0</v>
      </c>
      <c r="AD316" s="12"/>
      <c r="AE316" s="12">
        <f>IFERROR(Tableau1[[#This Row],[Loyer annuel]]+Tableau1[[#This Row],[Charges annuelles]]+Tableau1[[#This Row],[Taxe foncière]]+Tableau1[[#This Row],[Marketing]],"")</f>
        <v>34056</v>
      </c>
      <c r="AF316" s="12" t="str">
        <f t="shared" si="15"/>
        <v>3 mois = 6 450 €</v>
      </c>
      <c r="AG316" s="12" t="s">
        <v>98</v>
      </c>
      <c r="AH316" s="12" t="s">
        <v>98</v>
      </c>
      <c r="AI316" s="12" t="s">
        <v>357</v>
      </c>
      <c r="AJ316" s="10"/>
      <c r="AK316" s="10"/>
      <c r="AL316" s="10"/>
      <c r="AM316" s="11"/>
      <c r="AN316" s="11" t="s">
        <v>1386</v>
      </c>
      <c r="AO316" s="5" t="s">
        <v>361</v>
      </c>
      <c r="AP316" s="11" t="s">
        <v>2080</v>
      </c>
      <c r="AQ316" s="11" t="s">
        <v>2081</v>
      </c>
      <c r="AR316" s="11" t="s">
        <v>2060</v>
      </c>
      <c r="AS316" s="36" t="s">
        <v>2097</v>
      </c>
      <c r="AT316" s="11" t="s">
        <v>70</v>
      </c>
      <c r="AU316" s="11" t="s">
        <v>370</v>
      </c>
      <c r="AV316" s="13" t="s">
        <v>1871</v>
      </c>
      <c r="AW316" s="14"/>
      <c r="AX316" s="44"/>
    </row>
    <row r="317" spans="1:50" ht="25.5">
      <c r="A317" s="38" t="str">
        <f>VLOOKUP(Tableau1[[#This Row],[N° Département]],Feuil1!$C$6:$E$106,3)</f>
        <v>Nouvelle-Aquitaine</v>
      </c>
      <c r="B317" s="38" t="str">
        <f>VLOOKUP(Tableau1[[#This Row],[N° Département]],Feuil1!$C$6:$E$106,2)</f>
        <v>Vienne</v>
      </c>
      <c r="C317" s="38">
        <f>LEFT(Tableau1[[#This Row],[Code Postal]],2)*1</f>
        <v>86</v>
      </c>
      <c r="D317" s="10" t="s">
        <v>2098</v>
      </c>
      <c r="E317" s="26">
        <v>86100</v>
      </c>
      <c r="F317" s="10" t="s">
        <v>2049</v>
      </c>
      <c r="G317" s="39" t="str">
        <f>Tableau1[[#This Row],[Rue]]&amp;CHAR(10)&amp;Tableau1[[#This Row],[Code Postal]]&amp;" - "&amp;Tableau1[[#This Row],[Ville]]</f>
        <v>Auchan 26 Av. Jean Moulin
86100 - Châtellerault</v>
      </c>
      <c r="H317" s="15" t="s">
        <v>2050</v>
      </c>
      <c r="I317" s="12" t="s">
        <v>47</v>
      </c>
      <c r="J317" s="12" t="s">
        <v>51</v>
      </c>
      <c r="K317" s="10" t="s">
        <v>98</v>
      </c>
      <c r="L317" s="10" t="s">
        <v>98</v>
      </c>
      <c r="M317" s="12" t="s">
        <v>98</v>
      </c>
      <c r="N317" s="36" t="s">
        <v>2051</v>
      </c>
      <c r="O317" s="34">
        <v>196</v>
      </c>
      <c r="P317" s="6" t="s">
        <v>98</v>
      </c>
      <c r="Q317" s="34">
        <v>524</v>
      </c>
      <c r="R317" s="34" t="s">
        <v>98</v>
      </c>
      <c r="S317" s="6" t="s">
        <v>98</v>
      </c>
      <c r="T317" s="12">
        <f>Tableau1[[#This Row],[Loyer €/m²]]*Tableau1[[#This Row],[Surface GLA]]</f>
        <v>39200</v>
      </c>
      <c r="U317" s="12">
        <f>IFERROR(Tableau1[[#This Row],[Loyer annuel]]/12,"")</f>
        <v>3266.6666666666665</v>
      </c>
      <c r="V317" s="12">
        <v>200</v>
      </c>
      <c r="W317" s="34" t="s">
        <v>98</v>
      </c>
      <c r="X317" s="6">
        <f>Tableau1[[#This Row],[Charges €/m²]]*Tableau1[[#This Row],[Surface GLA]]</f>
        <v>9800</v>
      </c>
      <c r="Y317" s="12">
        <f>Tableau1[[#This Row],[Charges annuelles]]/12</f>
        <v>816.66666666666663</v>
      </c>
      <c r="Z317" s="12">
        <v>50</v>
      </c>
      <c r="AA317" s="12">
        <f>IFERROR(Tableau1[[#This Row],[Taxe foncière €/m²]]*Tableau1[[#This Row],[Surface GLA]],)</f>
        <v>2744</v>
      </c>
      <c r="AB317" s="12">
        <v>14</v>
      </c>
      <c r="AC317" s="12">
        <f>IFERROR(Tableau1[[#This Row],[Marketing €/m²]]*Tableau1[[#This Row],[Surface GLA]],)</f>
        <v>0</v>
      </c>
      <c r="AD317" s="12"/>
      <c r="AE317" s="12">
        <f>IFERROR(Tableau1[[#This Row],[Loyer annuel]]+Tableau1[[#This Row],[Charges annuelles]]+Tableau1[[#This Row],[Taxe foncière]]+Tableau1[[#This Row],[Marketing]],"")</f>
        <v>51744</v>
      </c>
      <c r="AF317" s="12" t="str">
        <f t="shared" si="15"/>
        <v>3 mois = 9 800 €</v>
      </c>
      <c r="AG317" s="12" t="s">
        <v>98</v>
      </c>
      <c r="AH317" s="12" t="s">
        <v>98</v>
      </c>
      <c r="AI317" s="12" t="s">
        <v>357</v>
      </c>
      <c r="AJ317" s="10"/>
      <c r="AK317" s="10"/>
      <c r="AL317" s="10"/>
      <c r="AM317" s="11"/>
      <c r="AN317" s="11" t="s">
        <v>1386</v>
      </c>
      <c r="AO317" s="5" t="s">
        <v>361</v>
      </c>
      <c r="AP317" s="11" t="s">
        <v>2080</v>
      </c>
      <c r="AQ317" s="11" t="s">
        <v>2082</v>
      </c>
      <c r="AR317" s="11" t="s">
        <v>2061</v>
      </c>
      <c r="AS317" s="36" t="s">
        <v>2097</v>
      </c>
      <c r="AT317" s="11" t="s">
        <v>70</v>
      </c>
      <c r="AU317" s="11" t="s">
        <v>370</v>
      </c>
      <c r="AV317" s="13" t="s">
        <v>1871</v>
      </c>
      <c r="AW317" s="14"/>
      <c r="AX317" s="44"/>
    </row>
    <row r="318" spans="1:50" ht="25.5">
      <c r="A318" s="38" t="str">
        <f>VLOOKUP(Tableau1[[#This Row],[N° Département]],Feuil1!$C$6:$E$106,3)</f>
        <v>Nouvelle-Aquitaine</v>
      </c>
      <c r="B318" s="38" t="str">
        <f>VLOOKUP(Tableau1[[#This Row],[N° Département]],Feuil1!$C$6:$E$106,2)</f>
        <v>Vienne</v>
      </c>
      <c r="C318" s="38">
        <f>LEFT(Tableau1[[#This Row],[Code Postal]],2)*1</f>
        <v>86</v>
      </c>
      <c r="D318" s="10" t="s">
        <v>2098</v>
      </c>
      <c r="E318" s="26">
        <v>86100</v>
      </c>
      <c r="F318" s="10" t="s">
        <v>2049</v>
      </c>
      <c r="G318" s="39" t="str">
        <f>Tableau1[[#This Row],[Rue]]&amp;CHAR(10)&amp;Tableau1[[#This Row],[Code Postal]]&amp;" - "&amp;Tableau1[[#This Row],[Ville]]</f>
        <v>Auchan 26 Av. Jean Moulin
86100 - Châtellerault</v>
      </c>
      <c r="H318" s="15" t="s">
        <v>2050</v>
      </c>
      <c r="I318" s="12" t="s">
        <v>47</v>
      </c>
      <c r="J318" s="12" t="s">
        <v>51</v>
      </c>
      <c r="K318" s="10" t="s">
        <v>98</v>
      </c>
      <c r="L318" s="10" t="s">
        <v>98</v>
      </c>
      <c r="M318" s="12" t="s">
        <v>98</v>
      </c>
      <c r="N318" s="36" t="s">
        <v>2052</v>
      </c>
      <c r="O318" s="34">
        <v>199</v>
      </c>
      <c r="P318" s="12" t="s">
        <v>2055</v>
      </c>
      <c r="Q318" s="34">
        <v>524</v>
      </c>
      <c r="R318" s="34" t="s">
        <v>98</v>
      </c>
      <c r="S318" s="6" t="s">
        <v>98</v>
      </c>
      <c r="T318" s="12">
        <f>Tableau1[[#This Row],[Loyer €/m²]]*Tableau1[[#This Row],[Surface GLA]]</f>
        <v>39800</v>
      </c>
      <c r="U318" s="12">
        <f>IFERROR(Tableau1[[#This Row],[Loyer annuel]]/12,"")</f>
        <v>3316.6666666666665</v>
      </c>
      <c r="V318" s="12">
        <v>200</v>
      </c>
      <c r="W318" s="34" t="s">
        <v>98</v>
      </c>
      <c r="X318" s="6">
        <f>Tableau1[[#This Row],[Charges €/m²]]*Tableau1[[#This Row],[Surface GLA]]</f>
        <v>9950</v>
      </c>
      <c r="Y318" s="12">
        <f>Tableau1[[#This Row],[Charges annuelles]]/12</f>
        <v>829.16666666666663</v>
      </c>
      <c r="Z318" s="12">
        <v>50</v>
      </c>
      <c r="AA318" s="12">
        <f>IFERROR(Tableau1[[#This Row],[Taxe foncière €/m²]]*Tableau1[[#This Row],[Surface GLA]],)</f>
        <v>2786</v>
      </c>
      <c r="AB318" s="12">
        <v>14</v>
      </c>
      <c r="AC318" s="12">
        <f>IFERROR(Tableau1[[#This Row],[Marketing €/m²]]*Tableau1[[#This Row],[Surface GLA]],)</f>
        <v>0</v>
      </c>
      <c r="AD318" s="12"/>
      <c r="AE318" s="12">
        <f>IFERROR(Tableau1[[#This Row],[Loyer annuel]]+Tableau1[[#This Row],[Charges annuelles]]+Tableau1[[#This Row],[Taxe foncière]]+Tableau1[[#This Row],[Marketing]],"")</f>
        <v>52536</v>
      </c>
      <c r="AF318" s="12" t="str">
        <f t="shared" si="15"/>
        <v>3 mois = 9 950 €</v>
      </c>
      <c r="AG318" s="12" t="s">
        <v>98</v>
      </c>
      <c r="AH318" s="12" t="s">
        <v>98</v>
      </c>
      <c r="AI318" s="12" t="s">
        <v>357</v>
      </c>
      <c r="AJ318" s="10"/>
      <c r="AK318" s="10"/>
      <c r="AL318" s="10"/>
      <c r="AM318" s="11"/>
      <c r="AN318" s="11" t="s">
        <v>1386</v>
      </c>
      <c r="AO318" s="5" t="s">
        <v>361</v>
      </c>
      <c r="AP318" s="11" t="s">
        <v>2083</v>
      </c>
      <c r="AQ318" s="11" t="s">
        <v>2084</v>
      </c>
      <c r="AR318" s="11" t="s">
        <v>2062</v>
      </c>
      <c r="AS318" s="36" t="s">
        <v>2097</v>
      </c>
      <c r="AT318" s="11" t="s">
        <v>70</v>
      </c>
      <c r="AU318" s="11" t="s">
        <v>370</v>
      </c>
      <c r="AV318" s="13" t="s">
        <v>1871</v>
      </c>
      <c r="AW318" s="14"/>
      <c r="AX318" s="44"/>
    </row>
    <row r="319" spans="1:50" ht="25.5">
      <c r="A319" s="38" t="str">
        <f>VLOOKUP(Tableau1[[#This Row],[N° Département]],Feuil1!$C$6:$E$106,3)</f>
        <v>Nouvelle-Aquitaine</v>
      </c>
      <c r="B319" s="38" t="str">
        <f>VLOOKUP(Tableau1[[#This Row],[N° Département]],Feuil1!$C$6:$E$106,2)</f>
        <v>Vienne</v>
      </c>
      <c r="C319" s="38">
        <f>LEFT(Tableau1[[#This Row],[Code Postal]],2)*1</f>
        <v>86</v>
      </c>
      <c r="D319" s="10" t="s">
        <v>2098</v>
      </c>
      <c r="E319" s="26">
        <v>86100</v>
      </c>
      <c r="F319" s="10" t="s">
        <v>2049</v>
      </c>
      <c r="G319" s="39" t="str">
        <f>Tableau1[[#This Row],[Rue]]&amp;CHAR(10)&amp;Tableau1[[#This Row],[Code Postal]]&amp;" - "&amp;Tableau1[[#This Row],[Ville]]</f>
        <v>Auchan 26 Av. Jean Moulin
86100 - Châtellerault</v>
      </c>
      <c r="H319" s="15" t="s">
        <v>2050</v>
      </c>
      <c r="I319" s="12" t="s">
        <v>47</v>
      </c>
      <c r="J319" s="12" t="s">
        <v>51</v>
      </c>
      <c r="K319" s="10" t="s">
        <v>98</v>
      </c>
      <c r="L319" s="10" t="s">
        <v>98</v>
      </c>
      <c r="M319" s="12" t="s">
        <v>98</v>
      </c>
      <c r="N319" s="36" t="s">
        <v>466</v>
      </c>
      <c r="O319" s="34">
        <v>204</v>
      </c>
      <c r="P319" s="6" t="s">
        <v>98</v>
      </c>
      <c r="Q319" s="34" t="s">
        <v>98</v>
      </c>
      <c r="R319" s="34" t="s">
        <v>98</v>
      </c>
      <c r="S319" s="6" t="s">
        <v>98</v>
      </c>
      <c r="T319" s="12">
        <f>Tableau1[[#This Row],[Loyer €/m²]]*Tableau1[[#This Row],[Surface GLA]]</f>
        <v>40800</v>
      </c>
      <c r="U319" s="12">
        <f>IFERROR(Tableau1[[#This Row],[Loyer annuel]]/12,"")</f>
        <v>3400</v>
      </c>
      <c r="V319" s="12">
        <v>200</v>
      </c>
      <c r="W319" s="34" t="s">
        <v>98</v>
      </c>
      <c r="X319" s="6">
        <f>Tableau1[[#This Row],[Charges €/m²]]*Tableau1[[#This Row],[Surface GLA]]</f>
        <v>10200</v>
      </c>
      <c r="Y319" s="12">
        <f>Tableau1[[#This Row],[Charges annuelles]]/12</f>
        <v>850</v>
      </c>
      <c r="Z319" s="12">
        <v>50</v>
      </c>
      <c r="AA319" s="12">
        <f>IFERROR(Tableau1[[#This Row],[Taxe foncière €/m²]]*Tableau1[[#This Row],[Surface GLA]],)</f>
        <v>2856</v>
      </c>
      <c r="AB319" s="12">
        <v>14</v>
      </c>
      <c r="AC319" s="12">
        <f>IFERROR(Tableau1[[#This Row],[Marketing €/m²]]*Tableau1[[#This Row],[Surface GLA]],)</f>
        <v>0</v>
      </c>
      <c r="AD319" s="12"/>
      <c r="AE319" s="12">
        <f>IFERROR(Tableau1[[#This Row],[Loyer annuel]]+Tableau1[[#This Row],[Charges annuelles]]+Tableau1[[#This Row],[Taxe foncière]]+Tableau1[[#This Row],[Marketing]],"")</f>
        <v>53856</v>
      </c>
      <c r="AF319" s="12" t="str">
        <f t="shared" si="15"/>
        <v>3 mois = 10 200 €</v>
      </c>
      <c r="AG319" s="12" t="s">
        <v>98</v>
      </c>
      <c r="AH319" s="12" t="s">
        <v>98</v>
      </c>
      <c r="AI319" s="12" t="s">
        <v>357</v>
      </c>
      <c r="AJ319" s="10"/>
      <c r="AK319" s="10"/>
      <c r="AL319" s="10"/>
      <c r="AM319" s="11"/>
      <c r="AN319" s="11" t="s">
        <v>1386</v>
      </c>
      <c r="AO319" s="5" t="s">
        <v>361</v>
      </c>
      <c r="AP319" s="11" t="s">
        <v>2085</v>
      </c>
      <c r="AQ319" s="11" t="s">
        <v>2086</v>
      </c>
      <c r="AR319" s="11" t="s">
        <v>2067</v>
      </c>
      <c r="AS319" s="36" t="s">
        <v>2097</v>
      </c>
      <c r="AT319" s="11" t="s">
        <v>70</v>
      </c>
      <c r="AU319" s="11" t="s">
        <v>370</v>
      </c>
      <c r="AV319" s="13" t="s">
        <v>1871</v>
      </c>
      <c r="AW319" s="14"/>
      <c r="AX319" s="44"/>
    </row>
    <row r="320" spans="1:50" ht="25.5">
      <c r="A320" s="38" t="str">
        <f>VLOOKUP(Tableau1[[#This Row],[N° Département]],Feuil1!$C$6:$E$106,3)</f>
        <v>Nouvelle-Aquitaine</v>
      </c>
      <c r="B320" s="38" t="str">
        <f>VLOOKUP(Tableau1[[#This Row],[N° Département]],Feuil1!$C$6:$E$106,2)</f>
        <v>Vienne</v>
      </c>
      <c r="C320" s="38">
        <f>LEFT(Tableau1[[#This Row],[Code Postal]],2)*1</f>
        <v>86</v>
      </c>
      <c r="D320" s="10" t="s">
        <v>2098</v>
      </c>
      <c r="E320" s="26">
        <v>86100</v>
      </c>
      <c r="F320" s="10" t="s">
        <v>2049</v>
      </c>
      <c r="G320" s="39" t="str">
        <f>Tableau1[[#This Row],[Rue]]&amp;CHAR(10)&amp;Tableau1[[#This Row],[Code Postal]]&amp;" - "&amp;Tableau1[[#This Row],[Ville]]</f>
        <v>Auchan 26 Av. Jean Moulin
86100 - Châtellerault</v>
      </c>
      <c r="H320" s="15" t="s">
        <v>2050</v>
      </c>
      <c r="I320" s="12" t="s">
        <v>47</v>
      </c>
      <c r="J320" s="12" t="s">
        <v>51</v>
      </c>
      <c r="K320" s="10" t="s">
        <v>98</v>
      </c>
      <c r="L320" s="10" t="s">
        <v>98</v>
      </c>
      <c r="M320" s="12" t="s">
        <v>98</v>
      </c>
      <c r="N320" s="36" t="s">
        <v>467</v>
      </c>
      <c r="O320" s="34">
        <v>134</v>
      </c>
      <c r="P320" s="6" t="s">
        <v>98</v>
      </c>
      <c r="Q320" s="34" t="s">
        <v>98</v>
      </c>
      <c r="R320" s="34" t="s">
        <v>98</v>
      </c>
      <c r="S320" s="6" t="s">
        <v>98</v>
      </c>
      <c r="T320" s="12">
        <f>Tableau1[[#This Row],[Loyer €/m²]]*Tableau1[[#This Row],[Surface GLA]]</f>
        <v>26800</v>
      </c>
      <c r="U320" s="12">
        <f>IFERROR(Tableau1[[#This Row],[Loyer annuel]]/12,"")</f>
        <v>2233.3333333333335</v>
      </c>
      <c r="V320" s="12">
        <v>200</v>
      </c>
      <c r="W320" s="34" t="s">
        <v>98</v>
      </c>
      <c r="X320" s="6">
        <f>Tableau1[[#This Row],[Charges €/m²]]*Tableau1[[#This Row],[Surface GLA]]</f>
        <v>6700</v>
      </c>
      <c r="Y320" s="12">
        <f>Tableau1[[#This Row],[Charges annuelles]]/12</f>
        <v>558.33333333333337</v>
      </c>
      <c r="Z320" s="12">
        <v>50</v>
      </c>
      <c r="AA320" s="12">
        <f>IFERROR(Tableau1[[#This Row],[Taxe foncière €/m²]]*Tableau1[[#This Row],[Surface GLA]],)</f>
        <v>1876</v>
      </c>
      <c r="AB320" s="12">
        <v>14</v>
      </c>
      <c r="AC320" s="12">
        <f>IFERROR(Tableau1[[#This Row],[Marketing €/m²]]*Tableau1[[#This Row],[Surface GLA]],)</f>
        <v>0</v>
      </c>
      <c r="AD320" s="12"/>
      <c r="AE320" s="12">
        <f>IFERROR(Tableau1[[#This Row],[Loyer annuel]]+Tableau1[[#This Row],[Charges annuelles]]+Tableau1[[#This Row],[Taxe foncière]]+Tableau1[[#This Row],[Marketing]],"")</f>
        <v>35376</v>
      </c>
      <c r="AF320" s="12" t="str">
        <f t="shared" si="15"/>
        <v>3 mois = 6 700 €</v>
      </c>
      <c r="AG320" s="12" t="s">
        <v>98</v>
      </c>
      <c r="AH320" s="12" t="s">
        <v>98</v>
      </c>
      <c r="AI320" s="12" t="s">
        <v>357</v>
      </c>
      <c r="AJ320" s="10"/>
      <c r="AK320" s="10"/>
      <c r="AL320" s="10"/>
      <c r="AM320" s="11"/>
      <c r="AN320" s="11" t="s">
        <v>1386</v>
      </c>
      <c r="AO320" s="5" t="s">
        <v>361</v>
      </c>
      <c r="AP320" s="11" t="s">
        <v>2087</v>
      </c>
      <c r="AQ320" s="11" t="s">
        <v>2088</v>
      </c>
      <c r="AR320" s="11" t="s">
        <v>2068</v>
      </c>
      <c r="AS320" s="36" t="s">
        <v>2097</v>
      </c>
      <c r="AT320" s="11" t="s">
        <v>70</v>
      </c>
      <c r="AU320" s="11" t="s">
        <v>370</v>
      </c>
      <c r="AV320" s="13" t="s">
        <v>1871</v>
      </c>
      <c r="AW320" s="14"/>
      <c r="AX320" s="44"/>
    </row>
    <row r="321" spans="1:50" ht="25.5">
      <c r="A321" s="38" t="str">
        <f>VLOOKUP(Tableau1[[#This Row],[N° Département]],Feuil1!$C$6:$E$106,3)</f>
        <v>Nouvelle-Aquitaine</v>
      </c>
      <c r="B321" s="38" t="str">
        <f>VLOOKUP(Tableau1[[#This Row],[N° Département]],Feuil1!$C$6:$E$106,2)</f>
        <v>Vienne</v>
      </c>
      <c r="C321" s="38">
        <f>LEFT(Tableau1[[#This Row],[Code Postal]],2)*1</f>
        <v>86</v>
      </c>
      <c r="D321" s="10" t="s">
        <v>2098</v>
      </c>
      <c r="E321" s="26">
        <v>86100</v>
      </c>
      <c r="F321" s="10" t="s">
        <v>2049</v>
      </c>
      <c r="G321" s="39" t="str">
        <f>Tableau1[[#This Row],[Rue]]&amp;CHAR(10)&amp;Tableau1[[#This Row],[Code Postal]]&amp;" - "&amp;Tableau1[[#This Row],[Ville]]</f>
        <v>Auchan 26 Av. Jean Moulin
86100 - Châtellerault</v>
      </c>
      <c r="H321" s="15" t="s">
        <v>2050</v>
      </c>
      <c r="I321" s="12" t="s">
        <v>47</v>
      </c>
      <c r="J321" s="12" t="s">
        <v>51</v>
      </c>
      <c r="K321" s="10" t="s">
        <v>98</v>
      </c>
      <c r="L321" s="10" t="s">
        <v>98</v>
      </c>
      <c r="M321" s="12" t="s">
        <v>98</v>
      </c>
      <c r="N321" s="36" t="s">
        <v>587</v>
      </c>
      <c r="O321" s="34">
        <v>81</v>
      </c>
      <c r="P321" s="6" t="s">
        <v>98</v>
      </c>
      <c r="Q321" s="34" t="s">
        <v>98</v>
      </c>
      <c r="R321" s="34" t="s">
        <v>98</v>
      </c>
      <c r="S321" s="6" t="s">
        <v>98</v>
      </c>
      <c r="T321" s="12">
        <f>Tableau1[[#This Row],[Loyer €/m²]]*Tableau1[[#This Row],[Surface GLA]]</f>
        <v>16200</v>
      </c>
      <c r="U321" s="12">
        <f>IFERROR(Tableau1[[#This Row],[Loyer annuel]]/12,"")</f>
        <v>1350</v>
      </c>
      <c r="V321" s="12">
        <v>200</v>
      </c>
      <c r="W321" s="34" t="s">
        <v>98</v>
      </c>
      <c r="X321" s="6">
        <f>Tableau1[[#This Row],[Charges €/m²]]*Tableau1[[#This Row],[Surface GLA]]</f>
        <v>4050</v>
      </c>
      <c r="Y321" s="12">
        <f>Tableau1[[#This Row],[Charges annuelles]]/12</f>
        <v>337.5</v>
      </c>
      <c r="Z321" s="12">
        <v>50</v>
      </c>
      <c r="AA321" s="12">
        <f>IFERROR(Tableau1[[#This Row],[Taxe foncière €/m²]]*Tableau1[[#This Row],[Surface GLA]],)</f>
        <v>1134</v>
      </c>
      <c r="AB321" s="12">
        <v>14</v>
      </c>
      <c r="AC321" s="12">
        <f>IFERROR(Tableau1[[#This Row],[Marketing €/m²]]*Tableau1[[#This Row],[Surface GLA]],)</f>
        <v>0</v>
      </c>
      <c r="AD321" s="12"/>
      <c r="AE321" s="12">
        <f>IFERROR(Tableau1[[#This Row],[Loyer annuel]]+Tableau1[[#This Row],[Charges annuelles]]+Tableau1[[#This Row],[Taxe foncière]]+Tableau1[[#This Row],[Marketing]],"")</f>
        <v>21384</v>
      </c>
      <c r="AF321" s="12" t="str">
        <f t="shared" si="15"/>
        <v>3 mois = 4 050 €</v>
      </c>
      <c r="AG321" s="12" t="s">
        <v>98</v>
      </c>
      <c r="AH321" s="12" t="s">
        <v>98</v>
      </c>
      <c r="AI321" s="12" t="s">
        <v>357</v>
      </c>
      <c r="AJ321" s="10"/>
      <c r="AK321" s="10"/>
      <c r="AL321" s="10"/>
      <c r="AM321" s="11"/>
      <c r="AN321" s="11" t="s">
        <v>1386</v>
      </c>
      <c r="AO321" s="5" t="s">
        <v>361</v>
      </c>
      <c r="AP321" s="11" t="s">
        <v>2089</v>
      </c>
      <c r="AQ321" s="11" t="s">
        <v>2090</v>
      </c>
      <c r="AR321" s="11" t="s">
        <v>2069</v>
      </c>
      <c r="AS321" s="36" t="s">
        <v>2097</v>
      </c>
      <c r="AT321" s="11" t="s">
        <v>70</v>
      </c>
      <c r="AU321" s="11" t="s">
        <v>370</v>
      </c>
      <c r="AV321" s="13" t="s">
        <v>1871</v>
      </c>
      <c r="AW321" s="14"/>
      <c r="AX321" s="44"/>
    </row>
    <row r="322" spans="1:50" ht="25.5">
      <c r="A322" s="38" t="str">
        <f>VLOOKUP(Tableau1[[#This Row],[N° Département]],Feuil1!$C$6:$E$106,3)</f>
        <v>Nouvelle-Aquitaine</v>
      </c>
      <c r="B322" s="38" t="str">
        <f>VLOOKUP(Tableau1[[#This Row],[N° Département]],Feuil1!$C$6:$E$106,2)</f>
        <v>Vienne</v>
      </c>
      <c r="C322" s="38">
        <f>LEFT(Tableau1[[#This Row],[Code Postal]],2)*1</f>
        <v>86</v>
      </c>
      <c r="D322" s="10" t="s">
        <v>2098</v>
      </c>
      <c r="E322" s="26">
        <v>86100</v>
      </c>
      <c r="F322" s="10" t="s">
        <v>2049</v>
      </c>
      <c r="G322" s="39" t="str">
        <f>Tableau1[[#This Row],[Rue]]&amp;CHAR(10)&amp;Tableau1[[#This Row],[Code Postal]]&amp;" - "&amp;Tableau1[[#This Row],[Ville]]</f>
        <v>Auchan 26 Av. Jean Moulin
86100 - Châtellerault</v>
      </c>
      <c r="H322" s="15" t="s">
        <v>2050</v>
      </c>
      <c r="I322" s="12" t="s">
        <v>47</v>
      </c>
      <c r="J322" s="12" t="s">
        <v>51</v>
      </c>
      <c r="K322" s="10" t="s">
        <v>98</v>
      </c>
      <c r="L322" s="10" t="s">
        <v>98</v>
      </c>
      <c r="M322" s="12" t="s">
        <v>98</v>
      </c>
      <c r="N322" s="36" t="s">
        <v>1857</v>
      </c>
      <c r="O322" s="34">
        <v>199</v>
      </c>
      <c r="P322" s="6" t="s">
        <v>98</v>
      </c>
      <c r="Q322" s="34" t="s">
        <v>98</v>
      </c>
      <c r="R322" s="34" t="s">
        <v>98</v>
      </c>
      <c r="S322" s="6" t="s">
        <v>98</v>
      </c>
      <c r="T322" s="12">
        <f>Tableau1[[#This Row],[Loyer €/m²]]*Tableau1[[#This Row],[Surface GLA]]</f>
        <v>39800</v>
      </c>
      <c r="U322" s="12">
        <f>IFERROR(Tableau1[[#This Row],[Loyer annuel]]/12,"")</f>
        <v>3316.6666666666665</v>
      </c>
      <c r="V322" s="12">
        <v>200</v>
      </c>
      <c r="W322" s="34" t="s">
        <v>98</v>
      </c>
      <c r="X322" s="6">
        <f>Tableau1[[#This Row],[Charges €/m²]]*Tableau1[[#This Row],[Surface GLA]]</f>
        <v>9950</v>
      </c>
      <c r="Y322" s="12">
        <f>Tableau1[[#This Row],[Charges annuelles]]/12</f>
        <v>829.16666666666663</v>
      </c>
      <c r="Z322" s="12">
        <v>50</v>
      </c>
      <c r="AA322" s="12">
        <f>IFERROR(Tableau1[[#This Row],[Taxe foncière €/m²]]*Tableau1[[#This Row],[Surface GLA]],)</f>
        <v>2786</v>
      </c>
      <c r="AB322" s="12">
        <v>14</v>
      </c>
      <c r="AC322" s="12">
        <f>IFERROR(Tableau1[[#This Row],[Marketing €/m²]]*Tableau1[[#This Row],[Surface GLA]],)</f>
        <v>0</v>
      </c>
      <c r="AD322" s="12"/>
      <c r="AE322" s="12">
        <f>IFERROR(Tableau1[[#This Row],[Loyer annuel]]+Tableau1[[#This Row],[Charges annuelles]]+Tableau1[[#This Row],[Taxe foncière]]+Tableau1[[#This Row],[Marketing]],"")</f>
        <v>52536</v>
      </c>
      <c r="AF322" s="12" t="str">
        <f t="shared" si="15"/>
        <v>3 mois = 9 950 €</v>
      </c>
      <c r="AG322" s="12" t="s">
        <v>98</v>
      </c>
      <c r="AH322" s="12" t="s">
        <v>98</v>
      </c>
      <c r="AI322" s="12" t="s">
        <v>357</v>
      </c>
      <c r="AJ322" s="10"/>
      <c r="AK322" s="10"/>
      <c r="AL322" s="10"/>
      <c r="AM322" s="11"/>
      <c r="AN322" s="11" t="s">
        <v>1386</v>
      </c>
      <c r="AO322" s="5" t="s">
        <v>361</v>
      </c>
      <c r="AP322" s="11" t="s">
        <v>2091</v>
      </c>
      <c r="AQ322" s="11" t="s">
        <v>2092</v>
      </c>
      <c r="AR322" s="11" t="s">
        <v>2063</v>
      </c>
      <c r="AS322" s="36" t="s">
        <v>2097</v>
      </c>
      <c r="AT322" s="11" t="s">
        <v>70</v>
      </c>
      <c r="AU322" s="11" t="s">
        <v>370</v>
      </c>
      <c r="AV322" s="13" t="s">
        <v>1871</v>
      </c>
      <c r="AW322" s="14"/>
      <c r="AX322" s="44"/>
    </row>
    <row r="323" spans="1:50" ht="25.5">
      <c r="A323" s="38" t="str">
        <f>VLOOKUP(Tableau1[[#This Row],[N° Département]],Feuil1!$C$6:$E$106,3)</f>
        <v>Nouvelle-Aquitaine</v>
      </c>
      <c r="B323" s="38" t="str">
        <f>VLOOKUP(Tableau1[[#This Row],[N° Département]],Feuil1!$C$6:$E$106,2)</f>
        <v>Vienne</v>
      </c>
      <c r="C323" s="38">
        <f>LEFT(Tableau1[[#This Row],[Code Postal]],2)*1</f>
        <v>86</v>
      </c>
      <c r="D323" s="10" t="s">
        <v>2098</v>
      </c>
      <c r="E323" s="26">
        <v>86100</v>
      </c>
      <c r="F323" s="10" t="s">
        <v>2049</v>
      </c>
      <c r="G323" s="39" t="str">
        <f>Tableau1[[#This Row],[Rue]]&amp;CHAR(10)&amp;Tableau1[[#This Row],[Code Postal]]&amp;" - "&amp;Tableau1[[#This Row],[Ville]]</f>
        <v>Auchan 26 Av. Jean Moulin
86100 - Châtellerault</v>
      </c>
      <c r="H323" s="15" t="s">
        <v>2050</v>
      </c>
      <c r="I323" s="12" t="s">
        <v>47</v>
      </c>
      <c r="J323" s="12" t="s">
        <v>51</v>
      </c>
      <c r="K323" s="10" t="s">
        <v>98</v>
      </c>
      <c r="L323" s="10" t="s">
        <v>98</v>
      </c>
      <c r="M323" s="12" t="s">
        <v>98</v>
      </c>
      <c r="N323" s="36" t="s">
        <v>2053</v>
      </c>
      <c r="O323" s="34">
        <v>81</v>
      </c>
      <c r="P323" s="6" t="s">
        <v>98</v>
      </c>
      <c r="Q323" s="34">
        <v>206</v>
      </c>
      <c r="R323" s="34" t="s">
        <v>98</v>
      </c>
      <c r="S323" s="6" t="s">
        <v>98</v>
      </c>
      <c r="T323" s="12">
        <f>Tableau1[[#This Row],[Loyer €/m²]]*Tableau1[[#This Row],[Surface GLA]]</f>
        <v>16200</v>
      </c>
      <c r="U323" s="12">
        <f>IFERROR(Tableau1[[#This Row],[Loyer annuel]]/12,"")</f>
        <v>1350</v>
      </c>
      <c r="V323" s="12">
        <v>200</v>
      </c>
      <c r="W323" s="34" t="s">
        <v>98</v>
      </c>
      <c r="X323" s="6">
        <f>Tableau1[[#This Row],[Charges €/m²]]*Tableau1[[#This Row],[Surface GLA]]</f>
        <v>4050</v>
      </c>
      <c r="Y323" s="12">
        <f>Tableau1[[#This Row],[Charges annuelles]]/12</f>
        <v>337.5</v>
      </c>
      <c r="Z323" s="12">
        <v>50</v>
      </c>
      <c r="AA323" s="12">
        <f>IFERROR(Tableau1[[#This Row],[Taxe foncière €/m²]]*Tableau1[[#This Row],[Surface GLA]],)</f>
        <v>1134</v>
      </c>
      <c r="AB323" s="12">
        <v>14</v>
      </c>
      <c r="AC323" s="12">
        <f>IFERROR(Tableau1[[#This Row],[Marketing €/m²]]*Tableau1[[#This Row],[Surface GLA]],)</f>
        <v>0</v>
      </c>
      <c r="AD323" s="12"/>
      <c r="AE323" s="12">
        <f>IFERROR(Tableau1[[#This Row],[Loyer annuel]]+Tableau1[[#This Row],[Charges annuelles]]+Tableau1[[#This Row],[Taxe foncière]]+Tableau1[[#This Row],[Marketing]],"")</f>
        <v>21384</v>
      </c>
      <c r="AF323" s="12" t="str">
        <f t="shared" si="15"/>
        <v>3 mois = 4 050 €</v>
      </c>
      <c r="AG323" s="12" t="s">
        <v>98</v>
      </c>
      <c r="AH323" s="12" t="s">
        <v>98</v>
      </c>
      <c r="AI323" s="12" t="s">
        <v>357</v>
      </c>
      <c r="AJ323" s="10"/>
      <c r="AK323" s="10"/>
      <c r="AL323" s="10"/>
      <c r="AM323" s="11"/>
      <c r="AN323" s="11" t="s">
        <v>1386</v>
      </c>
      <c r="AO323" s="5" t="s">
        <v>361</v>
      </c>
      <c r="AP323" s="11" t="s">
        <v>2093</v>
      </c>
      <c r="AQ323" s="11" t="s">
        <v>2094</v>
      </c>
      <c r="AR323" s="11" t="s">
        <v>2070</v>
      </c>
      <c r="AS323" s="36" t="s">
        <v>2097</v>
      </c>
      <c r="AT323" s="11" t="s">
        <v>70</v>
      </c>
      <c r="AU323" s="11" t="s">
        <v>370</v>
      </c>
      <c r="AV323" s="13" t="s">
        <v>1871</v>
      </c>
      <c r="AW323" s="14"/>
      <c r="AX323" s="44"/>
    </row>
    <row r="324" spans="1:50" ht="25.5">
      <c r="A324" s="38" t="str">
        <f>VLOOKUP(Tableau1[[#This Row],[N° Département]],Feuil1!$C$6:$E$106,3)</f>
        <v>Nouvelle-Aquitaine</v>
      </c>
      <c r="B324" s="38" t="str">
        <f>VLOOKUP(Tableau1[[#This Row],[N° Département]],Feuil1!$C$6:$E$106,2)</f>
        <v>Vienne</v>
      </c>
      <c r="C324" s="38">
        <f>LEFT(Tableau1[[#This Row],[Code Postal]],2)*1</f>
        <v>86</v>
      </c>
      <c r="D324" s="10" t="s">
        <v>2098</v>
      </c>
      <c r="E324" s="26">
        <v>86100</v>
      </c>
      <c r="F324" s="10" t="s">
        <v>2049</v>
      </c>
      <c r="G324" s="39" t="str">
        <f>Tableau1[[#This Row],[Rue]]&amp;CHAR(10)&amp;Tableau1[[#This Row],[Code Postal]]&amp;" - "&amp;Tableau1[[#This Row],[Ville]]</f>
        <v>Auchan 26 Av. Jean Moulin
86100 - Châtellerault</v>
      </c>
      <c r="H324" s="15" t="s">
        <v>2050</v>
      </c>
      <c r="I324" s="12" t="s">
        <v>47</v>
      </c>
      <c r="J324" s="12" t="s">
        <v>51</v>
      </c>
      <c r="K324" s="10" t="s">
        <v>98</v>
      </c>
      <c r="L324" s="10" t="s">
        <v>98</v>
      </c>
      <c r="M324" s="12" t="s">
        <v>98</v>
      </c>
      <c r="N324" s="36" t="s">
        <v>2054</v>
      </c>
      <c r="O324" s="34">
        <v>125</v>
      </c>
      <c r="P324" s="12" t="s">
        <v>2056</v>
      </c>
      <c r="Q324" s="34">
        <v>206</v>
      </c>
      <c r="R324" s="34" t="s">
        <v>98</v>
      </c>
      <c r="S324" s="6" t="s">
        <v>98</v>
      </c>
      <c r="T324" s="12">
        <f>Tableau1[[#This Row],[Loyer €/m²]]*Tableau1[[#This Row],[Surface GLA]]</f>
        <v>25000</v>
      </c>
      <c r="U324" s="12">
        <f>IFERROR(Tableau1[[#This Row],[Loyer annuel]]/12,"")</f>
        <v>2083.3333333333335</v>
      </c>
      <c r="V324" s="12">
        <v>200</v>
      </c>
      <c r="W324" s="34" t="s">
        <v>98</v>
      </c>
      <c r="X324" s="6">
        <f>Tableau1[[#This Row],[Charges €/m²]]*Tableau1[[#This Row],[Surface GLA]]</f>
        <v>6250</v>
      </c>
      <c r="Y324" s="12">
        <f>Tableau1[[#This Row],[Charges annuelles]]/12</f>
        <v>520.83333333333337</v>
      </c>
      <c r="Z324" s="12">
        <v>50</v>
      </c>
      <c r="AA324" s="12">
        <f>IFERROR(Tableau1[[#This Row],[Taxe foncière €/m²]]*Tableau1[[#This Row],[Surface GLA]],)</f>
        <v>1750</v>
      </c>
      <c r="AB324" s="12">
        <v>14</v>
      </c>
      <c r="AC324" s="12">
        <f>IFERROR(Tableau1[[#This Row],[Marketing €/m²]]*Tableau1[[#This Row],[Surface GLA]],)</f>
        <v>0</v>
      </c>
      <c r="AD324" s="12"/>
      <c r="AE324" s="12">
        <f>IFERROR(Tableau1[[#This Row],[Loyer annuel]]+Tableau1[[#This Row],[Charges annuelles]]+Tableau1[[#This Row],[Taxe foncière]]+Tableau1[[#This Row],[Marketing]],"")</f>
        <v>33000</v>
      </c>
      <c r="AF324" s="12" t="str">
        <f t="shared" si="15"/>
        <v>3 mois = 6 250 €</v>
      </c>
      <c r="AG324" s="12" t="s">
        <v>98</v>
      </c>
      <c r="AH324" s="12" t="s">
        <v>98</v>
      </c>
      <c r="AI324" s="12" t="s">
        <v>357</v>
      </c>
      <c r="AJ324" s="10"/>
      <c r="AK324" s="10"/>
      <c r="AL324" s="10"/>
      <c r="AM324" s="11"/>
      <c r="AN324" s="11" t="s">
        <v>1386</v>
      </c>
      <c r="AO324" s="5" t="s">
        <v>361</v>
      </c>
      <c r="AP324" s="11" t="s">
        <v>2095</v>
      </c>
      <c r="AQ324" s="11" t="s">
        <v>2096</v>
      </c>
      <c r="AR324" s="11" t="s">
        <v>2071</v>
      </c>
      <c r="AS324" s="36" t="s">
        <v>2097</v>
      </c>
      <c r="AT324" s="11" t="s">
        <v>70</v>
      </c>
      <c r="AU324" s="11" t="s">
        <v>370</v>
      </c>
      <c r="AV324" s="13" t="s">
        <v>1871</v>
      </c>
      <c r="AW324" s="14"/>
      <c r="AX324" s="44"/>
    </row>
    <row r="325" spans="1:50" ht="25.5">
      <c r="A325" s="38" t="str">
        <f>VLOOKUP(Tableau1[[#This Row],[N° Département]],Feuil1!$C$6:$E$106,3)</f>
        <v>Nouvelle-Aquitaine</v>
      </c>
      <c r="B325" s="38" t="str">
        <f>VLOOKUP(Tableau1[[#This Row],[N° Département]],Feuil1!$C$6:$E$106,2)</f>
        <v>Vienne</v>
      </c>
      <c r="C325" s="38">
        <f>LEFT(Tableau1[[#This Row],[Code Postal]],2)*1</f>
        <v>86</v>
      </c>
      <c r="D325" s="10" t="s">
        <v>2098</v>
      </c>
      <c r="E325" s="26">
        <v>86100</v>
      </c>
      <c r="F325" s="10" t="s">
        <v>2049</v>
      </c>
      <c r="G325" s="39" t="str">
        <f>Tableau1[[#This Row],[Rue]]&amp;CHAR(10)&amp;Tableau1[[#This Row],[Code Postal]]&amp;" - "&amp;Tableau1[[#This Row],[Ville]]</f>
        <v>Auchan 26 Av. Jean Moulin
86100 - Châtellerault</v>
      </c>
      <c r="H325" s="15" t="s">
        <v>2050</v>
      </c>
      <c r="I325" s="12" t="s">
        <v>47</v>
      </c>
      <c r="J325" s="12" t="s">
        <v>51</v>
      </c>
      <c r="K325" s="10" t="s">
        <v>98</v>
      </c>
      <c r="L325" s="10" t="s">
        <v>98</v>
      </c>
      <c r="M325" s="12" t="s">
        <v>98</v>
      </c>
      <c r="N325" s="12" t="s">
        <v>98</v>
      </c>
      <c r="O325" s="34">
        <v>207</v>
      </c>
      <c r="P325" s="6" t="s">
        <v>98</v>
      </c>
      <c r="Q325" s="6" t="s">
        <v>98</v>
      </c>
      <c r="R325" s="6" t="s">
        <v>98</v>
      </c>
      <c r="S325" s="6" t="s">
        <v>98</v>
      </c>
      <c r="T325" s="12">
        <f>Tableau1[[#This Row],[Loyer €/m²]]*Tableau1[[#This Row],[Surface GLA]]</f>
        <v>41400</v>
      </c>
      <c r="U325" s="12">
        <f>IFERROR(Tableau1[[#This Row],[Loyer annuel]]/12,"")</f>
        <v>3450</v>
      </c>
      <c r="V325" s="12">
        <v>200</v>
      </c>
      <c r="W325" s="6" t="s">
        <v>98</v>
      </c>
      <c r="X325" s="6">
        <f>Tableau1[[#This Row],[Charges €/m²]]*Tableau1[[#This Row],[Surface GLA]]</f>
        <v>10350</v>
      </c>
      <c r="Y325" s="12">
        <f>Tableau1[[#This Row],[Charges annuelles]]/12</f>
        <v>862.5</v>
      </c>
      <c r="Z325" s="12">
        <v>50</v>
      </c>
      <c r="AA325" s="12">
        <f>IFERROR(Tableau1[[#This Row],[Taxe foncière €/m²]]*Tableau1[[#This Row],[Surface GLA]],)</f>
        <v>2898</v>
      </c>
      <c r="AB325" s="12">
        <v>14</v>
      </c>
      <c r="AC325" s="12">
        <f>IFERROR(Tableau1[[#This Row],[Marketing €/m²]]*Tableau1[[#This Row],[Surface GLA]],)</f>
        <v>0</v>
      </c>
      <c r="AD325" s="12"/>
      <c r="AE325" s="12">
        <f>IFERROR(Tableau1[[#This Row],[Loyer annuel]]+Tableau1[[#This Row],[Charges annuelles]]+Tableau1[[#This Row],[Taxe foncière]]+Tableau1[[#This Row],[Marketing]],"")</f>
        <v>54648</v>
      </c>
      <c r="AF325" s="12" t="str">
        <f t="shared" si="15"/>
        <v>3 mois = 10 350 €</v>
      </c>
      <c r="AG325" s="6" t="s">
        <v>98</v>
      </c>
      <c r="AH325" s="6" t="s">
        <v>98</v>
      </c>
      <c r="AI325" s="12" t="s">
        <v>357</v>
      </c>
      <c r="AJ325" s="10"/>
      <c r="AK325" s="10"/>
      <c r="AL325" s="10"/>
      <c r="AM325" s="11"/>
      <c r="AN325" s="11" t="s">
        <v>1386</v>
      </c>
      <c r="AO325" s="5" t="s">
        <v>361</v>
      </c>
      <c r="AP325" s="11" t="s">
        <v>2099</v>
      </c>
      <c r="AQ325" s="11" t="s">
        <v>2100</v>
      </c>
      <c r="AR325" s="11" t="s">
        <v>2101</v>
      </c>
      <c r="AS325" s="36" t="s">
        <v>2097</v>
      </c>
      <c r="AT325" s="11" t="s">
        <v>70</v>
      </c>
      <c r="AU325" s="11" t="s">
        <v>370</v>
      </c>
      <c r="AV325" s="13" t="s">
        <v>1871</v>
      </c>
      <c r="AW325" s="14"/>
      <c r="AX325" s="44"/>
    </row>
    <row r="326" spans="1:50" ht="38.25">
      <c r="A326" s="38" t="str">
        <f>VLOOKUP(Tableau1[[#This Row],[N° Département]],Feuil1!$C$6:$E$106,3)</f>
        <v>Ile-de-France</v>
      </c>
      <c r="B326" s="38" t="str">
        <f>VLOOKUP(Tableau1[[#This Row],[N° Département]],Feuil1!$C$6:$E$106,2)</f>
        <v>Seine-et-Marne</v>
      </c>
      <c r="C326" s="38">
        <f>LEFT(Tableau1[[#This Row],[Code Postal]],2)*1</f>
        <v>77</v>
      </c>
      <c r="D326" s="10" t="s">
        <v>2104</v>
      </c>
      <c r="E326" s="26">
        <v>77500</v>
      </c>
      <c r="F326" s="10" t="s">
        <v>2103</v>
      </c>
      <c r="G326" s="39" t="str">
        <f>Tableau1[[#This Row],[Rue]]&amp;CHAR(10)&amp;Tableau1[[#This Row],[Code Postal]]&amp;" - "&amp;Tableau1[[#This Row],[Ville]]</f>
        <v>Centre Terre Ciel (Chelles 2) Avenue du Gendarme Castermant
77500 - Chelles</v>
      </c>
      <c r="H326" s="15" t="s">
        <v>2102</v>
      </c>
      <c r="I326" s="12" t="s">
        <v>47</v>
      </c>
      <c r="J326" s="12" t="s">
        <v>49</v>
      </c>
      <c r="K326" s="10" t="s">
        <v>98</v>
      </c>
      <c r="L326" s="10" t="s">
        <v>98</v>
      </c>
      <c r="M326" s="12" t="s">
        <v>98</v>
      </c>
      <c r="N326" s="36" t="s">
        <v>2105</v>
      </c>
      <c r="O326" s="34">
        <v>50</v>
      </c>
      <c r="P326" s="6" t="s">
        <v>98</v>
      </c>
      <c r="Q326" s="34">
        <v>361</v>
      </c>
      <c r="R326" s="6" t="s">
        <v>98</v>
      </c>
      <c r="S326" s="6" t="s">
        <v>98</v>
      </c>
      <c r="T326" s="12">
        <f>Tableau1[[#This Row],[Loyer €/m²]]*Tableau1[[#This Row],[Surface GLA]]</f>
        <v>10000</v>
      </c>
      <c r="U326" s="12">
        <f>IFERROR(Tableau1[[#This Row],[Loyer annuel]]/12,"")</f>
        <v>833.33333333333337</v>
      </c>
      <c r="V326" s="12">
        <v>200</v>
      </c>
      <c r="W326" s="6" t="s">
        <v>98</v>
      </c>
      <c r="X326" s="6">
        <f>Tableau1[[#This Row],[Charges €/m²]]*Tableau1[[#This Row],[Surface GLA]]</f>
        <v>3000</v>
      </c>
      <c r="Y326" s="12">
        <f>Tableau1[[#This Row],[Charges annuelles]]/12</f>
        <v>250</v>
      </c>
      <c r="Z326" s="12">
        <v>60</v>
      </c>
      <c r="AA326" s="12">
        <f>IFERROR(Tableau1[[#This Row],[Taxe foncière €/m²]]*Tableau1[[#This Row],[Surface GLA]],)</f>
        <v>1800</v>
      </c>
      <c r="AB326" s="12">
        <v>36</v>
      </c>
      <c r="AC326" s="12">
        <f>IFERROR(Tableau1[[#This Row],[Marketing €/m²]]*Tableau1[[#This Row],[Surface GLA]],)</f>
        <v>0</v>
      </c>
      <c r="AD326" s="12"/>
      <c r="AE326" s="12">
        <f>IFERROR(Tableau1[[#This Row],[Loyer annuel]]+Tableau1[[#This Row],[Charges annuelles]]+Tableau1[[#This Row],[Taxe foncière]]+Tableau1[[#This Row],[Marketing]],"")</f>
        <v>14800</v>
      </c>
      <c r="AF326" s="12" t="str">
        <f t="shared" si="15"/>
        <v>3 mois = 2 500 €</v>
      </c>
      <c r="AG326" s="6" t="s">
        <v>98</v>
      </c>
      <c r="AH326" s="6" t="s">
        <v>98</v>
      </c>
      <c r="AI326" s="12" t="s">
        <v>357</v>
      </c>
      <c r="AJ326" s="10"/>
      <c r="AK326" s="10"/>
      <c r="AL326" s="10"/>
      <c r="AM326" s="11"/>
      <c r="AN326" s="11" t="s">
        <v>1386</v>
      </c>
      <c r="AO326" s="5" t="s">
        <v>361</v>
      </c>
      <c r="AP326" s="11"/>
      <c r="AQ326" s="11"/>
      <c r="AR326" s="11" t="s">
        <v>2128</v>
      </c>
      <c r="AS326" s="36"/>
      <c r="AT326" s="11" t="s">
        <v>70</v>
      </c>
      <c r="AU326" s="11" t="s">
        <v>370</v>
      </c>
      <c r="AV326" s="13" t="s">
        <v>1871</v>
      </c>
      <c r="AW326" s="14"/>
      <c r="AX326" s="44"/>
    </row>
    <row r="327" spans="1:50" ht="38.25">
      <c r="A327" s="38" t="str">
        <f>VLOOKUP(Tableau1[[#This Row],[N° Département]],Feuil1!$C$6:$E$106,3)</f>
        <v>Ile-de-France</v>
      </c>
      <c r="B327" s="38" t="str">
        <f>VLOOKUP(Tableau1[[#This Row],[N° Département]],Feuil1!$C$6:$E$106,2)</f>
        <v>Seine-et-Marne</v>
      </c>
      <c r="C327" s="38">
        <f>LEFT(Tableau1[[#This Row],[Code Postal]],2)*1</f>
        <v>77</v>
      </c>
      <c r="D327" s="10" t="s">
        <v>2104</v>
      </c>
      <c r="E327" s="10">
        <v>77500</v>
      </c>
      <c r="F327" s="10" t="s">
        <v>2103</v>
      </c>
      <c r="G327" s="39" t="str">
        <f>Tableau1[[#This Row],[Rue]]&amp;CHAR(10)&amp;Tableau1[[#This Row],[Code Postal]]&amp;" - "&amp;Tableau1[[#This Row],[Ville]]</f>
        <v>Centre Terre Ciel (Chelles 2) Avenue du Gendarme Castermant
77500 - Chelles</v>
      </c>
      <c r="H327" s="15" t="s">
        <v>2102</v>
      </c>
      <c r="I327" s="12" t="s">
        <v>47</v>
      </c>
      <c r="J327" s="12" t="s">
        <v>49</v>
      </c>
      <c r="K327" s="10" t="s">
        <v>98</v>
      </c>
      <c r="L327" s="10" t="s">
        <v>98</v>
      </c>
      <c r="M327" s="12" t="s">
        <v>98</v>
      </c>
      <c r="N327" s="36" t="s">
        <v>2106</v>
      </c>
      <c r="O327" s="34">
        <v>72</v>
      </c>
      <c r="P327" s="6" t="s">
        <v>98</v>
      </c>
      <c r="Q327" s="34">
        <v>361</v>
      </c>
      <c r="R327" s="6" t="s">
        <v>98</v>
      </c>
      <c r="S327" s="6" t="s">
        <v>98</v>
      </c>
      <c r="T327" s="12">
        <f>Tableau1[[#This Row],[Loyer €/m²]]*Tableau1[[#This Row],[Surface GLA]]</f>
        <v>14400</v>
      </c>
      <c r="U327" s="12">
        <f>IFERROR(Tableau1[[#This Row],[Loyer annuel]]/12,"")</f>
        <v>1200</v>
      </c>
      <c r="V327" s="12">
        <v>200</v>
      </c>
      <c r="W327" s="6" t="s">
        <v>98</v>
      </c>
      <c r="X327" s="6">
        <f>Tableau1[[#This Row],[Charges €/m²]]*Tableau1[[#This Row],[Surface GLA]]</f>
        <v>4320</v>
      </c>
      <c r="Y327" s="12">
        <f>Tableau1[[#This Row],[Charges annuelles]]/12</f>
        <v>360</v>
      </c>
      <c r="Z327" s="12">
        <v>60</v>
      </c>
      <c r="AA327" s="12">
        <f>IFERROR(Tableau1[[#This Row],[Taxe foncière €/m²]]*Tableau1[[#This Row],[Surface GLA]],)</f>
        <v>2592</v>
      </c>
      <c r="AB327" s="12">
        <v>36</v>
      </c>
      <c r="AC327" s="12">
        <f>IFERROR(Tableau1[[#This Row],[Marketing €/m²]]*Tableau1[[#This Row],[Surface GLA]],)</f>
        <v>0</v>
      </c>
      <c r="AD327" s="12"/>
      <c r="AE327" s="12">
        <f>IFERROR(Tableau1[[#This Row],[Loyer annuel]]+Tableau1[[#This Row],[Charges annuelles]]+Tableau1[[#This Row],[Taxe foncière]]+Tableau1[[#This Row],[Marketing]],"")</f>
        <v>21312</v>
      </c>
      <c r="AF327" s="12" t="str">
        <f t="shared" si="15"/>
        <v>3 mois = 3 600 €</v>
      </c>
      <c r="AG327" s="6" t="s">
        <v>98</v>
      </c>
      <c r="AH327" s="6" t="s">
        <v>98</v>
      </c>
      <c r="AI327" s="12" t="s">
        <v>357</v>
      </c>
      <c r="AJ327" s="10"/>
      <c r="AK327" s="10"/>
      <c r="AL327" s="10"/>
      <c r="AM327" s="11"/>
      <c r="AN327" s="11" t="s">
        <v>1386</v>
      </c>
      <c r="AO327" s="5" t="s">
        <v>361</v>
      </c>
      <c r="AP327" s="11"/>
      <c r="AQ327" s="11"/>
      <c r="AR327" s="11" t="s">
        <v>2058</v>
      </c>
      <c r="AS327" s="36"/>
      <c r="AT327" s="11" t="s">
        <v>70</v>
      </c>
      <c r="AU327" s="11" t="s">
        <v>370</v>
      </c>
      <c r="AV327" s="13" t="s">
        <v>1871</v>
      </c>
      <c r="AW327" s="14"/>
      <c r="AX327" s="44"/>
    </row>
    <row r="328" spans="1:50" ht="38.25">
      <c r="A328" s="38" t="str">
        <f>VLOOKUP(Tableau1[[#This Row],[N° Département]],Feuil1!$C$6:$E$106,3)</f>
        <v>Ile-de-France</v>
      </c>
      <c r="B328" s="38" t="str">
        <f>VLOOKUP(Tableau1[[#This Row],[N° Département]],Feuil1!$C$6:$E$106,2)</f>
        <v>Seine-et-Marne</v>
      </c>
      <c r="C328" s="38">
        <f>LEFT(Tableau1[[#This Row],[Code Postal]],2)*1</f>
        <v>77</v>
      </c>
      <c r="D328" s="10" t="s">
        <v>2104</v>
      </c>
      <c r="E328" s="26">
        <v>77500</v>
      </c>
      <c r="F328" s="10" t="s">
        <v>2103</v>
      </c>
      <c r="G328" s="39" t="str">
        <f>Tableau1[[#This Row],[Rue]]&amp;CHAR(10)&amp;Tableau1[[#This Row],[Code Postal]]&amp;" - "&amp;Tableau1[[#This Row],[Ville]]</f>
        <v>Centre Terre Ciel (Chelles 2) Avenue du Gendarme Castermant
77500 - Chelles</v>
      </c>
      <c r="H328" s="15" t="s">
        <v>2102</v>
      </c>
      <c r="I328" s="12" t="s">
        <v>47</v>
      </c>
      <c r="J328" s="12" t="s">
        <v>49</v>
      </c>
      <c r="K328" s="10" t="s">
        <v>98</v>
      </c>
      <c r="L328" s="10" t="s">
        <v>98</v>
      </c>
      <c r="M328" s="12" t="s">
        <v>98</v>
      </c>
      <c r="N328" s="36" t="s">
        <v>1562</v>
      </c>
      <c r="O328" s="34">
        <v>116</v>
      </c>
      <c r="P328" s="6" t="s">
        <v>98</v>
      </c>
      <c r="Q328" s="34">
        <v>361</v>
      </c>
      <c r="R328" s="6" t="s">
        <v>98</v>
      </c>
      <c r="S328" s="6" t="s">
        <v>98</v>
      </c>
      <c r="T328" s="12">
        <f>Tableau1[[#This Row],[Loyer €/m²]]*Tableau1[[#This Row],[Surface GLA]]</f>
        <v>23200</v>
      </c>
      <c r="U328" s="12">
        <f>IFERROR(Tableau1[[#This Row],[Loyer annuel]]/12,"")</f>
        <v>1933.3333333333333</v>
      </c>
      <c r="V328" s="12">
        <v>200</v>
      </c>
      <c r="W328" s="6" t="s">
        <v>98</v>
      </c>
      <c r="X328" s="6">
        <f>Tableau1[[#This Row],[Charges €/m²]]*Tableau1[[#This Row],[Surface GLA]]</f>
        <v>6960</v>
      </c>
      <c r="Y328" s="12">
        <f>Tableau1[[#This Row],[Charges annuelles]]/12</f>
        <v>580</v>
      </c>
      <c r="Z328" s="12">
        <v>60</v>
      </c>
      <c r="AA328" s="12">
        <f>IFERROR(Tableau1[[#This Row],[Taxe foncière €/m²]]*Tableau1[[#This Row],[Surface GLA]],)</f>
        <v>4176</v>
      </c>
      <c r="AB328" s="12">
        <v>36</v>
      </c>
      <c r="AC328" s="12">
        <f>IFERROR(Tableau1[[#This Row],[Marketing €/m²]]*Tableau1[[#This Row],[Surface GLA]],)</f>
        <v>0</v>
      </c>
      <c r="AD328" s="12"/>
      <c r="AE328" s="12">
        <f>IFERROR(Tableau1[[#This Row],[Loyer annuel]]+Tableau1[[#This Row],[Charges annuelles]]+Tableau1[[#This Row],[Taxe foncière]]+Tableau1[[#This Row],[Marketing]],"")</f>
        <v>34336</v>
      </c>
      <c r="AF328" s="12" t="str">
        <f t="shared" ref="AF328:AF361" si="16">"3 mois = "&amp;TEXT(ROUND(3/12*T328,0),"### ### ##0 €")</f>
        <v>3 mois = 5 800 €</v>
      </c>
      <c r="AG328" s="6" t="s">
        <v>98</v>
      </c>
      <c r="AH328" s="6" t="s">
        <v>98</v>
      </c>
      <c r="AI328" s="12" t="s">
        <v>357</v>
      </c>
      <c r="AJ328" s="10"/>
      <c r="AK328" s="10"/>
      <c r="AL328" s="10"/>
      <c r="AM328" s="11"/>
      <c r="AN328" s="11" t="s">
        <v>1386</v>
      </c>
      <c r="AO328" s="5" t="s">
        <v>361</v>
      </c>
      <c r="AP328" s="11"/>
      <c r="AQ328" s="11"/>
      <c r="AR328" s="11" t="s">
        <v>2129</v>
      </c>
      <c r="AS328" s="36"/>
      <c r="AT328" s="11" t="s">
        <v>70</v>
      </c>
      <c r="AU328" s="11" t="s">
        <v>370</v>
      </c>
      <c r="AV328" s="13" t="s">
        <v>1871</v>
      </c>
      <c r="AW328" s="14"/>
      <c r="AX328" s="44"/>
    </row>
    <row r="329" spans="1:50" ht="38.25">
      <c r="A329" s="38" t="str">
        <f>VLOOKUP(Tableau1[[#This Row],[N° Département]],Feuil1!$C$6:$E$106,3)</f>
        <v>Ile-de-France</v>
      </c>
      <c r="B329" s="38" t="str">
        <f>VLOOKUP(Tableau1[[#This Row],[N° Département]],Feuil1!$C$6:$E$106,2)</f>
        <v>Seine-et-Marne</v>
      </c>
      <c r="C329" s="38">
        <f>LEFT(Tableau1[[#This Row],[Code Postal]],2)*1</f>
        <v>77</v>
      </c>
      <c r="D329" s="10" t="s">
        <v>2104</v>
      </c>
      <c r="E329" s="10">
        <v>77500</v>
      </c>
      <c r="F329" s="10" t="s">
        <v>2103</v>
      </c>
      <c r="G329" s="39" t="str">
        <f>Tableau1[[#This Row],[Rue]]&amp;CHAR(10)&amp;Tableau1[[#This Row],[Code Postal]]&amp;" - "&amp;Tableau1[[#This Row],[Ville]]</f>
        <v>Centre Terre Ciel (Chelles 2) Avenue du Gendarme Castermant
77500 - Chelles</v>
      </c>
      <c r="H329" s="15" t="s">
        <v>2102</v>
      </c>
      <c r="I329" s="12" t="s">
        <v>47</v>
      </c>
      <c r="J329" s="12" t="s">
        <v>49</v>
      </c>
      <c r="K329" s="10" t="s">
        <v>98</v>
      </c>
      <c r="L329" s="10" t="s">
        <v>98</v>
      </c>
      <c r="M329" s="12" t="s">
        <v>98</v>
      </c>
      <c r="N329" s="36" t="s">
        <v>1563</v>
      </c>
      <c r="O329" s="34">
        <v>123</v>
      </c>
      <c r="P329" s="6" t="s">
        <v>98</v>
      </c>
      <c r="Q329" s="34">
        <v>361</v>
      </c>
      <c r="R329" s="6" t="s">
        <v>98</v>
      </c>
      <c r="S329" s="6" t="s">
        <v>98</v>
      </c>
      <c r="T329" s="12">
        <f>Tableau1[[#This Row],[Loyer €/m²]]*Tableau1[[#This Row],[Surface GLA]]</f>
        <v>24600</v>
      </c>
      <c r="U329" s="12">
        <f>IFERROR(Tableau1[[#This Row],[Loyer annuel]]/12,"")</f>
        <v>2050</v>
      </c>
      <c r="V329" s="12">
        <v>200</v>
      </c>
      <c r="W329" s="6" t="s">
        <v>98</v>
      </c>
      <c r="X329" s="6">
        <f>Tableau1[[#This Row],[Charges €/m²]]*Tableau1[[#This Row],[Surface GLA]]</f>
        <v>7380</v>
      </c>
      <c r="Y329" s="12">
        <f>Tableau1[[#This Row],[Charges annuelles]]/12</f>
        <v>615</v>
      </c>
      <c r="Z329" s="12">
        <v>60</v>
      </c>
      <c r="AA329" s="12">
        <f>IFERROR(Tableau1[[#This Row],[Taxe foncière €/m²]]*Tableau1[[#This Row],[Surface GLA]],)</f>
        <v>4428</v>
      </c>
      <c r="AB329" s="12">
        <v>36</v>
      </c>
      <c r="AC329" s="12">
        <f>IFERROR(Tableau1[[#This Row],[Marketing €/m²]]*Tableau1[[#This Row],[Surface GLA]],)</f>
        <v>0</v>
      </c>
      <c r="AD329" s="12"/>
      <c r="AE329" s="12">
        <f>IFERROR(Tableau1[[#This Row],[Loyer annuel]]+Tableau1[[#This Row],[Charges annuelles]]+Tableau1[[#This Row],[Taxe foncière]]+Tableau1[[#This Row],[Marketing]],"")</f>
        <v>36408</v>
      </c>
      <c r="AF329" s="12" t="str">
        <f t="shared" si="16"/>
        <v>3 mois = 6 150 €</v>
      </c>
      <c r="AG329" s="6" t="s">
        <v>98</v>
      </c>
      <c r="AH329" s="6" t="s">
        <v>98</v>
      </c>
      <c r="AI329" s="12" t="s">
        <v>357</v>
      </c>
      <c r="AJ329" s="10"/>
      <c r="AK329" s="10"/>
      <c r="AL329" s="10"/>
      <c r="AM329" s="11"/>
      <c r="AN329" s="11" t="s">
        <v>1386</v>
      </c>
      <c r="AO329" s="5" t="s">
        <v>361</v>
      </c>
      <c r="AP329" s="11"/>
      <c r="AQ329" s="11"/>
      <c r="AR329" s="11" t="s">
        <v>2131</v>
      </c>
      <c r="AS329" s="36"/>
      <c r="AT329" s="11" t="s">
        <v>70</v>
      </c>
      <c r="AU329" s="11" t="s">
        <v>370</v>
      </c>
      <c r="AV329" s="13" t="s">
        <v>1871</v>
      </c>
      <c r="AW329" s="14"/>
      <c r="AX329" s="44"/>
    </row>
    <row r="330" spans="1:50" ht="38.25">
      <c r="A330" s="38" t="str">
        <f>VLOOKUP(Tableau1[[#This Row],[N° Département]],Feuil1!$C$6:$E$106,3)</f>
        <v>Ile-de-France</v>
      </c>
      <c r="B330" s="38" t="str">
        <f>VLOOKUP(Tableau1[[#This Row],[N° Département]],Feuil1!$C$6:$E$106,2)</f>
        <v>Seine-et-Marne</v>
      </c>
      <c r="C330" s="38">
        <f>LEFT(Tableau1[[#This Row],[Code Postal]],2)*1</f>
        <v>77</v>
      </c>
      <c r="D330" s="10" t="s">
        <v>2104</v>
      </c>
      <c r="E330" s="26">
        <v>77500</v>
      </c>
      <c r="F330" s="10" t="s">
        <v>2103</v>
      </c>
      <c r="G330" s="39" t="str">
        <f>Tableau1[[#This Row],[Rue]]&amp;CHAR(10)&amp;Tableau1[[#This Row],[Code Postal]]&amp;" - "&amp;Tableau1[[#This Row],[Ville]]</f>
        <v>Centre Terre Ciel (Chelles 2) Avenue du Gendarme Castermant
77500 - Chelles</v>
      </c>
      <c r="H330" s="15" t="s">
        <v>2102</v>
      </c>
      <c r="I330" s="12" t="s">
        <v>47</v>
      </c>
      <c r="J330" s="12" t="s">
        <v>49</v>
      </c>
      <c r="K330" s="10" t="s">
        <v>98</v>
      </c>
      <c r="L330" s="10" t="s">
        <v>98</v>
      </c>
      <c r="M330" s="12" t="s">
        <v>98</v>
      </c>
      <c r="N330" s="36" t="s">
        <v>2112</v>
      </c>
      <c r="O330" s="34">
        <v>120</v>
      </c>
      <c r="P330" s="6" t="s">
        <v>98</v>
      </c>
      <c r="Q330" s="6" t="s">
        <v>98</v>
      </c>
      <c r="R330" s="6" t="s">
        <v>98</v>
      </c>
      <c r="S330" s="6" t="s">
        <v>98</v>
      </c>
      <c r="T330" s="12">
        <f>Tableau1[[#This Row],[Loyer €/m²]]*Tableau1[[#This Row],[Surface GLA]]</f>
        <v>24000</v>
      </c>
      <c r="U330" s="12">
        <f>IFERROR(Tableau1[[#This Row],[Loyer annuel]]/12,"")</f>
        <v>2000</v>
      </c>
      <c r="V330" s="12">
        <v>200</v>
      </c>
      <c r="W330" s="6" t="s">
        <v>98</v>
      </c>
      <c r="X330" s="6">
        <f>Tableau1[[#This Row],[Charges €/m²]]*Tableau1[[#This Row],[Surface GLA]]</f>
        <v>7200</v>
      </c>
      <c r="Y330" s="12">
        <f>Tableau1[[#This Row],[Charges annuelles]]/12</f>
        <v>600</v>
      </c>
      <c r="Z330" s="12">
        <v>60</v>
      </c>
      <c r="AA330" s="12">
        <f>IFERROR(Tableau1[[#This Row],[Taxe foncière €/m²]]*Tableau1[[#This Row],[Surface GLA]],)</f>
        <v>4320</v>
      </c>
      <c r="AB330" s="12">
        <v>36</v>
      </c>
      <c r="AC330" s="12">
        <f>IFERROR(Tableau1[[#This Row],[Marketing €/m²]]*Tableau1[[#This Row],[Surface GLA]],)</f>
        <v>0</v>
      </c>
      <c r="AD330" s="12"/>
      <c r="AE330" s="12">
        <f>IFERROR(Tableau1[[#This Row],[Loyer annuel]]+Tableau1[[#This Row],[Charges annuelles]]+Tableau1[[#This Row],[Taxe foncière]]+Tableau1[[#This Row],[Marketing]],"")</f>
        <v>35520</v>
      </c>
      <c r="AF330" s="12" t="str">
        <f t="shared" si="16"/>
        <v>3 mois = 6 000 €</v>
      </c>
      <c r="AG330" s="6" t="s">
        <v>98</v>
      </c>
      <c r="AH330" s="6" t="s">
        <v>98</v>
      </c>
      <c r="AI330" s="12" t="s">
        <v>357</v>
      </c>
      <c r="AJ330" s="10"/>
      <c r="AK330" s="10"/>
      <c r="AL330" s="10"/>
      <c r="AM330" s="11"/>
      <c r="AN330" s="11" t="s">
        <v>1386</v>
      </c>
      <c r="AO330" s="5" t="s">
        <v>361</v>
      </c>
      <c r="AP330" s="11"/>
      <c r="AQ330" s="11"/>
      <c r="AR330" s="11" t="s">
        <v>2133</v>
      </c>
      <c r="AS330" s="36"/>
      <c r="AT330" s="11" t="s">
        <v>70</v>
      </c>
      <c r="AU330" s="11" t="s">
        <v>370</v>
      </c>
      <c r="AV330" s="13" t="s">
        <v>1871</v>
      </c>
      <c r="AW330" s="14"/>
      <c r="AX330" s="44"/>
    </row>
    <row r="331" spans="1:50" ht="38.25">
      <c r="A331" s="38" t="str">
        <f>VLOOKUP(Tableau1[[#This Row],[N° Département]],Feuil1!$C$6:$E$106,3)</f>
        <v>Ile-de-France</v>
      </c>
      <c r="B331" s="38" t="str">
        <f>VLOOKUP(Tableau1[[#This Row],[N° Département]],Feuil1!$C$6:$E$106,2)</f>
        <v>Seine-et-Marne</v>
      </c>
      <c r="C331" s="38">
        <f>LEFT(Tableau1[[#This Row],[Code Postal]],2)*1</f>
        <v>77</v>
      </c>
      <c r="D331" s="10" t="s">
        <v>2104</v>
      </c>
      <c r="E331" s="10">
        <v>77500</v>
      </c>
      <c r="F331" s="10" t="s">
        <v>2103</v>
      </c>
      <c r="G331" s="39" t="str">
        <f>Tableau1[[#This Row],[Rue]]&amp;CHAR(10)&amp;Tableau1[[#This Row],[Code Postal]]&amp;" - "&amp;Tableau1[[#This Row],[Ville]]</f>
        <v>Centre Terre Ciel (Chelles 2) Avenue du Gendarme Castermant
77500 - Chelles</v>
      </c>
      <c r="H331" s="15" t="s">
        <v>2102</v>
      </c>
      <c r="I331" s="12" t="s">
        <v>47</v>
      </c>
      <c r="J331" s="12" t="s">
        <v>49</v>
      </c>
      <c r="K331" s="10" t="s">
        <v>98</v>
      </c>
      <c r="L331" s="10" t="s">
        <v>98</v>
      </c>
      <c r="M331" s="12" t="s">
        <v>98</v>
      </c>
      <c r="N331" s="36" t="s">
        <v>2111</v>
      </c>
      <c r="O331" s="34">
        <v>120</v>
      </c>
      <c r="P331" s="6" t="s">
        <v>98</v>
      </c>
      <c r="Q331" s="34">
        <v>231</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c r="AK331" s="10"/>
      <c r="AL331" s="10"/>
      <c r="AM331" s="11"/>
      <c r="AN331" s="11" t="s">
        <v>1386</v>
      </c>
      <c r="AO331" s="5" t="s">
        <v>361</v>
      </c>
      <c r="AP331" s="11"/>
      <c r="AQ331" s="11"/>
      <c r="AR331" s="11" t="s">
        <v>2130</v>
      </c>
      <c r="AS331" s="36"/>
      <c r="AT331" s="11" t="s">
        <v>70</v>
      </c>
      <c r="AU331" s="11" t="s">
        <v>370</v>
      </c>
      <c r="AV331" s="13" t="s">
        <v>1871</v>
      </c>
      <c r="AW331" s="14"/>
      <c r="AX331" s="44"/>
    </row>
    <row r="332" spans="1:50" ht="38.25">
      <c r="A332" s="38" t="str">
        <f>VLOOKUP(Tableau1[[#This Row],[N° Département]],Feuil1!$C$6:$E$106,3)</f>
        <v>Ile-de-France</v>
      </c>
      <c r="B332" s="38" t="str">
        <f>VLOOKUP(Tableau1[[#This Row],[N° Département]],Feuil1!$C$6:$E$106,2)</f>
        <v>Seine-et-Marne</v>
      </c>
      <c r="C332" s="38">
        <f>LEFT(Tableau1[[#This Row],[Code Postal]],2)*1</f>
        <v>77</v>
      </c>
      <c r="D332" s="10" t="s">
        <v>2104</v>
      </c>
      <c r="E332" s="26">
        <v>77500</v>
      </c>
      <c r="F332" s="10" t="s">
        <v>2103</v>
      </c>
      <c r="G332" s="39" t="str">
        <f>Tableau1[[#This Row],[Rue]]&amp;CHAR(10)&amp;Tableau1[[#This Row],[Code Postal]]&amp;" - "&amp;Tableau1[[#This Row],[Ville]]</f>
        <v>Centre Terre Ciel (Chelles 2) Avenue du Gendarme Castermant
77500 - Chelles</v>
      </c>
      <c r="H332" s="15" t="s">
        <v>2102</v>
      </c>
      <c r="I332" s="12" t="s">
        <v>47</v>
      </c>
      <c r="J332" s="12" t="s">
        <v>49</v>
      </c>
      <c r="K332" s="10" t="s">
        <v>98</v>
      </c>
      <c r="L332" s="10" t="s">
        <v>98</v>
      </c>
      <c r="M332" s="12" t="s">
        <v>98</v>
      </c>
      <c r="N332" s="36" t="s">
        <v>2110</v>
      </c>
      <c r="O332" s="34">
        <v>101</v>
      </c>
      <c r="P332" s="6" t="s">
        <v>98</v>
      </c>
      <c r="Q332" s="34">
        <v>231</v>
      </c>
      <c r="R332" s="6" t="s">
        <v>98</v>
      </c>
      <c r="S332" s="6" t="s">
        <v>98</v>
      </c>
      <c r="T332" s="12">
        <f>Tableau1[[#This Row],[Loyer €/m²]]*Tableau1[[#This Row],[Surface GLA]]</f>
        <v>20200</v>
      </c>
      <c r="U332" s="12">
        <f>IFERROR(Tableau1[[#This Row],[Loyer annuel]]/12,"")</f>
        <v>1683.3333333333333</v>
      </c>
      <c r="V332" s="12">
        <v>200</v>
      </c>
      <c r="W332" s="6" t="s">
        <v>98</v>
      </c>
      <c r="X332" s="6">
        <f>Tableau1[[#This Row],[Charges €/m²]]*Tableau1[[#This Row],[Surface GLA]]</f>
        <v>6060</v>
      </c>
      <c r="Y332" s="12">
        <f>Tableau1[[#This Row],[Charges annuelles]]/12</f>
        <v>505</v>
      </c>
      <c r="Z332" s="12">
        <v>60</v>
      </c>
      <c r="AA332" s="12">
        <f>IFERROR(Tableau1[[#This Row],[Taxe foncière €/m²]]*Tableau1[[#This Row],[Surface GLA]],)</f>
        <v>3636</v>
      </c>
      <c r="AB332" s="12">
        <v>36</v>
      </c>
      <c r="AC332" s="12">
        <f>IFERROR(Tableau1[[#This Row],[Marketing €/m²]]*Tableau1[[#This Row],[Surface GLA]],)</f>
        <v>0</v>
      </c>
      <c r="AD332" s="12"/>
      <c r="AE332" s="12">
        <f>IFERROR(Tableau1[[#This Row],[Loyer annuel]]+Tableau1[[#This Row],[Charges annuelles]]+Tableau1[[#This Row],[Taxe foncière]]+Tableau1[[#This Row],[Marketing]],"")</f>
        <v>29896</v>
      </c>
      <c r="AF332" s="12" t="str">
        <f t="shared" si="16"/>
        <v>3 mois = 5 050 €</v>
      </c>
      <c r="AG332" s="6" t="s">
        <v>98</v>
      </c>
      <c r="AH332" s="6" t="s">
        <v>98</v>
      </c>
      <c r="AI332" s="12" t="s">
        <v>357</v>
      </c>
      <c r="AJ332" s="10"/>
      <c r="AK332" s="10"/>
      <c r="AL332" s="10"/>
      <c r="AM332" s="11"/>
      <c r="AN332" s="11" t="s">
        <v>1386</v>
      </c>
      <c r="AO332" s="5" t="s">
        <v>361</v>
      </c>
      <c r="AP332" s="11"/>
      <c r="AQ332" s="11"/>
      <c r="AR332" s="11" t="s">
        <v>2132</v>
      </c>
      <c r="AS332" s="36"/>
      <c r="AT332" s="11" t="s">
        <v>70</v>
      </c>
      <c r="AU332" s="11" t="s">
        <v>370</v>
      </c>
      <c r="AV332" s="13" t="s">
        <v>1871</v>
      </c>
      <c r="AW332" s="14"/>
      <c r="AX332" s="44"/>
    </row>
    <row r="333" spans="1:50" ht="38.25">
      <c r="A333" s="38" t="str">
        <f>VLOOKUP(Tableau1[[#This Row],[N° Département]],Feuil1!$C$6:$E$106,3)</f>
        <v>Ile-de-France</v>
      </c>
      <c r="B333" s="38" t="str">
        <f>VLOOKUP(Tableau1[[#This Row],[N° Département]],Feuil1!$C$6:$E$106,2)</f>
        <v>Seine-et-Marne</v>
      </c>
      <c r="C333" s="38">
        <f>LEFT(Tableau1[[#This Row],[Code Postal]],2)*1</f>
        <v>77</v>
      </c>
      <c r="D333" s="10" t="s">
        <v>2104</v>
      </c>
      <c r="E333" s="10">
        <v>77500</v>
      </c>
      <c r="F333" s="10" t="s">
        <v>2103</v>
      </c>
      <c r="G333" s="39" t="str">
        <f>Tableau1[[#This Row],[Rue]]&amp;CHAR(10)&amp;Tableau1[[#This Row],[Code Postal]]&amp;" - "&amp;Tableau1[[#This Row],[Ville]]</f>
        <v>Centre Terre Ciel (Chelles 2) Avenue du Gendarme Castermant
77500 - Chelles</v>
      </c>
      <c r="H333" s="15" t="s">
        <v>2102</v>
      </c>
      <c r="I333" s="12" t="s">
        <v>47</v>
      </c>
      <c r="J333" s="12" t="s">
        <v>49</v>
      </c>
      <c r="K333" s="10" t="s">
        <v>98</v>
      </c>
      <c r="L333" s="10" t="s">
        <v>98</v>
      </c>
      <c r="M333" s="12" t="s">
        <v>98</v>
      </c>
      <c r="N333" s="36" t="s">
        <v>2109</v>
      </c>
      <c r="O333" s="34">
        <v>218</v>
      </c>
      <c r="P333" s="6" t="s">
        <v>98</v>
      </c>
      <c r="Q333" s="34">
        <v>363</v>
      </c>
      <c r="R333" s="6" t="s">
        <v>98</v>
      </c>
      <c r="S333" s="6" t="s">
        <v>98</v>
      </c>
      <c r="T333" s="12">
        <f>Tableau1[[#This Row],[Loyer €/m²]]*Tableau1[[#This Row],[Surface GLA]]</f>
        <v>43600</v>
      </c>
      <c r="U333" s="12">
        <f>IFERROR(Tableau1[[#This Row],[Loyer annuel]]/12,"")</f>
        <v>3633.3333333333335</v>
      </c>
      <c r="V333" s="12">
        <v>200</v>
      </c>
      <c r="W333" s="6" t="s">
        <v>98</v>
      </c>
      <c r="X333" s="6">
        <f>Tableau1[[#This Row],[Charges €/m²]]*Tableau1[[#This Row],[Surface GLA]]</f>
        <v>13080</v>
      </c>
      <c r="Y333" s="12">
        <f>Tableau1[[#This Row],[Charges annuelles]]/12</f>
        <v>1090</v>
      </c>
      <c r="Z333" s="12">
        <v>60</v>
      </c>
      <c r="AA333" s="12">
        <f>IFERROR(Tableau1[[#This Row],[Taxe foncière €/m²]]*Tableau1[[#This Row],[Surface GLA]],)</f>
        <v>7848</v>
      </c>
      <c r="AB333" s="12">
        <v>36</v>
      </c>
      <c r="AC333" s="12">
        <f>IFERROR(Tableau1[[#This Row],[Marketing €/m²]]*Tableau1[[#This Row],[Surface GLA]],)</f>
        <v>0</v>
      </c>
      <c r="AD333" s="12"/>
      <c r="AE333" s="12">
        <f>IFERROR(Tableau1[[#This Row],[Loyer annuel]]+Tableau1[[#This Row],[Charges annuelles]]+Tableau1[[#This Row],[Taxe foncière]]+Tableau1[[#This Row],[Marketing]],"")</f>
        <v>64528</v>
      </c>
      <c r="AF333" s="12" t="str">
        <f t="shared" si="16"/>
        <v>3 mois = 10 900 €</v>
      </c>
      <c r="AG333" s="6" t="s">
        <v>98</v>
      </c>
      <c r="AH333" s="6" t="s">
        <v>98</v>
      </c>
      <c r="AI333" s="12" t="s">
        <v>357</v>
      </c>
      <c r="AJ333" s="10"/>
      <c r="AK333" s="10"/>
      <c r="AL333" s="10"/>
      <c r="AM333" s="11"/>
      <c r="AN333" s="11" t="s">
        <v>1386</v>
      </c>
      <c r="AO333" s="5" t="s">
        <v>361</v>
      </c>
      <c r="AP333" s="11"/>
      <c r="AQ333" s="11"/>
      <c r="AR333" s="11" t="s">
        <v>2134</v>
      </c>
      <c r="AS333" s="36"/>
      <c r="AT333" s="11" t="s">
        <v>70</v>
      </c>
      <c r="AU333" s="11" t="s">
        <v>370</v>
      </c>
      <c r="AV333" s="13" t="s">
        <v>1871</v>
      </c>
      <c r="AW333" s="14"/>
      <c r="AX333" s="44"/>
    </row>
    <row r="334" spans="1:50" ht="38.25">
      <c r="A334" s="38" t="str">
        <f>VLOOKUP(Tableau1[[#This Row],[N° Département]],Feuil1!$C$6:$E$106,3)</f>
        <v>Ile-de-France</v>
      </c>
      <c r="B334" s="38" t="str">
        <f>VLOOKUP(Tableau1[[#This Row],[N° Département]],Feuil1!$C$6:$E$106,2)</f>
        <v>Seine-et-Marne</v>
      </c>
      <c r="C334" s="38">
        <f>LEFT(Tableau1[[#This Row],[Code Postal]],2)*1</f>
        <v>77</v>
      </c>
      <c r="D334" s="10" t="s">
        <v>2104</v>
      </c>
      <c r="E334" s="26">
        <v>77500</v>
      </c>
      <c r="F334" s="10" t="s">
        <v>2103</v>
      </c>
      <c r="G334" s="39" t="str">
        <f>Tableau1[[#This Row],[Rue]]&amp;CHAR(10)&amp;Tableau1[[#This Row],[Code Postal]]&amp;" - "&amp;Tableau1[[#This Row],[Ville]]</f>
        <v>Centre Terre Ciel (Chelles 2) Avenue du Gendarme Castermant
77500 - Chelles</v>
      </c>
      <c r="H334" s="15" t="s">
        <v>2102</v>
      </c>
      <c r="I334" s="12" t="s">
        <v>47</v>
      </c>
      <c r="J334" s="12" t="s">
        <v>49</v>
      </c>
      <c r="K334" s="10" t="s">
        <v>98</v>
      </c>
      <c r="L334" s="10" t="s">
        <v>98</v>
      </c>
      <c r="M334" s="12" t="s">
        <v>98</v>
      </c>
      <c r="N334" s="36" t="s">
        <v>2108</v>
      </c>
      <c r="O334" s="34">
        <v>145</v>
      </c>
      <c r="P334" s="6" t="s">
        <v>98</v>
      </c>
      <c r="Q334" s="34">
        <v>363</v>
      </c>
      <c r="R334" s="6" t="s">
        <v>98</v>
      </c>
      <c r="S334" s="6" t="s">
        <v>98</v>
      </c>
      <c r="T334" s="12">
        <f>Tableau1[[#This Row],[Loyer €/m²]]*Tableau1[[#This Row],[Surface GLA]]</f>
        <v>29000</v>
      </c>
      <c r="U334" s="12">
        <f>IFERROR(Tableau1[[#This Row],[Loyer annuel]]/12,"")</f>
        <v>2416.6666666666665</v>
      </c>
      <c r="V334" s="12">
        <v>200</v>
      </c>
      <c r="W334" s="6" t="s">
        <v>98</v>
      </c>
      <c r="X334" s="6">
        <f>Tableau1[[#This Row],[Charges €/m²]]*Tableau1[[#This Row],[Surface GLA]]</f>
        <v>8700</v>
      </c>
      <c r="Y334" s="12">
        <f>Tableau1[[#This Row],[Charges annuelles]]/12</f>
        <v>725</v>
      </c>
      <c r="Z334" s="12">
        <v>60</v>
      </c>
      <c r="AA334" s="12">
        <f>IFERROR(Tableau1[[#This Row],[Taxe foncière €/m²]]*Tableau1[[#This Row],[Surface GLA]],)</f>
        <v>5220</v>
      </c>
      <c r="AB334" s="12">
        <v>36</v>
      </c>
      <c r="AC334" s="12">
        <f>IFERROR(Tableau1[[#This Row],[Marketing €/m²]]*Tableau1[[#This Row],[Surface GLA]],)</f>
        <v>0</v>
      </c>
      <c r="AD334" s="12"/>
      <c r="AE334" s="12">
        <f>IFERROR(Tableau1[[#This Row],[Loyer annuel]]+Tableau1[[#This Row],[Charges annuelles]]+Tableau1[[#This Row],[Taxe foncière]]+Tableau1[[#This Row],[Marketing]],"")</f>
        <v>42920</v>
      </c>
      <c r="AF334" s="12" t="str">
        <f t="shared" si="16"/>
        <v>3 mois = 7 250 €</v>
      </c>
      <c r="AG334" s="6" t="s">
        <v>98</v>
      </c>
      <c r="AH334" s="6" t="s">
        <v>98</v>
      </c>
      <c r="AI334" s="12" t="s">
        <v>357</v>
      </c>
      <c r="AJ334" s="10"/>
      <c r="AK334" s="10"/>
      <c r="AL334" s="10"/>
      <c r="AM334" s="11"/>
      <c r="AN334" s="11" t="s">
        <v>1386</v>
      </c>
      <c r="AO334" s="5" t="s">
        <v>361</v>
      </c>
      <c r="AP334" s="11"/>
      <c r="AQ334" s="11"/>
      <c r="AR334" s="11" t="s">
        <v>2135</v>
      </c>
      <c r="AS334" s="36"/>
      <c r="AT334" s="11" t="s">
        <v>70</v>
      </c>
      <c r="AU334" s="11" t="s">
        <v>370</v>
      </c>
      <c r="AV334" s="13" t="s">
        <v>1871</v>
      </c>
      <c r="AW334" s="14"/>
      <c r="AX334" s="44"/>
    </row>
    <row r="335" spans="1:50" ht="38.25">
      <c r="A335" s="38" t="str">
        <f>VLOOKUP(Tableau1[[#This Row],[N° Département]],Feuil1!$C$6:$E$106,3)</f>
        <v>Ile-de-France</v>
      </c>
      <c r="B335" s="38" t="str">
        <f>VLOOKUP(Tableau1[[#This Row],[N° Département]],Feuil1!$C$6:$E$106,2)</f>
        <v>Seine-et-Marne</v>
      </c>
      <c r="C335" s="38">
        <f>LEFT(Tableau1[[#This Row],[Code Postal]],2)*1</f>
        <v>77</v>
      </c>
      <c r="D335" s="10" t="s">
        <v>2104</v>
      </c>
      <c r="E335" s="10">
        <v>77500</v>
      </c>
      <c r="F335" s="10" t="s">
        <v>2103</v>
      </c>
      <c r="G335" s="39" t="str">
        <f>Tableau1[[#This Row],[Rue]]&amp;CHAR(10)&amp;Tableau1[[#This Row],[Code Postal]]&amp;" - "&amp;Tableau1[[#This Row],[Ville]]</f>
        <v>Centre Terre Ciel (Chelles 2) Avenue du Gendarme Castermant
77500 - Chelles</v>
      </c>
      <c r="H335" s="15" t="s">
        <v>2102</v>
      </c>
      <c r="I335" s="12" t="s">
        <v>47</v>
      </c>
      <c r="J335" s="12" t="s">
        <v>49</v>
      </c>
      <c r="K335" s="10" t="s">
        <v>98</v>
      </c>
      <c r="L335" s="10" t="s">
        <v>98</v>
      </c>
      <c r="M335" s="12" t="s">
        <v>98</v>
      </c>
      <c r="N335" s="36" t="s">
        <v>2107</v>
      </c>
      <c r="O335" s="34">
        <v>46</v>
      </c>
      <c r="P335" s="6" t="s">
        <v>98</v>
      </c>
      <c r="Q335" s="6" t="s">
        <v>98</v>
      </c>
      <c r="R335" s="6" t="s">
        <v>98</v>
      </c>
      <c r="S335" s="6" t="s">
        <v>98</v>
      </c>
      <c r="T335" s="12">
        <f>Tableau1[[#This Row],[Loyer €/m²]]*Tableau1[[#This Row],[Surface GLA]]</f>
        <v>9200</v>
      </c>
      <c r="U335" s="12">
        <f>IFERROR(Tableau1[[#This Row],[Loyer annuel]]/12,"")</f>
        <v>766.66666666666663</v>
      </c>
      <c r="V335" s="12">
        <v>200</v>
      </c>
      <c r="W335" s="6" t="s">
        <v>98</v>
      </c>
      <c r="X335" s="6">
        <f>Tableau1[[#This Row],[Charges €/m²]]*Tableau1[[#This Row],[Surface GLA]]</f>
        <v>2760</v>
      </c>
      <c r="Y335" s="12">
        <f>Tableau1[[#This Row],[Charges annuelles]]/12</f>
        <v>230</v>
      </c>
      <c r="Z335" s="12">
        <v>60</v>
      </c>
      <c r="AA335" s="12">
        <f>IFERROR(Tableau1[[#This Row],[Taxe foncière €/m²]]*Tableau1[[#This Row],[Surface GLA]],)</f>
        <v>1656</v>
      </c>
      <c r="AB335" s="12">
        <v>36</v>
      </c>
      <c r="AC335" s="12">
        <f>IFERROR(Tableau1[[#This Row],[Marketing €/m²]]*Tableau1[[#This Row],[Surface GLA]],)</f>
        <v>0</v>
      </c>
      <c r="AD335" s="12"/>
      <c r="AE335" s="12">
        <f>IFERROR(Tableau1[[#This Row],[Loyer annuel]]+Tableau1[[#This Row],[Charges annuelles]]+Tableau1[[#This Row],[Taxe foncière]]+Tableau1[[#This Row],[Marketing]],"")</f>
        <v>13616</v>
      </c>
      <c r="AF335" s="12" t="str">
        <f t="shared" si="16"/>
        <v>3 mois = 2 300 €</v>
      </c>
      <c r="AG335" s="6" t="s">
        <v>98</v>
      </c>
      <c r="AH335" s="6" t="s">
        <v>98</v>
      </c>
      <c r="AI335" s="12" t="s">
        <v>357</v>
      </c>
      <c r="AJ335" s="10"/>
      <c r="AK335" s="10"/>
      <c r="AL335" s="10"/>
      <c r="AM335" s="11"/>
      <c r="AN335" s="11" t="s">
        <v>1386</v>
      </c>
      <c r="AO335" s="5" t="s">
        <v>361</v>
      </c>
      <c r="AP335" s="11"/>
      <c r="AQ335" s="11"/>
      <c r="AR335" s="11" t="s">
        <v>2136</v>
      </c>
      <c r="AS335" s="36"/>
      <c r="AT335" s="11" t="s">
        <v>70</v>
      </c>
      <c r="AU335" s="11" t="s">
        <v>370</v>
      </c>
      <c r="AV335" s="13" t="s">
        <v>1871</v>
      </c>
      <c r="AW335" s="14"/>
      <c r="AX335" s="44"/>
    </row>
    <row r="336" spans="1:50" ht="38.25">
      <c r="A336" s="38" t="str">
        <f>VLOOKUP(Tableau1[[#This Row],[N° Département]],Feuil1!$C$6:$E$106,3)</f>
        <v>Ile-de-France</v>
      </c>
      <c r="B336" s="38" t="str">
        <f>VLOOKUP(Tableau1[[#This Row],[N° Département]],Feuil1!$C$6:$E$106,2)</f>
        <v>Seine-et-Marne</v>
      </c>
      <c r="C336" s="38">
        <f>LEFT(Tableau1[[#This Row],[Code Postal]],2)*1</f>
        <v>77</v>
      </c>
      <c r="D336" s="10" t="s">
        <v>2104</v>
      </c>
      <c r="E336" s="26">
        <v>77500</v>
      </c>
      <c r="F336" s="10" t="s">
        <v>2103</v>
      </c>
      <c r="G336" s="39" t="str">
        <f>Tableau1[[#This Row],[Rue]]&amp;CHAR(10)&amp;Tableau1[[#This Row],[Code Postal]]&amp;" - "&amp;Tableau1[[#This Row],[Ville]]</f>
        <v>Centre Terre Ciel (Chelles 2) Avenue du Gendarme Castermant
77500 - Chelles</v>
      </c>
      <c r="H336" s="15" t="s">
        <v>2102</v>
      </c>
      <c r="I336" s="12" t="s">
        <v>47</v>
      </c>
      <c r="J336" s="12" t="s">
        <v>49</v>
      </c>
      <c r="K336" s="10" t="s">
        <v>98</v>
      </c>
      <c r="L336" s="10" t="s">
        <v>98</v>
      </c>
      <c r="M336" s="12" t="s">
        <v>98</v>
      </c>
      <c r="N336" s="36" t="s">
        <v>2113</v>
      </c>
      <c r="O336" s="34">
        <v>113</v>
      </c>
      <c r="P336" s="6" t="s">
        <v>98</v>
      </c>
      <c r="Q336" s="6" t="s">
        <v>98</v>
      </c>
      <c r="R336" s="6" t="s">
        <v>98</v>
      </c>
      <c r="S336" s="6" t="s">
        <v>98</v>
      </c>
      <c r="T336" s="12">
        <f>Tableau1[[#This Row],[Loyer €/m²]]*Tableau1[[#This Row],[Surface GLA]]</f>
        <v>22600</v>
      </c>
      <c r="U336" s="12">
        <f>IFERROR(Tableau1[[#This Row],[Loyer annuel]]/12,"")</f>
        <v>1883.3333333333333</v>
      </c>
      <c r="V336" s="12">
        <v>200</v>
      </c>
      <c r="W336" s="6" t="s">
        <v>98</v>
      </c>
      <c r="X336" s="6">
        <f>Tableau1[[#This Row],[Charges €/m²]]*Tableau1[[#This Row],[Surface GLA]]</f>
        <v>6780</v>
      </c>
      <c r="Y336" s="12">
        <f>Tableau1[[#This Row],[Charges annuelles]]/12</f>
        <v>565</v>
      </c>
      <c r="Z336" s="12">
        <v>60</v>
      </c>
      <c r="AA336" s="12">
        <f>IFERROR(Tableau1[[#This Row],[Taxe foncière €/m²]]*Tableau1[[#This Row],[Surface GLA]],)</f>
        <v>4068</v>
      </c>
      <c r="AB336" s="12">
        <v>36</v>
      </c>
      <c r="AC336" s="12">
        <f>IFERROR(Tableau1[[#This Row],[Marketing €/m²]]*Tableau1[[#This Row],[Surface GLA]],)</f>
        <v>0</v>
      </c>
      <c r="AD336" s="12"/>
      <c r="AE336" s="12">
        <f>IFERROR(Tableau1[[#This Row],[Loyer annuel]]+Tableau1[[#This Row],[Charges annuelles]]+Tableau1[[#This Row],[Taxe foncière]]+Tableau1[[#This Row],[Marketing]],"")</f>
        <v>33448</v>
      </c>
      <c r="AF336" s="12" t="str">
        <f t="shared" si="16"/>
        <v>3 mois = 5 650 €</v>
      </c>
      <c r="AG336" s="6" t="s">
        <v>98</v>
      </c>
      <c r="AH336" s="6" t="s">
        <v>98</v>
      </c>
      <c r="AI336" s="12" t="s">
        <v>357</v>
      </c>
      <c r="AJ336" s="10"/>
      <c r="AK336" s="10"/>
      <c r="AL336" s="10"/>
      <c r="AM336" s="11"/>
      <c r="AN336" s="11" t="s">
        <v>1386</v>
      </c>
      <c r="AO336" s="5" t="s">
        <v>361</v>
      </c>
      <c r="AP336" s="11"/>
      <c r="AQ336" s="11"/>
      <c r="AR336" s="11" t="s">
        <v>2137</v>
      </c>
      <c r="AS336" s="36"/>
      <c r="AT336" s="11" t="s">
        <v>70</v>
      </c>
      <c r="AU336" s="11" t="s">
        <v>370</v>
      </c>
      <c r="AV336" s="13" t="s">
        <v>1871</v>
      </c>
      <c r="AW336" s="14"/>
      <c r="AX336" s="44"/>
    </row>
    <row r="337" spans="1:50" ht="38.25">
      <c r="A337" s="38" t="str">
        <f>VLOOKUP(Tableau1[[#This Row],[N° Département]],Feuil1!$C$6:$E$106,3)</f>
        <v>Ile-de-France</v>
      </c>
      <c r="B337" s="38" t="str">
        <f>VLOOKUP(Tableau1[[#This Row],[N° Département]],Feuil1!$C$6:$E$106,2)</f>
        <v>Seine-et-Marne</v>
      </c>
      <c r="C337" s="38">
        <f>LEFT(Tableau1[[#This Row],[Code Postal]],2)*1</f>
        <v>77</v>
      </c>
      <c r="D337" s="10" t="s">
        <v>2104</v>
      </c>
      <c r="E337" s="10">
        <v>77500</v>
      </c>
      <c r="F337" s="10" t="s">
        <v>2103</v>
      </c>
      <c r="G337" s="39" t="str">
        <f>Tableau1[[#This Row],[Rue]]&amp;CHAR(10)&amp;Tableau1[[#This Row],[Code Postal]]&amp;" - "&amp;Tableau1[[#This Row],[Ville]]</f>
        <v>Centre Terre Ciel (Chelles 2) Avenue du Gendarme Castermant
77500 - Chelles</v>
      </c>
      <c r="H337" s="15" t="s">
        <v>2102</v>
      </c>
      <c r="I337" s="12" t="s">
        <v>47</v>
      </c>
      <c r="J337" s="12" t="s">
        <v>49</v>
      </c>
      <c r="K337" s="10" t="s">
        <v>98</v>
      </c>
      <c r="L337" s="10" t="s">
        <v>98</v>
      </c>
      <c r="M337" s="12" t="s">
        <v>98</v>
      </c>
      <c r="N337" s="36" t="s">
        <v>2114</v>
      </c>
      <c r="O337" s="34">
        <v>248</v>
      </c>
      <c r="P337" s="6" t="s">
        <v>98</v>
      </c>
      <c r="Q337" s="34">
        <v>871</v>
      </c>
      <c r="R337" s="6" t="s">
        <v>98</v>
      </c>
      <c r="S337" s="6" t="s">
        <v>98</v>
      </c>
      <c r="T337" s="12">
        <f>Tableau1[[#This Row],[Loyer €/m²]]*Tableau1[[#This Row],[Surface GLA]]</f>
        <v>49600</v>
      </c>
      <c r="U337" s="12">
        <f>IFERROR(Tableau1[[#This Row],[Loyer annuel]]/12,"")</f>
        <v>4133.333333333333</v>
      </c>
      <c r="V337" s="12">
        <v>200</v>
      </c>
      <c r="W337" s="6" t="s">
        <v>98</v>
      </c>
      <c r="X337" s="6">
        <f>Tableau1[[#This Row],[Charges €/m²]]*Tableau1[[#This Row],[Surface GLA]]</f>
        <v>14880</v>
      </c>
      <c r="Y337" s="12">
        <f>Tableau1[[#This Row],[Charges annuelles]]/12</f>
        <v>1240</v>
      </c>
      <c r="Z337" s="12">
        <v>60</v>
      </c>
      <c r="AA337" s="12">
        <f>IFERROR(Tableau1[[#This Row],[Taxe foncière €/m²]]*Tableau1[[#This Row],[Surface GLA]],)</f>
        <v>8928</v>
      </c>
      <c r="AB337" s="12">
        <v>36</v>
      </c>
      <c r="AC337" s="12">
        <f>IFERROR(Tableau1[[#This Row],[Marketing €/m²]]*Tableau1[[#This Row],[Surface GLA]],)</f>
        <v>0</v>
      </c>
      <c r="AD337" s="12"/>
      <c r="AE337" s="12">
        <f>IFERROR(Tableau1[[#This Row],[Loyer annuel]]+Tableau1[[#This Row],[Charges annuelles]]+Tableau1[[#This Row],[Taxe foncière]]+Tableau1[[#This Row],[Marketing]],"")</f>
        <v>73408</v>
      </c>
      <c r="AF337" s="12" t="str">
        <f t="shared" si="16"/>
        <v>3 mois = 12 400 €</v>
      </c>
      <c r="AG337" s="6" t="s">
        <v>98</v>
      </c>
      <c r="AH337" s="6" t="s">
        <v>98</v>
      </c>
      <c r="AI337" s="12" t="s">
        <v>357</v>
      </c>
      <c r="AJ337" s="10"/>
      <c r="AK337" s="10"/>
      <c r="AL337" s="10"/>
      <c r="AM337" s="11"/>
      <c r="AN337" s="11" t="s">
        <v>1386</v>
      </c>
      <c r="AO337" s="5" t="s">
        <v>361</v>
      </c>
      <c r="AP337" s="11"/>
      <c r="AQ337" s="11"/>
      <c r="AR337" s="11" t="s">
        <v>2138</v>
      </c>
      <c r="AS337" s="36"/>
      <c r="AT337" s="11" t="s">
        <v>70</v>
      </c>
      <c r="AU337" s="11" t="s">
        <v>370</v>
      </c>
      <c r="AV337" s="13" t="s">
        <v>1871</v>
      </c>
      <c r="AW337" s="14"/>
      <c r="AX337" s="44"/>
    </row>
    <row r="338" spans="1:50" ht="38.25">
      <c r="A338" s="38" t="str">
        <f>VLOOKUP(Tableau1[[#This Row],[N° Département]],Feuil1!$C$6:$E$106,3)</f>
        <v>Ile-de-France</v>
      </c>
      <c r="B338" s="38" t="str">
        <f>VLOOKUP(Tableau1[[#This Row],[N° Département]],Feuil1!$C$6:$E$106,2)</f>
        <v>Seine-et-Marne</v>
      </c>
      <c r="C338" s="38">
        <f>LEFT(Tableau1[[#This Row],[Code Postal]],2)*1</f>
        <v>77</v>
      </c>
      <c r="D338" s="10" t="s">
        <v>2104</v>
      </c>
      <c r="E338" s="26">
        <v>77500</v>
      </c>
      <c r="F338" s="10" t="s">
        <v>2103</v>
      </c>
      <c r="G338" s="39" t="str">
        <f>Tableau1[[#This Row],[Rue]]&amp;CHAR(10)&amp;Tableau1[[#This Row],[Code Postal]]&amp;" - "&amp;Tableau1[[#This Row],[Ville]]</f>
        <v>Centre Terre Ciel (Chelles 2) Avenue du Gendarme Castermant
77500 - Chelles</v>
      </c>
      <c r="H338" s="15" t="s">
        <v>2102</v>
      </c>
      <c r="I338" s="12" t="s">
        <v>47</v>
      </c>
      <c r="J338" s="12" t="s">
        <v>49</v>
      </c>
      <c r="K338" s="10" t="s">
        <v>98</v>
      </c>
      <c r="L338" s="10" t="s">
        <v>98</v>
      </c>
      <c r="M338" s="12" t="s">
        <v>98</v>
      </c>
      <c r="N338" s="36" t="s">
        <v>2115</v>
      </c>
      <c r="O338" s="34">
        <v>215</v>
      </c>
      <c r="P338" s="6" t="s">
        <v>98</v>
      </c>
      <c r="Q338" s="34">
        <v>871</v>
      </c>
      <c r="R338" s="6" t="s">
        <v>98</v>
      </c>
      <c r="S338" s="6" t="s">
        <v>98</v>
      </c>
      <c r="T338" s="12">
        <f>Tableau1[[#This Row],[Loyer €/m²]]*Tableau1[[#This Row],[Surface GLA]]</f>
        <v>43000</v>
      </c>
      <c r="U338" s="12">
        <f>IFERROR(Tableau1[[#This Row],[Loyer annuel]]/12,"")</f>
        <v>3583.3333333333335</v>
      </c>
      <c r="V338" s="12">
        <v>200</v>
      </c>
      <c r="W338" s="6" t="s">
        <v>98</v>
      </c>
      <c r="X338" s="6">
        <f>Tableau1[[#This Row],[Charges €/m²]]*Tableau1[[#This Row],[Surface GLA]]</f>
        <v>12900</v>
      </c>
      <c r="Y338" s="12">
        <f>Tableau1[[#This Row],[Charges annuelles]]/12</f>
        <v>1075</v>
      </c>
      <c r="Z338" s="12">
        <v>60</v>
      </c>
      <c r="AA338" s="12">
        <f>IFERROR(Tableau1[[#This Row],[Taxe foncière €/m²]]*Tableau1[[#This Row],[Surface GLA]],)</f>
        <v>7740</v>
      </c>
      <c r="AB338" s="12">
        <v>36</v>
      </c>
      <c r="AC338" s="12">
        <f>IFERROR(Tableau1[[#This Row],[Marketing €/m²]]*Tableau1[[#This Row],[Surface GLA]],)</f>
        <v>0</v>
      </c>
      <c r="AD338" s="12"/>
      <c r="AE338" s="12">
        <f>IFERROR(Tableau1[[#This Row],[Loyer annuel]]+Tableau1[[#This Row],[Charges annuelles]]+Tableau1[[#This Row],[Taxe foncière]]+Tableau1[[#This Row],[Marketing]],"")</f>
        <v>63640</v>
      </c>
      <c r="AF338" s="12" t="str">
        <f t="shared" si="16"/>
        <v>3 mois = 10 750 €</v>
      </c>
      <c r="AG338" s="6" t="s">
        <v>98</v>
      </c>
      <c r="AH338" s="6" t="s">
        <v>98</v>
      </c>
      <c r="AI338" s="12" t="s">
        <v>357</v>
      </c>
      <c r="AJ338" s="10"/>
      <c r="AK338" s="10"/>
      <c r="AL338" s="10"/>
      <c r="AM338" s="11"/>
      <c r="AN338" s="11" t="s">
        <v>1386</v>
      </c>
      <c r="AO338" s="5" t="s">
        <v>361</v>
      </c>
      <c r="AP338" s="11"/>
      <c r="AQ338" s="11"/>
      <c r="AR338" s="11" t="s">
        <v>2139</v>
      </c>
      <c r="AS338" s="36"/>
      <c r="AT338" s="11" t="s">
        <v>70</v>
      </c>
      <c r="AU338" s="11" t="s">
        <v>370</v>
      </c>
      <c r="AV338" s="13" t="s">
        <v>1871</v>
      </c>
      <c r="AW338" s="14"/>
      <c r="AX338" s="44"/>
    </row>
    <row r="339" spans="1:50" ht="38.25">
      <c r="A339" s="38" t="str">
        <f>VLOOKUP(Tableau1[[#This Row],[N° Département]],Feuil1!$C$6:$E$106,3)</f>
        <v>Ile-de-France</v>
      </c>
      <c r="B339" s="38" t="str">
        <f>VLOOKUP(Tableau1[[#This Row],[N° Département]],Feuil1!$C$6:$E$106,2)</f>
        <v>Seine-et-Marne</v>
      </c>
      <c r="C339" s="38">
        <f>LEFT(Tableau1[[#This Row],[Code Postal]],2)*1</f>
        <v>77</v>
      </c>
      <c r="D339" s="10" t="s">
        <v>2104</v>
      </c>
      <c r="E339" s="10">
        <v>77500</v>
      </c>
      <c r="F339" s="10" t="s">
        <v>2103</v>
      </c>
      <c r="G339" s="39" t="str">
        <f>Tableau1[[#This Row],[Rue]]&amp;CHAR(10)&amp;Tableau1[[#This Row],[Code Postal]]&amp;" - "&amp;Tableau1[[#This Row],[Ville]]</f>
        <v>Centre Terre Ciel (Chelles 2) Avenue du Gendarme Castermant
77500 - Chelles</v>
      </c>
      <c r="H339" s="15" t="s">
        <v>2102</v>
      </c>
      <c r="I339" s="12" t="s">
        <v>47</v>
      </c>
      <c r="J339" s="12" t="s">
        <v>49</v>
      </c>
      <c r="K339" s="10" t="s">
        <v>98</v>
      </c>
      <c r="L339" s="10" t="s">
        <v>98</v>
      </c>
      <c r="M339" s="12" t="s">
        <v>98</v>
      </c>
      <c r="N339" s="36" t="s">
        <v>2116</v>
      </c>
      <c r="O339" s="34">
        <v>205</v>
      </c>
      <c r="P339" s="6" t="s">
        <v>98</v>
      </c>
      <c r="Q339" s="34">
        <v>871</v>
      </c>
      <c r="R339" s="6" t="s">
        <v>98</v>
      </c>
      <c r="S339" s="6" t="s">
        <v>98</v>
      </c>
      <c r="T339" s="12">
        <f>Tableau1[[#This Row],[Loyer €/m²]]*Tableau1[[#This Row],[Surface GLA]]</f>
        <v>41000</v>
      </c>
      <c r="U339" s="12">
        <f>IFERROR(Tableau1[[#This Row],[Loyer annuel]]/12,"")</f>
        <v>3416.6666666666665</v>
      </c>
      <c r="V339" s="12">
        <v>200</v>
      </c>
      <c r="W339" s="6" t="s">
        <v>98</v>
      </c>
      <c r="X339" s="6">
        <f>Tableau1[[#This Row],[Charges €/m²]]*Tableau1[[#This Row],[Surface GLA]]</f>
        <v>12300</v>
      </c>
      <c r="Y339" s="12">
        <f>Tableau1[[#This Row],[Charges annuelles]]/12</f>
        <v>1025</v>
      </c>
      <c r="Z339" s="12">
        <v>60</v>
      </c>
      <c r="AA339" s="12">
        <f>IFERROR(Tableau1[[#This Row],[Taxe foncière €/m²]]*Tableau1[[#This Row],[Surface GLA]],)</f>
        <v>7380</v>
      </c>
      <c r="AB339" s="12">
        <v>36</v>
      </c>
      <c r="AC339" s="12">
        <f>IFERROR(Tableau1[[#This Row],[Marketing €/m²]]*Tableau1[[#This Row],[Surface GLA]],)</f>
        <v>0</v>
      </c>
      <c r="AD339" s="12"/>
      <c r="AE339" s="12">
        <f>IFERROR(Tableau1[[#This Row],[Loyer annuel]]+Tableau1[[#This Row],[Charges annuelles]]+Tableau1[[#This Row],[Taxe foncière]]+Tableau1[[#This Row],[Marketing]],"")</f>
        <v>60680</v>
      </c>
      <c r="AF339" s="12" t="str">
        <f t="shared" si="16"/>
        <v>3 mois = 10 250 €</v>
      </c>
      <c r="AG339" s="6" t="s">
        <v>98</v>
      </c>
      <c r="AH339" s="6" t="s">
        <v>98</v>
      </c>
      <c r="AI339" s="12" t="s">
        <v>357</v>
      </c>
      <c r="AJ339" s="10"/>
      <c r="AK339" s="10"/>
      <c r="AL339" s="10"/>
      <c r="AM339" s="11"/>
      <c r="AN339" s="11" t="s">
        <v>1386</v>
      </c>
      <c r="AO339" s="5" t="s">
        <v>361</v>
      </c>
      <c r="AP339" s="11"/>
      <c r="AQ339" s="11"/>
      <c r="AR339" s="11" t="s">
        <v>2140</v>
      </c>
      <c r="AS339" s="36"/>
      <c r="AT339" s="11" t="s">
        <v>70</v>
      </c>
      <c r="AU339" s="11" t="s">
        <v>370</v>
      </c>
      <c r="AV339" s="13" t="s">
        <v>1871</v>
      </c>
      <c r="AW339" s="14"/>
      <c r="AX339" s="44"/>
    </row>
    <row r="340" spans="1:50" ht="38.25">
      <c r="A340" s="38" t="str">
        <f>VLOOKUP(Tableau1[[#This Row],[N° Département]],Feuil1!$C$6:$E$106,3)</f>
        <v>Ile-de-France</v>
      </c>
      <c r="B340" s="38" t="str">
        <f>VLOOKUP(Tableau1[[#This Row],[N° Département]],Feuil1!$C$6:$E$106,2)</f>
        <v>Seine-et-Marne</v>
      </c>
      <c r="C340" s="38">
        <f>LEFT(Tableau1[[#This Row],[Code Postal]],2)*1</f>
        <v>77</v>
      </c>
      <c r="D340" s="10" t="s">
        <v>2104</v>
      </c>
      <c r="E340" s="26">
        <v>77500</v>
      </c>
      <c r="F340" s="10" t="s">
        <v>2103</v>
      </c>
      <c r="G340" s="39" t="str">
        <f>Tableau1[[#This Row],[Rue]]&amp;CHAR(10)&amp;Tableau1[[#This Row],[Code Postal]]&amp;" - "&amp;Tableau1[[#This Row],[Ville]]</f>
        <v>Centre Terre Ciel (Chelles 2) Avenue du Gendarme Castermant
77500 - Chelles</v>
      </c>
      <c r="H340" s="15" t="s">
        <v>2102</v>
      </c>
      <c r="I340" s="12" t="s">
        <v>47</v>
      </c>
      <c r="J340" s="12" t="s">
        <v>49</v>
      </c>
      <c r="K340" s="10" t="s">
        <v>98</v>
      </c>
      <c r="L340" s="10" t="s">
        <v>98</v>
      </c>
      <c r="M340" s="12" t="s">
        <v>98</v>
      </c>
      <c r="N340" s="36" t="s">
        <v>2117</v>
      </c>
      <c r="O340" s="34">
        <v>203</v>
      </c>
      <c r="P340" s="6" t="s">
        <v>98</v>
      </c>
      <c r="Q340" s="34">
        <v>871</v>
      </c>
      <c r="R340" s="6" t="s">
        <v>98</v>
      </c>
      <c r="S340" s="6" t="s">
        <v>98</v>
      </c>
      <c r="T340" s="12">
        <f>Tableau1[[#This Row],[Loyer €/m²]]*Tableau1[[#This Row],[Surface GLA]]</f>
        <v>40600</v>
      </c>
      <c r="U340" s="12">
        <f>IFERROR(Tableau1[[#This Row],[Loyer annuel]]/12,"")</f>
        <v>3383.3333333333335</v>
      </c>
      <c r="V340" s="12">
        <v>200</v>
      </c>
      <c r="W340" s="6" t="s">
        <v>98</v>
      </c>
      <c r="X340" s="6">
        <f>Tableau1[[#This Row],[Charges €/m²]]*Tableau1[[#This Row],[Surface GLA]]</f>
        <v>12180</v>
      </c>
      <c r="Y340" s="12">
        <f>Tableau1[[#This Row],[Charges annuelles]]/12</f>
        <v>1015</v>
      </c>
      <c r="Z340" s="12">
        <v>60</v>
      </c>
      <c r="AA340" s="12">
        <f>IFERROR(Tableau1[[#This Row],[Taxe foncière €/m²]]*Tableau1[[#This Row],[Surface GLA]],)</f>
        <v>7308</v>
      </c>
      <c r="AB340" s="12">
        <v>36</v>
      </c>
      <c r="AC340" s="12">
        <f>IFERROR(Tableau1[[#This Row],[Marketing €/m²]]*Tableau1[[#This Row],[Surface GLA]],)</f>
        <v>0</v>
      </c>
      <c r="AD340" s="12"/>
      <c r="AE340" s="12">
        <f>IFERROR(Tableau1[[#This Row],[Loyer annuel]]+Tableau1[[#This Row],[Charges annuelles]]+Tableau1[[#This Row],[Taxe foncière]]+Tableau1[[#This Row],[Marketing]],"")</f>
        <v>60088</v>
      </c>
      <c r="AF340" s="12" t="str">
        <f t="shared" si="16"/>
        <v>3 mois = 10 150 €</v>
      </c>
      <c r="AG340" s="6" t="s">
        <v>98</v>
      </c>
      <c r="AH340" s="6" t="s">
        <v>98</v>
      </c>
      <c r="AI340" s="12" t="s">
        <v>357</v>
      </c>
      <c r="AJ340" s="10"/>
      <c r="AK340" s="10"/>
      <c r="AL340" s="10"/>
      <c r="AM340" s="11"/>
      <c r="AN340" s="11" t="s">
        <v>1386</v>
      </c>
      <c r="AO340" s="5" t="s">
        <v>361</v>
      </c>
      <c r="AP340" s="11"/>
      <c r="AQ340" s="11"/>
      <c r="AR340" s="11" t="s">
        <v>2141</v>
      </c>
      <c r="AS340" s="36"/>
      <c r="AT340" s="11" t="s">
        <v>70</v>
      </c>
      <c r="AU340" s="11" t="s">
        <v>370</v>
      </c>
      <c r="AV340" s="13" t="s">
        <v>1871</v>
      </c>
      <c r="AW340" s="14"/>
      <c r="AX340" s="44"/>
    </row>
    <row r="341" spans="1:50" ht="38.25">
      <c r="A341" s="38" t="str">
        <f>VLOOKUP(Tableau1[[#This Row],[N° Département]],Feuil1!$C$6:$E$106,3)</f>
        <v>Ile-de-France</v>
      </c>
      <c r="B341" s="38" t="str">
        <f>VLOOKUP(Tableau1[[#This Row],[N° Département]],Feuil1!$C$6:$E$106,2)</f>
        <v>Seine-et-Marne</v>
      </c>
      <c r="C341" s="38">
        <f>LEFT(Tableau1[[#This Row],[Code Postal]],2)*1</f>
        <v>77</v>
      </c>
      <c r="D341" s="10" t="s">
        <v>2104</v>
      </c>
      <c r="E341" s="10">
        <v>77500</v>
      </c>
      <c r="F341" s="10" t="s">
        <v>2103</v>
      </c>
      <c r="G341" s="39" t="str">
        <f>Tableau1[[#This Row],[Rue]]&amp;CHAR(10)&amp;Tableau1[[#This Row],[Code Postal]]&amp;" - "&amp;Tableau1[[#This Row],[Ville]]</f>
        <v>Centre Terre Ciel (Chelles 2) Avenue du Gendarme Castermant
77500 - Chelles</v>
      </c>
      <c r="H341" s="15" t="s">
        <v>2102</v>
      </c>
      <c r="I341" s="12" t="s">
        <v>47</v>
      </c>
      <c r="J341" s="12" t="s">
        <v>49</v>
      </c>
      <c r="K341" s="10" t="s">
        <v>98</v>
      </c>
      <c r="L341" s="10" t="s">
        <v>98</v>
      </c>
      <c r="M341" s="12" t="s">
        <v>98</v>
      </c>
      <c r="N341" s="36" t="s">
        <v>2118</v>
      </c>
      <c r="O341" s="34">
        <v>2095</v>
      </c>
      <c r="P341" s="12" t="s">
        <v>2119</v>
      </c>
      <c r="Q341" s="34">
        <v>2744</v>
      </c>
      <c r="R341" s="6" t="s">
        <v>98</v>
      </c>
      <c r="S341" s="6" t="s">
        <v>98</v>
      </c>
      <c r="T341" s="12">
        <f>Tableau1[[#This Row],[Loyer €/m²]]*Tableau1[[#This Row],[Surface GLA]]</f>
        <v>419000</v>
      </c>
      <c r="U341" s="12">
        <f>IFERROR(Tableau1[[#This Row],[Loyer annuel]]/12,"")</f>
        <v>34916.666666666664</v>
      </c>
      <c r="V341" s="12">
        <v>200</v>
      </c>
      <c r="W341" s="6" t="s">
        <v>98</v>
      </c>
      <c r="X341" s="6">
        <f>Tableau1[[#This Row],[Charges €/m²]]*Tableau1[[#This Row],[Surface GLA]]</f>
        <v>125700</v>
      </c>
      <c r="Y341" s="12">
        <f>Tableau1[[#This Row],[Charges annuelles]]/12</f>
        <v>10475</v>
      </c>
      <c r="Z341" s="12">
        <v>60</v>
      </c>
      <c r="AA341" s="12">
        <f>IFERROR(Tableau1[[#This Row],[Taxe foncière €/m²]]*Tableau1[[#This Row],[Surface GLA]],)</f>
        <v>75420</v>
      </c>
      <c r="AB341" s="12">
        <v>36</v>
      </c>
      <c r="AC341" s="12">
        <f>IFERROR(Tableau1[[#This Row],[Marketing €/m²]]*Tableau1[[#This Row],[Surface GLA]],)</f>
        <v>0</v>
      </c>
      <c r="AD341" s="12"/>
      <c r="AE341" s="12">
        <f>IFERROR(Tableau1[[#This Row],[Loyer annuel]]+Tableau1[[#This Row],[Charges annuelles]]+Tableau1[[#This Row],[Taxe foncière]]+Tableau1[[#This Row],[Marketing]],"")</f>
        <v>620120</v>
      </c>
      <c r="AF341" s="12" t="str">
        <f t="shared" si="16"/>
        <v>3 mois = 104 750 €</v>
      </c>
      <c r="AG341" s="6" t="s">
        <v>98</v>
      </c>
      <c r="AH341" s="6" t="s">
        <v>98</v>
      </c>
      <c r="AI341" s="12" t="s">
        <v>357</v>
      </c>
      <c r="AJ341" s="10"/>
      <c r="AK341" s="10"/>
      <c r="AL341" s="10"/>
      <c r="AM341" s="11"/>
      <c r="AN341" s="11" t="s">
        <v>1386</v>
      </c>
      <c r="AO341" s="5" t="s">
        <v>361</v>
      </c>
      <c r="AP341" s="11"/>
      <c r="AQ341" s="11"/>
      <c r="AR341" s="11" t="s">
        <v>2142</v>
      </c>
      <c r="AS341" s="36"/>
      <c r="AT341" s="11" t="s">
        <v>70</v>
      </c>
      <c r="AU341" s="11" t="s">
        <v>370</v>
      </c>
      <c r="AV341" s="13" t="s">
        <v>1871</v>
      </c>
      <c r="AW341" s="14"/>
      <c r="AX341" s="44"/>
    </row>
    <row r="342" spans="1:50" ht="38.25">
      <c r="A342" s="38" t="str">
        <f>VLOOKUP(Tableau1[[#This Row],[N° Département]],Feuil1!$C$6:$E$106,3)</f>
        <v>Ile-de-France</v>
      </c>
      <c r="B342" s="38" t="str">
        <f>VLOOKUP(Tableau1[[#This Row],[N° Département]],Feuil1!$C$6:$E$106,2)</f>
        <v>Seine-et-Marne</v>
      </c>
      <c r="C342" s="38">
        <f>LEFT(Tableau1[[#This Row],[Code Postal]],2)*1</f>
        <v>77</v>
      </c>
      <c r="D342" s="10" t="s">
        <v>2104</v>
      </c>
      <c r="E342" s="26">
        <v>77500</v>
      </c>
      <c r="F342" s="10" t="s">
        <v>2103</v>
      </c>
      <c r="G342" s="39" t="str">
        <f>Tableau1[[#This Row],[Rue]]&amp;CHAR(10)&amp;Tableau1[[#This Row],[Code Postal]]&amp;" - "&amp;Tableau1[[#This Row],[Ville]]</f>
        <v>Centre Terre Ciel (Chelles 2) Avenue du Gendarme Castermant
77500 - Chelles</v>
      </c>
      <c r="H342" s="15" t="s">
        <v>2102</v>
      </c>
      <c r="I342" s="12" t="s">
        <v>47</v>
      </c>
      <c r="J342" s="12" t="s">
        <v>49</v>
      </c>
      <c r="K342" s="10" t="s">
        <v>98</v>
      </c>
      <c r="L342" s="10" t="s">
        <v>98</v>
      </c>
      <c r="M342" s="12" t="s">
        <v>98</v>
      </c>
      <c r="N342" s="36" t="s">
        <v>2120</v>
      </c>
      <c r="O342" s="34">
        <v>649</v>
      </c>
      <c r="P342" s="6" t="s">
        <v>98</v>
      </c>
      <c r="Q342" s="34">
        <v>2744</v>
      </c>
      <c r="R342" s="6" t="s">
        <v>98</v>
      </c>
      <c r="S342" s="6" t="s">
        <v>98</v>
      </c>
      <c r="T342" s="12">
        <f>Tableau1[[#This Row],[Loyer €/m²]]*Tableau1[[#This Row],[Surface GLA]]</f>
        <v>129800</v>
      </c>
      <c r="U342" s="12">
        <f>IFERROR(Tableau1[[#This Row],[Loyer annuel]]/12,"")</f>
        <v>10816.666666666666</v>
      </c>
      <c r="V342" s="12">
        <v>200</v>
      </c>
      <c r="W342" s="6" t="s">
        <v>98</v>
      </c>
      <c r="X342" s="6">
        <f>Tableau1[[#This Row],[Charges €/m²]]*Tableau1[[#This Row],[Surface GLA]]</f>
        <v>38940</v>
      </c>
      <c r="Y342" s="12">
        <f>Tableau1[[#This Row],[Charges annuelles]]/12</f>
        <v>3245</v>
      </c>
      <c r="Z342" s="12">
        <v>60</v>
      </c>
      <c r="AA342" s="12">
        <f>IFERROR(Tableau1[[#This Row],[Taxe foncière €/m²]]*Tableau1[[#This Row],[Surface GLA]],)</f>
        <v>23364</v>
      </c>
      <c r="AB342" s="12">
        <v>36</v>
      </c>
      <c r="AC342" s="12">
        <f>IFERROR(Tableau1[[#This Row],[Marketing €/m²]]*Tableau1[[#This Row],[Surface GLA]],)</f>
        <v>0</v>
      </c>
      <c r="AD342" s="12"/>
      <c r="AE342" s="12">
        <f>IFERROR(Tableau1[[#This Row],[Loyer annuel]]+Tableau1[[#This Row],[Charges annuelles]]+Tableau1[[#This Row],[Taxe foncière]]+Tableau1[[#This Row],[Marketing]],"")</f>
        <v>192104</v>
      </c>
      <c r="AF342" s="12" t="str">
        <f t="shared" si="16"/>
        <v>3 mois = 32 450 €</v>
      </c>
      <c r="AG342" s="6" t="s">
        <v>98</v>
      </c>
      <c r="AH342" s="6" t="s">
        <v>98</v>
      </c>
      <c r="AI342" s="12" t="s">
        <v>357</v>
      </c>
      <c r="AJ342" s="10"/>
      <c r="AK342" s="10"/>
      <c r="AL342" s="10"/>
      <c r="AM342" s="11"/>
      <c r="AN342" s="11" t="s">
        <v>1386</v>
      </c>
      <c r="AO342" s="5" t="s">
        <v>361</v>
      </c>
      <c r="AP342" s="11"/>
      <c r="AQ342" s="11"/>
      <c r="AR342" s="11" t="s">
        <v>2143</v>
      </c>
      <c r="AS342" s="36"/>
      <c r="AT342" s="11" t="s">
        <v>70</v>
      </c>
      <c r="AU342" s="11" t="s">
        <v>370</v>
      </c>
      <c r="AV342" s="13" t="s">
        <v>1871</v>
      </c>
      <c r="AW342" s="14"/>
      <c r="AX342" s="44"/>
    </row>
    <row r="343" spans="1:50" ht="38.25">
      <c r="A343" s="38" t="str">
        <f>VLOOKUP(Tableau1[[#This Row],[N° Département]],Feuil1!$C$6:$E$106,3)</f>
        <v>Ile-de-France</v>
      </c>
      <c r="B343" s="38" t="str">
        <f>VLOOKUP(Tableau1[[#This Row],[N° Département]],Feuil1!$C$6:$E$106,2)</f>
        <v>Seine-et-Marne</v>
      </c>
      <c r="C343" s="38">
        <f>LEFT(Tableau1[[#This Row],[Code Postal]],2)*1</f>
        <v>77</v>
      </c>
      <c r="D343" s="10" t="s">
        <v>2104</v>
      </c>
      <c r="E343" s="10">
        <v>77500</v>
      </c>
      <c r="F343" s="10" t="s">
        <v>2103</v>
      </c>
      <c r="G343" s="39" t="str">
        <f>Tableau1[[#This Row],[Rue]]&amp;CHAR(10)&amp;Tableau1[[#This Row],[Code Postal]]&amp;" - "&amp;Tableau1[[#This Row],[Ville]]</f>
        <v>Centre Terre Ciel (Chelles 2) Avenue du Gendarme Castermant
77500 - Chelles</v>
      </c>
      <c r="H343" s="15" t="s">
        <v>2102</v>
      </c>
      <c r="I343" s="12" t="s">
        <v>47</v>
      </c>
      <c r="J343" s="12" t="s">
        <v>49</v>
      </c>
      <c r="K343" s="10" t="s">
        <v>98</v>
      </c>
      <c r="L343" s="10" t="s">
        <v>98</v>
      </c>
      <c r="M343" s="12" t="s">
        <v>98</v>
      </c>
      <c r="N343" s="36" t="s">
        <v>2121</v>
      </c>
      <c r="O343" s="34">
        <v>179</v>
      </c>
      <c r="P343" s="6" t="s">
        <v>98</v>
      </c>
      <c r="Q343" s="34"/>
      <c r="R343" s="6" t="s">
        <v>98</v>
      </c>
      <c r="S343" s="6" t="s">
        <v>98</v>
      </c>
      <c r="T343" s="12">
        <f>Tableau1[[#This Row],[Loyer €/m²]]*Tableau1[[#This Row],[Surface GLA]]</f>
        <v>35800</v>
      </c>
      <c r="U343" s="12">
        <f>IFERROR(Tableau1[[#This Row],[Loyer annuel]]/12,"")</f>
        <v>2983.3333333333335</v>
      </c>
      <c r="V343" s="12">
        <v>200</v>
      </c>
      <c r="W343" s="6" t="s">
        <v>98</v>
      </c>
      <c r="X343" s="6">
        <f>Tableau1[[#This Row],[Charges €/m²]]*Tableau1[[#This Row],[Surface GLA]]</f>
        <v>10740</v>
      </c>
      <c r="Y343" s="12">
        <f>Tableau1[[#This Row],[Charges annuelles]]/12</f>
        <v>895</v>
      </c>
      <c r="Z343" s="12">
        <v>60</v>
      </c>
      <c r="AA343" s="12">
        <f>IFERROR(Tableau1[[#This Row],[Taxe foncière €/m²]]*Tableau1[[#This Row],[Surface GLA]],)</f>
        <v>6444</v>
      </c>
      <c r="AB343" s="12">
        <v>36</v>
      </c>
      <c r="AC343" s="12">
        <f>IFERROR(Tableau1[[#This Row],[Marketing €/m²]]*Tableau1[[#This Row],[Surface GLA]],)</f>
        <v>0</v>
      </c>
      <c r="AD343" s="12"/>
      <c r="AE343" s="12">
        <f>IFERROR(Tableau1[[#This Row],[Loyer annuel]]+Tableau1[[#This Row],[Charges annuelles]]+Tableau1[[#This Row],[Taxe foncière]]+Tableau1[[#This Row],[Marketing]],"")</f>
        <v>52984</v>
      </c>
      <c r="AF343" s="12" t="str">
        <f t="shared" si="16"/>
        <v>3 mois = 8 950 €</v>
      </c>
      <c r="AG343" s="6" t="s">
        <v>98</v>
      </c>
      <c r="AH343" s="6" t="s">
        <v>98</v>
      </c>
      <c r="AI343" s="12" t="s">
        <v>357</v>
      </c>
      <c r="AJ343" s="10"/>
      <c r="AK343" s="10"/>
      <c r="AL343" s="10"/>
      <c r="AM343" s="11"/>
      <c r="AN343" s="11" t="s">
        <v>1386</v>
      </c>
      <c r="AO343" s="5" t="s">
        <v>361</v>
      </c>
      <c r="AP343" s="11"/>
      <c r="AQ343" s="11"/>
      <c r="AR343" s="11" t="s">
        <v>2144</v>
      </c>
      <c r="AS343" s="36"/>
      <c r="AT343" s="11" t="s">
        <v>70</v>
      </c>
      <c r="AU343" s="11" t="s">
        <v>370</v>
      </c>
      <c r="AV343" s="13" t="s">
        <v>1871</v>
      </c>
      <c r="AW343" s="14"/>
      <c r="AX343" s="44"/>
    </row>
    <row r="344" spans="1:50" ht="38.25">
      <c r="A344" s="38" t="str">
        <f>VLOOKUP(Tableau1[[#This Row],[N° Département]],Feuil1!$C$6:$E$106,3)</f>
        <v>Ile-de-France</v>
      </c>
      <c r="B344" s="38" t="str">
        <f>VLOOKUP(Tableau1[[#This Row],[N° Département]],Feuil1!$C$6:$E$106,2)</f>
        <v>Seine-et-Marne</v>
      </c>
      <c r="C344" s="38">
        <f>LEFT(Tableau1[[#This Row],[Code Postal]],2)*1</f>
        <v>77</v>
      </c>
      <c r="D344" s="10" t="s">
        <v>2104</v>
      </c>
      <c r="E344" s="26">
        <v>77500</v>
      </c>
      <c r="F344" s="10" t="s">
        <v>2103</v>
      </c>
      <c r="G344" s="39" t="str">
        <f>Tableau1[[#This Row],[Rue]]&amp;CHAR(10)&amp;Tableau1[[#This Row],[Code Postal]]&amp;" - "&amp;Tableau1[[#This Row],[Ville]]</f>
        <v>Centre Terre Ciel (Chelles 2) Avenue du Gendarme Castermant
77500 - Chelles</v>
      </c>
      <c r="H344" s="15" t="s">
        <v>2102</v>
      </c>
      <c r="I344" s="12" t="s">
        <v>47</v>
      </c>
      <c r="J344" s="12" t="s">
        <v>49</v>
      </c>
      <c r="K344" s="10" t="s">
        <v>98</v>
      </c>
      <c r="L344" s="10" t="s">
        <v>98</v>
      </c>
      <c r="M344" s="12" t="s">
        <v>98</v>
      </c>
      <c r="N344" s="36" t="s">
        <v>316</v>
      </c>
      <c r="O344" s="34">
        <v>73</v>
      </c>
      <c r="P344" s="6" t="s">
        <v>98</v>
      </c>
      <c r="Q344" s="34">
        <v>304</v>
      </c>
      <c r="R344" s="6" t="s">
        <v>98</v>
      </c>
      <c r="S344" s="6" t="s">
        <v>98</v>
      </c>
      <c r="T344" s="12">
        <f>Tableau1[[#This Row],[Loyer €/m²]]*Tableau1[[#This Row],[Surface GLA]]</f>
        <v>14600</v>
      </c>
      <c r="U344" s="12">
        <f>IFERROR(Tableau1[[#This Row],[Loyer annuel]]/12,"")</f>
        <v>1216.6666666666667</v>
      </c>
      <c r="V344" s="12">
        <v>200</v>
      </c>
      <c r="W344" s="6" t="s">
        <v>98</v>
      </c>
      <c r="X344" s="6">
        <f>Tableau1[[#This Row],[Charges €/m²]]*Tableau1[[#This Row],[Surface GLA]]</f>
        <v>4380</v>
      </c>
      <c r="Y344" s="12">
        <f>Tableau1[[#This Row],[Charges annuelles]]/12</f>
        <v>365</v>
      </c>
      <c r="Z344" s="12">
        <v>60</v>
      </c>
      <c r="AA344" s="12">
        <f>IFERROR(Tableau1[[#This Row],[Taxe foncière €/m²]]*Tableau1[[#This Row],[Surface GLA]],)</f>
        <v>2628</v>
      </c>
      <c r="AB344" s="12">
        <v>36</v>
      </c>
      <c r="AC344" s="12">
        <f>IFERROR(Tableau1[[#This Row],[Marketing €/m²]]*Tableau1[[#This Row],[Surface GLA]],)</f>
        <v>0</v>
      </c>
      <c r="AD344" s="12"/>
      <c r="AE344" s="12">
        <f>IFERROR(Tableau1[[#This Row],[Loyer annuel]]+Tableau1[[#This Row],[Charges annuelles]]+Tableau1[[#This Row],[Taxe foncière]]+Tableau1[[#This Row],[Marketing]],"")</f>
        <v>21608</v>
      </c>
      <c r="AF344" s="12" t="str">
        <f t="shared" si="16"/>
        <v>3 mois = 3 650 €</v>
      </c>
      <c r="AG344" s="6" t="s">
        <v>98</v>
      </c>
      <c r="AH344" s="6" t="s">
        <v>98</v>
      </c>
      <c r="AI344" s="12" t="s">
        <v>357</v>
      </c>
      <c r="AJ344" s="10"/>
      <c r="AK344" s="10"/>
      <c r="AL344" s="10"/>
      <c r="AM344" s="11"/>
      <c r="AN344" s="11" t="s">
        <v>1386</v>
      </c>
      <c r="AO344" s="5" t="s">
        <v>361</v>
      </c>
      <c r="AP344" s="11"/>
      <c r="AQ344" s="11"/>
      <c r="AR344" s="11" t="s">
        <v>2145</v>
      </c>
      <c r="AS344" s="36"/>
      <c r="AT344" s="11" t="s">
        <v>70</v>
      </c>
      <c r="AU344" s="11" t="s">
        <v>370</v>
      </c>
      <c r="AV344" s="13" t="s">
        <v>1871</v>
      </c>
      <c r="AW344" s="14"/>
      <c r="AX344" s="44"/>
    </row>
    <row r="345" spans="1:50" ht="38.25">
      <c r="A345" s="38" t="str">
        <f>VLOOKUP(Tableau1[[#This Row],[N° Département]],Feuil1!$C$6:$E$106,3)</f>
        <v>Ile-de-France</v>
      </c>
      <c r="B345" s="38" t="str">
        <f>VLOOKUP(Tableau1[[#This Row],[N° Département]],Feuil1!$C$6:$E$106,2)</f>
        <v>Seine-et-Marne</v>
      </c>
      <c r="C345" s="38">
        <f>LEFT(Tableau1[[#This Row],[Code Postal]],2)*1</f>
        <v>77</v>
      </c>
      <c r="D345" s="10" t="s">
        <v>2104</v>
      </c>
      <c r="E345" s="10">
        <v>77500</v>
      </c>
      <c r="F345" s="10" t="s">
        <v>2103</v>
      </c>
      <c r="G345" s="39" t="str">
        <f>Tableau1[[#This Row],[Rue]]&amp;CHAR(10)&amp;Tableau1[[#This Row],[Code Postal]]&amp;" - "&amp;Tableau1[[#This Row],[Ville]]</f>
        <v>Centre Terre Ciel (Chelles 2) Avenue du Gendarme Castermant
77500 - Chelles</v>
      </c>
      <c r="H345" s="15" t="s">
        <v>2102</v>
      </c>
      <c r="I345" s="12" t="s">
        <v>47</v>
      </c>
      <c r="J345" s="12" t="s">
        <v>49</v>
      </c>
      <c r="K345" s="10" t="s">
        <v>98</v>
      </c>
      <c r="L345" s="10" t="s">
        <v>98</v>
      </c>
      <c r="M345" s="12" t="s">
        <v>98</v>
      </c>
      <c r="N345" s="36" t="s">
        <v>2122</v>
      </c>
      <c r="O345" s="34">
        <v>117</v>
      </c>
      <c r="P345" s="6" t="s">
        <v>98</v>
      </c>
      <c r="Q345" s="34">
        <v>304</v>
      </c>
      <c r="R345" s="6" t="s">
        <v>98</v>
      </c>
      <c r="S345" s="6" t="s">
        <v>98</v>
      </c>
      <c r="T345" s="12">
        <f>Tableau1[[#This Row],[Loyer €/m²]]*Tableau1[[#This Row],[Surface GLA]]</f>
        <v>23400</v>
      </c>
      <c r="U345" s="12">
        <f>IFERROR(Tableau1[[#This Row],[Loyer annuel]]/12,"")</f>
        <v>1950</v>
      </c>
      <c r="V345" s="12">
        <v>200</v>
      </c>
      <c r="W345" s="6" t="s">
        <v>98</v>
      </c>
      <c r="X345" s="6">
        <f>Tableau1[[#This Row],[Charges €/m²]]*Tableau1[[#This Row],[Surface GLA]]</f>
        <v>7020</v>
      </c>
      <c r="Y345" s="12">
        <f>Tableau1[[#This Row],[Charges annuelles]]/12</f>
        <v>585</v>
      </c>
      <c r="Z345" s="12">
        <v>60</v>
      </c>
      <c r="AA345" s="12">
        <f>IFERROR(Tableau1[[#This Row],[Taxe foncière €/m²]]*Tableau1[[#This Row],[Surface GLA]],)</f>
        <v>4212</v>
      </c>
      <c r="AB345" s="12">
        <v>36</v>
      </c>
      <c r="AC345" s="12">
        <f>IFERROR(Tableau1[[#This Row],[Marketing €/m²]]*Tableau1[[#This Row],[Surface GLA]],)</f>
        <v>0</v>
      </c>
      <c r="AD345" s="12"/>
      <c r="AE345" s="12">
        <f>IFERROR(Tableau1[[#This Row],[Loyer annuel]]+Tableau1[[#This Row],[Charges annuelles]]+Tableau1[[#This Row],[Taxe foncière]]+Tableau1[[#This Row],[Marketing]],"")</f>
        <v>34632</v>
      </c>
      <c r="AF345" s="12" t="str">
        <f t="shared" si="16"/>
        <v>3 mois = 5 850 €</v>
      </c>
      <c r="AG345" s="6" t="s">
        <v>98</v>
      </c>
      <c r="AH345" s="6" t="s">
        <v>98</v>
      </c>
      <c r="AI345" s="12" t="s">
        <v>357</v>
      </c>
      <c r="AJ345" s="10"/>
      <c r="AK345" s="10"/>
      <c r="AL345" s="10"/>
      <c r="AM345" s="11"/>
      <c r="AN345" s="11" t="s">
        <v>1386</v>
      </c>
      <c r="AO345" s="5" t="s">
        <v>361</v>
      </c>
      <c r="AP345" s="11"/>
      <c r="AQ345" s="11"/>
      <c r="AR345" s="11" t="s">
        <v>2146</v>
      </c>
      <c r="AS345" s="36"/>
      <c r="AT345" s="11" t="s">
        <v>70</v>
      </c>
      <c r="AU345" s="11" t="s">
        <v>370</v>
      </c>
      <c r="AV345" s="13" t="s">
        <v>1871</v>
      </c>
      <c r="AW345" s="14"/>
      <c r="AX345" s="44"/>
    </row>
    <row r="346" spans="1:50" ht="38.25">
      <c r="A346" s="38" t="str">
        <f>VLOOKUP(Tableau1[[#This Row],[N° Département]],Feuil1!$C$6:$E$106,3)</f>
        <v>Ile-de-France</v>
      </c>
      <c r="B346" s="38" t="str">
        <f>VLOOKUP(Tableau1[[#This Row],[N° Département]],Feuil1!$C$6:$E$106,2)</f>
        <v>Seine-et-Marne</v>
      </c>
      <c r="C346" s="38">
        <f>LEFT(Tableau1[[#This Row],[Code Postal]],2)*1</f>
        <v>77</v>
      </c>
      <c r="D346" s="10" t="s">
        <v>2104</v>
      </c>
      <c r="E346" s="26">
        <v>77500</v>
      </c>
      <c r="F346" s="10" t="s">
        <v>2103</v>
      </c>
      <c r="G346" s="39" t="str">
        <f>Tableau1[[#This Row],[Rue]]&amp;CHAR(10)&amp;Tableau1[[#This Row],[Code Postal]]&amp;" - "&amp;Tableau1[[#This Row],[Ville]]</f>
        <v>Centre Terre Ciel (Chelles 2) Avenue du Gendarme Castermant
77500 - Chelles</v>
      </c>
      <c r="H346" s="15" t="s">
        <v>2102</v>
      </c>
      <c r="I346" s="12" t="s">
        <v>47</v>
      </c>
      <c r="J346" s="12" t="s">
        <v>49</v>
      </c>
      <c r="K346" s="10" t="s">
        <v>98</v>
      </c>
      <c r="L346" s="10" t="s">
        <v>98</v>
      </c>
      <c r="M346" s="12" t="s">
        <v>98</v>
      </c>
      <c r="N346" s="36" t="s">
        <v>2123</v>
      </c>
      <c r="O346" s="34">
        <v>114</v>
      </c>
      <c r="P346" s="6" t="s">
        <v>98</v>
      </c>
      <c r="Q346" s="34">
        <v>304</v>
      </c>
      <c r="R346" s="6" t="s">
        <v>98</v>
      </c>
      <c r="S346" s="6" t="s">
        <v>98</v>
      </c>
      <c r="T346" s="12">
        <f>Tableau1[[#This Row],[Loyer €/m²]]*Tableau1[[#This Row],[Surface GLA]]</f>
        <v>22800</v>
      </c>
      <c r="U346" s="12">
        <f>IFERROR(Tableau1[[#This Row],[Loyer annuel]]/12,"")</f>
        <v>1900</v>
      </c>
      <c r="V346" s="12">
        <v>200</v>
      </c>
      <c r="W346" s="6" t="s">
        <v>98</v>
      </c>
      <c r="X346" s="6">
        <f>Tableau1[[#This Row],[Charges €/m²]]*Tableau1[[#This Row],[Surface GLA]]</f>
        <v>6840</v>
      </c>
      <c r="Y346" s="12">
        <f>Tableau1[[#This Row],[Charges annuelles]]/12</f>
        <v>570</v>
      </c>
      <c r="Z346" s="12">
        <v>60</v>
      </c>
      <c r="AA346" s="12">
        <f>IFERROR(Tableau1[[#This Row],[Taxe foncière €/m²]]*Tableau1[[#This Row],[Surface GLA]],)</f>
        <v>4104</v>
      </c>
      <c r="AB346" s="12">
        <v>36</v>
      </c>
      <c r="AC346" s="12">
        <f>IFERROR(Tableau1[[#This Row],[Marketing €/m²]]*Tableau1[[#This Row],[Surface GLA]],)</f>
        <v>0</v>
      </c>
      <c r="AD346" s="12"/>
      <c r="AE346" s="12">
        <f>IFERROR(Tableau1[[#This Row],[Loyer annuel]]+Tableau1[[#This Row],[Charges annuelles]]+Tableau1[[#This Row],[Taxe foncière]]+Tableau1[[#This Row],[Marketing]],"")</f>
        <v>33744</v>
      </c>
      <c r="AF346" s="12" t="str">
        <f t="shared" si="16"/>
        <v>3 mois = 5 700 €</v>
      </c>
      <c r="AG346" s="6" t="s">
        <v>98</v>
      </c>
      <c r="AH346" s="6" t="s">
        <v>98</v>
      </c>
      <c r="AI346" s="12" t="s">
        <v>357</v>
      </c>
      <c r="AJ346" s="10"/>
      <c r="AK346" s="10"/>
      <c r="AL346" s="10"/>
      <c r="AM346" s="11"/>
      <c r="AN346" s="11" t="s">
        <v>1386</v>
      </c>
      <c r="AO346" s="5" t="s">
        <v>361</v>
      </c>
      <c r="AP346" s="11"/>
      <c r="AQ346" s="11"/>
      <c r="AR346" s="11" t="s">
        <v>2147</v>
      </c>
      <c r="AS346" s="36"/>
      <c r="AT346" s="11" t="s">
        <v>70</v>
      </c>
      <c r="AU346" s="11" t="s">
        <v>370</v>
      </c>
      <c r="AV346" s="13" t="s">
        <v>1871</v>
      </c>
      <c r="AW346" s="14"/>
      <c r="AX346" s="44"/>
    </row>
    <row r="347" spans="1:50" ht="38.25">
      <c r="A347" s="38" t="str">
        <f>VLOOKUP(Tableau1[[#This Row],[N° Département]],Feuil1!$C$6:$E$106,3)</f>
        <v>Ile-de-France</v>
      </c>
      <c r="B347" s="38" t="str">
        <f>VLOOKUP(Tableau1[[#This Row],[N° Département]],Feuil1!$C$6:$E$106,2)</f>
        <v>Seine-et-Marne</v>
      </c>
      <c r="C347" s="38">
        <f>LEFT(Tableau1[[#This Row],[Code Postal]],2)*1</f>
        <v>77</v>
      </c>
      <c r="D347" s="10" t="s">
        <v>2104</v>
      </c>
      <c r="E347" s="10">
        <v>77500</v>
      </c>
      <c r="F347" s="10" t="s">
        <v>2103</v>
      </c>
      <c r="G347" s="39" t="str">
        <f>Tableau1[[#This Row],[Rue]]&amp;CHAR(10)&amp;Tableau1[[#This Row],[Code Postal]]&amp;" - "&amp;Tableau1[[#This Row],[Ville]]</f>
        <v>Centre Terre Ciel (Chelles 2) Avenue du Gendarme Castermant
77500 - Chelles</v>
      </c>
      <c r="H347" s="15" t="s">
        <v>2102</v>
      </c>
      <c r="I347" s="12" t="s">
        <v>47</v>
      </c>
      <c r="J347" s="12" t="s">
        <v>49</v>
      </c>
      <c r="K347" s="10" t="s">
        <v>98</v>
      </c>
      <c r="L347" s="10" t="s">
        <v>98</v>
      </c>
      <c r="M347" s="12" t="s">
        <v>98</v>
      </c>
      <c r="N347" s="36" t="s">
        <v>2124</v>
      </c>
      <c r="O347" s="34">
        <v>364</v>
      </c>
      <c r="P347" s="6" t="s">
        <v>98</v>
      </c>
      <c r="Q347" s="34">
        <v>1425</v>
      </c>
      <c r="R347" s="6" t="s">
        <v>98</v>
      </c>
      <c r="S347" s="6" t="s">
        <v>98</v>
      </c>
      <c r="T347" s="12">
        <f>Tableau1[[#This Row],[Loyer €/m²]]*Tableau1[[#This Row],[Surface GLA]]</f>
        <v>72800</v>
      </c>
      <c r="U347" s="12">
        <f>IFERROR(Tableau1[[#This Row],[Loyer annuel]]/12,"")</f>
        <v>6066.666666666667</v>
      </c>
      <c r="V347" s="12">
        <v>200</v>
      </c>
      <c r="W347" s="6" t="s">
        <v>98</v>
      </c>
      <c r="X347" s="6">
        <f>Tableau1[[#This Row],[Charges €/m²]]*Tableau1[[#This Row],[Surface GLA]]</f>
        <v>21840</v>
      </c>
      <c r="Y347" s="12">
        <f>Tableau1[[#This Row],[Charges annuelles]]/12</f>
        <v>1820</v>
      </c>
      <c r="Z347" s="12">
        <v>60</v>
      </c>
      <c r="AA347" s="12">
        <f>IFERROR(Tableau1[[#This Row],[Taxe foncière €/m²]]*Tableau1[[#This Row],[Surface GLA]],)</f>
        <v>13104</v>
      </c>
      <c r="AB347" s="12">
        <v>36</v>
      </c>
      <c r="AC347" s="12">
        <f>IFERROR(Tableau1[[#This Row],[Marketing €/m²]]*Tableau1[[#This Row],[Surface GLA]],)</f>
        <v>0</v>
      </c>
      <c r="AD347" s="12"/>
      <c r="AE347" s="12">
        <f>IFERROR(Tableau1[[#This Row],[Loyer annuel]]+Tableau1[[#This Row],[Charges annuelles]]+Tableau1[[#This Row],[Taxe foncière]]+Tableau1[[#This Row],[Marketing]],"")</f>
        <v>107744</v>
      </c>
      <c r="AF347" s="12" t="str">
        <f t="shared" si="16"/>
        <v>3 mois = 18 200 €</v>
      </c>
      <c r="AG347" s="6" t="s">
        <v>98</v>
      </c>
      <c r="AH347" s="6" t="s">
        <v>98</v>
      </c>
      <c r="AI347" s="12" t="s">
        <v>357</v>
      </c>
      <c r="AJ347" s="10"/>
      <c r="AK347" s="10"/>
      <c r="AL347" s="10"/>
      <c r="AM347" s="11"/>
      <c r="AN347" s="11" t="s">
        <v>1386</v>
      </c>
      <c r="AO347" s="5" t="s">
        <v>361</v>
      </c>
      <c r="AP347" s="11"/>
      <c r="AQ347" s="11"/>
      <c r="AR347" s="11" t="s">
        <v>2148</v>
      </c>
      <c r="AS347" s="36"/>
      <c r="AT347" s="11" t="s">
        <v>70</v>
      </c>
      <c r="AU347" s="11" t="s">
        <v>370</v>
      </c>
      <c r="AV347" s="13" t="s">
        <v>1871</v>
      </c>
      <c r="AW347" s="14"/>
      <c r="AX347" s="44"/>
    </row>
    <row r="348" spans="1:50" ht="38.25">
      <c r="A348" s="38" t="str">
        <f>VLOOKUP(Tableau1[[#This Row],[N° Département]],Feuil1!$C$6:$E$106,3)</f>
        <v>Ile-de-France</v>
      </c>
      <c r="B348" s="38" t="str">
        <f>VLOOKUP(Tableau1[[#This Row],[N° Département]],Feuil1!$C$6:$E$106,2)</f>
        <v>Seine-et-Marne</v>
      </c>
      <c r="C348" s="38">
        <f>LEFT(Tableau1[[#This Row],[Code Postal]],2)*1</f>
        <v>77</v>
      </c>
      <c r="D348" s="10" t="s">
        <v>2104</v>
      </c>
      <c r="E348" s="26">
        <v>77500</v>
      </c>
      <c r="F348" s="10" t="s">
        <v>2103</v>
      </c>
      <c r="G348" s="39" t="str">
        <f>Tableau1[[#This Row],[Rue]]&amp;CHAR(10)&amp;Tableau1[[#This Row],[Code Postal]]&amp;" - "&amp;Tableau1[[#This Row],[Ville]]</f>
        <v>Centre Terre Ciel (Chelles 2) Avenue du Gendarme Castermant
77500 - Chelles</v>
      </c>
      <c r="H348" s="15" t="s">
        <v>2102</v>
      </c>
      <c r="I348" s="12" t="s">
        <v>47</v>
      </c>
      <c r="J348" s="12" t="s">
        <v>49</v>
      </c>
      <c r="K348" s="10" t="s">
        <v>98</v>
      </c>
      <c r="L348" s="10" t="s">
        <v>98</v>
      </c>
      <c r="M348" s="12" t="s">
        <v>98</v>
      </c>
      <c r="N348" s="36" t="s">
        <v>2125</v>
      </c>
      <c r="O348" s="34">
        <v>1061</v>
      </c>
      <c r="P348" s="6" t="s">
        <v>98</v>
      </c>
      <c r="Q348" s="34">
        <v>1425</v>
      </c>
      <c r="R348" s="6" t="s">
        <v>98</v>
      </c>
      <c r="S348" s="6" t="s">
        <v>98</v>
      </c>
      <c r="T348" s="12">
        <f>Tableau1[[#This Row],[Loyer €/m²]]*Tableau1[[#This Row],[Surface GLA]]</f>
        <v>212200</v>
      </c>
      <c r="U348" s="12">
        <f>IFERROR(Tableau1[[#This Row],[Loyer annuel]]/12,"")</f>
        <v>17683.333333333332</v>
      </c>
      <c r="V348" s="12">
        <v>200</v>
      </c>
      <c r="W348" s="6" t="s">
        <v>98</v>
      </c>
      <c r="X348" s="6">
        <f>Tableau1[[#This Row],[Charges €/m²]]*Tableau1[[#This Row],[Surface GLA]]</f>
        <v>63660</v>
      </c>
      <c r="Y348" s="12">
        <f>Tableau1[[#This Row],[Charges annuelles]]/12</f>
        <v>5305</v>
      </c>
      <c r="Z348" s="12">
        <v>60</v>
      </c>
      <c r="AA348" s="12">
        <f>IFERROR(Tableau1[[#This Row],[Taxe foncière €/m²]]*Tableau1[[#This Row],[Surface GLA]],)</f>
        <v>38196</v>
      </c>
      <c r="AB348" s="12">
        <v>36</v>
      </c>
      <c r="AC348" s="12">
        <f>IFERROR(Tableau1[[#This Row],[Marketing €/m²]]*Tableau1[[#This Row],[Surface GLA]],)</f>
        <v>0</v>
      </c>
      <c r="AD348" s="12"/>
      <c r="AE348" s="12">
        <f>IFERROR(Tableau1[[#This Row],[Loyer annuel]]+Tableau1[[#This Row],[Charges annuelles]]+Tableau1[[#This Row],[Taxe foncière]]+Tableau1[[#This Row],[Marketing]],"")</f>
        <v>314056</v>
      </c>
      <c r="AF348" s="12" t="str">
        <f t="shared" si="16"/>
        <v>3 mois = 53 050 €</v>
      </c>
      <c r="AG348" s="6" t="s">
        <v>98</v>
      </c>
      <c r="AH348" s="6" t="s">
        <v>98</v>
      </c>
      <c r="AI348" s="12" t="s">
        <v>357</v>
      </c>
      <c r="AJ348" s="10"/>
      <c r="AK348" s="10"/>
      <c r="AL348" s="10"/>
      <c r="AM348" s="11"/>
      <c r="AN348" s="11" t="s">
        <v>1386</v>
      </c>
      <c r="AO348" s="5" t="s">
        <v>361</v>
      </c>
      <c r="AP348" s="11"/>
      <c r="AQ348" s="11"/>
      <c r="AR348" s="11" t="s">
        <v>2149</v>
      </c>
      <c r="AS348" s="36"/>
      <c r="AT348" s="11" t="s">
        <v>70</v>
      </c>
      <c r="AU348" s="11" t="s">
        <v>370</v>
      </c>
      <c r="AV348" s="13" t="s">
        <v>1871</v>
      </c>
      <c r="AW348" s="14"/>
      <c r="AX348" s="44"/>
    </row>
    <row r="349" spans="1:50" ht="38.25">
      <c r="A349" s="38" t="str">
        <f>VLOOKUP(Tableau1[[#This Row],[N° Département]],Feuil1!$C$6:$E$106,3)</f>
        <v>Ile-de-France</v>
      </c>
      <c r="B349" s="38" t="str">
        <f>VLOOKUP(Tableau1[[#This Row],[N° Département]],Feuil1!$C$6:$E$106,2)</f>
        <v>Seine-et-Marne</v>
      </c>
      <c r="C349" s="38">
        <f>LEFT(Tableau1[[#This Row],[Code Postal]],2)*1</f>
        <v>77</v>
      </c>
      <c r="D349" s="10" t="s">
        <v>2104</v>
      </c>
      <c r="E349" s="10">
        <v>77500</v>
      </c>
      <c r="F349" s="10" t="s">
        <v>2103</v>
      </c>
      <c r="G349" s="39" t="str">
        <f>Tableau1[[#This Row],[Rue]]&amp;CHAR(10)&amp;Tableau1[[#This Row],[Code Postal]]&amp;" - "&amp;Tableau1[[#This Row],[Ville]]</f>
        <v>Centre Terre Ciel (Chelles 2) Avenue du Gendarme Castermant
77500 - Chelles</v>
      </c>
      <c r="H349" s="15" t="s">
        <v>2102</v>
      </c>
      <c r="I349" s="12" t="s">
        <v>47</v>
      </c>
      <c r="J349" s="12" t="s">
        <v>49</v>
      </c>
      <c r="K349" s="10" t="s">
        <v>98</v>
      </c>
      <c r="L349" s="10" t="s">
        <v>98</v>
      </c>
      <c r="M349" s="12" t="s">
        <v>98</v>
      </c>
      <c r="N349" s="36" t="s">
        <v>2126</v>
      </c>
      <c r="O349" s="34">
        <v>816</v>
      </c>
      <c r="P349" s="6" t="s">
        <v>98</v>
      </c>
      <c r="Q349" s="6" t="s">
        <v>98</v>
      </c>
      <c r="R349" s="6" t="s">
        <v>98</v>
      </c>
      <c r="S349" s="6" t="s">
        <v>98</v>
      </c>
      <c r="T349" s="12">
        <f>Tableau1[[#This Row],[Loyer €/m²]]*Tableau1[[#This Row],[Surface GLA]]</f>
        <v>163200</v>
      </c>
      <c r="U349" s="12">
        <f>IFERROR(Tableau1[[#This Row],[Loyer annuel]]/12,"")</f>
        <v>13600</v>
      </c>
      <c r="V349" s="12">
        <v>200</v>
      </c>
      <c r="W349" s="6" t="s">
        <v>98</v>
      </c>
      <c r="X349" s="6">
        <f>Tableau1[[#This Row],[Charges €/m²]]*Tableau1[[#This Row],[Surface GLA]]</f>
        <v>48960</v>
      </c>
      <c r="Y349" s="12">
        <f>Tableau1[[#This Row],[Charges annuelles]]/12</f>
        <v>4080</v>
      </c>
      <c r="Z349" s="12">
        <v>60</v>
      </c>
      <c r="AA349" s="12">
        <f>IFERROR(Tableau1[[#This Row],[Taxe foncière €/m²]]*Tableau1[[#This Row],[Surface GLA]],)</f>
        <v>29376</v>
      </c>
      <c r="AB349" s="12">
        <v>36</v>
      </c>
      <c r="AC349" s="12">
        <f>IFERROR(Tableau1[[#This Row],[Marketing €/m²]]*Tableau1[[#This Row],[Surface GLA]],)</f>
        <v>0</v>
      </c>
      <c r="AD349" s="12"/>
      <c r="AE349" s="12">
        <f>IFERROR(Tableau1[[#This Row],[Loyer annuel]]+Tableau1[[#This Row],[Charges annuelles]]+Tableau1[[#This Row],[Taxe foncière]]+Tableau1[[#This Row],[Marketing]],"")</f>
        <v>241536</v>
      </c>
      <c r="AF349" s="12" t="str">
        <f t="shared" si="16"/>
        <v>3 mois = 40 800 €</v>
      </c>
      <c r="AG349" s="6" t="s">
        <v>98</v>
      </c>
      <c r="AH349" s="6" t="s">
        <v>98</v>
      </c>
      <c r="AI349" s="12" t="s">
        <v>357</v>
      </c>
      <c r="AJ349" s="10"/>
      <c r="AK349" s="10"/>
      <c r="AL349" s="10"/>
      <c r="AM349" s="11"/>
      <c r="AN349" s="11" t="s">
        <v>1386</v>
      </c>
      <c r="AO349" s="5" t="s">
        <v>361</v>
      </c>
      <c r="AP349" s="11"/>
      <c r="AQ349" s="11"/>
      <c r="AR349" s="11" t="s">
        <v>2150</v>
      </c>
      <c r="AS349" s="36"/>
      <c r="AT349" s="11" t="s">
        <v>70</v>
      </c>
      <c r="AU349" s="11" t="s">
        <v>370</v>
      </c>
      <c r="AV349" s="13" t="s">
        <v>1871</v>
      </c>
      <c r="AW349" s="14"/>
      <c r="AX349" s="44"/>
    </row>
    <row r="350" spans="1:50" ht="38.25">
      <c r="A350" s="38" t="str">
        <f>VLOOKUP(Tableau1[[#This Row],[N° Département]],Feuil1!$C$6:$E$106,3)</f>
        <v>Ile-de-France</v>
      </c>
      <c r="B350" s="38" t="str">
        <f>VLOOKUP(Tableau1[[#This Row],[N° Département]],Feuil1!$C$6:$E$106,2)</f>
        <v>Seine-et-Marne</v>
      </c>
      <c r="C350" s="38">
        <f>LEFT(Tableau1[[#This Row],[Code Postal]],2)*1</f>
        <v>77</v>
      </c>
      <c r="D350" s="10" t="s">
        <v>2104</v>
      </c>
      <c r="E350" s="26">
        <v>77500</v>
      </c>
      <c r="F350" s="10" t="s">
        <v>2103</v>
      </c>
      <c r="G350" s="39" t="str">
        <f>Tableau1[[#This Row],[Rue]]&amp;CHAR(10)&amp;Tableau1[[#This Row],[Code Postal]]&amp;" - "&amp;Tableau1[[#This Row],[Ville]]</f>
        <v>Centre Terre Ciel (Chelles 2) Avenue du Gendarme Castermant
77500 - Chelles</v>
      </c>
      <c r="H350" s="15" t="s">
        <v>2102</v>
      </c>
      <c r="I350" s="12" t="s">
        <v>47</v>
      </c>
      <c r="J350" s="12" t="s">
        <v>49</v>
      </c>
      <c r="K350" s="10" t="s">
        <v>98</v>
      </c>
      <c r="L350" s="10" t="s">
        <v>98</v>
      </c>
      <c r="M350" s="12" t="s">
        <v>98</v>
      </c>
      <c r="N350" s="36" t="s">
        <v>2127</v>
      </c>
      <c r="O350" s="34">
        <v>161</v>
      </c>
      <c r="P350" s="6" t="s">
        <v>98</v>
      </c>
      <c r="Q350" s="6" t="s">
        <v>98</v>
      </c>
      <c r="R350" s="6" t="s">
        <v>98</v>
      </c>
      <c r="S350" s="6" t="s">
        <v>98</v>
      </c>
      <c r="T350" s="12">
        <f>Tableau1[[#This Row],[Loyer €/m²]]*Tableau1[[#This Row],[Surface GLA]]</f>
        <v>32200</v>
      </c>
      <c r="U350" s="12">
        <f>IFERROR(Tableau1[[#This Row],[Loyer annuel]]/12,"")</f>
        <v>2683.3333333333335</v>
      </c>
      <c r="V350" s="12">
        <v>200</v>
      </c>
      <c r="W350" s="6" t="s">
        <v>98</v>
      </c>
      <c r="X350" s="6">
        <f>Tableau1[[#This Row],[Charges €/m²]]*Tableau1[[#This Row],[Surface GLA]]</f>
        <v>9660</v>
      </c>
      <c r="Y350" s="12">
        <f>Tableau1[[#This Row],[Charges annuelles]]/12</f>
        <v>805</v>
      </c>
      <c r="Z350" s="12">
        <v>60</v>
      </c>
      <c r="AA350" s="12">
        <f>IFERROR(Tableau1[[#This Row],[Taxe foncière €/m²]]*Tableau1[[#This Row],[Surface GLA]],)</f>
        <v>5796</v>
      </c>
      <c r="AB350" s="12">
        <v>36</v>
      </c>
      <c r="AC350" s="12">
        <f>IFERROR(Tableau1[[#This Row],[Marketing €/m²]]*Tableau1[[#This Row],[Surface GLA]],)</f>
        <v>0</v>
      </c>
      <c r="AD350" s="12"/>
      <c r="AE350" s="12">
        <f>IFERROR(Tableau1[[#This Row],[Loyer annuel]]+Tableau1[[#This Row],[Charges annuelles]]+Tableau1[[#This Row],[Taxe foncière]]+Tableau1[[#This Row],[Marketing]],"")</f>
        <v>47656</v>
      </c>
      <c r="AF350" s="12" t="str">
        <f t="shared" si="16"/>
        <v>3 mois = 8 050 €</v>
      </c>
      <c r="AG350" s="6" t="s">
        <v>98</v>
      </c>
      <c r="AH350" s="6" t="s">
        <v>98</v>
      </c>
      <c r="AI350" s="12" t="s">
        <v>357</v>
      </c>
      <c r="AJ350" s="10"/>
      <c r="AK350" s="10"/>
      <c r="AL350" s="10"/>
      <c r="AM350" s="11"/>
      <c r="AN350" s="11" t="s">
        <v>1386</v>
      </c>
      <c r="AO350" s="5" t="s">
        <v>361</v>
      </c>
      <c r="AP350" s="11"/>
      <c r="AQ350" s="11"/>
      <c r="AR350" s="11" t="s">
        <v>2151</v>
      </c>
      <c r="AS350" s="36"/>
      <c r="AT350" s="11" t="s">
        <v>70</v>
      </c>
      <c r="AU350" s="11" t="s">
        <v>370</v>
      </c>
      <c r="AV350" s="13" t="s">
        <v>1871</v>
      </c>
      <c r="AW350" s="14"/>
      <c r="AX350" s="44"/>
    </row>
    <row r="351" spans="1:50" ht="38.25">
      <c r="A351" s="38" t="str">
        <f>VLOOKUP(Tableau1[[#This Row],[N° Département]],Feuil1!$C$6:$E$106,3)</f>
        <v>Ile-de-France</v>
      </c>
      <c r="B351" s="38" t="str">
        <f>VLOOKUP(Tableau1[[#This Row],[N° Département]],Feuil1!$C$6:$E$106,2)</f>
        <v>Seine-et-Marne</v>
      </c>
      <c r="C351" s="38">
        <f>LEFT(Tableau1[[#This Row],[Code Postal]],2)*1</f>
        <v>77</v>
      </c>
      <c r="D351" s="10" t="s">
        <v>2104</v>
      </c>
      <c r="E351" s="10">
        <v>77500</v>
      </c>
      <c r="F351" s="10" t="s">
        <v>2103</v>
      </c>
      <c r="G351" s="39" t="str">
        <f>Tableau1[[#This Row],[Rue]]&amp;CHAR(10)&amp;Tableau1[[#This Row],[Code Postal]]&amp;" - "&amp;Tableau1[[#This Row],[Ville]]</f>
        <v>Centre Terre Ciel (Chelles 2) Avenue du Gendarme Castermant
77500 - Chelles</v>
      </c>
      <c r="H351" s="15" t="s">
        <v>2102</v>
      </c>
      <c r="I351" s="12" t="s">
        <v>47</v>
      </c>
      <c r="J351" s="12" t="s">
        <v>49</v>
      </c>
      <c r="K351" s="10" t="s">
        <v>98</v>
      </c>
      <c r="L351" s="10" t="s">
        <v>98</v>
      </c>
      <c r="M351" s="12" t="s">
        <v>98</v>
      </c>
      <c r="N351" s="36">
        <v>240</v>
      </c>
      <c r="O351" s="34">
        <v>137</v>
      </c>
      <c r="P351" s="6" t="s">
        <v>98</v>
      </c>
      <c r="Q351" s="6" t="s">
        <v>98</v>
      </c>
      <c r="R351" s="6" t="s">
        <v>98</v>
      </c>
      <c r="S351" s="6" t="s">
        <v>98</v>
      </c>
      <c r="T351" s="12">
        <f>Tableau1[[#This Row],[Loyer €/m²]]*Tableau1[[#This Row],[Surface GLA]]</f>
        <v>27400</v>
      </c>
      <c r="U351" s="12">
        <f>IFERROR(Tableau1[[#This Row],[Loyer annuel]]/12,"")</f>
        <v>2283.3333333333335</v>
      </c>
      <c r="V351" s="12">
        <v>200</v>
      </c>
      <c r="W351" s="6" t="s">
        <v>98</v>
      </c>
      <c r="X351" s="6">
        <f>Tableau1[[#This Row],[Charges €/m²]]*Tableau1[[#This Row],[Surface GLA]]</f>
        <v>8220</v>
      </c>
      <c r="Y351" s="12">
        <f>Tableau1[[#This Row],[Charges annuelles]]/12</f>
        <v>685</v>
      </c>
      <c r="Z351" s="12">
        <v>60</v>
      </c>
      <c r="AA351" s="12">
        <f>IFERROR(Tableau1[[#This Row],[Taxe foncière €/m²]]*Tableau1[[#This Row],[Surface GLA]],)</f>
        <v>4932</v>
      </c>
      <c r="AB351" s="12">
        <v>36</v>
      </c>
      <c r="AC351" s="12">
        <f>IFERROR(Tableau1[[#This Row],[Marketing €/m²]]*Tableau1[[#This Row],[Surface GLA]],)</f>
        <v>0</v>
      </c>
      <c r="AD351" s="12"/>
      <c r="AE351" s="12">
        <f>IFERROR(Tableau1[[#This Row],[Loyer annuel]]+Tableau1[[#This Row],[Charges annuelles]]+Tableau1[[#This Row],[Taxe foncière]]+Tableau1[[#This Row],[Marketing]],"")</f>
        <v>40552</v>
      </c>
      <c r="AF351" s="12" t="str">
        <f t="shared" si="16"/>
        <v>3 mois = 6 850 €</v>
      </c>
      <c r="AG351" s="6" t="s">
        <v>98</v>
      </c>
      <c r="AH351" s="6" t="s">
        <v>98</v>
      </c>
      <c r="AI351" s="12" t="s">
        <v>357</v>
      </c>
      <c r="AJ351" s="10"/>
      <c r="AK351" s="10"/>
      <c r="AL351" s="10"/>
      <c r="AM351" s="11"/>
      <c r="AN351" s="11" t="s">
        <v>1386</v>
      </c>
      <c r="AO351" s="5" t="s">
        <v>361</v>
      </c>
      <c r="AP351" s="11"/>
      <c r="AQ351" s="11"/>
      <c r="AR351" s="11" t="s">
        <v>2152</v>
      </c>
      <c r="AS351" s="36"/>
      <c r="AT351" s="11" t="s">
        <v>70</v>
      </c>
      <c r="AU351" s="11" t="s">
        <v>370</v>
      </c>
      <c r="AV351" s="13" t="s">
        <v>1871</v>
      </c>
      <c r="AW351" s="14"/>
      <c r="AX351" s="44"/>
    </row>
    <row r="352" spans="1:50" ht="38.25">
      <c r="A352" s="38" t="str">
        <f>VLOOKUP(Tableau1[[#This Row],[N° Département]],Feuil1!$C$6:$E$106,3)</f>
        <v>Ile-de-France</v>
      </c>
      <c r="B352" s="38" t="str">
        <f>VLOOKUP(Tableau1[[#This Row],[N° Département]],Feuil1!$C$6:$E$106,2)</f>
        <v>Seine-et-Marne</v>
      </c>
      <c r="C352" s="38">
        <f>LEFT(Tableau1[[#This Row],[Code Postal]],2)*1</f>
        <v>77</v>
      </c>
      <c r="D352" s="10" t="s">
        <v>2104</v>
      </c>
      <c r="E352" s="26">
        <v>77500</v>
      </c>
      <c r="F352" s="10" t="s">
        <v>2103</v>
      </c>
      <c r="G352" s="39" t="str">
        <f>Tableau1[[#This Row],[Rue]]&amp;CHAR(10)&amp;Tableau1[[#This Row],[Code Postal]]&amp;" - "&amp;Tableau1[[#This Row],[Ville]]</f>
        <v>Centre Terre Ciel (Chelles 2) Avenue du Gendarme Castermant
77500 - Chelles</v>
      </c>
      <c r="H352" s="15" t="s">
        <v>2102</v>
      </c>
      <c r="I352" s="12" t="s">
        <v>47</v>
      </c>
      <c r="J352" s="12" t="s">
        <v>49</v>
      </c>
      <c r="K352" s="10" t="s">
        <v>98</v>
      </c>
      <c r="L352" s="10" t="s">
        <v>98</v>
      </c>
      <c r="M352" s="12" t="s">
        <v>98</v>
      </c>
      <c r="N352" s="36">
        <v>238</v>
      </c>
      <c r="O352" s="34">
        <v>147</v>
      </c>
      <c r="P352" s="6" t="s">
        <v>98</v>
      </c>
      <c r="Q352" s="6" t="s">
        <v>98</v>
      </c>
      <c r="R352" s="6" t="s">
        <v>98</v>
      </c>
      <c r="S352" s="6" t="s">
        <v>98</v>
      </c>
      <c r="T352" s="12">
        <f>Tableau1[[#This Row],[Loyer €/m²]]*Tableau1[[#This Row],[Surface GLA]]</f>
        <v>29400</v>
      </c>
      <c r="U352" s="12">
        <f>IFERROR(Tableau1[[#This Row],[Loyer annuel]]/12,"")</f>
        <v>2450</v>
      </c>
      <c r="V352" s="12">
        <v>200</v>
      </c>
      <c r="W352" s="6" t="s">
        <v>98</v>
      </c>
      <c r="X352" s="6">
        <f>Tableau1[[#This Row],[Charges €/m²]]*Tableau1[[#This Row],[Surface GLA]]</f>
        <v>8820</v>
      </c>
      <c r="Y352" s="12">
        <f>Tableau1[[#This Row],[Charges annuelles]]/12</f>
        <v>735</v>
      </c>
      <c r="Z352" s="12">
        <v>60</v>
      </c>
      <c r="AA352" s="12">
        <f>IFERROR(Tableau1[[#This Row],[Taxe foncière €/m²]]*Tableau1[[#This Row],[Surface GLA]],)</f>
        <v>5292</v>
      </c>
      <c r="AB352" s="12">
        <v>36</v>
      </c>
      <c r="AC352" s="12">
        <f>IFERROR(Tableau1[[#This Row],[Marketing €/m²]]*Tableau1[[#This Row],[Surface GLA]],)</f>
        <v>0</v>
      </c>
      <c r="AD352" s="12"/>
      <c r="AE352" s="12">
        <f>IFERROR(Tableau1[[#This Row],[Loyer annuel]]+Tableau1[[#This Row],[Charges annuelles]]+Tableau1[[#This Row],[Taxe foncière]]+Tableau1[[#This Row],[Marketing]],"")</f>
        <v>43512</v>
      </c>
      <c r="AF352" s="12" t="str">
        <f t="shared" si="16"/>
        <v>3 mois = 7 350 €</v>
      </c>
      <c r="AG352" s="6" t="s">
        <v>98</v>
      </c>
      <c r="AH352" s="6" t="s">
        <v>98</v>
      </c>
      <c r="AI352" s="12" t="s">
        <v>357</v>
      </c>
      <c r="AJ352" s="10"/>
      <c r="AK352" s="10"/>
      <c r="AL352" s="10"/>
      <c r="AM352" s="11"/>
      <c r="AN352" s="11" t="s">
        <v>1386</v>
      </c>
      <c r="AO352" s="5" t="s">
        <v>361</v>
      </c>
      <c r="AP352" s="11"/>
      <c r="AQ352" s="11"/>
      <c r="AR352" s="11" t="s">
        <v>2153</v>
      </c>
      <c r="AS352" s="36"/>
      <c r="AT352" s="11" t="s">
        <v>70</v>
      </c>
      <c r="AU352" s="11" t="s">
        <v>370</v>
      </c>
      <c r="AV352" s="13" t="s">
        <v>1871</v>
      </c>
      <c r="AW352" s="14"/>
      <c r="AX352" s="44"/>
    </row>
    <row r="353" spans="1:50" ht="25.5">
      <c r="A353" s="38" t="str">
        <f>VLOOKUP(Tableau1[[#This Row],[N° Département]],Feuil1!$C$6:$E$106,3)</f>
        <v>Auvergne-Rhône-Alpes</v>
      </c>
      <c r="B353" s="38" t="str">
        <f>VLOOKUP(Tableau1[[#This Row],[N° Département]],Feuil1!$C$6:$E$106,2)</f>
        <v>Allier</v>
      </c>
      <c r="C353" s="38">
        <f>LEFT(Tableau1[[#This Row],[Code Postal]],2)*1</f>
        <v>3</v>
      </c>
      <c r="D353" s="10" t="s">
        <v>2157</v>
      </c>
      <c r="E353" s="48" t="s">
        <v>2155</v>
      </c>
      <c r="F353" s="10" t="s">
        <v>2156</v>
      </c>
      <c r="G353" s="39" t="str">
        <f>Tableau1[[#This Row],[Rue]]&amp;CHAR(10)&amp;Tableau1[[#This Row],[Code Postal]]&amp;" - "&amp;Tableau1[[#This Row],[Ville]]</f>
        <v>Cc Terre Neuve, Route De Guéret
03 410 - Domérat</v>
      </c>
      <c r="H353" s="15" t="s">
        <v>2154</v>
      </c>
      <c r="I353" s="12" t="s">
        <v>47</v>
      </c>
      <c r="J353" s="12" t="s">
        <v>49</v>
      </c>
      <c r="K353" s="10" t="s">
        <v>98</v>
      </c>
      <c r="L353" s="10" t="s">
        <v>98</v>
      </c>
      <c r="M353" s="12" t="s">
        <v>98</v>
      </c>
      <c r="N353" s="36" t="s">
        <v>2158</v>
      </c>
      <c r="O353" s="34">
        <v>173</v>
      </c>
      <c r="P353" s="6" t="s">
        <v>98</v>
      </c>
      <c r="Q353" s="34">
        <v>357</v>
      </c>
      <c r="R353" s="6" t="s">
        <v>98</v>
      </c>
      <c r="S353" s="6" t="s">
        <v>98</v>
      </c>
      <c r="T353" s="12">
        <f>Tableau1[[#This Row],[Loyer €/m²]]*Tableau1[[#This Row],[Surface GLA]]</f>
        <v>34600</v>
      </c>
      <c r="U353" s="12">
        <f>IFERROR(Tableau1[[#This Row],[Loyer annuel]]/12,"")</f>
        <v>2883.3333333333335</v>
      </c>
      <c r="V353" s="12">
        <v>200</v>
      </c>
      <c r="W353" s="6" t="s">
        <v>98</v>
      </c>
      <c r="X353" s="6">
        <f>Tableau1[[#This Row],[Charges €/m²]]*Tableau1[[#This Row],[Surface GLA]]</f>
        <v>6920</v>
      </c>
      <c r="Y353" s="12">
        <f>Tableau1[[#This Row],[Charges annuelles]]/12</f>
        <v>576.66666666666663</v>
      </c>
      <c r="Z353" s="12">
        <v>40</v>
      </c>
      <c r="AA353" s="12">
        <f>IFERROR(Tableau1[[#This Row],[Taxe foncière €/m²]]*Tableau1[[#This Row],[Surface GLA]],)</f>
        <v>2249</v>
      </c>
      <c r="AB353" s="12">
        <v>13</v>
      </c>
      <c r="AC353" s="12">
        <f>IFERROR(Tableau1[[#This Row],[Marketing €/m²]]*Tableau1[[#This Row],[Surface GLA]],)</f>
        <v>3460</v>
      </c>
      <c r="AD353" s="12">
        <v>20</v>
      </c>
      <c r="AE353" s="12">
        <f>IFERROR(Tableau1[[#This Row],[Loyer annuel]]+Tableau1[[#This Row],[Charges annuelles]]+Tableau1[[#This Row],[Taxe foncière]]+Tableau1[[#This Row],[Marketing]],"")</f>
        <v>47229</v>
      </c>
      <c r="AF353" s="12" t="str">
        <f t="shared" si="16"/>
        <v>3 mois = 8 650 €</v>
      </c>
      <c r="AG353" s="6" t="s">
        <v>98</v>
      </c>
      <c r="AH353" s="6" t="s">
        <v>98</v>
      </c>
      <c r="AI353" s="12" t="s">
        <v>357</v>
      </c>
      <c r="AJ353" s="10"/>
      <c r="AK353" s="10"/>
      <c r="AL353" s="10"/>
      <c r="AM353" s="11"/>
      <c r="AN353" s="11" t="s">
        <v>1386</v>
      </c>
      <c r="AO353" s="5" t="s">
        <v>361</v>
      </c>
      <c r="AP353" s="11" t="s">
        <v>2188</v>
      </c>
      <c r="AQ353" s="11" t="s">
        <v>2189</v>
      </c>
      <c r="AR353" s="11" t="s">
        <v>2167</v>
      </c>
      <c r="AS353" s="36" t="s">
        <v>2186</v>
      </c>
      <c r="AT353" s="11" t="s">
        <v>70</v>
      </c>
      <c r="AU353" s="11" t="s">
        <v>370</v>
      </c>
      <c r="AV353" s="13" t="s">
        <v>1871</v>
      </c>
      <c r="AW353" s="14"/>
      <c r="AX353" s="44"/>
    </row>
    <row r="354" spans="1:50" ht="25.5">
      <c r="A354" s="38" t="str">
        <f>VLOOKUP(Tableau1[[#This Row],[N° Département]],Feuil1!$C$6:$E$106,3)</f>
        <v>Auvergne-Rhône-Alpes</v>
      </c>
      <c r="B354" s="38" t="str">
        <f>VLOOKUP(Tableau1[[#This Row],[N° Département]],Feuil1!$C$6:$E$106,2)</f>
        <v>Allier</v>
      </c>
      <c r="C354" s="38">
        <f>LEFT(Tableau1[[#This Row],[Code Postal]],2)*1</f>
        <v>3</v>
      </c>
      <c r="D354" s="10" t="s">
        <v>2157</v>
      </c>
      <c r="E354" s="49" t="s">
        <v>2155</v>
      </c>
      <c r="F354" s="10" t="s">
        <v>2156</v>
      </c>
      <c r="G354" s="39" t="str">
        <f>Tableau1[[#This Row],[Rue]]&amp;CHAR(10)&amp;Tableau1[[#This Row],[Code Postal]]&amp;" - "&amp;Tableau1[[#This Row],[Ville]]</f>
        <v>Cc Terre Neuve, Route De Guéret
03 410 - Domérat</v>
      </c>
      <c r="H354" s="15" t="s">
        <v>2154</v>
      </c>
      <c r="I354" s="12" t="s">
        <v>47</v>
      </c>
      <c r="J354" s="12" t="s">
        <v>49</v>
      </c>
      <c r="K354" s="10" t="s">
        <v>98</v>
      </c>
      <c r="L354" s="10" t="s">
        <v>98</v>
      </c>
      <c r="M354" s="12" t="s">
        <v>98</v>
      </c>
      <c r="N354" s="36" t="s">
        <v>2159</v>
      </c>
      <c r="O354" s="34">
        <v>184</v>
      </c>
      <c r="P354" s="6" t="s">
        <v>98</v>
      </c>
      <c r="Q354" s="34">
        <v>357</v>
      </c>
      <c r="R354" s="6" t="s">
        <v>98</v>
      </c>
      <c r="S354" s="6" t="s">
        <v>98</v>
      </c>
      <c r="T354" s="12">
        <f>Tableau1[[#This Row],[Loyer €/m²]]*Tableau1[[#This Row],[Surface GLA]]</f>
        <v>36800</v>
      </c>
      <c r="U354" s="12">
        <f>IFERROR(Tableau1[[#This Row],[Loyer annuel]]/12,"")</f>
        <v>3066.6666666666665</v>
      </c>
      <c r="V354" s="12">
        <v>200</v>
      </c>
      <c r="W354" s="6" t="s">
        <v>98</v>
      </c>
      <c r="X354" s="6">
        <f>Tableau1[[#This Row],[Charges €/m²]]*Tableau1[[#This Row],[Surface GLA]]</f>
        <v>7360</v>
      </c>
      <c r="Y354" s="12">
        <f>Tableau1[[#This Row],[Charges annuelles]]/12</f>
        <v>613.33333333333337</v>
      </c>
      <c r="Z354" s="12">
        <v>40</v>
      </c>
      <c r="AA354" s="12">
        <f>IFERROR(Tableau1[[#This Row],[Taxe foncière €/m²]]*Tableau1[[#This Row],[Surface GLA]],)</f>
        <v>2392</v>
      </c>
      <c r="AB354" s="12">
        <v>13</v>
      </c>
      <c r="AC354" s="12">
        <f>IFERROR(Tableau1[[#This Row],[Marketing €/m²]]*Tableau1[[#This Row],[Surface GLA]],)</f>
        <v>3680</v>
      </c>
      <c r="AD354" s="12">
        <v>20</v>
      </c>
      <c r="AE354" s="12">
        <f>IFERROR(Tableau1[[#This Row],[Loyer annuel]]+Tableau1[[#This Row],[Charges annuelles]]+Tableau1[[#This Row],[Taxe foncière]]+Tableau1[[#This Row],[Marketing]],"")</f>
        <v>50232</v>
      </c>
      <c r="AF354" s="12" t="str">
        <f t="shared" si="16"/>
        <v>3 mois = 9 200 €</v>
      </c>
      <c r="AG354" s="6" t="s">
        <v>98</v>
      </c>
      <c r="AH354" s="6" t="s">
        <v>98</v>
      </c>
      <c r="AI354" s="12" t="s">
        <v>357</v>
      </c>
      <c r="AJ354" s="10"/>
      <c r="AK354" s="10"/>
      <c r="AL354" s="10"/>
      <c r="AM354" s="11"/>
      <c r="AN354" s="11" t="s">
        <v>1386</v>
      </c>
      <c r="AO354" s="5" t="s">
        <v>361</v>
      </c>
      <c r="AP354" s="11" t="s">
        <v>2190</v>
      </c>
      <c r="AQ354" s="11" t="s">
        <v>2191</v>
      </c>
      <c r="AR354" s="11" t="s">
        <v>2168</v>
      </c>
      <c r="AS354" s="36" t="s">
        <v>2186</v>
      </c>
      <c r="AT354" s="11" t="s">
        <v>70</v>
      </c>
      <c r="AU354" s="11" t="s">
        <v>370</v>
      </c>
      <c r="AV354" s="13" t="s">
        <v>1871</v>
      </c>
      <c r="AW354" s="14"/>
      <c r="AX354" s="44"/>
    </row>
    <row r="355" spans="1:50" ht="25.5">
      <c r="A355" s="38" t="str">
        <f>VLOOKUP(Tableau1[[#This Row],[N° Département]],Feuil1!$C$6:$E$106,3)</f>
        <v>Auvergne-Rhône-Alpes</v>
      </c>
      <c r="B355" s="38" t="str">
        <f>VLOOKUP(Tableau1[[#This Row],[N° Département]],Feuil1!$C$6:$E$106,2)</f>
        <v>Allier</v>
      </c>
      <c r="C355" s="38">
        <f>LEFT(Tableau1[[#This Row],[Code Postal]],2)*1</f>
        <v>3</v>
      </c>
      <c r="D355" s="10" t="s">
        <v>2157</v>
      </c>
      <c r="E355" s="49" t="s">
        <v>2155</v>
      </c>
      <c r="F355" s="10" t="s">
        <v>2156</v>
      </c>
      <c r="G355" s="39" t="str">
        <f>Tableau1[[#This Row],[Rue]]&amp;CHAR(10)&amp;Tableau1[[#This Row],[Code Postal]]&amp;" - "&amp;Tableau1[[#This Row],[Ville]]</f>
        <v>Cc Terre Neuve, Route De Guéret
03 410 - Domérat</v>
      </c>
      <c r="H355" s="15" t="s">
        <v>2154</v>
      </c>
      <c r="I355" s="12" t="s">
        <v>47</v>
      </c>
      <c r="J355" s="12" t="s">
        <v>49</v>
      </c>
      <c r="K355" s="10" t="s">
        <v>98</v>
      </c>
      <c r="L355" s="10" t="s">
        <v>98</v>
      </c>
      <c r="M355" s="12" t="s">
        <v>98</v>
      </c>
      <c r="N355" s="36" t="s">
        <v>2160</v>
      </c>
      <c r="O355" s="34">
        <v>158</v>
      </c>
      <c r="P355" s="6" t="s">
        <v>98</v>
      </c>
      <c r="Q355" s="34">
        <v>248</v>
      </c>
      <c r="R355" s="6" t="s">
        <v>98</v>
      </c>
      <c r="S355" s="6" t="s">
        <v>98</v>
      </c>
      <c r="T355" s="12">
        <f>Tableau1[[#This Row],[Loyer €/m²]]*Tableau1[[#This Row],[Surface GLA]]</f>
        <v>31600</v>
      </c>
      <c r="U355" s="12">
        <f>IFERROR(Tableau1[[#This Row],[Loyer annuel]]/12,"")</f>
        <v>2633.3333333333335</v>
      </c>
      <c r="V355" s="12">
        <v>200</v>
      </c>
      <c r="W355" s="6" t="s">
        <v>98</v>
      </c>
      <c r="X355" s="6">
        <f>Tableau1[[#This Row],[Charges €/m²]]*Tableau1[[#This Row],[Surface GLA]]</f>
        <v>6320</v>
      </c>
      <c r="Y355" s="12">
        <f>Tableau1[[#This Row],[Charges annuelles]]/12</f>
        <v>526.66666666666663</v>
      </c>
      <c r="Z355" s="12">
        <v>40</v>
      </c>
      <c r="AA355" s="12">
        <f>IFERROR(Tableau1[[#This Row],[Taxe foncière €/m²]]*Tableau1[[#This Row],[Surface GLA]],)</f>
        <v>2054</v>
      </c>
      <c r="AB355" s="12">
        <v>13</v>
      </c>
      <c r="AC355" s="12">
        <f>IFERROR(Tableau1[[#This Row],[Marketing €/m²]]*Tableau1[[#This Row],[Surface GLA]],)</f>
        <v>3160</v>
      </c>
      <c r="AD355" s="12">
        <v>20</v>
      </c>
      <c r="AE355" s="12">
        <f>IFERROR(Tableau1[[#This Row],[Loyer annuel]]+Tableau1[[#This Row],[Charges annuelles]]+Tableau1[[#This Row],[Taxe foncière]]+Tableau1[[#This Row],[Marketing]],"")</f>
        <v>43134</v>
      </c>
      <c r="AF355" s="12" t="str">
        <f t="shared" si="16"/>
        <v>3 mois = 7 900 €</v>
      </c>
      <c r="AG355" s="6" t="s">
        <v>98</v>
      </c>
      <c r="AH355" s="6" t="s">
        <v>98</v>
      </c>
      <c r="AI355" s="12" t="s">
        <v>357</v>
      </c>
      <c r="AJ355" s="10"/>
      <c r="AK355" s="10"/>
      <c r="AL355" s="10"/>
      <c r="AM355" s="11"/>
      <c r="AN355" s="11" t="s">
        <v>1386</v>
      </c>
      <c r="AO355" s="5" t="s">
        <v>361</v>
      </c>
      <c r="AP355" s="11" t="s">
        <v>2187</v>
      </c>
      <c r="AQ355" s="11" t="s">
        <v>2192</v>
      </c>
      <c r="AR355" s="11" t="s">
        <v>2169</v>
      </c>
      <c r="AS355" s="36" t="s">
        <v>2186</v>
      </c>
      <c r="AT355" s="11" t="s">
        <v>70</v>
      </c>
      <c r="AU355" s="11" t="s">
        <v>370</v>
      </c>
      <c r="AV355" s="13" t="s">
        <v>1871</v>
      </c>
      <c r="AW355" s="14"/>
      <c r="AX355" s="44"/>
    </row>
    <row r="356" spans="1:50" ht="25.5">
      <c r="A356" s="38" t="str">
        <f>VLOOKUP(Tableau1[[#This Row],[N° Département]],Feuil1!$C$6:$E$106,3)</f>
        <v>Auvergne-Rhône-Alpes</v>
      </c>
      <c r="B356" s="38" t="str">
        <f>VLOOKUP(Tableau1[[#This Row],[N° Département]],Feuil1!$C$6:$E$106,2)</f>
        <v>Allier</v>
      </c>
      <c r="C356" s="38">
        <f>LEFT(Tableau1[[#This Row],[Code Postal]],2)*1</f>
        <v>3</v>
      </c>
      <c r="D356" s="10" t="s">
        <v>2157</v>
      </c>
      <c r="E356" s="49" t="s">
        <v>2155</v>
      </c>
      <c r="F356" s="10" t="s">
        <v>2156</v>
      </c>
      <c r="G356" s="39" t="str">
        <f>Tableau1[[#This Row],[Rue]]&amp;CHAR(10)&amp;Tableau1[[#This Row],[Code Postal]]&amp;" - "&amp;Tableau1[[#This Row],[Ville]]</f>
        <v>Cc Terre Neuve, Route De Guéret
03 410 - Domérat</v>
      </c>
      <c r="H356" s="15" t="s">
        <v>2154</v>
      </c>
      <c r="I356" s="12" t="s">
        <v>47</v>
      </c>
      <c r="J356" s="12" t="s">
        <v>49</v>
      </c>
      <c r="K356" s="10" t="s">
        <v>98</v>
      </c>
      <c r="L356" s="10" t="s">
        <v>98</v>
      </c>
      <c r="M356" s="12" t="s">
        <v>98</v>
      </c>
      <c r="N356" s="36" t="s">
        <v>2161</v>
      </c>
      <c r="O356" s="34">
        <v>90</v>
      </c>
      <c r="P356" s="6" t="s">
        <v>98</v>
      </c>
      <c r="Q356" s="34">
        <v>248</v>
      </c>
      <c r="R356" s="6" t="s">
        <v>98</v>
      </c>
      <c r="S356" s="6" t="s">
        <v>98</v>
      </c>
      <c r="T356" s="12">
        <f>Tableau1[[#This Row],[Loyer €/m²]]*Tableau1[[#This Row],[Surface GLA]]</f>
        <v>27000</v>
      </c>
      <c r="U356" s="12">
        <f>IFERROR(Tableau1[[#This Row],[Loyer annuel]]/12,"")</f>
        <v>2250</v>
      </c>
      <c r="V356" s="12">
        <v>300</v>
      </c>
      <c r="W356" s="6" t="s">
        <v>98</v>
      </c>
      <c r="X356" s="6">
        <f>Tableau1[[#This Row],[Charges €/m²]]*Tableau1[[#This Row],[Surface GLA]]</f>
        <v>3600</v>
      </c>
      <c r="Y356" s="12">
        <f>Tableau1[[#This Row],[Charges annuelles]]/12</f>
        <v>300</v>
      </c>
      <c r="Z356" s="12">
        <v>40</v>
      </c>
      <c r="AA356" s="12">
        <f>IFERROR(Tableau1[[#This Row],[Taxe foncière €/m²]]*Tableau1[[#This Row],[Surface GLA]],)</f>
        <v>1170</v>
      </c>
      <c r="AB356" s="12">
        <v>13</v>
      </c>
      <c r="AC356" s="12">
        <f>IFERROR(Tableau1[[#This Row],[Marketing €/m²]]*Tableau1[[#This Row],[Surface GLA]],)</f>
        <v>1800</v>
      </c>
      <c r="AD356" s="12">
        <v>20</v>
      </c>
      <c r="AE356" s="12">
        <f>IFERROR(Tableau1[[#This Row],[Loyer annuel]]+Tableau1[[#This Row],[Charges annuelles]]+Tableau1[[#This Row],[Taxe foncière]]+Tableau1[[#This Row],[Marketing]],"")</f>
        <v>33570</v>
      </c>
      <c r="AF356" s="12" t="str">
        <f t="shared" si="16"/>
        <v>3 mois = 6 750 €</v>
      </c>
      <c r="AG356" s="6" t="s">
        <v>98</v>
      </c>
      <c r="AH356" s="6" t="s">
        <v>98</v>
      </c>
      <c r="AI356" s="12" t="s">
        <v>357</v>
      </c>
      <c r="AJ356" s="10"/>
      <c r="AK356" s="10"/>
      <c r="AL356" s="10"/>
      <c r="AM356" s="11"/>
      <c r="AN356" s="11" t="s">
        <v>1386</v>
      </c>
      <c r="AO356" s="5" t="s">
        <v>361</v>
      </c>
      <c r="AP356" s="11" t="s">
        <v>2193</v>
      </c>
      <c r="AQ356" s="11" t="s">
        <v>2194</v>
      </c>
      <c r="AR356" s="11" t="s">
        <v>2170</v>
      </c>
      <c r="AS356" s="36" t="s">
        <v>2186</v>
      </c>
      <c r="AT356" s="11" t="s">
        <v>70</v>
      </c>
      <c r="AU356" s="11" t="s">
        <v>370</v>
      </c>
      <c r="AV356" s="13" t="s">
        <v>1871</v>
      </c>
      <c r="AW356" s="14"/>
      <c r="AX356" s="44"/>
    </row>
    <row r="357" spans="1:50" ht="25.5">
      <c r="A357" s="38" t="str">
        <f>VLOOKUP(Tableau1[[#This Row],[N° Département]],Feuil1!$C$6:$E$106,3)</f>
        <v>Auvergne-Rhône-Alpes</v>
      </c>
      <c r="B357" s="38" t="str">
        <f>VLOOKUP(Tableau1[[#This Row],[N° Département]],Feuil1!$C$6:$E$106,2)</f>
        <v>Allier</v>
      </c>
      <c r="C357" s="38">
        <f>LEFT(Tableau1[[#This Row],[Code Postal]],2)*1</f>
        <v>3</v>
      </c>
      <c r="D357" s="10" t="s">
        <v>2157</v>
      </c>
      <c r="E357" s="49" t="s">
        <v>2155</v>
      </c>
      <c r="F357" s="10" t="s">
        <v>2156</v>
      </c>
      <c r="G357" s="39" t="str">
        <f>Tableau1[[#This Row],[Rue]]&amp;CHAR(10)&amp;Tableau1[[#This Row],[Code Postal]]&amp;" - "&amp;Tableau1[[#This Row],[Ville]]</f>
        <v>Cc Terre Neuve, Route De Guéret
03 410 - Domérat</v>
      </c>
      <c r="H357" s="15" t="s">
        <v>2154</v>
      </c>
      <c r="I357" s="12" t="s">
        <v>47</v>
      </c>
      <c r="J357" s="12" t="s">
        <v>49</v>
      </c>
      <c r="K357" s="10" t="s">
        <v>98</v>
      </c>
      <c r="L357" s="10" t="s">
        <v>98</v>
      </c>
      <c r="M357" s="12" t="s">
        <v>98</v>
      </c>
      <c r="N357" s="36" t="s">
        <v>2164</v>
      </c>
      <c r="O357" s="34">
        <v>107</v>
      </c>
      <c r="P357" s="6" t="s">
        <v>98</v>
      </c>
      <c r="Q357" s="34">
        <v>335</v>
      </c>
      <c r="R357" s="6" t="s">
        <v>98</v>
      </c>
      <c r="S357" s="6" t="s">
        <v>98</v>
      </c>
      <c r="T357" s="12">
        <f>Tableau1[[#This Row],[Loyer €/m²]]*Tableau1[[#This Row],[Surface GLA]]</f>
        <v>26750</v>
      </c>
      <c r="U357" s="12">
        <f>IFERROR(Tableau1[[#This Row],[Loyer annuel]]/12,"")</f>
        <v>2229.1666666666665</v>
      </c>
      <c r="V357" s="12">
        <v>250</v>
      </c>
      <c r="W357" s="6" t="s">
        <v>98</v>
      </c>
      <c r="X357" s="6">
        <f>Tableau1[[#This Row],[Charges €/m²]]*Tableau1[[#This Row],[Surface GLA]]</f>
        <v>4280</v>
      </c>
      <c r="Y357" s="12">
        <f>Tableau1[[#This Row],[Charges annuelles]]/12</f>
        <v>356.66666666666669</v>
      </c>
      <c r="Z357" s="12">
        <v>40</v>
      </c>
      <c r="AA357" s="12">
        <f>IFERROR(Tableau1[[#This Row],[Taxe foncière €/m²]]*Tableau1[[#This Row],[Surface GLA]],)</f>
        <v>1391</v>
      </c>
      <c r="AB357" s="12">
        <v>13</v>
      </c>
      <c r="AC357" s="12">
        <f>IFERROR(Tableau1[[#This Row],[Marketing €/m²]]*Tableau1[[#This Row],[Surface GLA]],)</f>
        <v>2140</v>
      </c>
      <c r="AD357" s="12">
        <v>20</v>
      </c>
      <c r="AE357" s="12">
        <f>IFERROR(Tableau1[[#This Row],[Loyer annuel]]+Tableau1[[#This Row],[Charges annuelles]]+Tableau1[[#This Row],[Taxe foncière]]+Tableau1[[#This Row],[Marketing]],"")</f>
        <v>34561</v>
      </c>
      <c r="AF357" s="12" t="str">
        <f t="shared" si="16"/>
        <v>3 mois = 6 688 €</v>
      </c>
      <c r="AG357" s="6" t="s">
        <v>98</v>
      </c>
      <c r="AH357" s="6" t="s">
        <v>98</v>
      </c>
      <c r="AI357" s="12" t="s">
        <v>357</v>
      </c>
      <c r="AJ357" s="10"/>
      <c r="AK357" s="10"/>
      <c r="AL357" s="10"/>
      <c r="AM357" s="11"/>
      <c r="AN357" s="11" t="s">
        <v>1386</v>
      </c>
      <c r="AO357" s="5" t="s">
        <v>361</v>
      </c>
      <c r="AP357" s="11" t="s">
        <v>2176</v>
      </c>
      <c r="AQ357" s="11" t="s">
        <v>2177</v>
      </c>
      <c r="AR357" s="11" t="s">
        <v>2171</v>
      </c>
      <c r="AS357" s="36" t="s">
        <v>2186</v>
      </c>
      <c r="AT357" s="11" t="s">
        <v>70</v>
      </c>
      <c r="AU357" s="11" t="s">
        <v>370</v>
      </c>
      <c r="AV357" s="13" t="s">
        <v>1871</v>
      </c>
      <c r="AW357" s="14"/>
      <c r="AX357" s="44"/>
    </row>
    <row r="358" spans="1:50" ht="25.5">
      <c r="A358" s="38" t="str">
        <f>VLOOKUP(Tableau1[[#This Row],[N° Département]],Feuil1!$C$6:$E$106,3)</f>
        <v>Auvergne-Rhône-Alpes</v>
      </c>
      <c r="B358" s="38" t="str">
        <f>VLOOKUP(Tableau1[[#This Row],[N° Département]],Feuil1!$C$6:$E$106,2)</f>
        <v>Allier</v>
      </c>
      <c r="C358" s="38">
        <f>LEFT(Tableau1[[#This Row],[Code Postal]],2)*1</f>
        <v>3</v>
      </c>
      <c r="D358" s="10" t="s">
        <v>2157</v>
      </c>
      <c r="E358" s="49" t="s">
        <v>2155</v>
      </c>
      <c r="F358" s="10" t="s">
        <v>2156</v>
      </c>
      <c r="G358" s="39" t="str">
        <f>Tableau1[[#This Row],[Rue]]&amp;CHAR(10)&amp;Tableau1[[#This Row],[Code Postal]]&amp;" - "&amp;Tableau1[[#This Row],[Ville]]</f>
        <v>Cc Terre Neuve, Route De Guéret
03 410 - Domérat</v>
      </c>
      <c r="H358" s="15" t="s">
        <v>2154</v>
      </c>
      <c r="I358" s="12" t="s">
        <v>47</v>
      </c>
      <c r="J358" s="12" t="s">
        <v>49</v>
      </c>
      <c r="K358" s="10" t="s">
        <v>98</v>
      </c>
      <c r="L358" s="10" t="s">
        <v>98</v>
      </c>
      <c r="M358" s="12" t="s">
        <v>98</v>
      </c>
      <c r="N358" s="36" t="s">
        <v>2162</v>
      </c>
      <c r="O358" s="34">
        <v>87</v>
      </c>
      <c r="P358" s="6" t="s">
        <v>98</v>
      </c>
      <c r="Q358" s="34">
        <v>335</v>
      </c>
      <c r="R358" s="6" t="s">
        <v>98</v>
      </c>
      <c r="S358" s="6" t="s">
        <v>98</v>
      </c>
      <c r="T358" s="12">
        <f>Tableau1[[#This Row],[Loyer €/m²]]*Tableau1[[#This Row],[Surface GLA]]</f>
        <v>26100</v>
      </c>
      <c r="U358" s="12">
        <f>IFERROR(Tableau1[[#This Row],[Loyer annuel]]/12,"")</f>
        <v>2175</v>
      </c>
      <c r="V358" s="12">
        <v>300</v>
      </c>
      <c r="W358" s="6" t="s">
        <v>98</v>
      </c>
      <c r="X358" s="6">
        <f>Tableau1[[#This Row],[Charges €/m²]]*Tableau1[[#This Row],[Surface GLA]]</f>
        <v>3480</v>
      </c>
      <c r="Y358" s="12">
        <f>Tableau1[[#This Row],[Charges annuelles]]/12</f>
        <v>290</v>
      </c>
      <c r="Z358" s="12">
        <v>40</v>
      </c>
      <c r="AA358" s="12">
        <f>IFERROR(Tableau1[[#This Row],[Taxe foncière €/m²]]*Tableau1[[#This Row],[Surface GLA]],)</f>
        <v>1131</v>
      </c>
      <c r="AB358" s="12">
        <v>13</v>
      </c>
      <c r="AC358" s="12">
        <f>IFERROR(Tableau1[[#This Row],[Marketing €/m²]]*Tableau1[[#This Row],[Surface GLA]],)</f>
        <v>1740</v>
      </c>
      <c r="AD358" s="12">
        <v>20</v>
      </c>
      <c r="AE358" s="12">
        <f>IFERROR(Tableau1[[#This Row],[Loyer annuel]]+Tableau1[[#This Row],[Charges annuelles]]+Tableau1[[#This Row],[Taxe foncière]]+Tableau1[[#This Row],[Marketing]],"")</f>
        <v>32451</v>
      </c>
      <c r="AF358" s="12" t="str">
        <f t="shared" si="16"/>
        <v>3 mois = 6 525 €</v>
      </c>
      <c r="AG358" s="6" t="s">
        <v>98</v>
      </c>
      <c r="AH358" s="6" t="s">
        <v>98</v>
      </c>
      <c r="AI358" s="12" t="s">
        <v>357</v>
      </c>
      <c r="AJ358" s="10"/>
      <c r="AK358" s="10"/>
      <c r="AL358" s="10"/>
      <c r="AM358" s="11"/>
      <c r="AN358" s="11" t="s">
        <v>1386</v>
      </c>
      <c r="AO358" s="5" t="s">
        <v>361</v>
      </c>
      <c r="AP358" s="11" t="s">
        <v>2178</v>
      </c>
      <c r="AQ358" s="11" t="s">
        <v>2179</v>
      </c>
      <c r="AR358" s="11" t="s">
        <v>2172</v>
      </c>
      <c r="AS358" s="36" t="s">
        <v>2186</v>
      </c>
      <c r="AT358" s="11" t="s">
        <v>70</v>
      </c>
      <c r="AU358" s="11" t="s">
        <v>370</v>
      </c>
      <c r="AV358" s="13" t="s">
        <v>1871</v>
      </c>
      <c r="AW358" s="14"/>
      <c r="AX358" s="44"/>
    </row>
    <row r="359" spans="1:50" ht="25.5">
      <c r="A359" s="38" t="str">
        <f>VLOOKUP(Tableau1[[#This Row],[N° Département]],Feuil1!$C$6:$E$106,3)</f>
        <v>Auvergne-Rhône-Alpes</v>
      </c>
      <c r="B359" s="38" t="str">
        <f>VLOOKUP(Tableau1[[#This Row],[N° Département]],Feuil1!$C$6:$E$106,2)</f>
        <v>Allier</v>
      </c>
      <c r="C359" s="38">
        <f>LEFT(Tableau1[[#This Row],[Code Postal]],2)*1</f>
        <v>3</v>
      </c>
      <c r="D359" s="10" t="s">
        <v>2157</v>
      </c>
      <c r="E359" s="49" t="s">
        <v>2155</v>
      </c>
      <c r="F359" s="10" t="s">
        <v>2156</v>
      </c>
      <c r="G359" s="39" t="str">
        <f>Tableau1[[#This Row],[Rue]]&amp;CHAR(10)&amp;Tableau1[[#This Row],[Code Postal]]&amp;" - "&amp;Tableau1[[#This Row],[Ville]]</f>
        <v>Cc Terre Neuve, Route De Guéret
03 410 - Domérat</v>
      </c>
      <c r="H359" s="15" t="s">
        <v>2154</v>
      </c>
      <c r="I359" s="12" t="s">
        <v>47</v>
      </c>
      <c r="J359" s="12" t="s">
        <v>49</v>
      </c>
      <c r="K359" s="10" t="s">
        <v>98</v>
      </c>
      <c r="L359" s="10" t="s">
        <v>98</v>
      </c>
      <c r="M359" s="12" t="s">
        <v>98</v>
      </c>
      <c r="N359" s="36" t="s">
        <v>2163</v>
      </c>
      <c r="O359" s="34">
        <v>141</v>
      </c>
      <c r="P359" s="6" t="s">
        <v>98</v>
      </c>
      <c r="Q359" s="34">
        <v>335</v>
      </c>
      <c r="R359" s="6" t="s">
        <v>98</v>
      </c>
      <c r="S359" s="6" t="s">
        <v>98</v>
      </c>
      <c r="T359" s="12">
        <f>Tableau1[[#This Row],[Loyer €/m²]]*Tableau1[[#This Row],[Surface GLA]]</f>
        <v>35250</v>
      </c>
      <c r="U359" s="12">
        <f>IFERROR(Tableau1[[#This Row],[Loyer annuel]]/12,"")</f>
        <v>2937.5</v>
      </c>
      <c r="V359" s="12">
        <v>250</v>
      </c>
      <c r="W359" s="6" t="s">
        <v>98</v>
      </c>
      <c r="X359" s="6">
        <f>Tableau1[[#This Row],[Charges €/m²]]*Tableau1[[#This Row],[Surface GLA]]</f>
        <v>5640</v>
      </c>
      <c r="Y359" s="12">
        <f>Tableau1[[#This Row],[Charges annuelles]]/12</f>
        <v>470</v>
      </c>
      <c r="Z359" s="12">
        <v>40</v>
      </c>
      <c r="AA359" s="12">
        <f>IFERROR(Tableau1[[#This Row],[Taxe foncière €/m²]]*Tableau1[[#This Row],[Surface GLA]],)</f>
        <v>1833</v>
      </c>
      <c r="AB359" s="12">
        <v>13</v>
      </c>
      <c r="AC359" s="12">
        <f>IFERROR(Tableau1[[#This Row],[Marketing €/m²]]*Tableau1[[#This Row],[Surface GLA]],)</f>
        <v>2820</v>
      </c>
      <c r="AD359" s="12">
        <v>20</v>
      </c>
      <c r="AE359" s="12">
        <f>IFERROR(Tableau1[[#This Row],[Loyer annuel]]+Tableau1[[#This Row],[Charges annuelles]]+Tableau1[[#This Row],[Taxe foncière]]+Tableau1[[#This Row],[Marketing]],"")</f>
        <v>45543</v>
      </c>
      <c r="AF359" s="12" t="str">
        <f t="shared" si="16"/>
        <v>3 mois = 8 813 €</v>
      </c>
      <c r="AG359" s="6" t="s">
        <v>98</v>
      </c>
      <c r="AH359" s="6" t="s">
        <v>98</v>
      </c>
      <c r="AI359" s="12" t="s">
        <v>357</v>
      </c>
      <c r="AJ359" s="10"/>
      <c r="AK359" s="10"/>
      <c r="AL359" s="10"/>
      <c r="AM359" s="11"/>
      <c r="AN359" s="11" t="s">
        <v>1386</v>
      </c>
      <c r="AO359" s="5" t="s">
        <v>361</v>
      </c>
      <c r="AP359" s="11" t="s">
        <v>2180</v>
      </c>
      <c r="AQ359" s="11" t="s">
        <v>2181</v>
      </c>
      <c r="AR359" s="11" t="s">
        <v>2173</v>
      </c>
      <c r="AS359" s="36" t="s">
        <v>2186</v>
      </c>
      <c r="AT359" s="11" t="s">
        <v>70</v>
      </c>
      <c r="AU359" s="11" t="s">
        <v>370</v>
      </c>
      <c r="AV359" s="13" t="s">
        <v>1871</v>
      </c>
      <c r="AW359" s="14"/>
      <c r="AX359" s="44"/>
    </row>
    <row r="360" spans="1:50" ht="25.5">
      <c r="A360" s="38" t="str">
        <f>VLOOKUP(Tableau1[[#This Row],[N° Département]],Feuil1!$C$6:$E$106,3)</f>
        <v>Auvergne-Rhône-Alpes</v>
      </c>
      <c r="B360" s="38" t="str">
        <f>VLOOKUP(Tableau1[[#This Row],[N° Département]],Feuil1!$C$6:$E$106,2)</f>
        <v>Allier</v>
      </c>
      <c r="C360" s="38">
        <f>LEFT(Tableau1[[#This Row],[Code Postal]],2)*1</f>
        <v>3</v>
      </c>
      <c r="D360" s="10" t="s">
        <v>2157</v>
      </c>
      <c r="E360" s="49" t="s">
        <v>2155</v>
      </c>
      <c r="F360" s="10" t="s">
        <v>2156</v>
      </c>
      <c r="G360" s="39" t="str">
        <f>Tableau1[[#This Row],[Rue]]&amp;CHAR(10)&amp;Tableau1[[#This Row],[Code Postal]]&amp;" - "&amp;Tableau1[[#This Row],[Ville]]</f>
        <v>Cc Terre Neuve, Route De Guéret
03 410 - Domérat</v>
      </c>
      <c r="H360" s="15" t="s">
        <v>2154</v>
      </c>
      <c r="I360" s="12" t="s">
        <v>47</v>
      </c>
      <c r="J360" s="12" t="s">
        <v>49</v>
      </c>
      <c r="K360" s="10" t="s">
        <v>98</v>
      </c>
      <c r="L360" s="10" t="s">
        <v>98</v>
      </c>
      <c r="M360" s="12" t="s">
        <v>98</v>
      </c>
      <c r="N360" s="36" t="s">
        <v>2165</v>
      </c>
      <c r="O360" s="34">
        <v>63</v>
      </c>
      <c r="P360" s="6" t="s">
        <v>98</v>
      </c>
      <c r="Q360" s="6" t="s">
        <v>98</v>
      </c>
      <c r="R360" s="6" t="s">
        <v>98</v>
      </c>
      <c r="S360" s="6" t="s">
        <v>98</v>
      </c>
      <c r="T360" s="12">
        <f>Tableau1[[#This Row],[Loyer €/m²]]*Tableau1[[#This Row],[Surface GLA]]</f>
        <v>18900</v>
      </c>
      <c r="U360" s="12">
        <f>IFERROR(Tableau1[[#This Row],[Loyer annuel]]/12,"")</f>
        <v>1575</v>
      </c>
      <c r="V360" s="12">
        <v>300</v>
      </c>
      <c r="W360" s="6" t="s">
        <v>98</v>
      </c>
      <c r="X360" s="6">
        <f>Tableau1[[#This Row],[Charges €/m²]]*Tableau1[[#This Row],[Surface GLA]]</f>
        <v>2520</v>
      </c>
      <c r="Y360" s="12">
        <f>Tableau1[[#This Row],[Charges annuelles]]/12</f>
        <v>210</v>
      </c>
      <c r="Z360" s="12">
        <v>40</v>
      </c>
      <c r="AA360" s="12">
        <f>IFERROR(Tableau1[[#This Row],[Taxe foncière €/m²]]*Tableau1[[#This Row],[Surface GLA]],)</f>
        <v>819</v>
      </c>
      <c r="AB360" s="12">
        <v>13</v>
      </c>
      <c r="AC360" s="12">
        <f>IFERROR(Tableau1[[#This Row],[Marketing €/m²]]*Tableau1[[#This Row],[Surface GLA]],)</f>
        <v>1260</v>
      </c>
      <c r="AD360" s="12">
        <v>20</v>
      </c>
      <c r="AE360" s="12">
        <f>IFERROR(Tableau1[[#This Row],[Loyer annuel]]+Tableau1[[#This Row],[Charges annuelles]]+Tableau1[[#This Row],[Taxe foncière]]+Tableau1[[#This Row],[Marketing]],"")</f>
        <v>23499</v>
      </c>
      <c r="AF360" s="12" t="str">
        <f t="shared" si="16"/>
        <v>3 mois = 4 725 €</v>
      </c>
      <c r="AG360" s="6" t="s">
        <v>98</v>
      </c>
      <c r="AH360" s="6" t="s">
        <v>98</v>
      </c>
      <c r="AI360" s="12" t="s">
        <v>357</v>
      </c>
      <c r="AJ360" s="10"/>
      <c r="AK360" s="10"/>
      <c r="AL360" s="10"/>
      <c r="AM360" s="11"/>
      <c r="AN360" s="11" t="s">
        <v>1386</v>
      </c>
      <c r="AO360" s="5" t="s">
        <v>361</v>
      </c>
      <c r="AP360" s="11" t="s">
        <v>2182</v>
      </c>
      <c r="AQ360" s="11" t="s">
        <v>2183</v>
      </c>
      <c r="AR360" s="11" t="s">
        <v>2174</v>
      </c>
      <c r="AS360" s="36" t="s">
        <v>2186</v>
      </c>
      <c r="AT360" s="11" t="s">
        <v>70</v>
      </c>
      <c r="AU360" s="11" t="s">
        <v>370</v>
      </c>
      <c r="AV360" s="13" t="s">
        <v>1871</v>
      </c>
      <c r="AW360" s="14"/>
      <c r="AX360" s="44"/>
    </row>
    <row r="361" spans="1:50" ht="25.5">
      <c r="A361" s="38" t="str">
        <f>VLOOKUP(Tableau1[[#This Row],[N° Département]],Feuil1!$C$6:$E$106,3)</f>
        <v>Auvergne-Rhône-Alpes</v>
      </c>
      <c r="B361" s="38" t="str">
        <f>VLOOKUP(Tableau1[[#This Row],[N° Département]],Feuil1!$C$6:$E$106,2)</f>
        <v>Allier</v>
      </c>
      <c r="C361" s="38">
        <f>LEFT(Tableau1[[#This Row],[Code Postal]],2)*1</f>
        <v>3</v>
      </c>
      <c r="D361" s="10" t="s">
        <v>2157</v>
      </c>
      <c r="E361" s="49" t="s">
        <v>2155</v>
      </c>
      <c r="F361" s="10" t="s">
        <v>2156</v>
      </c>
      <c r="G361" s="39" t="str">
        <f>Tableau1[[#This Row],[Rue]]&amp;CHAR(10)&amp;Tableau1[[#This Row],[Code Postal]]&amp;" - "&amp;Tableau1[[#This Row],[Ville]]</f>
        <v>Cc Terre Neuve, Route De Guéret
03 410 - Domérat</v>
      </c>
      <c r="H361" s="15" t="s">
        <v>2154</v>
      </c>
      <c r="I361" s="12" t="s">
        <v>47</v>
      </c>
      <c r="J361" s="12" t="s">
        <v>49</v>
      </c>
      <c r="K361" s="10" t="s">
        <v>98</v>
      </c>
      <c r="L361" s="10" t="s">
        <v>98</v>
      </c>
      <c r="M361" s="12" t="s">
        <v>98</v>
      </c>
      <c r="N361" s="36" t="s">
        <v>2166</v>
      </c>
      <c r="O361" s="34">
        <v>109</v>
      </c>
      <c r="P361" s="6" t="s">
        <v>98</v>
      </c>
      <c r="Q361" s="6" t="s">
        <v>98</v>
      </c>
      <c r="R361" s="6" t="s">
        <v>98</v>
      </c>
      <c r="S361" s="6" t="s">
        <v>98</v>
      </c>
      <c r="T361" s="12">
        <f>Tableau1[[#This Row],[Loyer €/m²]]*Tableau1[[#This Row],[Surface GLA]]</f>
        <v>27250</v>
      </c>
      <c r="U361" s="12">
        <f>IFERROR(Tableau1[[#This Row],[Loyer annuel]]/12,"")</f>
        <v>2270.8333333333335</v>
      </c>
      <c r="V361" s="12">
        <v>250</v>
      </c>
      <c r="W361" s="6" t="s">
        <v>98</v>
      </c>
      <c r="X361" s="6">
        <f>Tableau1[[#This Row],[Charges €/m²]]*Tableau1[[#This Row],[Surface GLA]]</f>
        <v>4360</v>
      </c>
      <c r="Y361" s="12">
        <f>Tableau1[[#This Row],[Charges annuelles]]/12</f>
        <v>363.33333333333331</v>
      </c>
      <c r="Z361" s="12">
        <v>40</v>
      </c>
      <c r="AA361" s="12">
        <f>IFERROR(Tableau1[[#This Row],[Taxe foncière €/m²]]*Tableau1[[#This Row],[Surface GLA]],)</f>
        <v>1417</v>
      </c>
      <c r="AB361" s="12">
        <v>13</v>
      </c>
      <c r="AC361" s="12">
        <f>IFERROR(Tableau1[[#This Row],[Marketing €/m²]]*Tableau1[[#This Row],[Surface GLA]],)</f>
        <v>2180</v>
      </c>
      <c r="AD361" s="12">
        <v>20</v>
      </c>
      <c r="AE361" s="12">
        <f>IFERROR(Tableau1[[#This Row],[Loyer annuel]]+Tableau1[[#This Row],[Charges annuelles]]+Tableau1[[#This Row],[Taxe foncière]]+Tableau1[[#This Row],[Marketing]],"")</f>
        <v>35207</v>
      </c>
      <c r="AF361" s="12" t="str">
        <f t="shared" si="16"/>
        <v>3 mois = 6 813 €</v>
      </c>
      <c r="AG361" s="6" t="s">
        <v>98</v>
      </c>
      <c r="AH361" s="6" t="s">
        <v>98</v>
      </c>
      <c r="AI361" s="12" t="s">
        <v>357</v>
      </c>
      <c r="AJ361" s="10"/>
      <c r="AK361" s="10"/>
      <c r="AL361" s="10"/>
      <c r="AM361" s="11"/>
      <c r="AN361" s="11" t="s">
        <v>1386</v>
      </c>
      <c r="AO361" s="5" t="s">
        <v>361</v>
      </c>
      <c r="AP361" s="11" t="s">
        <v>2184</v>
      </c>
      <c r="AQ361" s="11" t="s">
        <v>2185</v>
      </c>
      <c r="AR361" s="11" t="s">
        <v>2175</v>
      </c>
      <c r="AS361" s="36" t="s">
        <v>2186</v>
      </c>
      <c r="AT361" s="11" t="s">
        <v>70</v>
      </c>
      <c r="AU361" s="11" t="s">
        <v>370</v>
      </c>
      <c r="AV361" s="13" t="s">
        <v>1871</v>
      </c>
      <c r="AW361" s="14"/>
      <c r="AX361" s="44"/>
    </row>
    <row r="385" spans="6:6">
      <c r="F385" s="1" t="s">
        <v>995</v>
      </c>
    </row>
    <row r="386" spans="6:6">
      <c r="F386"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6" r:id="rId240" xr:uid="{49A01813-52A0-404C-92BA-54EF4D718CB7}"/>
    <hyperlink ref="H327" r:id="rId241" xr:uid="{80CCBAEF-6A99-442C-9A56-81B764B73EC2}"/>
    <hyperlink ref="H328" r:id="rId242" xr:uid="{072602D4-2E10-41ED-A386-57F09024FAE2}"/>
    <hyperlink ref="H329" r:id="rId243" xr:uid="{70FF3256-D984-4D4D-89BA-121FA1873E27}"/>
    <hyperlink ref="H330" r:id="rId244" xr:uid="{918FA815-DE52-41A8-90E1-21840078D3EA}"/>
    <hyperlink ref="H331" r:id="rId245" xr:uid="{13E8E726-00F1-43DF-AD54-2EF27AF985C3}"/>
    <hyperlink ref="H332" r:id="rId246" xr:uid="{2E15494E-6D46-45BE-90BF-77F429F95A81}"/>
    <hyperlink ref="H333" r:id="rId247" xr:uid="{5BB2DC43-94D6-4856-91F8-3587E943A69F}"/>
    <hyperlink ref="H334" r:id="rId248" xr:uid="{9191ADCA-3E27-4429-A3E1-BFD7826F8A5D}"/>
    <hyperlink ref="H335" r:id="rId249" xr:uid="{F776E42C-E1AD-45E8-A29C-1D8BD7202448}"/>
    <hyperlink ref="H336" r:id="rId250" xr:uid="{BC1BBF2C-0EF7-4444-9796-1878E6F93381}"/>
    <hyperlink ref="H337" r:id="rId251" xr:uid="{B519C797-D442-4B16-83ED-9819FB25F874}"/>
    <hyperlink ref="H338" r:id="rId252" xr:uid="{7C8D4687-EA34-437D-ACCA-5A0365C79698}"/>
    <hyperlink ref="H339" r:id="rId253" xr:uid="{D01D3410-B8A4-4F3F-820E-B5C2245828C2}"/>
    <hyperlink ref="H340" r:id="rId254" xr:uid="{F3685333-8429-47B8-B68D-BF7A8F542065}"/>
    <hyperlink ref="H341" r:id="rId255" xr:uid="{C13A9DA0-2916-43B1-A420-149EC8395993}"/>
    <hyperlink ref="H342" r:id="rId256" xr:uid="{B6A500CA-7217-49B8-A950-B272EC327C01}"/>
    <hyperlink ref="H343" r:id="rId257" xr:uid="{E6E2FDD9-A0B8-4351-83C5-7D2B6FBD3705}"/>
    <hyperlink ref="H344" r:id="rId258" xr:uid="{58E2DD69-699F-44E0-B0BD-F902609E9FF7}"/>
    <hyperlink ref="H345" r:id="rId259" xr:uid="{FC816376-1028-48EF-964B-5B6B47463ED5}"/>
    <hyperlink ref="H346" r:id="rId260" xr:uid="{C02C92B1-151B-4062-8001-E3C0B11124AB}"/>
    <hyperlink ref="H347" r:id="rId261" xr:uid="{658C1AD8-E161-4CC4-B610-EDEC14D9FAE6}"/>
    <hyperlink ref="H348" r:id="rId262" xr:uid="{3DB10061-588D-4FF5-A962-79D7E7A34390}"/>
    <hyperlink ref="H350" r:id="rId263" xr:uid="{A2AEC236-7DAE-40FF-88FA-F00688628594}"/>
    <hyperlink ref="H352" r:id="rId264" xr:uid="{3B802C7D-772F-49A0-B969-EA04AEDB31F1}"/>
    <hyperlink ref="H349" r:id="rId265" xr:uid="{A5ACC57F-29C4-40A3-AC0F-64D5F84F1DB4}"/>
    <hyperlink ref="H351" r:id="rId266" xr:uid="{4CEA5D0C-1935-417C-9DAD-FB09E830FDD9}"/>
    <hyperlink ref="H353" r:id="rId267" xr:uid="{84C9F479-F1AF-484F-9CB4-E70E671C4E5B}"/>
    <hyperlink ref="H354:H361" r:id="rId268" display="https://maps.app.goo.gl/X1jp89PLDxsSRV858" xr:uid="{19A8729E-3281-4918-99AC-A6E64BBA6BC8}"/>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6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2026-06-16T18:19:04Z</dcterms:modified>
</cp:coreProperties>
</file>