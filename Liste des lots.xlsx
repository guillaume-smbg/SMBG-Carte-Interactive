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B15520A2-D513-4AEC-912E-1B087D525600}" xr6:coauthVersionLast="47" xr6:coauthVersionMax="47" xr10:uidLastSave="{00000000-0000-0000-0000-000000000000}"/>
  <bookViews>
    <workbookView xWindow="-19310" yWindow="-110" windowWidth="19420" windowHeight="1030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406" i="2" l="1"/>
  <c r="C406" i="2"/>
  <c r="A406" i="2" s="1"/>
  <c r="U406" i="2"/>
  <c r="Y406" i="2"/>
  <c r="AA406" i="2"/>
  <c r="AE406" i="2" s="1"/>
  <c r="AC406" i="2"/>
  <c r="G405" i="2"/>
  <c r="C405" i="2"/>
  <c r="A405" i="2" s="1"/>
  <c r="U405" i="2"/>
  <c r="Y405" i="2"/>
  <c r="AA405" i="2"/>
  <c r="AC405" i="2"/>
  <c r="G404" i="2"/>
  <c r="C404" i="2"/>
  <c r="A404" i="2" s="1"/>
  <c r="U404" i="2"/>
  <c r="Y404" i="2"/>
  <c r="AA404" i="2"/>
  <c r="AE404" i="2" s="1"/>
  <c r="AC404" i="2"/>
  <c r="Y401" i="2"/>
  <c r="Y402" i="2"/>
  <c r="Y403" i="2"/>
  <c r="U403" i="2"/>
  <c r="AA403" i="2"/>
  <c r="AC403" i="2"/>
  <c r="G403" i="2"/>
  <c r="C403" i="2"/>
  <c r="B403" i="2" s="1"/>
  <c r="U402" i="2"/>
  <c r="AA402" i="2"/>
  <c r="AC402" i="2"/>
  <c r="G402" i="2"/>
  <c r="C402" i="2"/>
  <c r="B402" i="2" s="1"/>
  <c r="U401" i="2"/>
  <c r="AA401" i="2"/>
  <c r="AC401" i="2"/>
  <c r="G401" i="2"/>
  <c r="C401" i="2"/>
  <c r="B401" i="2" s="1"/>
  <c r="T400" i="2"/>
  <c r="U400" i="2" s="1"/>
  <c r="G400" i="2"/>
  <c r="C400" i="2"/>
  <c r="A400" i="2" s="1"/>
  <c r="Y400" i="2"/>
  <c r="AA400" i="2"/>
  <c r="AC400" i="2"/>
  <c r="X399" i="2"/>
  <c r="Y399" i="2" s="1"/>
  <c r="T399" i="2"/>
  <c r="U399" i="2" s="1"/>
  <c r="G386" i="2"/>
  <c r="G387" i="2"/>
  <c r="G388" i="2"/>
  <c r="G389" i="2"/>
  <c r="G390" i="2"/>
  <c r="G391" i="2"/>
  <c r="G392" i="2"/>
  <c r="G393" i="2"/>
  <c r="G394" i="2"/>
  <c r="G395" i="2"/>
  <c r="G396" i="2"/>
  <c r="G397" i="2"/>
  <c r="G398" i="2"/>
  <c r="G399" i="2"/>
  <c r="C399" i="2"/>
  <c r="A399" i="2" s="1"/>
  <c r="AA399" i="2"/>
  <c r="AC399" i="2"/>
  <c r="T386" i="2"/>
  <c r="U386" i="2" s="1"/>
  <c r="T387" i="2"/>
  <c r="U387" i="2" s="1"/>
  <c r="T388" i="2"/>
  <c r="U388" i="2" s="1"/>
  <c r="T389" i="2"/>
  <c r="U389" i="2" s="1"/>
  <c r="T390" i="2"/>
  <c r="U390" i="2" s="1"/>
  <c r="T391" i="2"/>
  <c r="U391" i="2" s="1"/>
  <c r="T392" i="2"/>
  <c r="U392" i="2" s="1"/>
  <c r="T393" i="2"/>
  <c r="U393" i="2" s="1"/>
  <c r="T394" i="2"/>
  <c r="AF394" i="2" s="1"/>
  <c r="T395" i="2"/>
  <c r="AF395" i="2" s="1"/>
  <c r="T396" i="2"/>
  <c r="U396" i="2" s="1"/>
  <c r="T397" i="2"/>
  <c r="U397" i="2" s="1"/>
  <c r="T398" i="2"/>
  <c r="AF398" i="2" s="1"/>
  <c r="X398" i="2"/>
  <c r="Y398" i="2" s="1"/>
  <c r="X397" i="2"/>
  <c r="Y397" i="2" s="1"/>
  <c r="X396" i="2"/>
  <c r="Y396" i="2" s="1"/>
  <c r="X395" i="2"/>
  <c r="Y395" i="2" s="1"/>
  <c r="X394" i="2"/>
  <c r="Y394" i="2" s="1"/>
  <c r="X393" i="2"/>
  <c r="Y393" i="2" s="1"/>
  <c r="X392" i="2"/>
  <c r="Y392" i="2" s="1"/>
  <c r="X391" i="2"/>
  <c r="Y391" i="2" s="1"/>
  <c r="X390" i="2"/>
  <c r="Y390" i="2" s="1"/>
  <c r="X389" i="2"/>
  <c r="Y389" i="2" s="1"/>
  <c r="X388" i="2"/>
  <c r="Y388" i="2" s="1"/>
  <c r="X387" i="2"/>
  <c r="Y387" i="2" s="1"/>
  <c r="X386" i="2"/>
  <c r="Y386" i="2" s="1"/>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C386" i="2"/>
  <c r="A386" i="2" s="1"/>
  <c r="AA386" i="2"/>
  <c r="AC386" i="2"/>
  <c r="X380" i="2"/>
  <c r="Y380" i="2" s="1"/>
  <c r="X381" i="2"/>
  <c r="Y381" i="2" s="1"/>
  <c r="X382" i="2"/>
  <c r="Y382" i="2" s="1"/>
  <c r="X383" i="2"/>
  <c r="Y383" i="2" s="1"/>
  <c r="X384" i="2"/>
  <c r="Y384" i="2" s="1"/>
  <c r="X385" i="2"/>
  <c r="Y385" i="2" s="1"/>
  <c r="T380" i="2"/>
  <c r="AF380" i="2" s="1"/>
  <c r="T381" i="2"/>
  <c r="U381" i="2" s="1"/>
  <c r="T382" i="2"/>
  <c r="AF382" i="2" s="1"/>
  <c r="T383" i="2"/>
  <c r="U383" i="2" s="1"/>
  <c r="T384" i="2"/>
  <c r="AF384" i="2" s="1"/>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405" i="2" l="1"/>
  <c r="AE403" i="2"/>
  <c r="B406" i="2"/>
  <c r="B405" i="2"/>
  <c r="AE402" i="2"/>
  <c r="B404" i="2"/>
  <c r="A403" i="2"/>
  <c r="A402" i="2"/>
  <c r="A401" i="2"/>
  <c r="AE401" i="2"/>
  <c r="AF400" i="2"/>
  <c r="AF391" i="2"/>
  <c r="U384" i="2"/>
  <c r="AE400" i="2"/>
  <c r="U398" i="2"/>
  <c r="AF399" i="2"/>
  <c r="AF397" i="2"/>
  <c r="AF381" i="2"/>
  <c r="AF388" i="2"/>
  <c r="B400" i="2"/>
  <c r="AE399" i="2"/>
  <c r="B399" i="2"/>
  <c r="U395" i="2"/>
  <c r="AF386" i="2"/>
  <c r="U394" i="2"/>
  <c r="AF396" i="2"/>
  <c r="AF393" i="2"/>
  <c r="AF392" i="2"/>
  <c r="AF390" i="2"/>
  <c r="U382" i="2"/>
  <c r="AF389" i="2"/>
  <c r="AF387" i="2"/>
  <c r="AE394" i="2"/>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<sst xmlns="http://schemas.openxmlformats.org/spreadsheetml/2006/main" count="11321" uniqueCount="2461">
  <si>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</si>
  <si>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</si>
  <si>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</si>
  <si>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</si>
  <si>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</si>
  <si>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</si>
  <si>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</si>
  <si>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</si>
  <si>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</si>
  <si>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</si>
  <si>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</si>
  <si>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</si>
  <si>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</si>
  <si>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</si>
  <si>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</si>
  <si>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</si>
  <si>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</si>
  <si>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</si>
  <si>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</si>
  <si>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</si>
  <si>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</si>
  <si>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</si>
  <si>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</si>
  <si>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</si>
  <si>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</si>
  <si>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</si>
  <si>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</si>
  <si>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</si>
  <si>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</si>
  <si>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</si>
  <si>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</si>
  <si>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</si>
  <si>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</si>
  <si>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</si>
  <si>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</si>
  <si>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</si>
  <si>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</si>
  <si>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</si>
  <si>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</si>
  <si>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</si>
  <si>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</si>
  <si>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</si>
  <si>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</si>
  <si>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</si>
  <si>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</si>
  <si>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</si>
  <si>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</si>
  <si>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</si>
  <si>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</si>
  <si>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</si>
  <si>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</si>
  <si>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</si>
  <si>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</si>
  <si>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</si>
  <si>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</si>
  <si>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</si>
  <si>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</si>
  <si>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</si>
  <si>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</si>
  <si>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</si>
  <si>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</si>
  <si>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</si>
  <si>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</si>
  <si>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</si>
  <si>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</si>
  <si>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</si>
  <si>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</si>
  <si>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</si>
  <si>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</si>
  <si>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</si>
  <si>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</si>
  <si>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</si>
  <si>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</si>
  <si>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</si>
  <si>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</si>
  <si>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</si>
  <si>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</si>
  <si>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</si>
  <si>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</si>
  <si>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</si>
  <si>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</si>
  <si>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</si>
  <si>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</si>
  <si>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</si>
  <si>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</si>
  <si>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</si>
  <si>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</si>
  <si>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</si>
  <si>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</si>
  <si>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</si>
  <si>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</si>
  <si>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</si>
  <si>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</si>
  <si>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</si>
  <si>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</si>
  <si>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</si>
  <si>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</si>
  <si>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</si>
  <si>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</si>
  <si>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</si>
  <si>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</si>
  <si>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</si>
  <si>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</si>
  <si>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</si>
  <si>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</si>
  <si>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</si>
  <si>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</si>
  <si>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</si>
  <si>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</si>
  <si>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</si>
  <si>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</si>
  <si>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</si>
  <si>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</si>
  <si>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</si>
  <si>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</si>
  <si>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</si>
  <si>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</si>
  <si>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</si>
  <si>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</si>
  <si>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</si>
  <si>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</si>
  <si>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</si>
  <si>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</si>
  <si>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</si>
  <si>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</si>
  <si>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</si>
  <si>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</si>
  <si>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</si>
  <si>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</si>
  <si>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</si>
  <si>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</si>
  <si>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</si>
  <si>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</si>
  <si>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</si>
  <si>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</si>
  <si>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</si>
  <si>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</si>
  <si>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</si>
  <si>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</si>
  <si>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</si>
  <si>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</si>
  <si>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</si>
  <si>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</si>
  <si>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</si>
  <si>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</si>
  <si>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</si>
  <si>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</si>
  <si>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</si>
  <si>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</si>
  <si>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</si>
  <si>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</si>
  <si>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</si>
  <si>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</si>
  <si>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</si>
  <si>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</si>
  <si>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</si>
  <si>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</si>
  <si>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</si>
  <si>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</si>
  <si>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</si>
  <si>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</si>
  <si>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</si>
  <si>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</si>
  <si>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</si>
  <si>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</si>
  <si>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</si>
  <si>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</si>
  <si>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</si>
  <si>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</si>
  <si>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</si>
  <si>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</si>
  <si>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</si>
  <si>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</si>
  <si>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</si>
  <si>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</si>
  <si>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</si>
  <si>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</si>
  <si>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</si>
  <si>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</si>
  <si>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</si>
  <si>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</si>
  <si>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</si>
  <si>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</si>
  <si>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</si>
  <si>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</si>
  <si>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</si>
  <si>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</si>
  <si>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</si>
  <si>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</si>
  <si>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</si>
  <si>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</si>
  <si>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</si>
  <si>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</si>
  <si>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</si>
  <si>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</si>
  <si>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</si>
  <si>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</si>
  <si>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</si>
  <si>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</si>
  <si>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</si>
  <si>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</si>
  <si>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</si>
  <si>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</si>
  <si>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</si>
  <si>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</si>
  <si>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</si>
  <si>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</si>
  <si>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</si>
  <si>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</si>
  <si>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</si>
  <si>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</si>
  <si>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</si>
  <si>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</si>
  <si>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</si>
  <si>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</si>
  <si>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</si>
  <si>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</si>
  <si>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</si>
  <si>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</si>
  <si>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</si>
  <si>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</si>
  <si>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</si>
  <si>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</si>
  <si>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</si>
  <si>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</si>
  <si>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</si>
  <si>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</si>
  <si>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</si>
  <si>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</si>
  <si>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</si>
  <si>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</si>
  <si>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</si>
  <si>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</si>
  <si>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</si>
  <si>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</si>
  <si>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</si>
  <si>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</si>
  <si>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</si>
  <si>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</si>
  <si>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</si>
  <si>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</si>
  <si>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</si>
  <si>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</si>
  <si>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</si>
  <si>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</si>
  <si>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</si>
  <si>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</si>
  <si>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</si>
  <si>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</si>
  <si>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</si>
  <si>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</si>
  <si>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</si>
  <si>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</si>
  <si>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</si>
  <si>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</si>
  <si>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</si>
  <si>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</si>
  <si>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</si>
  <si>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</si>
  <si>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</si>
  <si>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</si>
  <si>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</si>
  <si>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</si>
  <si>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</si>
  <si>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</si>
  <si>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</si>
  <si>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</si>
  <si>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</si>
  <si>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</si>
  <si>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</si>
  <si>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</si>
  <si>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</si>
  <si>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</si>
  <si>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</si>
  <si>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</si>
  <si>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</si>
  <si>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</si>
  <si>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</si>
  <si>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</si>
  <si>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</si>
  <si>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</si>
  <si>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</si>
  <si>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</si>
  <si>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</si>
  <si>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</si>
  <si>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</si>
  <si>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</si>
  <si>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</si>
  <si>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</si>
  <si>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</si>
  <si>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</si>
  <si>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</si>
  <si>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</si>
  <si>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</si>
  <si>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</si>
  <si>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</si>
  <si>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</si>
  <si>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</si>
  <si>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</si>
  <si>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</si>
  <si>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</si>
  <si>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</si>
  <si>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</si>
  <si>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</si>
  <si>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</si>
  <si>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</si>
  <si>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</si>
  <si>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</si>
  <si>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</si>
  <si>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</si>
  <si>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</si>
  <si>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</si>
  <si>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</si>
  <si>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</si>
  <si>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</si>
  <si>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</si>
  <si>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</si>
  <si>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</si>
  <si>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</si>
  <si>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</si>
  <si>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</si>
  <si>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</si>
  <si>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</si>
  <si>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</si>
  <si>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</si>
  <si>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</si>
  <si>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</si>
  <si>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</si>
  <si>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</si>
  <si>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</si>
  <si>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</si>
  <si>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</si>
  <si>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</si>
  <si>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</si>
  <si>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</si>
  <si>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</si>
  <si>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</si>
  <si>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</si>
  <si>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</si>
  <si>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</si>
  <si>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</si>
  <si>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</si>
  <si>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</si>
  <si>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</si>
  <si>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</si>
  <si>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</si>
  <si>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</si>
  <si>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</si>
  <si>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</si>
  <si>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</si>
  <si>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</si>
  <si>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</si>
  <si>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</si>
  <si>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</si>
  <si>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</si>
  <si>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</si>
  <si>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</si>
  <si>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</si>
  <si>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</si>
  <si>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</si>
  <si>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</si>
  <si>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</si>
  <si>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</si>
  <si>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</si>
  <si>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</si>
  <si>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</si>
  <si>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</si>
  <si>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</si>
  <si>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</si>
  <si>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</si>
  <si>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</si>
  <si>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</si>
  <si>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</si>
  <si>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</si>
  <si>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</si>
  <si>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</si>
  <si>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</si>
  <si>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</si>
  <si>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</si>
  <si>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</si>
  <si>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</si>
  <si>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</si>
  <si>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</si>
  <si>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</si>
  <si>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</si>
  <si>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</si>
  <si>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</si>
  <si>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</si>
  <si>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</si>
  <si>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</si>
  <si>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</si>
  <si>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</si>
  <si>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</si>
  <si>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</si>
  <si>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</si>
  <si>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</si>
  <si>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</si>
  <si>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</si>
  <si>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</si>
  <si>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</si>
  <si>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</si>
  <si>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</si>
  <si>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</si>
  <si>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</si>
  <si>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</si>
  <si>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</si>
  <si>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</si>
  <si>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</si>
  <si>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</si>
  <si>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</si>
  <si>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</si>
  <si>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</si>
  <si>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</si>
  <si>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</si>
  <si>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</si>
  <si>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</si>
  <si>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</si>
  <si>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</si>
  <si>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</si>
  <si>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</si>
  <si>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</si>
  <si>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</si>
  <si>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</si>
  <si>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</si>
  <si>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</si>
  <si>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</si>
  <si>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</si>
  <si>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</si>
  <si>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</si>
  <si>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</si>
  <si>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</si>
  <si>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</si>
  <si>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</si>
  <si>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</si>
  <si>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</si>
  <si>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</si>
  <si>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</si>
  <si>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</si>
  <si>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</si>
  <si>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</si>
  <si>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</si>
  <si>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</si>
  <si>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</si>
  <si>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</si>
  <si>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</si>
  <si>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</si>
  <si>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</si>
  <si>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</si>
  <si>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</si>
  <si>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</si>
  <si>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</si>
  <si>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</si>
  <si>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</si>
  <si>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</si>
  <si>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</si>
  <si>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</si>
  <si>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</si>
  <si>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</si>
  <si>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</si>
  <si>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</si>
  <si>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</si>
  <si>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</si>
  <si>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</si>
  <si>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</si>
  <si>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</si>
  <si>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</si>
  <si>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</si>
  <si>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</si>
  <si>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</si>
  <si>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</si>
  <si>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</si>
  <si>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</si>
  <si>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</si>
  <si>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</si>
  <si>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</si>
  <si>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</si>
  <si>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</si>
  <si>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</si>
  <si>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</si>
  <si>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</si>
  <si>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</si>
  <si>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</si>
  <si>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</si>
  <si>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</si>
  <si>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</si>
  <si>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</si>
  <si>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</si>
  <si>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</si>
  <si>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</si>
  <si>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</si>
  <si>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</si>
  <si>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</si>
  <si>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</si>
  <si>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</si>
  <si>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</si>
  <si>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</si>
  <si>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</si>
  <si>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</si>
  <si>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</si>
  <si>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</si>
  <si>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</si>
  <si>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</si>
  <si>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</si>
  <si>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</si>
  <si>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</si>
  <si>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</si>
  <si>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</si>
  <si>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</si>
  <si>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</si>
  <si>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</si>
  <si>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</si>
  <si>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</si>
  <si>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</si>
  <si>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</si>
  <si>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</si>
  <si>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</si>
  <si>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</si>
  <si>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</si>
  <si>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</si>
  <si>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</si>
  <si>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</si>
  <si>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</si>
  <si>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</si>
  <si>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</si>
  <si>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</si>
  <si>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</si>
  <si>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</si>
  <si>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</si>
  <si>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</si>
  <si>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</si>
  <si>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</si>
  <si>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</si>
  <si>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</si>
  <si>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</si>
  <si>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</si>
  <si>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</si>
  <si>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</si>
  <si>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</si>
  <si>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</si>
  <si>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</si>
  <si>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</si>
  <si>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</si>
  <si>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</si>
  <si>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</si>
  <si>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</si>
  <si>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</si>
  <si>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</si>
  <si>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</si>
  <si>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</si>
  <si>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</si>
  <si>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</si>
  <si>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</si>
  <si>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</si>
  <si>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</si>
  <si>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</si>
  <si>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</si>
  <si>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</si>
  <si>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</si>
  <si>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</si>
  <si>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</si>
  <si>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</si>
  <si>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</si>
  <si>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</si>
  <si>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</si>
  <si>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</si>
  <si>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</si>
  <si>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</si>
  <si>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</si>
  <si>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</si>
  <si>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</si>
  <si>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</si>
  <si>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</si>
  <si>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</si>
  <si>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</si>
  <si>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</si>
  <si>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</si>
  <si>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</si>
  <si>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</si>
  <si>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</si>
  <si>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</si>
  <si>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</si>
  <si>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</si>
  <si>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</si>
  <si>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</si>
  <si>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</si>
  <si>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</si>
  <si>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</si>
  <si>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</si>
  <si>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</si>
  <si>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</si>
  <si>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</si>
  <si>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</si>
  <si>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</si>
  <si>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</si>
  <si>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</si>
  <si>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</si>
  <si>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</si>
  <si>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</si>
  <si>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</si>
  <si>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</si>
  <si>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</si>
  <si>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</si>
  <si>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</si>
  <si>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</si>
  <si>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</si>
  <si>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</si>
  <si>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</si>
  <si>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</si>
  <si>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</si>
  <si>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</si>
  <si>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</si>
  <si>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</si>
  <si>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</si>
  <si>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</si>
  <si>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</si>
  <si>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</si>
  <si>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</si>
  <si>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</si>
  <si>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</si>
  <si>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</si>
  <si>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</si>
  <si>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</si>
  <si>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</si>
  <si>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</si>
  <si>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</si>
  <si>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</si>
  <si>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</si>
  <si>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</si>
  <si>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</si>
  <si>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</si>
  <si>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</si>
  <si>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</si>
  <si>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</si>
  <si>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</si>
  <si>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</si>
  <si>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</si>
  <si>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</si>
  <si>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</si>
  <si>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</si>
  <si>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</si>
  <si>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</si>
  <si>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</si>
  <si>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</si>
  <si>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</si>
  <si>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</si>
  <si>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</si>
  <si>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</si>
  <si>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</si>
  <si>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</si>
  <si>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</si>
  <si>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</si>
  <si>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</si>
  <si>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</si>
  <si>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</si>
  <si>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</si>
  <si>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</si>
  <si>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</si>
  <si>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</si>
  <si>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</si>
  <si>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</si>
  <si>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</si>
  <si>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</si>
  <si>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</si>
  <si>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</si>
  <si>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</si>
  <si>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</si>
  <si>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</si>
  <si>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</si>
  <si>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</si>
  <si>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</si>
  <si>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</si>
  <si>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</si>
  <si>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</si>
  <si>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</si>
  <si>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</si>
  <si>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</si>
  <si>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</si>
  <si>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</si>
  <si>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</si>
  <si>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</si>
  <si>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</si>
  <si>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</si>
  <si>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</si>
  <si>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</si>
  <si>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</si>
  <si>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</si>
  <si>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</si>
  <si>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</si>
  <si>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</si>
  <si>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</si>
  <si>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</si>
  <si>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</si>
  <si>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</si>
  <si>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</si>
  <si>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</si>
  <si>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</si>
  <si>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</si>
  <si>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</si>
  <si>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</si>
  <si>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</si>
  <si>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</si>
  <si>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</si>
  <si>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</si>
  <si>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</si>
  <si>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</si>
  <si>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</si>
  <si>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</si>
  <si>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</si>
  <si>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</si>
  <si>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</si>
  <si>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</si>
  <si>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</si>
  <si>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</si>
  <si>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</si>
  <si>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</si>
  <si>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</si>
  <si>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</si>
  <si>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</si>
  <si>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</si>
  <si>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</si>
  <si>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</si>
  <si>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</si>
  <si>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</si>
  <si>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</si>
  <si>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</si>
  <si>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</si>
  <si>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</si>
  <si>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</si>
  <si>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</si>
  <si>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</si>
  <si>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</si>
  <si>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</si>
  <si>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</si>
  <si>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</si>
  <si>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</si>
  <si>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</si>
  <si>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</si>
  <si>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</si>
  <si>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</si>
  <si>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</si>
  <si>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</si>
  <si>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</si>
  <si>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</si>
  <si>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</si>
  <si>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</si>
  <si>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</si>
  <si>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</si>
  <si>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</si>
  <si>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</si>
  <si>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</si>
  <si>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</si>
  <si>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</si>
  <si>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</si>
  <si>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</si>
  <si>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</si>
  <si>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</si>
  <si>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</si>
  <si>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</si>
  <si>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</si>
  <si>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</si>
  <si>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</si>
  <si>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</si>
  <si>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</si>
  <si>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</si>
  <si>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</si>
  <si>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</si>
  <si>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</si>
  <si>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</si>
  <si>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</si>
  <si>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</si>
  <si>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</si>
  <si>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</si>
  <si>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</si>
  <si>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</si>
  <si>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</si>
  <si>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</si>
  <si>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</si>
  <si>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</si>
  <si>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</si>
  <si>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</si>
  <si>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</si>
  <si>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</si>
  <si>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</si>
  <si>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</si>
  <si>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</si>
  <si>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</si>
  <si>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</si>
  <si>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</si>
  <si>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</si>
  <si>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</si>
  <si>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</si>
  <si>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</si>
  <si>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</si>
  <si>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</si>
  <si>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</si>
  <si>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</si>
  <si>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</si>
  <si>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</si>
  <si>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</si>
  <si>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</si>
  <si>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</si>
  <si>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</si>
  <si>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</si>
  <si>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</si>
  <si>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</si>
  <si>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</si>
  <si>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</si>
  <si>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</si>
  <si>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</si>
  <si>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</si>
  <si>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</si>
  <si>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</si>
  <si>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</si>
  <si>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</si>
  <si>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</si>
  <si>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</si>
  <si>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</si>
  <si>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</si>
  <si>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</si>
  <si>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</si>
  <si>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</si>
  <si>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</si>
  <si>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</si>
  <si>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</si>
  <si>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</si>
  <si>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</si>
  <si>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</si>
  <si>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</si>
  <si>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</si>
  <si>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</si>
  <si>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</si>
  <si>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</si>
  <si>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</si>
  <si>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</si>
  <si>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</si>
  <si>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</si>
  <si>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</si>
  <si>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</si>
  <si>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</si>
  <si>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</si>
  <si>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</si>
  <si>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</si>
  <si>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</si>
  <si>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</si>
  <si>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</si>
  <si>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</si>
  <si>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</si>
  <si>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</si>
  <si>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</si>
  <si>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</si>
  <si>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</si>
  <si>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</si>
  <si>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</si>
  <si>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</si>
  <si>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</si>
  <si>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</si>
  <si>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</si>
  <si>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</si>
  <si>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</si>
  <si>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</si>
  <si>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</si>
  <si>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</si>
  <si>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</si>
  <si>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</si>
  <si>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</si>
  <si>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</si>
  <si>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</si>
  <si>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</si>
  <si>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</si>
  <si>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</si>
  <si>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</si>
  <si>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</si>
  <si>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</si>
  <si>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</si>
  <si>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</si>
  <si>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</si>
  <si>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</si>
  <si>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</si>
  <si>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</si>
  <si>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</si>
  <si>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</si>
  <si>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</si>
  <si>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</si>
  <si>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</si>
  <si>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</si>
  <si>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</si>
  <si>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</si>
  <si>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</si>
  <si>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</si>
  <si>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</si>
  <si>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</si>
  <si>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</si>
  <si>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</si>
  <si>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</si>
  <si>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</si>
  <si>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</si>
  <si>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</si>
  <si>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</si>
  <si>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</si>
  <si>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</si>
  <si>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</si>
  <si>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</si>
  <si>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</si>
  <si>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</si>
  <si>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</si>
  <si>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</si>
  <si>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</si>
  <si>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</si>
  <si>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</si>
  <si>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</si>
  <si>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</si>
  <si>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</si>
  <si>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</si>
  <si>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</si>
  <si>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</si>
  <si>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</si>
  <si>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</si>
  <si>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</si>
  <si>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</si>
  <si>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</si>
  <si>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</si>
  <si>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</si>
  <si>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</si>
  <si>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</si>
  <si>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</si>
  <si>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</si>
  <si>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</si>
  <si>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</si>
  <si>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</si>
  <si>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</si>
  <si>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</si>
  <si>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</si>
  <si>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</si>
  <si>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</si>
  <si>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</si>
  <si>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</si>
  <si>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</si>
  <si>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</si>
  <si>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</si>
  <si>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</si>
  <si>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</si>
  <si>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</si>
  <si>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</si>
  <si>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</si>
  <si>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</si>
  <si>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</si>
  <si>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</si>
  <si>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</si>
  <si>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</si>
  <si>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</si>
  <si>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</si>
  <si>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</si>
  <si>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</si>
  <si>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</si>
  <si>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</si>
  <si>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</si>
  <si>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</si>
  <si>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</si>
  <si>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</si>
  <si>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</si>
  <si>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</si>
  <si>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</si>
  <si>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</si>
  <si>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</si>
  <si>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</si>
  <si>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</si>
  <si>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</si>
  <si>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</si>
  <si>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</si>
  <si>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</si>
  <si>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</si>
  <si>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</si>
  <si>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</si>
  <si>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</si>
  <si>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</si>
  <si>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</si>
  <si>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</si>
  <si>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</si>
  <si>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</si>
  <si>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</si>
  <si>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</si>
  <si>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</si>
  <si>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</si>
  <si>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</si>
  <si>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</si>
  <si>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</si>
  <si>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</si>
  <si>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</si>
  <si>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</si>
  <si>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</si>
  <si>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</si>
  <si>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</si>
  <si>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</si>
  <si>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</si>
  <si>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</si>
  <si>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</si>
  <si>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</si>
  <si>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</si>
  <si>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</si>
  <si>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</si>
  <si>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</si>
  <si>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</si>
  <si>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</si>
  <si>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</si>
  <si>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</si>
  <si>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</si>
  <si>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</si>
  <si>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</si>
  <si>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</si>
  <si>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</si>
  <si>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</si>
  <si>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</si>
  <si>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</si>
  <si>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</si>
  <si>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</si>
  <si>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</si>
  <si>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</si>
  <si>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</si>
  <si>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</si>
  <si>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</si>
  <si>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</si>
  <si>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</si>
  <si>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</si>
  <si>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</si>
  <si>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</si>
  <si>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</si>
  <si>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</si>
  <si>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</si>
  <si>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</si>
  <si>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</si>
  <si>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</si>
  <si>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</si>
  <si>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</si>
  <si>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</si>
  <si>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</si>
  <si>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</si>
  <si>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</si>
  <si>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</si>
  <si>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</si>
  <si>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</si>
  <si>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</si>
  <si>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</si>
  <si>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</si>
  <si>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</si>
  <si>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</si>
  <si>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</si>
  <si>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</si>
  <si>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</si>
  <si>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</si>
  <si>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</si>
  <si>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</si>
  <si>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</si>
  <si>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</si>
  <si>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</si>
  <si>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</si>
  <si>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</si>
  <si>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</si>
  <si>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</si>
  <si>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</si>
  <si>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</si>
  <si>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</si>
  <si>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</si>
  <si>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</si>
  <si>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</si>
  <si>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</si>
  <si>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</si>
  <si>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</si>
  <si>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</si>
  <si>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</si>
  <si>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</si>
  <si>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</si>
  <si>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</si>
  <si>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</si>
  <si>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</si>
  <si>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</si>
  <si>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</si>
  <si>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</si>
  <si>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</si>
  <si>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</si>
  <si>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</si>
  <si>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</si>
  <si>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</si>
  <si>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</si>
  <si>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</si>
  <si>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</si>
  <si>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</si>
  <si>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</si>
  <si>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</si>
  <si>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</si>
  <si>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</si>
  <si>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</si>
  <si>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</si>
  <si>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</si>
  <si>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</si>
  <si>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</si>
  <si>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</si>
  <si>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</si>
  <si>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</si>
  <si>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</si>
  <si>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</si>
  <si>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</si>
  <si>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</si>
  <si>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</si>
  <si>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</si>
  <si>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</si>
  <si>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</si>
  <si>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</si>
  <si>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</si>
  <si>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</si>
  <si>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</si>
  <si>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</si>
  <si>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</si>
  <si>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</si>
  <si>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</si>
  <si>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</si>
  <si>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</si>
  <si>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</si>
  <si>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</si>
  <si>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</si>
  <si>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</si>
  <si>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</si>
  <si>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</si>
  <si>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</si>
  <si>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</si>
  <si>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</si>
  <si>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</si>
  <si>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</si>
  <si>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</si>
  <si>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</si>
  <si>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</si>
  <si>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</si>
  <si>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</si>
  <si>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</si>
  <si>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</si>
  <si>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</si>
  <si>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</si>
  <si>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</si>
  <si>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</si>
  <si>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</si>
  <si>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</si>
  <si>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</si>
  <si>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</si>
  <si>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</si>
  <si>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</si>
  <si>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</si>
  <si>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</si>
  <si>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</si>
  <si>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</si>
  <si>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</si>
  <si>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</si>
  <si>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</si>
  <si>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</si>
  <si>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</si>
  <si>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</si>
  <si>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</si>
  <si>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</si>
  <si>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</si>
  <si>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</si>
  <si>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</si>
  <si>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</si>
  <si>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</si>
  <si>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</si>
  <si>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</si>
  <si>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</si>
  <si>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</si>
  <si>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</si>
  <si>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</si>
  <si>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</si>
  <si>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</si>
  <si>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</si>
  <si>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</si>
  <si>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</si>
  <si>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</si>
  <si>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</si>
  <si>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</si>
  <si>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</si>
  <si>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</si>
  <si>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</si>
  <si>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</si>
  <si>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</si>
  <si>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</si>
  <si>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</si>
  <si>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</si>
  <si>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</si>
  <si>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</si>
  <si>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</si>
  <si>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</si>
  <si>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</si>
  <si>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</si>
  <si>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</si>
  <si>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</si>
  <si>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</si>
  <si>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</si>
  <si>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</si>
  <si>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</si>
  <si>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</si>
  <si>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</si>
  <si>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</si>
  <si>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</si>
  <si>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</si>
  <si>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</si>
  <si>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</si>
  <si>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</si>
  <si>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</si>
  <si>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</si>
  <si>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</si>
  <si>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</si>
  <si>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</si>
  <si>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</si>
  <si>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</si>
  <si>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</si>
  <si>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</si>
  <si>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</si>
  <si>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</si>
  <si>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</si>
  <si>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</si>
  <si>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</si>
  <si>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</si>
  <si>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</si>
  <si>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</si>
  <si>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</si>
  <si>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</si>
  <si>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</si>
  <si>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</si>
  <si>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</si>
  <si>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</si>
  <si>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</si>
  <si>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</si>
  <si>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</si>
  <si>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</si>
  <si>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</si>
  <si>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</si>
  <si>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</si>
  <si>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</si>
  <si>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</si>
  <si>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</si>
  <si>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</si>
  <si>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</si>
  <si>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</si>
  <si>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</si>
  <si>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</si>
  <si>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</si>
  <si>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</si>
  <si>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</si>
  <si>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</si>
  <si>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</si>
  <si>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</si>
  <si>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</si>
  <si>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</si>
  <si>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</si>
  <si>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</si>
  <si>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</si>
  <si>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</si>
  <si>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</si>
  <si>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</si>
  <si>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</si>
  <si>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</si>
  <si>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</si>
  <si>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</si>
  <si>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</si>
  <si>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</si>
  <si>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</si>
  <si>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</si>
  <si>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</si>
  <si>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</si>
  <si>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</si>
  <si>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</si>
  <si>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</si>
  <si>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</si>
  <si>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</si>
  <si>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</si>
  <si>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</si>
  <si>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</si>
  <si>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</si>
  <si>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</si>
  <si>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</si>
  <si>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</si>
  <si>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</si>
  <si>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</si>
  <si>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</si>
  <si>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</si>
  <si>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</si>
  <si>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</si>
  <si>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</si>
  <si>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</si>
  <si>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</si>
  <si>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</si>
  <si>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</si>
  <si>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</si>
  <si>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</si>
  <si>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</si>
  <si>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</si>
  <si>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</si>
  <si>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</si>
  <si>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</si>
  <si>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</si>
  <si>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</si>
  <si>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</si>
  <si>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</si>
  <si>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</si>
  <si>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</si>
  <si>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</si>
  <si>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</si>
  <si>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</si>
  <si>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</si>
  <si>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</si>
  <si>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</si>
  <si>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</si>
  <si>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</si>
  <si>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</si>
  <si>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</si>
  <si>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</si>
  <si>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</si>
  <si>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</si>
  <si>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</si>
  <si>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</si>
  <si>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</si>
  <si>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</si>
  <si>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</si>
  <si>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</si>
  <si>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</si>
  <si>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</si>
  <si>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</si>
  <si>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</si>
  <si>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</si>
  <si>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</si>
  <si>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</si>
  <si>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</si>
  <si>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</si>
  <si>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</si>
  <si>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</si>
  <si>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</si>
  <si>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</si>
  <si>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</si>
  <si>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</si>
  <si>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</si>
  <si>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</si>
  <si>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</si>
  <si>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</si>
  <si>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</si>
  <si>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</si>
  <si>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</si>
  <si>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</si>
  <si>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</si>
  <si>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</si>
  <si>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</si>
  <si>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</si>
  <si>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</si>
  <si>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</si>
  <si>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</si>
  <si>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</si>
  <si>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</si>
  <si>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</si>
  <si>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</si>
  <si>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</si>
  <si>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</si>
  <si>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</si>
  <si>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</si>
  <si>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</si>
  <si>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</si>
  <si>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</si>
  <si>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</si>
  <si>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</si>
  <si>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</si>
  <si>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</si>
  <si>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</si>
  <si>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</si>
  <si>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</si>
  <si>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</si>
  <si>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</si>
  <si>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</si>
  <si>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</si>
  <si>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</si>
  <si>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</si>
  <si>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</si>
  <si>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</si>
  <si>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</si>
  <si>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</si>
  <si>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</si>
  <si>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</si>
  <si>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</si>
  <si>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</si>
  <si>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</si>
  <si>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</si>
  <si>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</si>
  <si>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</si>
  <si>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</si>
  <si>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</si>
  <si>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</si>
  <si>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</si>
  <si>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</si>
  <si>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</si>
  <si>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</si>
  <si>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</si>
  <si>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</si>
  <si>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</si>
  <si>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</si>
  <si>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</si>
  <si>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</si>
  <si>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</si>
  <si>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</si>
  <si>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</si>
  <si>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</si>
  <si>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</si>
  <si>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</si>
  <si>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</si>
  <si>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</si>
  <si>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</si>
  <si>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</si>
  <si>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</si>
  <si>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</si>
  <si>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</si>
  <si>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</si>
  <si>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</si>
  <si>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</si>
  <si>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</si>
  <si>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</si>
  <si>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</si>
  <si>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</si>
  <si>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</si>
  <si>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</si>
  <si>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</si>
  <si>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</si>
  <si>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</si>
  <si>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</si>
  <si>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</si>
  <si>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</si>
  <si>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</si>
  <si>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</si>
  <si>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</si>
  <si>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</si>
  <si>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</si>
  <si>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</si>
  <si>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</si>
  <si>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</si>
  <si>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</si>
  <si>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</si>
  <si>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</si>
  <si>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</si>
  <si>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</si>
  <si>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</si>
  <si>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</si>
  <si>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</si>
  <si>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</si>
  <si>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</si>
  <si>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</si>
  <si>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</si>
  <si>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</si>
  <si>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</si>
  <si>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</si>
  <si>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</si>
  <si>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</si>
  <si>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</si>
  <si>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</si>
  <si>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</si>
  <si>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</si>
  <si>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</si>
  <si>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</si>
  <si>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</si>
  <si>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</si>
  <si>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</si>
  <si>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</si>
  <si>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</si>
  <si>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</si>
  <si>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</si>
  <si>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</si>
  <si>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</si>
  <si>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</si>
  <si>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</si>
  <si>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</si>
  <si>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</si>
  <si>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</si>
  <si>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</si>
  <si>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</si>
  <si>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</si>
  <si>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</si>
  <si>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</si>
  <si>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</si>
  <si>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</si>
  <si>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</si>
  <si>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</si>
  <si>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</si>
  <si>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</si>
  <si>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</si>
  <si>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</si>
  <si>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</si>
  <si>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</si>
  <si>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</si>
  <si>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</si>
  <si>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</si>
  <si>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</si>
  <si>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</si>
  <si>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</si>
  <si>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</si>
  <si>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</si>
  <si>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</si>
  <si>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</si>
  <si>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</si>
  <si>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</si>
  <si>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</si>
  <si>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</si>
  <si>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</si>
  <si>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</si>
  <si>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</si>
  <si>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</si>
  <si>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</si>
  <si>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</si>
  <si>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</si>
  <si>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</si>
  <si>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</si>
  <si>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</si>
  <si>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</si>
  <si>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</si>
  <si>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</si>
  <si>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</si>
  <si>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</si>
  <si>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</si>
  <si>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</si>
  <si>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</si>
  <si>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</si>
  <si>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</si>
  <si>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</si>
  <si>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</si>
  <si>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</si>
  <si>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</si>
  <si>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</si>
  <si>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</si>
  <si>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</si>
  <si>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</si>
  <si>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</si>
  <si>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</si>
  <si>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</si>
  <si>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</si>
  <si>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</si>
  <si>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</si>
  <si>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</si>
  <si>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</si>
  <si>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</si>
  <si>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</si>
  <si>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</si>
  <si>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</si>
  <si>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</si>
  <si>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</si>
  <si>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</si>
  <si>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</si>
  <si>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</si>
  <si>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</si>
  <si>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</si>
  <si>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</si>
  <si>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</si>
  <si>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</si>
  <si>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</si>
  <si>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</si>
  <si>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</si>
  <si>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</si>
  <si>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</si>
  <si>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</si>
  <si>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</si>
  <si>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</si>
  <si>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</si>
  <si>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</si>
  <si>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</si>
  <si>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</si>
  <si>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</si>
  <si>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</si>
  <si>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</si>
  <si>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</si>
  <si>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</si>
  <si>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</si>
  <si>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</si>
  <si>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</si>
  <si>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</si>
  <si>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</si>
  <si>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</si>
  <si>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</si>
  <si>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</si>
  <si>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</si>
  <si>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</si>
  <si>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</si>
  <si>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</si>
  <si>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</si>
  <si>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</si>
  <si>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</si>
  <si>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</si>
  <si>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</si>
  <si>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</si>
  <si>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</si>
  <si>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</si>
  <si>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</si>
  <si>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</si>
  <si>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</si>
  <si>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</si>
  <si>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</si>
  <si>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</si>
  <si>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</si>
  <si>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</si>
  <si>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</si>
  <si>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</si>
  <si>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</si>
  <si>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</si>
  <si>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</si>
  <si>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</si>
  <si>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</si>
  <si>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</si>
  <si>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</si>
  <si>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</si>
  <si>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</si>
  <si>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</si>
  <si>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</si>
  <si>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</si>
  <si>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</si>
  <si>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</si>
  <si>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</si>
  <si>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</si>
  <si>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</si>
  <si>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</si>
  <si>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</si>
  <si>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</si>
  <si>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</si>
  <si>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</si>
  <si>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</si>
  <si>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</si>
  <si>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</si>
  <si>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</si>
  <si>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</si>
  <si>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</si>
  <si>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</si>
  <si>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</si>
  <si>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</si>
  <si>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</si>
  <si>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</si>
  <si>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</si>
  <si>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</si>
  <si>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</si>
  <si>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</si>
  <si>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</si>
  <si>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</si>
  <si>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</si>
  <si>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</si>
  <si>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</si>
  <si>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</si>
  <si>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</si>
  <si>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</si>
  <si>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</si>
  <si>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</si>
  <si>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</si>
  <si>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</si>
  <si>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</si>
  <si>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</si>
  <si>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</si>
  <si>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</si>
  <si>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</si>
  <si>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</si>
  <si>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</si>
  <si>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</si>
  <si>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</si>
  <si>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</si>
  <si>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</si>
  <si>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</si>
  <si>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</si>
  <si>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</si>
  <si>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</si>
  <si>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</si>
  <si>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</si>
  <si>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</si>
  <si>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</si>
  <si>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</si>
  <si>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</si>
  <si>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</si>
  <si>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</si>
  <si>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</si>
  <si>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</si>
  <si>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</si>
  <si>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</si>
  <si>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</si>
  <si>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</si>
  <si>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</si>
  <si>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</si>
  <si>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</si>
  <si>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</si>
  <si>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</si>
  <si>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</si>
  <si>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</si>
  <si>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</si>
  <si>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</si>
  <si>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</si>
  <si>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</si>
  <si>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</si>
  <si>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</si>
  <si>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</si>
  <si>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</si>
  <si>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</si>
  <si>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</si>
  <si>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</si>
  <si>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</si>
  <si>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</si>
  <si>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</si>
  <si>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</si>
  <si>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</si>
  <si>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</si>
  <si>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</si>
  <si>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</si>
  <si>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</si>
  <si>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</si>
  <si>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</si>
  <si>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</si>
  <si>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</si>
  <si>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</si>
  <si>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</si>
  <si>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</si>
  <si>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</si>
  <si>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</si>
  <si>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</si>
  <si>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</si>
  <si>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</si>
  <si>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</si>
  <si>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</si>
  <si>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</si>
  <si>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</si>
  <si>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</si>
  <si>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</si>
  <si>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</si>
  <si>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</si>
  <si>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</si>
  <si>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</si>
  <si>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</si>
  <si>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</si>
  <si>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</si>
  <si>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</si>
  <si>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</si>
  <si>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</si>
  <si>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</si>
  <si>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</si>
  <si>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</si>
  <si>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</si>
  <si>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</si>
  <si>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</si>
  <si>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</si>
  <si>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</si>
  <si>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</si>
  <si>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</si>
  <si>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</si>
  <si>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</si>
  <si>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</si>
  <si>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</si>
  <si>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</si>
  <si>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</si>
  <si>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</si>
  <si>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</si>
  <si>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</si>
  <si>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</si>
  <si>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</si>
  <si>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</si>
  <si>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</si>
  <si>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</si>
  <si>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</si>
  <si>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</si>
  <si>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</si>
  <si>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</si>
  <si>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</si>
  <si>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</si>
  <si>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</si>
  <si>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</si>
  <si>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</si>
  <si>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</si>
  <si>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</si>
  <si>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</si>
  <si>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</si>
  <si>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</si>
  <si>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</si>
  <si>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</si>
  <si>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</si>
  <si>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</si>
  <si>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</si>
  <si>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</si>
  <si>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</si>
  <si>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</si>
  <si>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</si>
  <si>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</si>
  <si>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</si>
  <si>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</si>
  <si>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</si>
  <si>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</si>
  <si>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</si>
  <si>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</si>
  <si>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</si>
  <si>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</si>
  <si>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</si>
  <si>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</si>
  <si>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</si>
  <si>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</si>
  <si>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</si>
  <si>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</si>
  <si>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</si>
  <si>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</si>
  <si>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</si>
  <si>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</si>
  <si>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</si>
  <si>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</si>
  <si>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</si>
  <si>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</si>
  <si>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</si>
  <si>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</si>
  <si>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</si>
  <si>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</si>
  <si>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</si>
  <si>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</si>
  <si>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</si>
  <si>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</si>
  <si>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</si>
  <si>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</si>
  <si>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</si>
  <si>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</si>
  <si>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</si>
  <si>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</si>
  <si>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</si>
  <si>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</si>
  <si>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</si>
  <si>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</si>
  <si>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</si>
  <si>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</si>
  <si>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</si>
  <si>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</si>
  <si>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</si>
  <si>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</si>
  <si>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</si>
  <si>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</si>
  <si>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</si>
  <si>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</si>
  <si>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</si>
  <si>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</si>
  <si>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</si>
  <si>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</si>
  <si>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</si>
  <si>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</si>
  <si>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</si>
  <si>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</si>
  <si>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</si>
  <si>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</si>
  <si>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</si>
  <si>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</si>
  <si>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</si>
  <si>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</si>
  <si>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</si>
  <si>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</si>
  <si>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</si>
  <si>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</si>
  <si>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</si>
  <si>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</si>
  <si>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</si>
  <si>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</si>
  <si>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</si>
  <si>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</si>
  <si>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</si>
  <si>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</si>
  <si>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</si>
  <si>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</si>
  <si>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</si>
  <si>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</si>
  <si>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</si>
  <si>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</si>
  <si>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</si>
  <si>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</si>
  <si>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</si>
  <si>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</si>
  <si>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</si>
  <si>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</si>
  <si>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</si>
  <si>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</si>
  <si>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</si>
  <si>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</si>
  <si>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</si>
  <si>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</si>
  <si>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</si>
  <si>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</si>
  <si>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</si>
  <si>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</si>
  <si>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</si>
  <si>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</si>
  <si>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</si>
  <si>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</si>
  <si>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</si>
  <si>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</si>
  <si>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</si>
  <si>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</si>
  <si>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</si>
  <si>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</si>
  <si>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</si>
  <si>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</si>
  <si>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</si>
  <si>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</si>
  <si>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</si>
  <si>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</si>
  <si>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</si>
  <si>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</si>
  <si>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</si>
  <si>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</si>
  <si>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</si>
  <si>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</si>
  <si>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</si>
  <si>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</si>
  <si>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</si>
  <si>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</si>
  <si>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</si>
  <si>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</si>
  <si>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</si>
  <si>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</si>
  <si>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</si>
  <si>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</si>
  <si>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</si>
  <si>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</si>
  <si>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</si>
  <si>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</si>
  <si>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</si>
  <si>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</si>
  <si>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</si>
  <si>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</si>
  <si>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</si>
  <si>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</si>
  <si>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</si>
  <si>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</si>
  <si>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</si>
  <si>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</si>
  <si>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</si>
  <si>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</si>
  <si>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</si>
  <si>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</si>
  <si>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</si>
  <si>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</si>
  <si>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</si>
  <si>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</si>
  <si>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</si>
  <si>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</si>
  <si>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</si>
  <si>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</si>
  <si>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</si>
  <si>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</si>
  <si>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</si>
  <si>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</si>
  <si>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</si>
  <si>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</si>
  <si>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</si>
  <si>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</si>
  <si>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</si>
  <si>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</si>
  <si>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</si>
  <si>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</si>
  <si>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</si>
  <si>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</si>
  <si>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</si>
  <si>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</si>
  <si>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</si>
  <si>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</si>
  <si>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</si>
  <si>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</si>
  <si>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</si>
  <si>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</si>
  <si>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</si>
  <si>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</si>
  <si>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</si>
  <si>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</si>
  <si>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</si>
  <si>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</si>
  <si>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</si>
  <si>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</si>
  <si>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</si>
  <si>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</si>
  <si>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</si>
  <si>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</si>
  <si>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</si>
  <si>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</si>
  <si>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</si>
  <si>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</si>
  <si>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</si>
  <si>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</si>
  <si>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</si>
  <si>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</si>
  <si>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</si>
  <si>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</si>
  <si>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</si>
  <si>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</si>
  <si>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</si>
  <si>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</si>
  <si>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</si>
  <si>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</si>
  <si>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</si>
  <si>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</si>
  <si>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</si>
  <si>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</si>
  <si>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</si>
  <si>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</si>
  <si>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</si>
  <si>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</si>
  <si>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</si>
  <si>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</si>
  <si>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</si>
  <si>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</si>
  <si>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</si>
  <si>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</si>
  <si>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</si>
  <si>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</si>
  <si>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</si>
  <si>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</si>
  <si>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</si>
  <si>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</si>
  <si>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</si>
  <si>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</si>
  <si>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</si>
  <si>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</si>
  <si>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</si>
  <si>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</si>
  <si>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</si>
  <si>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</si>
  <si>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</si>
  <si>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</si>
  <si>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</si>
  <si>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</si>
  <si>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</si>
  <si>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</si>
  <si>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</si>
  <si>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</si>
  <si>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</si>
  <si>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</si>
  <si>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</si>
  <si>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</si>
  <si>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</si>
  <si>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</si>
  <si>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</si>
  <si>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</si>
  <si>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</si>
  <si>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</si>
  <si>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</si>
  <si>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</si>
  <si>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</si>
  <si>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</si>
  <si>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</si>
  <si>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</si>
  <si>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</si>
  <si>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</si>
  <si>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</si>
  <si>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</si>
  <si>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</si>
  <si>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</si>
  <si>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</si>
  <si>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</si>
  <si>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</si>
  <si>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</si>
  <si>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</si>
  <si>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</si>
  <si>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</si>
  <si>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</si>
  <si>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</si>
  <si>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</si>
  <si>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</si>
  <si>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</si>
  <si>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</si>
  <si>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</si>
  <si>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</si>
  <si>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</si>
  <si>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</si>
  <si>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</si>
  <si>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</si>
  <si>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</si>
  <si>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</si>
  <si>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</si>
  <si>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</si>
  <si>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</si>
  <si>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</si>
  <si>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</si>
  <si>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</si>
  <si>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</si>
  <si>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</si>
  <si>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</si>
  <si>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</si>
  <si>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</si>
  <si>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</si>
  <si>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</si>
  <si>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</si>
  <si>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</si>
  <si>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</si>
  <si>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</si>
  <si>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</si>
  <si>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</si>
  <si>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</si>
  <si>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</si>
  <si>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</si>
  <si>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</si>
  <si>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</si>
  <si>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</si>
  <si>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</si>
  <si>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</si>
  <si>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</si>
  <si>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</si>
  <si>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</si>
  <si>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</si>
  <si>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</si>
  <si>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</si>
  <si>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</si>
  <si>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</si>
  <si>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</si>
  <si>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</si>
  <si>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</si>
  <si>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</si>
  <si>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</si>
  <si>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</si>
  <si>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</si>
  <si>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</si>
  <si>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</si>
  <si>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</si>
  <si>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</si>
  <si>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</si>
  <si>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</si>
  <si>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</si>
  <si>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</si>
  <si>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</si>
  <si>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</si>
  <si>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</si>
  <si>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</si>
  <si>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</si>
  <si>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</si>
  <si>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</si>
  <si>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</si>
  <si>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</si>
  <si>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</si>
  <si>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</si>
  <si>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</si>
  <si>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</si>
  <si>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</si>
  <si>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</si>
  <si>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</si>
  <si>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</si>
  <si>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</si>
  <si>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</si>
  <si>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</si>
  <si>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</si>
  <si>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</si>
  <si>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</si>
  <si>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</si>
  <si>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</si>
  <si>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</si>
  <si>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</si>
  <si>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</si>
  <si>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</si>
  <si>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</si>
  <si>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</si>
  <si>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</si>
  <si>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</si>
  <si>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</si>
  <si>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</si>
  <si>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</si>
  <si>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</si>
  <si>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</si>
  <si>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</si>
  <si>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</si>
  <si>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</si>
  <si>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</si>
  <si>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</si>
  <si>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</si>
  <si>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</si>
  <si>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</si>
  <si>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</si>
  <si>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</si>
  <si>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</si>
  <si>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</si>
  <si>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</si>
  <si>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</si>
  <si>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</si>
  <si>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</si>
  <si>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</si>
  <si>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</si>
  <si>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</si>
  <si>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</si>
  <si>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</si>
  <si>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</si>
  <si>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</si>
  <si>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</si>
  <si>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</si>
  <si>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</si>
  <si>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</si>
  <si>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</si>
  <si>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</si>
  <si>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</si>
  <si>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</si>
  <si>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</si>
  <si>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</si>
  <si>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</si>
  <si>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</si>
  <si>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</si>
  <si>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</si>
  <si>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</si>
  <si>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</si>
  <si>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</si>
  <si>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</si>
  <si>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</si>
  <si>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</si>
  <si>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</si>
  <si>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</si>
  <si>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</si>
  <si>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</si>
  <si>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</si>
  <si>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</si>
  <si>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</si>
  <si>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</si>
  <si>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</si>
  <si>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</si>
  <si>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</si>
  <si>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</si>
  <si>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</si>
  <si>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</si>
  <si>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</si>
  <si>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</si>
  <si>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</si>
  <si>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</si>
  <si>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</si>
  <si>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</si>
  <si>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</si>
  <si>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</si>
  <si>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</si>
  <si>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</si>
  <si>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</si>
  <si>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</si>
  <si>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</si>
  <si>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</si>
  <si>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</si>
  <si>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</si>
  <si>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</si>
  <si>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</si>
  <si>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</si>
  <si>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</si>
  <si>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</si>
  <si>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</si>
  <si>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</si>
  <si>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</si>
  <si>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</si>
  <si>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</si>
  <si>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</si>
  <si>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</si>
  <si>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</si>
  <si>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</si>
  <si>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</si>
  <si>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</si>
  <si>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</si>
  <si>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</si>
  <si>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</si>
  <si>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</si>
  <si>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</si>
  <si>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</si>
  <si>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</si>
  <si>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</si>
  <si>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</si>
  <si>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</si>
  <si>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</si>
  <si>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</si>
  <si>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</si>
  <si>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</si>
  <si>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</si>
  <si>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</si>
  <si>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</si>
  <si>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</si>
  <si>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</si>
  <si>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</si>
  <si>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</si>
  <si>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</si>
  <si>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</si>
  <si>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</si>
  <si>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</si>
  <si>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</si>
  <si>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</si>
  <si>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</si>
  <si>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</si>
  <si>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</si>
  <si>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</si>
  <si>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</si>
  <si>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</si>
  <si>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</si>
  <si>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</si>
  <si>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</si>
  <si>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</si>
  <si>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</si>
  <si>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</si>
  <si>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Les Champs, 1 rue Sainte-Barbe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</si>
  <si>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</si>
  <si>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</si>
  <si>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</si>
  <si>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</si>
  <si>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</si>
  <si>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</si>
  <si>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</si>
  <si>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</si>
  <si>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</si>
  <si>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</si>
  <si>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</si>
  <si>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</si>
  <si>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</si>
  <si>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</si>
  <si>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</si>
  <si>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</si>
  <si>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</si>
  <si>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</si>
  <si>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</si>
  <si>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</si>
  <si>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</si>
  <si>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La Cour des Capucins, 13 rue du Cygne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</si>
  <si>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</si>
  <si>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</si>
  <si>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</si>
  <si>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</si>
  <si>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</si>
  <si>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</si>
  <si>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</si>
  <si>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</si>
  <si>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</si>
  <si>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</si>
  <si>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</si>
  <si>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</si>
  <si>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</si>
  <si>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</si>
  <si>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</si>
  <si>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</si>
  <si>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</si>
  <si>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</si>
  <si>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</si>
  <si>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</si>
  <si>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</si>
  <si>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</si>
  <si>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</si>
  <si>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</si>
  <si>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</si>
  <si>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</si>
  <si>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</si>
  <si>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</si>
  <si>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</si>
  <si>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</si>
  <si>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</si>
  <si>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</si>
  <si>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</si>
  <si>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</si>
  <si>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</si>
  <si>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</si>
  <si>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</si>
  <si>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</si>
  <si>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</si>
  <si>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</si>
  <si>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</si>
  <si>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</si>
  <si>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</si>
  <si>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</si>
  <si>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</si>
  <si>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</si>
  <si>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</si>
  <si>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</si>
  <si>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</si>
  <si>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</si>
  <si>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</si>
  <si>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</si>
  <si>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</si>
  <si>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</si>
  <si>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</si>
  <si>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</si>
  <si>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</si>
  <si>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</si>
  <si>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</si>
  <si>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</si>
  <si>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</si>
  <si>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</si>
  <si>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</si>
  <si>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</si>
  <si>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</si>
  <si>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</si>
  <si>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</si>
  <si>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</si>
  <si>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</si>
  <si>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</si>
  <si>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</si>
  <si>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</si>
  <si>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</si>
  <si>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</si>
  <si>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</si>
  <si>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</si>
  <si>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</si>
  <si>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</si>
  <si>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</si>
  <si>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</si>
  <si>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</si>
  <si>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</si>
  <si>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</si>
  <si>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</si>
  <si>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</si>
  <si>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</si>
  <si>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</si>
  <si>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</si>
  <si>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</si>
  <si>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</si>
  <si>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</si>
  <si>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</si>
  <si>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</si>
  <si>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</si>
  <si>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</si>
  <si>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</si>
  <si>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</si>
  <si>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</si>
  <si>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</si>
  <si>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</si>
  <si>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</si>
  <si>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</si>
  <si>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</si>
  <si>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</si>
  <si>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</si>
  <si>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https://pub-843c46afc4cb41489909bce00c9b143d.r2.dev/92%20-%20Chelles/1.jpeg; https://pub-843c46afc4cb41489909bce00c9b143d.r2.dev/92%20-%20Chelles/2.jpeg; https://pub-843c46afc4cb41489909bce00c9b143d.r2.dev/92%20-%20Chelles/3.jpeg; https://pub-843c46afc4cb41489909bce00c9b143d.r2.dev/92%20-%20Chelles/4.jpeg; https://pub-843c46afc4cb41489909bce00c9b143d.r2.dev/92%20-%20Chelles/5%20Plan%20du%20centre%20RDC.jpg; https://pub-843c46afc4cb41489909bce00c9b143d.r2.dev/92%20-%20Chelles/6%20Plan%20du%20centre%20R%2B1.jpg</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</si>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</sst>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6" totalsRowShown="0" headerRowCellStyle="Normal 2" dataCellStyle="Normal 2">
  <autoFilter ref="A1:AX406"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303" Type="http://schemas.openxmlformats.org/officeDocument/2006/relationships/hyperlink" Target="https://maps.app.goo.gl/KqPz4dFcGkgYrhLK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KqPz4dFcGkgYrhLK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KqPz4dFcGkgYrhLK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YB7btp2BERdcAPNb8"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KqPz4dFcGkgYrhLK9" TargetMode="External"/><Relationship Id="rId307" Type="http://schemas.openxmlformats.org/officeDocument/2006/relationships/hyperlink" Target="https://maps.app.goo.gl/Mn2GZY7WCHihnrCe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308" Type="http://schemas.openxmlformats.org/officeDocument/2006/relationships/table" Target="../tables/table1.xm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dA2FC6rpHx88Lwda7" TargetMode="External"/><Relationship Id="rId297" Type="http://schemas.openxmlformats.org/officeDocument/2006/relationships/hyperlink" Target="https://maps.app.goo.gl/6uuVcTTEQTNeu7zA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20"/>
  <sheetViews>
    <sheetView showZeros="0" tabSelected="1" zoomScale="80" zoomScaleNormal="80" workbookViewId="0">
      <pane xSplit="6" ySplit="1" topLeftCell="L403" activePane="bottomRight" state="frozen"/>
      <selection pane="topRight" activeCell="G1" sqref="G1"/>
      <selection pane="bottomLeft" activeCell="A2" sqref="A2"/>
      <selection pane="bottomRight" activeCell="D410" sqref="D410"/>
    </sheetView>
  </sheetViews>
  <sheetFormatPr baseColWidth="10" defaultColWidth="11.58203125" defaultRowHeight="14"/>
  <cols>
    <col min="1" max="1" width="23" style="1" bestFit="1" customWidth="1"/>
    <col min="2" max="2" width="15.75" style="1" bestFit="1" customWidth="1"/>
    <col min="3" max="3" width="17" style="1" bestFit="1" customWidth="1"/>
    <col min="4" max="4" width="29.25" style="1" customWidth="1"/>
    <col min="5" max="5" width="13.83203125" style="1" bestFit="1" customWidth="1"/>
    <col min="6" max="6" width="20.25" style="1" bestFit="1" customWidth="1"/>
    <col min="7" max="7" width="30.25" style="41" bestFit="1" customWidth="1"/>
    <col min="8" max="8" width="29" style="1" bestFit="1" customWidth="1"/>
    <col min="9" max="9" width="11.58203125" style="1"/>
    <col min="10" max="11" width="17.33203125" style="1" bestFit="1" customWidth="1"/>
    <col min="12" max="12" width="17.33203125" style="1" customWidth="1"/>
    <col min="14" max="14" width="15.58203125" style="1" bestFit="1" customWidth="1"/>
    <col min="15" max="15" width="13.5" style="1" bestFit="1" customWidth="1"/>
    <col min="16" max="16" width="10.83203125" style="1" customWidth="1"/>
    <col min="17" max="17" width="13.5" style="1" customWidth="1"/>
    <col min="19" max="19" width="8" style="1" customWidth="1"/>
    <col min="20" max="20" width="16.83203125" style="1" customWidth="1"/>
    <col min="21" max="21" width="13.83203125" style="1" customWidth="1"/>
    <col min="22" max="22" width="15.08203125" style="1" bestFit="1" customWidth="1"/>
    <col min="23" max="23" width="11.8320312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58203125" customWidth="1"/>
    <col min="37" max="37" width="11.25" style="1" customWidth="1"/>
    <col min="38" max="38" width="9.58203125" customWidth="1"/>
    <col min="39" max="39" width="64.5" style="1" customWidth="1"/>
    <col min="40" max="40" width="24.5" style="1" customWidth="1"/>
    <col min="41" max="41" width="50.25" style="1" customWidth="1"/>
    <col min="42" max="42" width="41.5" style="1" customWidth="1"/>
    <col min="43" max="43" width="17.58203125" style="1" customWidth="1"/>
    <col min="44" max="44" width="19.25" style="1" customWidth="1"/>
    <col min="45" max="45" width="20.5" style="1" customWidth="1"/>
    <col min="46" max="46" width="18.5" style="1" customWidth="1"/>
    <col min="47" max="47" width="21.5" style="1" bestFit="1" customWidth="1"/>
    <col min="48" max="48" width="17.58203125" style="1" bestFit="1" customWidth="1"/>
    <col min="49" max="49" width="13.33203125" style="1" bestFit="1" customWidth="1"/>
    <col min="50" max="50" width="13.33203125" style="1" customWidth="1"/>
    <col min="51" max="51" width="28" bestFit="1" customWidth="1"/>
    <col min="52" max="52" width="19.83203125" bestFit="1" customWidth="1"/>
    <col min="53" max="53" width="40.58203125" style="1" customWidth="1"/>
    <col min="54" max="54" width="27.75" style="1" customWidth="1"/>
    <col min="55" max="56" width="44.25" style="1" customWidth="1"/>
    <col min="57" max="57" width="33" style="1" bestFit="1" customWidth="1"/>
    <col min="58" max="58" width="93.58203125" style="1" bestFit="1" customWidth="1"/>
    <col min="60" max="16384" width="11.58203125" style="1"/>
  </cols>
  <sheetData>
    <row r="1" spans="1:59" ht="12.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7.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7.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7.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7.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7.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7.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7.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7.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7.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7.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7.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7.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7.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7.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7.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7.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7.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7.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7.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7.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7.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7.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7.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7.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7.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7.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7.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7.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7.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7.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7.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7.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7.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7.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7.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7.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7.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7.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7.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7.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7.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7.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7.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7.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7.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7.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7.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7.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7.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7.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7.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7.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7.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7.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7.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7.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7.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7.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7.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7.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7.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7.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7.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7.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7.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7.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7.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7.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7.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7.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v>46175</v>
      </c>
    </row>
    <row r="263" spans="1:50" ht="2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v>46175</v>
      </c>
    </row>
    <row r="264" spans="1:50" ht="2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v>46175</v>
      </c>
    </row>
    <row r="265" spans="1:50" ht="2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v>46175</v>
      </c>
    </row>
    <row r="266" spans="1:50" ht="2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v>46175</v>
      </c>
    </row>
    <row r="267" spans="1:50" ht="2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v>46175</v>
      </c>
    </row>
    <row r="268" spans="1:50" ht="2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v>46175</v>
      </c>
    </row>
    <row r="269" spans="1:50" ht="2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v>46175</v>
      </c>
    </row>
    <row r="270" spans="1:50" ht="2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v>46175</v>
      </c>
    </row>
    <row r="271" spans="1:50" ht="2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v>46175</v>
      </c>
    </row>
    <row r="272" spans="1:50" ht="2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v>46175</v>
      </c>
    </row>
    <row r="273" spans="1:50" ht="2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v>46175</v>
      </c>
    </row>
    <row r="274" spans="1:50" ht="2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v>46175</v>
      </c>
    </row>
    <row r="275" spans="1:50" ht="2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v>46175</v>
      </c>
    </row>
    <row r="276" spans="1:50" ht="2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v>46175</v>
      </c>
    </row>
    <row r="277" spans="1:50" ht="2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v>46175</v>
      </c>
    </row>
    <row r="278" spans="1:50" ht="2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v>46175</v>
      </c>
    </row>
    <row r="279" spans="1:50" ht="2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v>46175</v>
      </c>
    </row>
    <row r="280" spans="1:50" ht="2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v>46175</v>
      </c>
    </row>
    <row r="281" spans="1:50" ht="2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v>46175</v>
      </c>
    </row>
    <row r="282" spans="1:50" ht="2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v>46175</v>
      </c>
    </row>
    <row r="283" spans="1:50" ht="2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v>46175</v>
      </c>
    </row>
    <row r="284" spans="1:50" ht="2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v>46175</v>
      </c>
    </row>
    <row r="285" spans="1:50" ht="2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v>46175</v>
      </c>
    </row>
    <row r="286" spans="1:50" ht="2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v>46175</v>
      </c>
    </row>
    <row r="287" spans="1:50" ht="2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v>46175</v>
      </c>
    </row>
    <row r="288" spans="1:50" ht="2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v>46175</v>
      </c>
    </row>
    <row r="289" spans="1:50" ht="2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v>46175</v>
      </c>
    </row>
    <row r="290" spans="1:50" ht="2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v>46175</v>
      </c>
    </row>
    <row r="291" spans="1:50" ht="2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v>46175</v>
      </c>
    </row>
    <row r="292" spans="1:50" ht="2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v>46175</v>
      </c>
    </row>
    <row r="293" spans="1:50" ht="2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v>46175</v>
      </c>
    </row>
    <row r="294" spans="1:50" ht="2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v>46175</v>
      </c>
    </row>
    <row r="295" spans="1:50" ht="2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v>46175</v>
      </c>
    </row>
    <row r="296" spans="1:50" ht="2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v>46175</v>
      </c>
    </row>
    <row r="297" spans="1:50" ht="2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v>46175</v>
      </c>
    </row>
    <row r="298" spans="1:50" ht="2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v>46175</v>
      </c>
    </row>
    <row r="299" spans="1:50" ht="2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v>46175</v>
      </c>
    </row>
    <row r="300" spans="1:50" ht="2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v>46175</v>
      </c>
    </row>
    <row r="301" spans="1:50" ht="2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v>46175</v>
      </c>
    </row>
    <row r="302" spans="1:50" ht="37.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v>46175</v>
      </c>
    </row>
    <row r="303" spans="1:50" ht="37.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v>46175</v>
      </c>
    </row>
    <row r="304" spans="1:50" ht="37.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v>46175</v>
      </c>
    </row>
    <row r="305" spans="1:50" ht="37.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v>46175</v>
      </c>
    </row>
    <row r="306" spans="1:50" ht="2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v>46175</v>
      </c>
    </row>
    <row r="307" spans="1:50" ht="2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v>46175</v>
      </c>
    </row>
    <row r="308" spans="1:50" ht="2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v>46175</v>
      </c>
    </row>
    <row r="309" spans="1:50" ht="2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v>46175</v>
      </c>
    </row>
    <row r="310" spans="1:50" ht="2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v>46175</v>
      </c>
    </row>
    <row r="311" spans="1:50" ht="2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v>46175</v>
      </c>
    </row>
    <row r="312" spans="1:50" ht="2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v>46175</v>
      </c>
    </row>
    <row r="313" spans="1:50" ht="2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v>46175</v>
      </c>
    </row>
    <row r="314" spans="1:50" ht="2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v>46175</v>
      </c>
    </row>
    <row r="315" spans="1:50" ht="2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v>46175</v>
      </c>
    </row>
    <row r="316" spans="1:50" ht="2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v>46175</v>
      </c>
    </row>
    <row r="317" spans="1:50" ht="2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v>46175</v>
      </c>
    </row>
    <row r="318" spans="1:50" ht="2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v>46175</v>
      </c>
    </row>
    <row r="319" spans="1:50" ht="2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v>46175</v>
      </c>
    </row>
    <row r="320" spans="1:50" ht="2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v>46175</v>
      </c>
    </row>
    <row r="321" spans="1:50" ht="2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v>46175</v>
      </c>
    </row>
    <row r="322" spans="1:50" ht="2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v>46175</v>
      </c>
    </row>
    <row r="323" spans="1:50" ht="2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v>46175</v>
      </c>
    </row>
    <row r="324" spans="1:50" ht="2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v>46175</v>
      </c>
    </row>
    <row r="325" spans="1:50" ht="2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v>46175</v>
      </c>
    </row>
    <row r="326" spans="1:50" ht="37.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t="s">
        <v>2357</v>
      </c>
      <c r="AQ326" s="11" t="s">
        <v>2358</v>
      </c>
      <c r="AR326" s="11" t="s">
        <v>2125</v>
      </c>
      <c r="AS326" s="36" t="s">
        <v>2408</v>
      </c>
      <c r="AT326" s="11" t="s">
        <v>70</v>
      </c>
      <c r="AU326" s="11" t="s">
        <v>370</v>
      </c>
      <c r="AV326" s="13" t="s">
        <v>1871</v>
      </c>
      <c r="AW326" s="14"/>
      <c r="AX326" s="44">
        <v>46175</v>
      </c>
    </row>
    <row r="327" spans="1:50" ht="37.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t="s">
        <v>2359</v>
      </c>
      <c r="AQ327" s="11" t="s">
        <v>2360</v>
      </c>
      <c r="AR327" s="11" t="s">
        <v>2057</v>
      </c>
      <c r="AS327" s="36" t="s">
        <v>2408</v>
      </c>
      <c r="AT327" s="11" t="s">
        <v>70</v>
      </c>
      <c r="AU327" s="11" t="s">
        <v>370</v>
      </c>
      <c r="AV327" s="13" t="s">
        <v>1871</v>
      </c>
      <c r="AW327" s="14"/>
      <c r="AX327" s="44">
        <v>46175</v>
      </c>
    </row>
    <row r="328" spans="1:50" ht="37.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t="s">
        <v>2361</v>
      </c>
      <c r="AQ328" s="11" t="s">
        <v>2362</v>
      </c>
      <c r="AR328" s="11" t="s">
        <v>2126</v>
      </c>
      <c r="AS328" s="36" t="s">
        <v>2408</v>
      </c>
      <c r="AT328" s="11" t="s">
        <v>70</v>
      </c>
      <c r="AU328" s="11" t="s">
        <v>370</v>
      </c>
      <c r="AV328" s="13" t="s">
        <v>1871</v>
      </c>
      <c r="AW328" s="14"/>
      <c r="AX328" s="44">
        <v>46175</v>
      </c>
    </row>
    <row r="329" spans="1:50" ht="37.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t="s">
        <v>2363</v>
      </c>
      <c r="AQ329" s="11" t="s">
        <v>2364</v>
      </c>
      <c r="AR329" s="11" t="s">
        <v>2128</v>
      </c>
      <c r="AS329" s="36" t="s">
        <v>2408</v>
      </c>
      <c r="AT329" s="11" t="s">
        <v>70</v>
      </c>
      <c r="AU329" s="11" t="s">
        <v>370</v>
      </c>
      <c r="AV329" s="13" t="s">
        <v>1871</v>
      </c>
      <c r="AW329" s="14"/>
      <c r="AX329" s="44">
        <v>46175</v>
      </c>
    </row>
    <row r="330" spans="1:50" ht="37.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t="s">
        <v>2365</v>
      </c>
      <c r="AQ330" s="11" t="s">
        <v>2366</v>
      </c>
      <c r="AR330" s="11" t="s">
        <v>2130</v>
      </c>
      <c r="AS330" s="36" t="s">
        <v>2408</v>
      </c>
      <c r="AT330" s="11" t="s">
        <v>70</v>
      </c>
      <c r="AU330" s="11" t="s">
        <v>370</v>
      </c>
      <c r="AV330" s="13" t="s">
        <v>1871</v>
      </c>
      <c r="AW330" s="14"/>
      <c r="AX330" s="44">
        <v>46175</v>
      </c>
    </row>
    <row r="331" spans="1:50" ht="37.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t="s">
        <v>2367</v>
      </c>
      <c r="AQ331" s="11" t="s">
        <v>2368</v>
      </c>
      <c r="AR331" s="11" t="s">
        <v>2127</v>
      </c>
      <c r="AS331" s="36" t="s">
        <v>2408</v>
      </c>
      <c r="AT331" s="11" t="s">
        <v>70</v>
      </c>
      <c r="AU331" s="11" t="s">
        <v>370</v>
      </c>
      <c r="AV331" s="13" t="s">
        <v>1871</v>
      </c>
      <c r="AW331" s="14"/>
      <c r="AX331" s="44">
        <v>46175</v>
      </c>
    </row>
    <row r="332" spans="1:50" ht="37.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t="s">
        <v>2369</v>
      </c>
      <c r="AQ332" s="11" t="s">
        <v>2370</v>
      </c>
      <c r="AR332" s="11" t="s">
        <v>2129</v>
      </c>
      <c r="AS332" s="36" t="s">
        <v>2408</v>
      </c>
      <c r="AT332" s="11" t="s">
        <v>70</v>
      </c>
      <c r="AU332" s="11" t="s">
        <v>370</v>
      </c>
      <c r="AV332" s="13" t="s">
        <v>1871</v>
      </c>
      <c r="AW332" s="14"/>
      <c r="AX332" s="44">
        <v>46175</v>
      </c>
    </row>
    <row r="333" spans="1:50" ht="37.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t="s">
        <v>2371</v>
      </c>
      <c r="AQ333" s="11" t="s">
        <v>2372</v>
      </c>
      <c r="AR333" s="11" t="s">
        <v>2131</v>
      </c>
      <c r="AS333" s="36" t="s">
        <v>2408</v>
      </c>
      <c r="AT333" s="11" t="s">
        <v>70</v>
      </c>
      <c r="AU333" s="11" t="s">
        <v>370</v>
      </c>
      <c r="AV333" s="13" t="s">
        <v>1871</v>
      </c>
      <c r="AW333" s="14"/>
      <c r="AX333" s="44">
        <v>46175</v>
      </c>
    </row>
    <row r="334" spans="1:50" ht="37.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t="s">
        <v>2371</v>
      </c>
      <c r="AQ334" s="11" t="s">
        <v>2373</v>
      </c>
      <c r="AR334" s="11" t="s">
        <v>2132</v>
      </c>
      <c r="AS334" s="36" t="s">
        <v>2408</v>
      </c>
      <c r="AT334" s="11" t="s">
        <v>70</v>
      </c>
      <c r="AU334" s="11" t="s">
        <v>370</v>
      </c>
      <c r="AV334" s="13" t="s">
        <v>1871</v>
      </c>
      <c r="AW334" s="14"/>
      <c r="AX334" s="44">
        <v>46175</v>
      </c>
    </row>
    <row r="335" spans="1:50" ht="37.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t="s">
        <v>2374</v>
      </c>
      <c r="AQ335" s="11" t="s">
        <v>2375</v>
      </c>
      <c r="AR335" s="11" t="s">
        <v>2133</v>
      </c>
      <c r="AS335" s="36" t="s">
        <v>2408</v>
      </c>
      <c r="AT335" s="11" t="s">
        <v>70</v>
      </c>
      <c r="AU335" s="11" t="s">
        <v>370</v>
      </c>
      <c r="AV335" s="13" t="s">
        <v>1871</v>
      </c>
      <c r="AW335" s="14"/>
      <c r="AX335" s="44">
        <v>46175</v>
      </c>
    </row>
    <row r="336" spans="1:50" ht="37.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t="s">
        <v>2376</v>
      </c>
      <c r="AQ336" s="11" t="s">
        <v>2377</v>
      </c>
      <c r="AR336" s="11" t="s">
        <v>2134</v>
      </c>
      <c r="AS336" s="36" t="s">
        <v>2408</v>
      </c>
      <c r="AT336" s="11" t="s">
        <v>70</v>
      </c>
      <c r="AU336" s="11" t="s">
        <v>370</v>
      </c>
      <c r="AV336" s="13" t="s">
        <v>1871</v>
      </c>
      <c r="AW336" s="14"/>
      <c r="AX336" s="44">
        <v>46175</v>
      </c>
    </row>
    <row r="337" spans="1:50" ht="37.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t="s">
        <v>2378</v>
      </c>
      <c r="AQ337" s="11" t="s">
        <v>2379</v>
      </c>
      <c r="AR337" s="11" t="s">
        <v>2135</v>
      </c>
      <c r="AS337" s="36" t="s">
        <v>2408</v>
      </c>
      <c r="AT337" s="11" t="s">
        <v>70</v>
      </c>
      <c r="AU337" s="11" t="s">
        <v>370</v>
      </c>
      <c r="AV337" s="13" t="s">
        <v>1871</v>
      </c>
      <c r="AW337" s="14"/>
      <c r="AX337" s="44">
        <v>46175</v>
      </c>
    </row>
    <row r="338" spans="1:50" ht="37.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t="s">
        <v>2380</v>
      </c>
      <c r="AQ338" s="11" t="s">
        <v>2381</v>
      </c>
      <c r="AR338" s="11" t="s">
        <v>2136</v>
      </c>
      <c r="AS338" s="36" t="s">
        <v>2408</v>
      </c>
      <c r="AT338" s="11" t="s">
        <v>70</v>
      </c>
      <c r="AU338" s="11" t="s">
        <v>370</v>
      </c>
      <c r="AV338" s="13" t="s">
        <v>1871</v>
      </c>
      <c r="AW338" s="14"/>
      <c r="AX338" s="44">
        <v>46175</v>
      </c>
    </row>
    <row r="339" spans="1:50" ht="37.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t="s">
        <v>2382</v>
      </c>
      <c r="AQ339" s="11" t="s">
        <v>2383</v>
      </c>
      <c r="AR339" s="11" t="s">
        <v>2137</v>
      </c>
      <c r="AS339" s="36" t="s">
        <v>2408</v>
      </c>
      <c r="AT339" s="11" t="s">
        <v>70</v>
      </c>
      <c r="AU339" s="11" t="s">
        <v>370</v>
      </c>
      <c r="AV339" s="13" t="s">
        <v>1871</v>
      </c>
      <c r="AW339" s="14"/>
      <c r="AX339" s="44">
        <v>46175</v>
      </c>
    </row>
    <row r="340" spans="1:50" ht="37.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t="s">
        <v>2384</v>
      </c>
      <c r="AQ340" s="11" t="s">
        <v>2385</v>
      </c>
      <c r="AR340" s="11" t="s">
        <v>2138</v>
      </c>
      <c r="AS340" s="36" t="s">
        <v>2408</v>
      </c>
      <c r="AT340" s="11" t="s">
        <v>70</v>
      </c>
      <c r="AU340" s="11" t="s">
        <v>370</v>
      </c>
      <c r="AV340" s="13" t="s">
        <v>1871</v>
      </c>
      <c r="AW340" s="14"/>
      <c r="AX340" s="44">
        <v>46175</v>
      </c>
    </row>
    <row r="341" spans="1:50" ht="37.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t="s">
        <v>2382</v>
      </c>
      <c r="AQ341" s="11" t="s">
        <v>2386</v>
      </c>
      <c r="AR341" s="11" t="s">
        <v>2139</v>
      </c>
      <c r="AS341" s="36" t="s">
        <v>2408</v>
      </c>
      <c r="AT341" s="11" t="s">
        <v>70</v>
      </c>
      <c r="AU341" s="11" t="s">
        <v>370</v>
      </c>
      <c r="AV341" s="13" t="s">
        <v>1871</v>
      </c>
      <c r="AW341" s="14"/>
      <c r="AX341" s="44">
        <v>46175</v>
      </c>
    </row>
    <row r="342" spans="1:50" ht="37.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t="s">
        <v>2387</v>
      </c>
      <c r="AQ342" s="11" t="s">
        <v>2388</v>
      </c>
      <c r="AR342" s="11" t="s">
        <v>2140</v>
      </c>
      <c r="AS342" s="36" t="s">
        <v>2408</v>
      </c>
      <c r="AT342" s="11" t="s">
        <v>70</v>
      </c>
      <c r="AU342" s="11" t="s">
        <v>370</v>
      </c>
      <c r="AV342" s="13" t="s">
        <v>1871</v>
      </c>
      <c r="AW342" s="14"/>
      <c r="AX342" s="44">
        <v>46175</v>
      </c>
    </row>
    <row r="343" spans="1:50" ht="37.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t="s">
        <v>2389</v>
      </c>
      <c r="AQ343" s="11" t="s">
        <v>2390</v>
      </c>
      <c r="AR343" s="11" t="s">
        <v>2141</v>
      </c>
      <c r="AS343" s="36" t="s">
        <v>2408</v>
      </c>
      <c r="AT343" s="11" t="s">
        <v>70</v>
      </c>
      <c r="AU343" s="11" t="s">
        <v>370</v>
      </c>
      <c r="AV343" s="13" t="s">
        <v>1871</v>
      </c>
      <c r="AW343" s="14"/>
      <c r="AX343" s="44">
        <v>46175</v>
      </c>
    </row>
    <row r="344" spans="1:50" ht="37.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t="s">
        <v>2391</v>
      </c>
      <c r="AQ344" s="11" t="s">
        <v>2392</v>
      </c>
      <c r="AR344" s="11" t="s">
        <v>2142</v>
      </c>
      <c r="AS344" s="36" t="s">
        <v>2408</v>
      </c>
      <c r="AT344" s="11" t="s">
        <v>70</v>
      </c>
      <c r="AU344" s="11" t="s">
        <v>370</v>
      </c>
      <c r="AV344" s="13" t="s">
        <v>1871</v>
      </c>
      <c r="AW344" s="14"/>
      <c r="AX344" s="44">
        <v>46175</v>
      </c>
    </row>
    <row r="345" spans="1:50" ht="37.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t="s">
        <v>2391</v>
      </c>
      <c r="AQ345" s="11" t="s">
        <v>2393</v>
      </c>
      <c r="AR345" s="11" t="s">
        <v>2143</v>
      </c>
      <c r="AS345" s="36" t="s">
        <v>2408</v>
      </c>
      <c r="AT345" s="11" t="s">
        <v>70</v>
      </c>
      <c r="AU345" s="11" t="s">
        <v>370</v>
      </c>
      <c r="AV345" s="13" t="s">
        <v>1871</v>
      </c>
      <c r="AW345" s="14"/>
      <c r="AX345" s="44">
        <v>46175</v>
      </c>
    </row>
    <row r="346" spans="1:50" ht="37.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t="s">
        <v>2394</v>
      </c>
      <c r="AQ346" s="11" t="s">
        <v>2395</v>
      </c>
      <c r="AR346" s="11" t="s">
        <v>2144</v>
      </c>
      <c r="AS346" s="36" t="s">
        <v>2408</v>
      </c>
      <c r="AT346" s="11" t="s">
        <v>70</v>
      </c>
      <c r="AU346" s="11" t="s">
        <v>370</v>
      </c>
      <c r="AV346" s="13" t="s">
        <v>1871</v>
      </c>
      <c r="AW346" s="14"/>
      <c r="AX346" s="44">
        <v>46175</v>
      </c>
    </row>
    <row r="347" spans="1:50" ht="37.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t="s">
        <v>2396</v>
      </c>
      <c r="AQ347" s="11" t="s">
        <v>2397</v>
      </c>
      <c r="AR347" s="11" t="s">
        <v>2145</v>
      </c>
      <c r="AS347" s="36" t="s">
        <v>2408</v>
      </c>
      <c r="AT347" s="11" t="s">
        <v>70</v>
      </c>
      <c r="AU347" s="11" t="s">
        <v>370</v>
      </c>
      <c r="AV347" s="13" t="s">
        <v>1871</v>
      </c>
      <c r="AW347" s="14"/>
      <c r="AX347" s="44">
        <v>46175</v>
      </c>
    </row>
    <row r="348" spans="1:50" ht="37.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t="s">
        <v>2398</v>
      </c>
      <c r="AQ348" s="11" t="s">
        <v>2399</v>
      </c>
      <c r="AR348" s="11" t="s">
        <v>2146</v>
      </c>
      <c r="AS348" s="36" t="s">
        <v>2408</v>
      </c>
      <c r="AT348" s="11" t="s">
        <v>70</v>
      </c>
      <c r="AU348" s="11" t="s">
        <v>370</v>
      </c>
      <c r="AV348" s="13" t="s">
        <v>1871</v>
      </c>
      <c r="AW348" s="14"/>
      <c r="AX348" s="44">
        <v>46175</v>
      </c>
    </row>
    <row r="349" spans="1:50" ht="37.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t="s">
        <v>2400</v>
      </c>
      <c r="AQ349" s="11" t="s">
        <v>2401</v>
      </c>
      <c r="AR349" s="11" t="s">
        <v>2147</v>
      </c>
      <c r="AS349" s="36" t="s">
        <v>2408</v>
      </c>
      <c r="AT349" s="11" t="s">
        <v>70</v>
      </c>
      <c r="AU349" s="11" t="s">
        <v>370</v>
      </c>
      <c r="AV349" s="13" t="s">
        <v>1871</v>
      </c>
      <c r="AW349" s="14"/>
      <c r="AX349" s="44">
        <v>46175</v>
      </c>
    </row>
    <row r="350" spans="1:50" ht="37.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t="s">
        <v>2402</v>
      </c>
      <c r="AQ350" s="11" t="s">
        <v>2403</v>
      </c>
      <c r="AR350" s="11" t="s">
        <v>2148</v>
      </c>
      <c r="AS350" s="36" t="s">
        <v>2408</v>
      </c>
      <c r="AT350" s="11" t="s">
        <v>70</v>
      </c>
      <c r="AU350" s="11" t="s">
        <v>370</v>
      </c>
      <c r="AV350" s="13" t="s">
        <v>1871</v>
      </c>
      <c r="AW350" s="14"/>
      <c r="AX350" s="44">
        <v>46175</v>
      </c>
    </row>
    <row r="351" spans="1:50" ht="37.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t="s">
        <v>2404</v>
      </c>
      <c r="AQ351" s="11" t="s">
        <v>2405</v>
      </c>
      <c r="AR351" s="11" t="s">
        <v>2149</v>
      </c>
      <c r="AS351" s="36" t="s">
        <v>2408</v>
      </c>
      <c r="AT351" s="11" t="s">
        <v>70</v>
      </c>
      <c r="AU351" s="11" t="s">
        <v>370</v>
      </c>
      <c r="AV351" s="13" t="s">
        <v>1871</v>
      </c>
      <c r="AW351" s="14"/>
      <c r="AX351" s="44">
        <v>46175</v>
      </c>
    </row>
    <row r="352" spans="1:50" ht="37.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t="s">
        <v>2406</v>
      </c>
      <c r="AQ352" s="11" t="s">
        <v>2407</v>
      </c>
      <c r="AR352" s="11" t="s">
        <v>2150</v>
      </c>
      <c r="AS352" s="36" t="s">
        <v>2408</v>
      </c>
      <c r="AT352" s="11" t="s">
        <v>70</v>
      </c>
      <c r="AU352" s="11" t="s">
        <v>370</v>
      </c>
      <c r="AV352" s="13" t="s">
        <v>1871</v>
      </c>
      <c r="AW352" s="14"/>
      <c r="AX352" s="44">
        <v>46175</v>
      </c>
    </row>
    <row r="353" spans="1:50" ht="2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v>46175</v>
      </c>
    </row>
    <row r="354" spans="1:50" ht="2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v>46175</v>
      </c>
    </row>
    <row r="355" spans="1:50" ht="2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v>46175</v>
      </c>
    </row>
    <row r="356" spans="1:50" ht="2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v>46175</v>
      </c>
    </row>
    <row r="357" spans="1:50" ht="2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v>46175</v>
      </c>
    </row>
    <row r="358" spans="1:50" ht="2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v>46175</v>
      </c>
    </row>
    <row r="359" spans="1:50" ht="2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v>46175</v>
      </c>
    </row>
    <row r="360" spans="1:50" ht="2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v>46175</v>
      </c>
    </row>
    <row r="361" spans="1:50" ht="2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v>46175</v>
      </c>
    </row>
    <row r="362" spans="1:50" ht="2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v>46175</v>
      </c>
    </row>
    <row r="363" spans="1:50" ht="2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v>46175</v>
      </c>
    </row>
    <row r="364" spans="1:50" ht="2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v>46175</v>
      </c>
    </row>
    <row r="365" spans="1:50" ht="2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v>46175</v>
      </c>
    </row>
    <row r="366" spans="1:50" ht="2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v>46175</v>
      </c>
    </row>
    <row r="367" spans="1:50" ht="2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v>46175</v>
      </c>
    </row>
    <row r="368" spans="1:50" ht="2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v>46175</v>
      </c>
    </row>
    <row r="369" spans="1:50" ht="2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v>46175</v>
      </c>
    </row>
    <row r="370" spans="1:50" ht="2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v>46175</v>
      </c>
    </row>
    <row r="371" spans="1:50" ht="2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v>46175</v>
      </c>
    </row>
    <row r="372" spans="1:50" ht="2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v>46175</v>
      </c>
    </row>
    <row r="373" spans="1:50" ht="2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v>46175</v>
      </c>
    </row>
    <row r="374" spans="1:50" ht="2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v>46175</v>
      </c>
    </row>
    <row r="375" spans="1:50" ht="25">
      <c r="A375" s="38" t="str">
        <f>VLOOKUP(Tableau1[[#This Row],[N° Département]],Feuil1!$C$6:$E$106,3)</f>
        <v>Hauts-de-France</v>
      </c>
      <c r="B375" s="38" t="str">
        <f>VLOOKUP(Tableau1[[#This Row],[N° Département]],Feuil1!$C$6:$E$106,2)</f>
        <v>Oise</v>
      </c>
      <c r="C375" s="38">
        <f>LEFT(Tableau1[[#This Row],[Code Postal]],2)*1</f>
        <v>60</v>
      </c>
      <c r="D375" s="10" t="s">
        <v>2279</v>
      </c>
      <c r="E375" s="26">
        <v>60180</v>
      </c>
      <c r="F375" s="10" t="s">
        <v>2253</v>
      </c>
      <c r="G375" s="39" t="str">
        <f>Tableau1[[#This Row],[Rue]]&amp;CHAR(10)&amp;Tableau1[[#This Row],[Code Postal]]&amp;" - "&amp;Tableau1[[#This Row],[Ville]]</f>
        <v>Auchan, 110 Avenue de l'Europe
60180 - Nogent-sur-Oise</v>
      </c>
      <c r="H375" s="15" t="s">
        <v>2252</v>
      </c>
      <c r="I375" s="12" t="s">
        <v>45</v>
      </c>
      <c r="J375" s="12" t="s">
        <v>49</v>
      </c>
      <c r="K375" s="10" t="s">
        <v>98</v>
      </c>
      <c r="L375" s="10" t="s">
        <v>98</v>
      </c>
      <c r="M375" s="12" t="s">
        <v>98</v>
      </c>
      <c r="N375" s="36" t="s">
        <v>2254</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c r="AM375" s="11"/>
      <c r="AN375" s="11" t="s">
        <v>1386</v>
      </c>
      <c r="AO375" s="5" t="s">
        <v>361</v>
      </c>
      <c r="AP375" s="11" t="s">
        <v>2263</v>
      </c>
      <c r="AQ375" s="11" t="s">
        <v>2264</v>
      </c>
      <c r="AR375" s="11" t="s">
        <v>2258</v>
      </c>
      <c r="AS375" s="36" t="s">
        <v>2273</v>
      </c>
      <c r="AT375" s="11" t="s">
        <v>70</v>
      </c>
      <c r="AU375" s="11" t="s">
        <v>370</v>
      </c>
      <c r="AV375" s="13" t="s">
        <v>1871</v>
      </c>
      <c r="AW375" s="14"/>
      <c r="AX375" s="44">
        <v>46175</v>
      </c>
    </row>
    <row r="376" spans="1:50" ht="25">
      <c r="A376" s="38" t="str">
        <f>VLOOKUP(Tableau1[[#This Row],[N° Département]],Feuil1!$C$6:$E$106,3)</f>
        <v>Hauts-de-France</v>
      </c>
      <c r="B376" s="38" t="str">
        <f>VLOOKUP(Tableau1[[#This Row],[N° Département]],Feuil1!$C$6:$E$106,2)</f>
        <v>Oise</v>
      </c>
      <c r="C376" s="38">
        <f>LEFT(Tableau1[[#This Row],[Code Postal]],2)*1</f>
        <v>60</v>
      </c>
      <c r="D376" s="10" t="s">
        <v>2279</v>
      </c>
      <c r="E376" s="10">
        <v>60180</v>
      </c>
      <c r="F376" s="10" t="s">
        <v>2253</v>
      </c>
      <c r="G376" s="39" t="str">
        <f>Tableau1[[#This Row],[Rue]]&amp;CHAR(10)&amp;Tableau1[[#This Row],[Code Postal]]&amp;" - "&amp;Tableau1[[#This Row],[Ville]]</f>
        <v>Auchan, 110 Avenue de l'Europe
60180 - Nogent-sur-Oise</v>
      </c>
      <c r="H376" s="15" t="s">
        <v>2252</v>
      </c>
      <c r="I376" s="12" t="s">
        <v>45</v>
      </c>
      <c r="J376" s="12" t="s">
        <v>49</v>
      </c>
      <c r="K376" s="10" t="s">
        <v>98</v>
      </c>
      <c r="L376" s="10" t="s">
        <v>98</v>
      </c>
      <c r="M376" s="12" t="s">
        <v>98</v>
      </c>
      <c r="N376" s="36" t="s">
        <v>2255</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c r="AM376" s="11"/>
      <c r="AN376" s="11" t="s">
        <v>1386</v>
      </c>
      <c r="AO376" s="5" t="s">
        <v>361</v>
      </c>
      <c r="AP376" s="11" t="s">
        <v>2265</v>
      </c>
      <c r="AQ376" s="11" t="s">
        <v>2266</v>
      </c>
      <c r="AR376" s="11" t="s">
        <v>2259</v>
      </c>
      <c r="AS376" s="36" t="s">
        <v>2273</v>
      </c>
      <c r="AT376" s="11" t="s">
        <v>70</v>
      </c>
      <c r="AU376" s="11" t="s">
        <v>370</v>
      </c>
      <c r="AV376" s="13" t="s">
        <v>1871</v>
      </c>
      <c r="AW376" s="14"/>
      <c r="AX376" s="44">
        <v>46175</v>
      </c>
    </row>
    <row r="377" spans="1:50" ht="25">
      <c r="A377" s="38" t="str">
        <f>VLOOKUP(Tableau1[[#This Row],[N° Département]],Feuil1!$C$6:$E$106,3)</f>
        <v>Hauts-de-France</v>
      </c>
      <c r="B377" s="38" t="str">
        <f>VLOOKUP(Tableau1[[#This Row],[N° Département]],Feuil1!$C$6:$E$106,2)</f>
        <v>Oise</v>
      </c>
      <c r="C377" s="38">
        <f>LEFT(Tableau1[[#This Row],[Code Postal]],2)*1</f>
        <v>60</v>
      </c>
      <c r="D377" s="10" t="s">
        <v>2279</v>
      </c>
      <c r="E377" s="10">
        <v>60180</v>
      </c>
      <c r="F377" s="10" t="s">
        <v>2253</v>
      </c>
      <c r="G377" s="39" t="str">
        <f>Tableau1[[#This Row],[Rue]]&amp;CHAR(10)&amp;Tableau1[[#This Row],[Code Postal]]&amp;" - "&amp;Tableau1[[#This Row],[Ville]]</f>
        <v>Auchan, 110 Avenue de l'Europe
60180 - Nogent-sur-Oise</v>
      </c>
      <c r="H377" s="15" t="s">
        <v>2252</v>
      </c>
      <c r="I377" s="12" t="s">
        <v>45</v>
      </c>
      <c r="J377" s="12" t="s">
        <v>49</v>
      </c>
      <c r="K377" s="10" t="s">
        <v>98</v>
      </c>
      <c r="L377" s="10" t="s">
        <v>98</v>
      </c>
      <c r="M377" s="12" t="s">
        <v>98</v>
      </c>
      <c r="N377" s="36" t="s">
        <v>2256</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c r="AM377" s="11"/>
      <c r="AN377" s="11" t="s">
        <v>1386</v>
      </c>
      <c r="AO377" s="5" t="s">
        <v>361</v>
      </c>
      <c r="AP377" s="11" t="s">
        <v>2269</v>
      </c>
      <c r="AQ377" s="11" t="s">
        <v>2270</v>
      </c>
      <c r="AR377" s="11" t="s">
        <v>2260</v>
      </c>
      <c r="AS377" s="36" t="s">
        <v>2273</v>
      </c>
      <c r="AT377" s="11" t="s">
        <v>70</v>
      </c>
      <c r="AU377" s="11" t="s">
        <v>370</v>
      </c>
      <c r="AV377" s="13" t="s">
        <v>1871</v>
      </c>
      <c r="AW377" s="14"/>
      <c r="AX377" s="44">
        <v>46175</v>
      </c>
    </row>
    <row r="378" spans="1:50" ht="25">
      <c r="A378" s="38" t="str">
        <f>VLOOKUP(Tableau1[[#This Row],[N° Département]],Feuil1!$C$6:$E$106,3)</f>
        <v>Hauts-de-France</v>
      </c>
      <c r="B378" s="38" t="str">
        <f>VLOOKUP(Tableau1[[#This Row],[N° Département]],Feuil1!$C$6:$E$106,2)</f>
        <v>Oise</v>
      </c>
      <c r="C378" s="38">
        <f>LEFT(Tableau1[[#This Row],[Code Postal]],2)*1</f>
        <v>60</v>
      </c>
      <c r="D378" s="10" t="s">
        <v>2279</v>
      </c>
      <c r="E378" s="10">
        <v>60180</v>
      </c>
      <c r="F378" s="10" t="s">
        <v>2253</v>
      </c>
      <c r="G378" s="39" t="str">
        <f>Tableau1[[#This Row],[Rue]]&amp;CHAR(10)&amp;Tableau1[[#This Row],[Code Postal]]&amp;" - "&amp;Tableau1[[#This Row],[Ville]]</f>
        <v>Auchan, 110 Avenue de l'Europe
60180 - Nogent-sur-Oise</v>
      </c>
      <c r="H378" s="15" t="s">
        <v>2252</v>
      </c>
      <c r="I378" s="12" t="s">
        <v>45</v>
      </c>
      <c r="J378" s="12" t="s">
        <v>49</v>
      </c>
      <c r="K378" s="10" t="s">
        <v>98</v>
      </c>
      <c r="L378" s="10" t="s">
        <v>98</v>
      </c>
      <c r="M378" s="12" t="s">
        <v>98</v>
      </c>
      <c r="N378" s="36" t="s">
        <v>2257</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c r="AM378" s="11"/>
      <c r="AN378" s="11" t="s">
        <v>1386</v>
      </c>
      <c r="AO378" s="5" t="s">
        <v>361</v>
      </c>
      <c r="AP378" s="11" t="s">
        <v>2271</v>
      </c>
      <c r="AQ378" s="11" t="s">
        <v>2272</v>
      </c>
      <c r="AR378" s="11" t="s">
        <v>2261</v>
      </c>
      <c r="AS378" s="36" t="s">
        <v>2273</v>
      </c>
      <c r="AT378" s="11" t="s">
        <v>70</v>
      </c>
      <c r="AU378" s="11" t="s">
        <v>370</v>
      </c>
      <c r="AV378" s="13" t="s">
        <v>1871</v>
      </c>
      <c r="AW378" s="14"/>
      <c r="AX378" s="44">
        <v>46175</v>
      </c>
    </row>
    <row r="379" spans="1:50" ht="25">
      <c r="A379" s="38" t="str">
        <f>VLOOKUP(Tableau1[[#This Row],[N° Département]],Feuil1!$C$6:$E$106,3)</f>
        <v>Hauts-de-France</v>
      </c>
      <c r="B379" s="38" t="str">
        <f>VLOOKUP(Tableau1[[#This Row],[N° Département]],Feuil1!$C$6:$E$106,2)</f>
        <v>Oise</v>
      </c>
      <c r="C379" s="38">
        <f>LEFT(Tableau1[[#This Row],[Code Postal]],2)*1</f>
        <v>60</v>
      </c>
      <c r="D379" s="10" t="s">
        <v>2279</v>
      </c>
      <c r="E379" s="10">
        <v>60180</v>
      </c>
      <c r="F379" s="10" t="s">
        <v>2253</v>
      </c>
      <c r="G379" s="39" t="str">
        <f>Tableau1[[#This Row],[Rue]]&amp;CHAR(10)&amp;Tableau1[[#This Row],[Code Postal]]&amp;" - "&amp;Tableau1[[#This Row],[Ville]]</f>
        <v>Auchan, 110 Avenue de l'Europe
60180 - Nogent-sur-Oise</v>
      </c>
      <c r="H379" s="15" t="s">
        <v>2252</v>
      </c>
      <c r="I379" s="12" t="s">
        <v>45</v>
      </c>
      <c r="J379" s="12" t="s">
        <v>49</v>
      </c>
      <c r="K379" s="10" t="s">
        <v>98</v>
      </c>
      <c r="L379" s="10" t="s">
        <v>98</v>
      </c>
      <c r="M379" s="12" t="s">
        <v>98</v>
      </c>
      <c r="N379" s="36" t="s">
        <v>2115</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c r="AM379" s="11"/>
      <c r="AN379" s="11" t="s">
        <v>1386</v>
      </c>
      <c r="AO379" s="5" t="s">
        <v>361</v>
      </c>
      <c r="AP379" s="11" t="s">
        <v>2267</v>
      </c>
      <c r="AQ379" s="11" t="s">
        <v>2268</v>
      </c>
      <c r="AR379" s="11" t="s">
        <v>2262</v>
      </c>
      <c r="AS379" s="36" t="s">
        <v>2273</v>
      </c>
      <c r="AT379" s="11" t="s">
        <v>70</v>
      </c>
      <c r="AU379" s="11" t="s">
        <v>370</v>
      </c>
      <c r="AV379" s="13" t="s">
        <v>1871</v>
      </c>
      <c r="AW379" s="14"/>
      <c r="AX379" s="44">
        <v>46175</v>
      </c>
    </row>
    <row r="380" spans="1:50" ht="25">
      <c r="A380" s="38" t="str">
        <f>VLOOKUP(Tableau1[[#This Row],[N° Département]],Feuil1!$C$6:$E$106,3)</f>
        <v>Bretagne</v>
      </c>
      <c r="B380" s="38" t="str">
        <f>VLOOKUP(Tableau1[[#This Row],[N° Département]],Feuil1!$C$6:$E$106,2)</f>
        <v>Côtes d'Armor</v>
      </c>
      <c r="C380" s="38">
        <f>LEFT(Tableau1[[#This Row],[Code Postal]],2)*1</f>
        <v>22</v>
      </c>
      <c r="D380" s="10" t="s">
        <v>2280</v>
      </c>
      <c r="E380" s="26">
        <v>22000</v>
      </c>
      <c r="F380" s="10" t="s">
        <v>2277</v>
      </c>
      <c r="G380" s="39" t="str">
        <f>Tableau1[[#This Row],[Rue]]&amp;CHAR(10)&amp;Tableau1[[#This Row],[Code Postal]]&amp;" - "&amp;Tableau1[[#This Row],[Ville]]</f>
        <v>Les Champs, 1 rue Sainte-Barbe
22000 - Saint-Brieuc</v>
      </c>
      <c r="H380" s="15" t="s">
        <v>2278</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c r="AM380" s="11"/>
      <c r="AN380" s="11" t="s">
        <v>1386</v>
      </c>
      <c r="AO380" s="5" t="s">
        <v>361</v>
      </c>
      <c r="AP380" s="11" t="s">
        <v>2288</v>
      </c>
      <c r="AQ380" s="11" t="s">
        <v>2289</v>
      </c>
      <c r="AR380" s="11" t="s">
        <v>2282</v>
      </c>
      <c r="AS380" s="36" t="s">
        <v>2300</v>
      </c>
      <c r="AT380" s="11" t="s">
        <v>70</v>
      </c>
      <c r="AU380" s="11" t="s">
        <v>370</v>
      </c>
      <c r="AV380" s="13" t="s">
        <v>1871</v>
      </c>
      <c r="AW380" s="14"/>
      <c r="AX380" s="44">
        <v>46175</v>
      </c>
    </row>
    <row r="381" spans="1:50" ht="25">
      <c r="A381" s="38" t="str">
        <f>VLOOKUP(Tableau1[[#This Row],[N° Département]],Feuil1!$C$6:$E$106,3)</f>
        <v>Bretagne</v>
      </c>
      <c r="B381" s="38" t="str">
        <f>VLOOKUP(Tableau1[[#This Row],[N° Département]],Feuil1!$C$6:$E$106,2)</f>
        <v>Côtes d'Armor</v>
      </c>
      <c r="C381" s="38">
        <f>LEFT(Tableau1[[#This Row],[Code Postal]],2)*1</f>
        <v>22</v>
      </c>
      <c r="D381" s="10" t="s">
        <v>2280</v>
      </c>
      <c r="E381" s="26">
        <v>22000</v>
      </c>
      <c r="F381" s="10" t="s">
        <v>2277</v>
      </c>
      <c r="G381" s="39" t="str">
        <f>Tableau1[[#This Row],[Rue]]&amp;CHAR(10)&amp;Tableau1[[#This Row],[Code Postal]]&amp;" - "&amp;Tableau1[[#This Row],[Ville]]</f>
        <v>Les Champs, 1 rue Sainte-Barbe
22000 - Saint-Brieuc</v>
      </c>
      <c r="H381" s="15" t="s">
        <v>2278</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c r="AM381" s="11"/>
      <c r="AN381" s="11" t="s">
        <v>1386</v>
      </c>
      <c r="AO381" s="5" t="s">
        <v>361</v>
      </c>
      <c r="AP381" s="11" t="s">
        <v>2290</v>
      </c>
      <c r="AQ381" s="11" t="s">
        <v>2291</v>
      </c>
      <c r="AR381" s="11" t="s">
        <v>2283</v>
      </c>
      <c r="AS381" s="36" t="s">
        <v>2300</v>
      </c>
      <c r="AT381" s="11" t="s">
        <v>70</v>
      </c>
      <c r="AU381" s="11" t="s">
        <v>370</v>
      </c>
      <c r="AV381" s="13" t="s">
        <v>1871</v>
      </c>
      <c r="AW381" s="14"/>
      <c r="AX381" s="44">
        <v>46175</v>
      </c>
    </row>
    <row r="382" spans="1:50" ht="25">
      <c r="A382" s="38" t="str">
        <f>VLOOKUP(Tableau1[[#This Row],[N° Département]],Feuil1!$C$6:$E$106,3)</f>
        <v>Bretagne</v>
      </c>
      <c r="B382" s="38" t="str">
        <f>VLOOKUP(Tableau1[[#This Row],[N° Département]],Feuil1!$C$6:$E$106,2)</f>
        <v>Côtes d'Armor</v>
      </c>
      <c r="C382" s="38">
        <f>LEFT(Tableau1[[#This Row],[Code Postal]],2)*1</f>
        <v>22</v>
      </c>
      <c r="D382" s="10" t="s">
        <v>2280</v>
      </c>
      <c r="E382" s="26">
        <v>22000</v>
      </c>
      <c r="F382" s="10" t="s">
        <v>2277</v>
      </c>
      <c r="G382" s="39" t="str">
        <f>Tableau1[[#This Row],[Rue]]&amp;CHAR(10)&amp;Tableau1[[#This Row],[Code Postal]]&amp;" - "&amp;Tableau1[[#This Row],[Ville]]</f>
        <v>Les Champs, 1 rue Sainte-Barbe
22000 - Saint-Brieuc</v>
      </c>
      <c r="H382" s="15" t="s">
        <v>2278</v>
      </c>
      <c r="I382" s="12" t="s">
        <v>45</v>
      </c>
      <c r="J382" s="12" t="s">
        <v>49</v>
      </c>
      <c r="K382" s="10" t="s">
        <v>98</v>
      </c>
      <c r="L382" s="10" t="s">
        <v>98</v>
      </c>
      <c r="M382" s="12" t="s">
        <v>98</v>
      </c>
      <c r="N382" s="36">
        <v>5</v>
      </c>
      <c r="O382" s="34">
        <v>144</v>
      </c>
      <c r="P382" s="6" t="s">
        <v>98</v>
      </c>
      <c r="Q382" s="34" t="s">
        <v>98</v>
      </c>
      <c r="R382" s="6" t="s">
        <v>98</v>
      </c>
      <c r="S382" s="6" t="s">
        <v>98</v>
      </c>
      <c r="T382" s="12">
        <f>Tableau1[[#This Row],[Loyer €/m²]]*Tableau1[[#This Row],[Surface GLA]]</f>
        <v>43200</v>
      </c>
      <c r="U382" s="12">
        <f>IFERROR(Tableau1[[#This Row],[Loyer annuel]]/12,"")</f>
        <v>3600</v>
      </c>
      <c r="V382" s="12">
        <v>300</v>
      </c>
      <c r="W382" s="6" t="s">
        <v>98</v>
      </c>
      <c r="X382" s="6">
        <f>Tableau1[[#This Row],[Charges €/m²]]*Tableau1[[#This Row],[Surface GLA]]</f>
        <v>7920</v>
      </c>
      <c r="Y382" s="12">
        <f>Tableau1[[#This Row],[Charges annuelles]]/12</f>
        <v>660</v>
      </c>
      <c r="Z382" s="12">
        <v>55</v>
      </c>
      <c r="AA382" s="12">
        <f>IFERROR(Tableau1[[#This Row],[Taxe foncière €/m²]]*Tableau1[[#This Row],[Surface GLA]],)</f>
        <v>2304</v>
      </c>
      <c r="AB382" s="12">
        <v>16</v>
      </c>
      <c r="AC382" s="12">
        <f>IFERROR(Tableau1[[#This Row],[Marketing €/m²]]*Tableau1[[#This Row],[Surface GLA]],)</f>
        <v>0</v>
      </c>
      <c r="AD382" s="12"/>
      <c r="AE382" s="12">
        <f>IFERROR(Tableau1[[#This Row],[Loyer annuel]]+Tableau1[[#This Row],[Charges annuelles]]+Tableau1[[#This Row],[Taxe foncière]]+Tableau1[[#This Row],[Marketing]],"")</f>
        <v>53424</v>
      </c>
      <c r="AF382" s="12" t="str">
        <f t="shared" si="21"/>
        <v>3 mois = 10 800 €</v>
      </c>
      <c r="AG382" s="6" t="s">
        <v>98</v>
      </c>
      <c r="AH382" s="6" t="s">
        <v>98</v>
      </c>
      <c r="AI382" s="12" t="s">
        <v>357</v>
      </c>
      <c r="AJ382" s="10"/>
      <c r="AK382" s="10"/>
      <c r="AL382" s="10"/>
      <c r="AM382" s="11"/>
      <c r="AN382" s="11" t="s">
        <v>1386</v>
      </c>
      <c r="AO382" s="5" t="s">
        <v>361</v>
      </c>
      <c r="AP382" s="11" t="s">
        <v>2292</v>
      </c>
      <c r="AQ382" s="11" t="s">
        <v>2293</v>
      </c>
      <c r="AR382" s="11" t="s">
        <v>2284</v>
      </c>
      <c r="AS382" s="36" t="s">
        <v>2300</v>
      </c>
      <c r="AT382" s="11" t="s">
        <v>70</v>
      </c>
      <c r="AU382" s="11" t="s">
        <v>370</v>
      </c>
      <c r="AV382" s="13" t="s">
        <v>1871</v>
      </c>
      <c r="AW382" s="14"/>
      <c r="AX382" s="44">
        <v>46175</v>
      </c>
    </row>
    <row r="383" spans="1:50" ht="25">
      <c r="A383" s="38" t="str">
        <f>VLOOKUP(Tableau1[[#This Row],[N° Département]],Feuil1!$C$6:$E$106,3)</f>
        <v>Bretagne</v>
      </c>
      <c r="B383" s="38" t="str">
        <f>VLOOKUP(Tableau1[[#This Row],[N° Département]],Feuil1!$C$6:$E$106,2)</f>
        <v>Côtes d'Armor</v>
      </c>
      <c r="C383" s="38">
        <f>LEFT(Tableau1[[#This Row],[Code Postal]],2)*1</f>
        <v>22</v>
      </c>
      <c r="D383" s="10" t="s">
        <v>2280</v>
      </c>
      <c r="E383" s="26">
        <v>22000</v>
      </c>
      <c r="F383" s="10" t="s">
        <v>2277</v>
      </c>
      <c r="G383" s="39" t="str">
        <f>Tableau1[[#This Row],[Rue]]&amp;CHAR(10)&amp;Tableau1[[#This Row],[Code Postal]]&amp;" - "&amp;Tableau1[[#This Row],[Ville]]</f>
        <v>Les Champs, 1 rue Sainte-Barbe
22000 - Saint-Brieuc</v>
      </c>
      <c r="H383" s="15" t="s">
        <v>2278</v>
      </c>
      <c r="I383" s="12" t="s">
        <v>45</v>
      </c>
      <c r="J383" s="12" t="s">
        <v>49</v>
      </c>
      <c r="K383" s="10" t="s">
        <v>98</v>
      </c>
      <c r="L383" s="10" t="s">
        <v>98</v>
      </c>
      <c r="M383" s="12" t="s">
        <v>98</v>
      </c>
      <c r="N383" s="36" t="s">
        <v>2281</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c r="AM383" s="11"/>
      <c r="AN383" s="11" t="s">
        <v>1386</v>
      </c>
      <c r="AO383" s="5" t="s">
        <v>361</v>
      </c>
      <c r="AP383" s="11" t="s">
        <v>2294</v>
      </c>
      <c r="AQ383" s="11" t="s">
        <v>2295</v>
      </c>
      <c r="AR383" s="11" t="s">
        <v>2286</v>
      </c>
      <c r="AS383" s="36" t="s">
        <v>2300</v>
      </c>
      <c r="AT383" s="11" t="s">
        <v>70</v>
      </c>
      <c r="AU383" s="11" t="s">
        <v>370</v>
      </c>
      <c r="AV383" s="13" t="s">
        <v>1871</v>
      </c>
      <c r="AW383" s="14"/>
      <c r="AX383" s="44">
        <v>46175</v>
      </c>
    </row>
    <row r="384" spans="1:50" ht="25">
      <c r="A384" s="38" t="str">
        <f>VLOOKUP(Tableau1[[#This Row],[N° Département]],Feuil1!$C$6:$E$106,3)</f>
        <v>Bretagne</v>
      </c>
      <c r="B384" s="38" t="str">
        <f>VLOOKUP(Tableau1[[#This Row],[N° Département]],Feuil1!$C$6:$E$106,2)</f>
        <v>Côtes d'Armor</v>
      </c>
      <c r="C384" s="38">
        <f>LEFT(Tableau1[[#This Row],[Code Postal]],2)*1</f>
        <v>22</v>
      </c>
      <c r="D384" s="10" t="s">
        <v>2280</v>
      </c>
      <c r="E384" s="26">
        <v>22000</v>
      </c>
      <c r="F384" s="10" t="s">
        <v>2277</v>
      </c>
      <c r="G384" s="39" t="str">
        <f>Tableau1[[#This Row],[Rue]]&amp;CHAR(10)&amp;Tableau1[[#This Row],[Code Postal]]&amp;" - "&amp;Tableau1[[#This Row],[Ville]]</f>
        <v>Les Champs, 1 rue Sainte-Barbe
22000 - Saint-Brieuc</v>
      </c>
      <c r="H384" s="15" t="s">
        <v>2278</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c r="AM384" s="11"/>
      <c r="AN384" s="11" t="s">
        <v>1386</v>
      </c>
      <c r="AO384" s="5" t="s">
        <v>361</v>
      </c>
      <c r="AP384" s="11" t="s">
        <v>2296</v>
      </c>
      <c r="AQ384" s="11" t="s">
        <v>2297</v>
      </c>
      <c r="AR384" s="11" t="s">
        <v>2285</v>
      </c>
      <c r="AS384" s="36" t="s">
        <v>2300</v>
      </c>
      <c r="AT384" s="11" t="s">
        <v>70</v>
      </c>
      <c r="AU384" s="11" t="s">
        <v>370</v>
      </c>
      <c r="AV384" s="13" t="s">
        <v>1871</v>
      </c>
      <c r="AW384" s="14"/>
      <c r="AX384" s="44">
        <v>46175</v>
      </c>
    </row>
    <row r="385" spans="1:50" ht="25">
      <c r="A385" s="38" t="str">
        <f>VLOOKUP(Tableau1[[#This Row],[N° Département]],Feuil1!$C$6:$E$106,3)</f>
        <v>Bretagne</v>
      </c>
      <c r="B385" s="38" t="str">
        <f>VLOOKUP(Tableau1[[#This Row],[N° Département]],Feuil1!$C$6:$E$106,2)</f>
        <v>Côtes d'Armor</v>
      </c>
      <c r="C385" s="38">
        <f>LEFT(Tableau1[[#This Row],[Code Postal]],2)*1</f>
        <v>22</v>
      </c>
      <c r="D385" s="10" t="s">
        <v>2280</v>
      </c>
      <c r="E385" s="26">
        <v>22000</v>
      </c>
      <c r="F385" s="10" t="s">
        <v>2277</v>
      </c>
      <c r="G385" s="39" t="str">
        <f>Tableau1[[#This Row],[Rue]]&amp;CHAR(10)&amp;Tableau1[[#This Row],[Code Postal]]&amp;" - "&amp;Tableau1[[#This Row],[Ville]]</f>
        <v>Les Champs, 1 rue Sainte-Barbe
22000 - Saint-Brieuc</v>
      </c>
      <c r="H385" s="15" t="s">
        <v>2278</v>
      </c>
      <c r="I385" s="12" t="s">
        <v>45</v>
      </c>
      <c r="J385" s="12" t="s">
        <v>49</v>
      </c>
      <c r="K385" s="10" t="s">
        <v>98</v>
      </c>
      <c r="L385" s="10" t="s">
        <v>98</v>
      </c>
      <c r="M385" s="12" t="s">
        <v>98</v>
      </c>
      <c r="N385" s="36" t="s">
        <v>2304</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c r="AM385" s="11"/>
      <c r="AN385" s="11" t="s">
        <v>1386</v>
      </c>
      <c r="AO385" s="5" t="s">
        <v>361</v>
      </c>
      <c r="AP385" s="11" t="s">
        <v>2298</v>
      </c>
      <c r="AQ385" s="11" t="s">
        <v>2299</v>
      </c>
      <c r="AR385" s="11" t="s">
        <v>2287</v>
      </c>
      <c r="AS385" s="36" t="s">
        <v>2300</v>
      </c>
      <c r="AT385" s="11" t="s">
        <v>70</v>
      </c>
      <c r="AU385" s="11" t="s">
        <v>370</v>
      </c>
      <c r="AV385" s="13" t="s">
        <v>1871</v>
      </c>
      <c r="AW385" s="14"/>
      <c r="AX385" s="44">
        <v>46175</v>
      </c>
    </row>
    <row r="386" spans="1:50" ht="25">
      <c r="A386" s="38" t="str">
        <f>VLOOKUP(Tableau1[[#This Row],[N° Département]],Feuil1!$C$6:$E$106,3)</f>
        <v>Grand Est</v>
      </c>
      <c r="B386" s="38" t="str">
        <f>VLOOKUP(Tableau1[[#This Row],[N° Département]],Feuil1!$C$6:$E$106,2)</f>
        <v>Moselle</v>
      </c>
      <c r="C386" s="38">
        <f>LEFT(Tableau1[[#This Row],[Code Postal]],2)*1</f>
        <v>57</v>
      </c>
      <c r="D386" s="10" t="s">
        <v>2302</v>
      </c>
      <c r="E386" s="26">
        <v>57100</v>
      </c>
      <c r="F386" s="10" t="s">
        <v>2301</v>
      </c>
      <c r="G386" s="39" t="str">
        <f>Tableau1[[#This Row],[Rue]]&amp;CHAR(10)&amp;Tableau1[[#This Row],[Code Postal]]&amp;" - "&amp;Tableau1[[#This Row],[Ville]]</f>
        <v>La Cour des Capucins, 13 rue du Cygne
57100 - Thionville</v>
      </c>
      <c r="H386" s="15" t="s">
        <v>2303</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400" si="22">"3 mois = "&amp;TEXT(ROUND(3/12*T386,0),"### ### ##0 €")</f>
        <v>3 mois = 10 100 €</v>
      </c>
      <c r="AG386" s="6" t="s">
        <v>98</v>
      </c>
      <c r="AH386" s="6" t="s">
        <v>98</v>
      </c>
      <c r="AI386" s="12" t="s">
        <v>357</v>
      </c>
      <c r="AJ386" s="10"/>
      <c r="AK386" s="10"/>
      <c r="AL386" s="10"/>
      <c r="AM386" s="11"/>
      <c r="AN386" s="11" t="s">
        <v>1386</v>
      </c>
      <c r="AO386" s="5" t="s">
        <v>361</v>
      </c>
      <c r="AP386" s="11" t="s">
        <v>2329</v>
      </c>
      <c r="AQ386" s="11" t="s">
        <v>2330</v>
      </c>
      <c r="AR386" s="11" t="s">
        <v>2316</v>
      </c>
      <c r="AS386" s="36" t="s">
        <v>2355</v>
      </c>
      <c r="AT386" s="11" t="s">
        <v>70</v>
      </c>
      <c r="AU386" s="11" t="s">
        <v>370</v>
      </c>
      <c r="AV386" s="13" t="s">
        <v>1871</v>
      </c>
      <c r="AW386" s="14"/>
      <c r="AX386" s="44">
        <v>46175</v>
      </c>
    </row>
    <row r="387" spans="1:50" ht="25">
      <c r="A387" s="38" t="str">
        <f>VLOOKUP(Tableau1[[#This Row],[N° Département]],Feuil1!$C$6:$E$106,3)</f>
        <v>Grand Est</v>
      </c>
      <c r="B387" s="38" t="str">
        <f>VLOOKUP(Tableau1[[#This Row],[N° Département]],Feuil1!$C$6:$E$106,2)</f>
        <v>Moselle</v>
      </c>
      <c r="C387" s="38">
        <f>LEFT(Tableau1[[#This Row],[Code Postal]],2)*1</f>
        <v>57</v>
      </c>
      <c r="D387" s="10" t="s">
        <v>2302</v>
      </c>
      <c r="E387" s="10">
        <v>57100</v>
      </c>
      <c r="F387" s="10" t="s">
        <v>2301</v>
      </c>
      <c r="G387" s="39" t="str">
        <f>Tableau1[[#This Row],[Rue]]&amp;CHAR(10)&amp;Tableau1[[#This Row],[Code Postal]]&amp;" - "&amp;Tableau1[[#This Row],[Ville]]</f>
        <v>La Cour des Capucins, 13 rue du Cygne
57100 - Thionville</v>
      </c>
      <c r="H387" s="52" t="s">
        <v>2303</v>
      </c>
      <c r="I387" s="12" t="s">
        <v>45</v>
      </c>
      <c r="J387" s="12" t="s">
        <v>49</v>
      </c>
      <c r="K387" s="10" t="s">
        <v>98</v>
      </c>
      <c r="L387" s="10" t="s">
        <v>98</v>
      </c>
      <c r="M387" s="12" t="s">
        <v>98</v>
      </c>
      <c r="N387" s="36" t="s">
        <v>2305</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c r="AM387" s="11"/>
      <c r="AN387" s="11" t="s">
        <v>1386</v>
      </c>
      <c r="AO387" s="5" t="s">
        <v>361</v>
      </c>
      <c r="AP387" s="11" t="s">
        <v>2331</v>
      </c>
      <c r="AQ387" s="11" t="s">
        <v>2332</v>
      </c>
      <c r="AR387" s="11" t="s">
        <v>2317</v>
      </c>
      <c r="AS387" s="36" t="s">
        <v>2355</v>
      </c>
      <c r="AT387" s="11" t="s">
        <v>70</v>
      </c>
      <c r="AU387" s="11" t="s">
        <v>370</v>
      </c>
      <c r="AV387" s="13" t="s">
        <v>1871</v>
      </c>
      <c r="AW387" s="14"/>
      <c r="AX387" s="44">
        <v>46175</v>
      </c>
    </row>
    <row r="388" spans="1:50" ht="25">
      <c r="A388" s="38" t="str">
        <f>VLOOKUP(Tableau1[[#This Row],[N° Département]],Feuil1!$C$6:$E$106,3)</f>
        <v>Grand Est</v>
      </c>
      <c r="B388" s="38" t="str">
        <f>VLOOKUP(Tableau1[[#This Row],[N° Département]],Feuil1!$C$6:$E$106,2)</f>
        <v>Moselle</v>
      </c>
      <c r="C388" s="38">
        <f>LEFT(Tableau1[[#This Row],[Code Postal]],2)*1</f>
        <v>57</v>
      </c>
      <c r="D388" s="10" t="s">
        <v>2302</v>
      </c>
      <c r="E388" s="10">
        <v>57100</v>
      </c>
      <c r="F388" s="10" t="s">
        <v>2301</v>
      </c>
      <c r="G388" s="39" t="str">
        <f>Tableau1[[#This Row],[Rue]]&amp;CHAR(10)&amp;Tableau1[[#This Row],[Code Postal]]&amp;" - "&amp;Tableau1[[#This Row],[Ville]]</f>
        <v>La Cour des Capucins, 13 rue du Cygne
57100 - Thionville</v>
      </c>
      <c r="H388" s="52" t="s">
        <v>2303</v>
      </c>
      <c r="I388" s="12" t="s">
        <v>45</v>
      </c>
      <c r="J388" s="12" t="s">
        <v>49</v>
      </c>
      <c r="K388" s="10" t="s">
        <v>98</v>
      </c>
      <c r="L388" s="10" t="s">
        <v>98</v>
      </c>
      <c r="M388" s="12" t="s">
        <v>98</v>
      </c>
      <c r="N388" s="36" t="s">
        <v>2306</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c r="AM388" s="11"/>
      <c r="AN388" s="11" t="s">
        <v>1386</v>
      </c>
      <c r="AO388" s="5" t="s">
        <v>361</v>
      </c>
      <c r="AP388" s="11" t="s">
        <v>2333</v>
      </c>
      <c r="AQ388" s="11" t="s">
        <v>2334</v>
      </c>
      <c r="AR388" s="11" t="s">
        <v>2319</v>
      </c>
      <c r="AS388" s="36" t="s">
        <v>2355</v>
      </c>
      <c r="AT388" s="11" t="s">
        <v>70</v>
      </c>
      <c r="AU388" s="11" t="s">
        <v>370</v>
      </c>
      <c r="AV388" s="13" t="s">
        <v>1871</v>
      </c>
      <c r="AW388" s="14"/>
      <c r="AX388" s="44">
        <v>46175</v>
      </c>
    </row>
    <row r="389" spans="1:50" ht="25">
      <c r="A389" s="38" t="str">
        <f>VLOOKUP(Tableau1[[#This Row],[N° Département]],Feuil1!$C$6:$E$106,3)</f>
        <v>Grand Est</v>
      </c>
      <c r="B389" s="38" t="str">
        <f>VLOOKUP(Tableau1[[#This Row],[N° Département]],Feuil1!$C$6:$E$106,2)</f>
        <v>Moselle</v>
      </c>
      <c r="C389" s="38">
        <f>LEFT(Tableau1[[#This Row],[Code Postal]],2)*1</f>
        <v>57</v>
      </c>
      <c r="D389" s="10" t="s">
        <v>2302</v>
      </c>
      <c r="E389" s="10">
        <v>57100</v>
      </c>
      <c r="F389" s="10" t="s">
        <v>2301</v>
      </c>
      <c r="G389" s="39" t="str">
        <f>Tableau1[[#This Row],[Rue]]&amp;CHAR(10)&amp;Tableau1[[#This Row],[Code Postal]]&amp;" - "&amp;Tableau1[[#This Row],[Ville]]</f>
        <v>La Cour des Capucins, 13 rue du Cygne
57100 - Thionville</v>
      </c>
      <c r="H389" s="52" t="s">
        <v>2303</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c r="AM389" s="11"/>
      <c r="AN389" s="11" t="s">
        <v>1386</v>
      </c>
      <c r="AO389" s="5" t="s">
        <v>361</v>
      </c>
      <c r="AP389" s="11" t="s">
        <v>2335</v>
      </c>
      <c r="AQ389" s="11" t="s">
        <v>2336</v>
      </c>
      <c r="AR389" s="11" t="s">
        <v>2320</v>
      </c>
      <c r="AS389" s="36" t="s">
        <v>2355</v>
      </c>
      <c r="AT389" s="11" t="s">
        <v>70</v>
      </c>
      <c r="AU389" s="11" t="s">
        <v>370</v>
      </c>
      <c r="AV389" s="13" t="s">
        <v>1871</v>
      </c>
      <c r="AW389" s="14"/>
      <c r="AX389" s="44">
        <v>46175</v>
      </c>
    </row>
    <row r="390" spans="1:50" ht="25">
      <c r="A390" s="38" t="str">
        <f>VLOOKUP(Tableau1[[#This Row],[N° Département]],Feuil1!$C$6:$E$106,3)</f>
        <v>Grand Est</v>
      </c>
      <c r="B390" s="38" t="str">
        <f>VLOOKUP(Tableau1[[#This Row],[N° Département]],Feuil1!$C$6:$E$106,2)</f>
        <v>Moselle</v>
      </c>
      <c r="C390" s="38">
        <f>LEFT(Tableau1[[#This Row],[Code Postal]],2)*1</f>
        <v>57</v>
      </c>
      <c r="D390" s="10" t="s">
        <v>2302</v>
      </c>
      <c r="E390" s="10">
        <v>57100</v>
      </c>
      <c r="F390" s="10" t="s">
        <v>2301</v>
      </c>
      <c r="G390" s="39" t="str">
        <f>Tableau1[[#This Row],[Rue]]&amp;CHAR(10)&amp;Tableau1[[#This Row],[Code Postal]]&amp;" - "&amp;Tableau1[[#This Row],[Ville]]</f>
        <v>La Cour des Capucins, 13 rue du Cygne
57100 - Thionville</v>
      </c>
      <c r="H390" s="52" t="s">
        <v>2303</v>
      </c>
      <c r="I390" s="12" t="s">
        <v>45</v>
      </c>
      <c r="J390" s="12" t="s">
        <v>49</v>
      </c>
      <c r="K390" s="10" t="s">
        <v>98</v>
      </c>
      <c r="L390" s="10" t="s">
        <v>98</v>
      </c>
      <c r="M390" s="12" t="s">
        <v>98</v>
      </c>
      <c r="N390" s="36" t="s">
        <v>2307</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c r="AM390" s="11"/>
      <c r="AN390" s="11" t="s">
        <v>1386</v>
      </c>
      <c r="AO390" s="5" t="s">
        <v>361</v>
      </c>
      <c r="AP390" s="11" t="s">
        <v>2337</v>
      </c>
      <c r="AQ390" s="11" t="s">
        <v>2338</v>
      </c>
      <c r="AR390" s="11" t="s">
        <v>2318</v>
      </c>
      <c r="AS390" s="36" t="s">
        <v>2355</v>
      </c>
      <c r="AT390" s="11" t="s">
        <v>70</v>
      </c>
      <c r="AU390" s="11" t="s">
        <v>370</v>
      </c>
      <c r="AV390" s="13" t="s">
        <v>1871</v>
      </c>
      <c r="AW390" s="14"/>
      <c r="AX390" s="44">
        <v>46175</v>
      </c>
    </row>
    <row r="391" spans="1:50" ht="25">
      <c r="A391" s="38" t="str">
        <f>VLOOKUP(Tableau1[[#This Row],[N° Département]],Feuil1!$C$6:$E$106,3)</f>
        <v>Grand Est</v>
      </c>
      <c r="B391" s="38" t="str">
        <f>VLOOKUP(Tableau1[[#This Row],[N° Département]],Feuil1!$C$6:$E$106,2)</f>
        <v>Moselle</v>
      </c>
      <c r="C391" s="38">
        <f>LEFT(Tableau1[[#This Row],[Code Postal]],2)*1</f>
        <v>57</v>
      </c>
      <c r="D391" s="10" t="s">
        <v>2302</v>
      </c>
      <c r="E391" s="10">
        <v>57100</v>
      </c>
      <c r="F391" s="10" t="s">
        <v>2301</v>
      </c>
      <c r="G391" s="39" t="str">
        <f>Tableau1[[#This Row],[Rue]]&amp;CHAR(10)&amp;Tableau1[[#This Row],[Code Postal]]&amp;" - "&amp;Tableau1[[#This Row],[Ville]]</f>
        <v>La Cour des Capucins, 13 rue du Cygne
57100 - Thionville</v>
      </c>
      <c r="H391" s="52" t="s">
        <v>2303</v>
      </c>
      <c r="I391" s="12" t="s">
        <v>45</v>
      </c>
      <c r="J391" s="12" t="s">
        <v>49</v>
      </c>
      <c r="K391" s="10" t="s">
        <v>98</v>
      </c>
      <c r="L391" s="10" t="s">
        <v>98</v>
      </c>
      <c r="M391" s="12" t="s">
        <v>98</v>
      </c>
      <c r="N391" s="36" t="s">
        <v>2308</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c r="AM391" s="11"/>
      <c r="AN391" s="11" t="s">
        <v>1386</v>
      </c>
      <c r="AO391" s="5" t="s">
        <v>361</v>
      </c>
      <c r="AP391" s="11" t="s">
        <v>2339</v>
      </c>
      <c r="AQ391" s="11" t="s">
        <v>2340</v>
      </c>
      <c r="AR391" s="11" t="s">
        <v>2321</v>
      </c>
      <c r="AS391" s="36" t="s">
        <v>2355</v>
      </c>
      <c r="AT391" s="11" t="s">
        <v>70</v>
      </c>
      <c r="AU391" s="11" t="s">
        <v>370</v>
      </c>
      <c r="AV391" s="13" t="s">
        <v>1871</v>
      </c>
      <c r="AW391" s="14"/>
      <c r="AX391" s="44">
        <v>46175</v>
      </c>
    </row>
    <row r="392" spans="1:50" ht="25">
      <c r="A392" s="38" t="str">
        <f>VLOOKUP(Tableau1[[#This Row],[N° Département]],Feuil1!$C$6:$E$106,3)</f>
        <v>Grand Est</v>
      </c>
      <c r="B392" s="38" t="str">
        <f>VLOOKUP(Tableau1[[#This Row],[N° Département]],Feuil1!$C$6:$E$106,2)</f>
        <v>Moselle</v>
      </c>
      <c r="C392" s="38">
        <f>LEFT(Tableau1[[#This Row],[Code Postal]],2)*1</f>
        <v>57</v>
      </c>
      <c r="D392" s="10" t="s">
        <v>2302</v>
      </c>
      <c r="E392" s="10">
        <v>57100</v>
      </c>
      <c r="F392" s="10" t="s">
        <v>2301</v>
      </c>
      <c r="G392" s="39" t="str">
        <f>Tableau1[[#This Row],[Rue]]&amp;CHAR(10)&amp;Tableau1[[#This Row],[Code Postal]]&amp;" - "&amp;Tableau1[[#This Row],[Ville]]</f>
        <v>La Cour des Capucins, 13 rue du Cygne
57100 - Thionville</v>
      </c>
      <c r="H392" s="52" t="s">
        <v>2303</v>
      </c>
      <c r="I392" s="12" t="s">
        <v>45</v>
      </c>
      <c r="J392" s="12" t="s">
        <v>49</v>
      </c>
      <c r="K392" s="10" t="s">
        <v>98</v>
      </c>
      <c r="L392" s="10" t="s">
        <v>98</v>
      </c>
      <c r="M392" s="12" t="s">
        <v>98</v>
      </c>
      <c r="N392" s="36" t="s">
        <v>2309</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c r="AM392" s="11"/>
      <c r="AN392" s="11" t="s">
        <v>1386</v>
      </c>
      <c r="AO392" s="5" t="s">
        <v>361</v>
      </c>
      <c r="AP392" s="11" t="s">
        <v>2341</v>
      </c>
      <c r="AQ392" s="11" t="s">
        <v>2342</v>
      </c>
      <c r="AR392" s="11" t="s">
        <v>2322</v>
      </c>
      <c r="AS392" s="36" t="s">
        <v>2355</v>
      </c>
      <c r="AT392" s="11" t="s">
        <v>70</v>
      </c>
      <c r="AU392" s="11" t="s">
        <v>370</v>
      </c>
      <c r="AV392" s="13" t="s">
        <v>1871</v>
      </c>
      <c r="AW392" s="14"/>
      <c r="AX392" s="44">
        <v>46175</v>
      </c>
    </row>
    <row r="393" spans="1:50" ht="25">
      <c r="A393" s="38" t="str">
        <f>VLOOKUP(Tableau1[[#This Row],[N° Département]],Feuil1!$C$6:$E$106,3)</f>
        <v>Grand Est</v>
      </c>
      <c r="B393" s="38" t="str">
        <f>VLOOKUP(Tableau1[[#This Row],[N° Département]],Feuil1!$C$6:$E$106,2)</f>
        <v>Moselle</v>
      </c>
      <c r="C393" s="38">
        <f>LEFT(Tableau1[[#This Row],[Code Postal]],2)*1</f>
        <v>57</v>
      </c>
      <c r="D393" s="10" t="s">
        <v>2302</v>
      </c>
      <c r="E393" s="10">
        <v>57100</v>
      </c>
      <c r="F393" s="10" t="s">
        <v>2301</v>
      </c>
      <c r="G393" s="39" t="str">
        <f>Tableau1[[#This Row],[Rue]]&amp;CHAR(10)&amp;Tableau1[[#This Row],[Code Postal]]&amp;" - "&amp;Tableau1[[#This Row],[Ville]]</f>
        <v>La Cour des Capucins, 13 rue du Cygne
57100 - Thionville</v>
      </c>
      <c r="H393" s="52" t="s">
        <v>2303</v>
      </c>
      <c r="I393" s="12" t="s">
        <v>45</v>
      </c>
      <c r="J393" s="12" t="s">
        <v>49</v>
      </c>
      <c r="K393" s="10" t="s">
        <v>98</v>
      </c>
      <c r="L393" s="10" t="s">
        <v>98</v>
      </c>
      <c r="M393" s="12" t="s">
        <v>98</v>
      </c>
      <c r="N393" s="36" t="s">
        <v>2310</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c r="AM393" s="11"/>
      <c r="AN393" s="11" t="s">
        <v>1386</v>
      </c>
      <c r="AO393" s="5" t="s">
        <v>361</v>
      </c>
      <c r="AP393" s="11" t="s">
        <v>2343</v>
      </c>
      <c r="AQ393" s="11" t="s">
        <v>2344</v>
      </c>
      <c r="AR393" s="11" t="s">
        <v>2323</v>
      </c>
      <c r="AS393" s="36" t="s">
        <v>2355</v>
      </c>
      <c r="AT393" s="11" t="s">
        <v>70</v>
      </c>
      <c r="AU393" s="11" t="s">
        <v>370</v>
      </c>
      <c r="AV393" s="13" t="s">
        <v>1871</v>
      </c>
      <c r="AW393" s="14"/>
      <c r="AX393" s="44">
        <v>46175</v>
      </c>
    </row>
    <row r="394" spans="1:50" ht="25">
      <c r="A394" s="38" t="str">
        <f>VLOOKUP(Tableau1[[#This Row],[N° Département]],Feuil1!$C$6:$E$106,3)</f>
        <v>Grand Est</v>
      </c>
      <c r="B394" s="38" t="str">
        <f>VLOOKUP(Tableau1[[#This Row],[N° Département]],Feuil1!$C$6:$E$106,2)</f>
        <v>Moselle</v>
      </c>
      <c r="C394" s="38">
        <f>LEFT(Tableau1[[#This Row],[Code Postal]],2)*1</f>
        <v>57</v>
      </c>
      <c r="D394" s="10" t="s">
        <v>2302</v>
      </c>
      <c r="E394" s="10">
        <v>57100</v>
      </c>
      <c r="F394" s="10" t="s">
        <v>2301</v>
      </c>
      <c r="G394" s="39" t="str">
        <f>Tableau1[[#This Row],[Rue]]&amp;CHAR(10)&amp;Tableau1[[#This Row],[Code Postal]]&amp;" - "&amp;Tableau1[[#This Row],[Ville]]</f>
        <v>La Cour des Capucins, 13 rue du Cygne
57100 - Thionville</v>
      </c>
      <c r="H394" s="52" t="s">
        <v>2303</v>
      </c>
      <c r="I394" s="12" t="s">
        <v>45</v>
      </c>
      <c r="J394" s="12" t="s">
        <v>49</v>
      </c>
      <c r="K394" s="10" t="s">
        <v>98</v>
      </c>
      <c r="L394" s="10" t="s">
        <v>98</v>
      </c>
      <c r="M394" s="12" t="s">
        <v>98</v>
      </c>
      <c r="N394" s="36" t="s">
        <v>2311</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c r="AM394" s="11"/>
      <c r="AN394" s="11" t="s">
        <v>1386</v>
      </c>
      <c r="AO394" s="5" t="s">
        <v>361</v>
      </c>
      <c r="AP394" s="11" t="s">
        <v>2345</v>
      </c>
      <c r="AQ394" s="11" t="s">
        <v>2346</v>
      </c>
      <c r="AR394" s="11" t="s">
        <v>2324</v>
      </c>
      <c r="AS394" s="36" t="s">
        <v>2355</v>
      </c>
      <c r="AT394" s="11" t="s">
        <v>70</v>
      </c>
      <c r="AU394" s="11" t="s">
        <v>370</v>
      </c>
      <c r="AV394" s="13" t="s">
        <v>1871</v>
      </c>
      <c r="AW394" s="14"/>
      <c r="AX394" s="44">
        <v>46175</v>
      </c>
    </row>
    <row r="395" spans="1:50" ht="25">
      <c r="A395" s="38" t="str">
        <f>VLOOKUP(Tableau1[[#This Row],[N° Département]],Feuil1!$C$6:$E$106,3)</f>
        <v>Grand Est</v>
      </c>
      <c r="B395" s="38" t="str">
        <f>VLOOKUP(Tableau1[[#This Row],[N° Département]],Feuil1!$C$6:$E$106,2)</f>
        <v>Moselle</v>
      </c>
      <c r="C395" s="38">
        <f>LEFT(Tableau1[[#This Row],[Code Postal]],2)*1</f>
        <v>57</v>
      </c>
      <c r="D395" s="10" t="s">
        <v>2302</v>
      </c>
      <c r="E395" s="10">
        <v>57100</v>
      </c>
      <c r="F395" s="10" t="s">
        <v>2301</v>
      </c>
      <c r="G395" s="39" t="str">
        <f>Tableau1[[#This Row],[Rue]]&amp;CHAR(10)&amp;Tableau1[[#This Row],[Code Postal]]&amp;" - "&amp;Tableau1[[#This Row],[Ville]]</f>
        <v>La Cour des Capucins, 13 rue du Cygne
57100 - Thionville</v>
      </c>
      <c r="H395" s="52" t="s">
        <v>2303</v>
      </c>
      <c r="I395" s="12" t="s">
        <v>45</v>
      </c>
      <c r="J395" s="12" t="s">
        <v>49</v>
      </c>
      <c r="K395" s="10" t="s">
        <v>98</v>
      </c>
      <c r="L395" s="10" t="s">
        <v>98</v>
      </c>
      <c r="M395" s="12" t="s">
        <v>98</v>
      </c>
      <c r="N395" s="36" t="s">
        <v>2312</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c r="AM395" s="11"/>
      <c r="AN395" s="11" t="s">
        <v>1386</v>
      </c>
      <c r="AO395" s="5" t="s">
        <v>361</v>
      </c>
      <c r="AP395" s="11" t="s">
        <v>2347</v>
      </c>
      <c r="AQ395" s="11" t="s">
        <v>2348</v>
      </c>
      <c r="AR395" s="11" t="s">
        <v>2325</v>
      </c>
      <c r="AS395" s="36" t="s">
        <v>2355</v>
      </c>
      <c r="AT395" s="11" t="s">
        <v>70</v>
      </c>
      <c r="AU395" s="11" t="s">
        <v>370</v>
      </c>
      <c r="AV395" s="13" t="s">
        <v>1871</v>
      </c>
      <c r="AW395" s="14"/>
      <c r="AX395" s="44">
        <v>46175</v>
      </c>
    </row>
    <row r="396" spans="1:50" ht="25">
      <c r="A396" s="38" t="str">
        <f>VLOOKUP(Tableau1[[#This Row],[N° Département]],Feuil1!$C$6:$E$106,3)</f>
        <v>Grand Est</v>
      </c>
      <c r="B396" s="38" t="str">
        <f>VLOOKUP(Tableau1[[#This Row],[N° Département]],Feuil1!$C$6:$E$106,2)</f>
        <v>Moselle</v>
      </c>
      <c r="C396" s="38">
        <f>LEFT(Tableau1[[#This Row],[Code Postal]],2)*1</f>
        <v>57</v>
      </c>
      <c r="D396" s="10" t="s">
        <v>2302</v>
      </c>
      <c r="E396" s="10">
        <v>57100</v>
      </c>
      <c r="F396" s="10" t="s">
        <v>2301</v>
      </c>
      <c r="G396" s="39" t="str">
        <f>Tableau1[[#This Row],[Rue]]&amp;CHAR(10)&amp;Tableau1[[#This Row],[Code Postal]]&amp;" - "&amp;Tableau1[[#This Row],[Ville]]</f>
        <v>La Cour des Capucins, 13 rue du Cygne
57100 - Thionville</v>
      </c>
      <c r="H396" s="52" t="s">
        <v>2303</v>
      </c>
      <c r="I396" s="12" t="s">
        <v>45</v>
      </c>
      <c r="J396" s="12" t="s">
        <v>49</v>
      </c>
      <c r="K396" s="10" t="s">
        <v>98</v>
      </c>
      <c r="L396" s="10" t="s">
        <v>98</v>
      </c>
      <c r="M396" s="12" t="s">
        <v>98</v>
      </c>
      <c r="N396" s="36" t="s">
        <v>2313</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c r="AM396" s="11"/>
      <c r="AN396" s="11" t="s">
        <v>1386</v>
      </c>
      <c r="AO396" s="5" t="s">
        <v>361</v>
      </c>
      <c r="AP396" s="11" t="s">
        <v>2349</v>
      </c>
      <c r="AQ396" s="11" t="s">
        <v>2350</v>
      </c>
      <c r="AR396" s="11" t="s">
        <v>2326</v>
      </c>
      <c r="AS396" s="36" t="s">
        <v>2355</v>
      </c>
      <c r="AT396" s="11" t="s">
        <v>70</v>
      </c>
      <c r="AU396" s="11" t="s">
        <v>370</v>
      </c>
      <c r="AV396" s="13" t="s">
        <v>1871</v>
      </c>
      <c r="AW396" s="14"/>
      <c r="AX396" s="44">
        <v>46175</v>
      </c>
    </row>
    <row r="397" spans="1:50" ht="25">
      <c r="A397" s="38" t="str">
        <f>VLOOKUP(Tableau1[[#This Row],[N° Département]],Feuil1!$C$6:$E$106,3)</f>
        <v>Grand Est</v>
      </c>
      <c r="B397" s="38" t="str">
        <f>VLOOKUP(Tableau1[[#This Row],[N° Département]],Feuil1!$C$6:$E$106,2)</f>
        <v>Moselle</v>
      </c>
      <c r="C397" s="38">
        <f>LEFT(Tableau1[[#This Row],[Code Postal]],2)*1</f>
        <v>57</v>
      </c>
      <c r="D397" s="10" t="s">
        <v>2302</v>
      </c>
      <c r="E397" s="10">
        <v>57100</v>
      </c>
      <c r="F397" s="10" t="s">
        <v>2301</v>
      </c>
      <c r="G397" s="39" t="str">
        <f>Tableau1[[#This Row],[Rue]]&amp;CHAR(10)&amp;Tableau1[[#This Row],[Code Postal]]&amp;" - "&amp;Tableau1[[#This Row],[Ville]]</f>
        <v>La Cour des Capucins, 13 rue du Cygne
57100 - Thionville</v>
      </c>
      <c r="H397" s="52" t="s">
        <v>2303</v>
      </c>
      <c r="I397" s="12" t="s">
        <v>45</v>
      </c>
      <c r="J397" s="12" t="s">
        <v>49</v>
      </c>
      <c r="K397" s="10" t="s">
        <v>98</v>
      </c>
      <c r="L397" s="10" t="s">
        <v>98</v>
      </c>
      <c r="M397" s="12" t="s">
        <v>98</v>
      </c>
      <c r="N397" s="36" t="s">
        <v>2314</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c r="AM397" s="11"/>
      <c r="AN397" s="11" t="s">
        <v>1386</v>
      </c>
      <c r="AO397" s="5" t="s">
        <v>361</v>
      </c>
      <c r="AP397" s="11" t="s">
        <v>2351</v>
      </c>
      <c r="AQ397" s="11" t="s">
        <v>2352</v>
      </c>
      <c r="AR397" s="11" t="s">
        <v>2327</v>
      </c>
      <c r="AS397" s="36" t="s">
        <v>2355</v>
      </c>
      <c r="AT397" s="11" t="s">
        <v>70</v>
      </c>
      <c r="AU397" s="11" t="s">
        <v>370</v>
      </c>
      <c r="AV397" s="13" t="s">
        <v>1871</v>
      </c>
      <c r="AW397" s="14"/>
      <c r="AX397" s="44">
        <v>46175</v>
      </c>
    </row>
    <row r="398" spans="1:50" ht="25">
      <c r="A398" s="38" t="str">
        <f>VLOOKUP(Tableau1[[#This Row],[N° Département]],Feuil1!$C$6:$E$106,3)</f>
        <v>Grand Est</v>
      </c>
      <c r="B398" s="38" t="str">
        <f>VLOOKUP(Tableau1[[#This Row],[N° Département]],Feuil1!$C$6:$E$106,2)</f>
        <v>Moselle</v>
      </c>
      <c r="C398" s="38">
        <f>LEFT(Tableau1[[#This Row],[Code Postal]],2)*1</f>
        <v>57</v>
      </c>
      <c r="D398" s="10" t="s">
        <v>2302</v>
      </c>
      <c r="E398" s="10">
        <v>57100</v>
      </c>
      <c r="F398" s="10" t="s">
        <v>2301</v>
      </c>
      <c r="G398" s="39" t="str">
        <f>Tableau1[[#This Row],[Rue]]&amp;CHAR(10)&amp;Tableau1[[#This Row],[Code Postal]]&amp;" - "&amp;Tableau1[[#This Row],[Ville]]</f>
        <v>La Cour des Capucins, 13 rue du Cygne
57100 - Thionville</v>
      </c>
      <c r="H398" s="52" t="s">
        <v>2303</v>
      </c>
      <c r="I398" s="12" t="s">
        <v>45</v>
      </c>
      <c r="J398" s="12" t="s">
        <v>49</v>
      </c>
      <c r="K398" s="10" t="s">
        <v>98</v>
      </c>
      <c r="L398" s="10" t="s">
        <v>98</v>
      </c>
      <c r="M398" s="12" t="s">
        <v>98</v>
      </c>
      <c r="N398" s="36" t="s">
        <v>2315</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c r="AM398" s="11"/>
      <c r="AN398" s="11" t="s">
        <v>1386</v>
      </c>
      <c r="AO398" s="5" t="s">
        <v>361</v>
      </c>
      <c r="AP398" s="11" t="s">
        <v>2353</v>
      </c>
      <c r="AQ398" s="11" t="s">
        <v>2354</v>
      </c>
      <c r="AR398" s="11" t="s">
        <v>2328</v>
      </c>
      <c r="AS398" s="36" t="s">
        <v>2355</v>
      </c>
      <c r="AT398" s="11" t="s">
        <v>70</v>
      </c>
      <c r="AU398" s="11" t="s">
        <v>370</v>
      </c>
      <c r="AV398" s="13" t="s">
        <v>1871</v>
      </c>
      <c r="AW398" s="14"/>
      <c r="AX398" s="44">
        <v>46175</v>
      </c>
    </row>
    <row r="399" spans="1:50" ht="25">
      <c r="A399" s="38" t="str">
        <f>VLOOKUP(Tableau1[[#This Row],[N° Département]],Feuil1!$C$6:$E$106,3)</f>
        <v>Nouvelle-Aquitaine</v>
      </c>
      <c r="B399" s="38" t="str">
        <f>VLOOKUP(Tableau1[[#This Row],[N° Département]],Feuil1!$C$6:$E$106,2)</f>
        <v>Charente-Maritime</v>
      </c>
      <c r="C399" s="38">
        <f>LEFT(Tableau1[[#This Row],[Code Postal]],2)*1</f>
        <v>17</v>
      </c>
      <c r="D399" s="10" t="s">
        <v>2409</v>
      </c>
      <c r="E399" s="26">
        <v>17000</v>
      </c>
      <c r="F399" s="10" t="s">
        <v>2274</v>
      </c>
      <c r="G399" s="39" t="str">
        <f>Tableau1[[#This Row],[Rue]]&amp;CHAR(10)&amp;Tableau1[[#This Row],[Code Postal]]&amp;" - "&amp;Tableau1[[#This Row],[Ville]]</f>
        <v>19/21 rue du Palais
17000 - La Rochelle</v>
      </c>
      <c r="H399" s="15" t="s">
        <v>2410</v>
      </c>
      <c r="I399" s="12" t="s">
        <v>45</v>
      </c>
      <c r="J399" s="12" t="s">
        <v>44</v>
      </c>
      <c r="K399" s="10" t="s">
        <v>98</v>
      </c>
      <c r="L399" s="10" t="s">
        <v>2411</v>
      </c>
      <c r="M399" s="12" t="s">
        <v>98</v>
      </c>
      <c r="N399" s="12" t="s">
        <v>98</v>
      </c>
      <c r="O399" s="34">
        <v>156</v>
      </c>
      <c r="P399" s="12" t="s">
        <v>2412</v>
      </c>
      <c r="Q399" s="34" t="s">
        <v>98</v>
      </c>
      <c r="R399" s="6" t="s">
        <v>98</v>
      </c>
      <c r="S399" s="6" t="s">
        <v>98</v>
      </c>
      <c r="T399" s="12">
        <f>Tableau1[[#This Row],[Loyer €/m²]]*Tableau1[[#This Row],[Surface GLA]]</f>
        <v>54600</v>
      </c>
      <c r="U399" s="12">
        <f>IFERROR(Tableau1[[#This Row],[Loyer annuel]]/12,"")</f>
        <v>4550</v>
      </c>
      <c r="V399" s="12">
        <v>350</v>
      </c>
      <c r="W399" s="6" t="s">
        <v>98</v>
      </c>
      <c r="X399" s="6">
        <f>Tableau1[[#This Row],[Charges €/m²]]*Tableau1[[#This Row],[Surface GLA]]</f>
        <v>3120</v>
      </c>
      <c r="Y399" s="12">
        <f>Tableau1[[#This Row],[Charges annuelles]]/12</f>
        <v>260</v>
      </c>
      <c r="Z399" s="12">
        <v>20</v>
      </c>
      <c r="AA399" s="12">
        <f>IFERROR(Tableau1[[#This Row],[Taxe foncière €/m²]]*Tableau1[[#This Row],[Surface GLA]],)</f>
        <v>3120</v>
      </c>
      <c r="AB399" s="12">
        <v>20</v>
      </c>
      <c r="AC399" s="12">
        <f>IFERROR(Tableau1[[#This Row],[Marketing €/m²]]*Tableau1[[#This Row],[Surface GLA]],)</f>
        <v>0</v>
      </c>
      <c r="AD399" s="12"/>
      <c r="AE399" s="12">
        <f>IFERROR(Tableau1[[#This Row],[Loyer annuel]]+Tableau1[[#This Row],[Charges annuelles]]+Tableau1[[#This Row],[Taxe foncière]]+Tableau1[[#This Row],[Marketing]],"")</f>
        <v>60840</v>
      </c>
      <c r="AF399" s="12" t="str">
        <f t="shared" si="22"/>
        <v>3 mois = 13 650 €</v>
      </c>
      <c r="AG399" s="6" t="s">
        <v>98</v>
      </c>
      <c r="AH399" s="6" t="s">
        <v>98</v>
      </c>
      <c r="AI399" s="12" t="s">
        <v>357</v>
      </c>
      <c r="AJ399" s="10" t="s">
        <v>70</v>
      </c>
      <c r="AK399" s="10" t="s">
        <v>363</v>
      </c>
      <c r="AL399" s="10"/>
      <c r="AM399" s="11"/>
      <c r="AN399" s="11" t="s">
        <v>98</v>
      </c>
      <c r="AO399" s="5" t="s">
        <v>361</v>
      </c>
      <c r="AP399" s="11">
        <v>46.159671000000003</v>
      </c>
      <c r="AQ399" s="11">
        <v>-1.153489</v>
      </c>
      <c r="AR399" s="11">
        <v>102</v>
      </c>
      <c r="AS399" s="36" t="s">
        <v>2414</v>
      </c>
      <c r="AT399" s="11" t="s">
        <v>70</v>
      </c>
      <c r="AU399" s="11" t="s">
        <v>370</v>
      </c>
      <c r="AV399" s="13" t="s">
        <v>2413</v>
      </c>
      <c r="AW399" s="14"/>
      <c r="AX399" s="44">
        <v>46197</v>
      </c>
    </row>
    <row r="400" spans="1:50" ht="37.5">
      <c r="A400" s="38" t="str">
        <f>VLOOKUP(Tableau1[[#This Row],[N° Département]],Feuil1!$C$6:$E$106,3)</f>
        <v>Normandie</v>
      </c>
      <c r="B400" s="38" t="str">
        <f>VLOOKUP(Tableau1[[#This Row],[N° Département]],Feuil1!$C$6:$E$106,2)</f>
        <v>Seine-Maritime</v>
      </c>
      <c r="C400" s="38">
        <f>LEFT(Tableau1[[#This Row],[Code Postal]],2)*1</f>
        <v>76</v>
      </c>
      <c r="D400" s="10" t="s">
        <v>2416</v>
      </c>
      <c r="E400" s="26">
        <v>76200</v>
      </c>
      <c r="F400" s="10" t="s">
        <v>2356</v>
      </c>
      <c r="G400" s="39" t="str">
        <f>Tableau1[[#This Row],[Rue]]&amp;CHAR(10)&amp;Tableau1[[#This Row],[Code Postal]]&amp;" - "&amp;Tableau1[[#This Row],[Ville]]</f>
        <v>Centre commercial du Belvédère, avenue des Canadiens
76200 - Dieppe</v>
      </c>
      <c r="H400" s="15" t="s">
        <v>2415</v>
      </c>
      <c r="I400" s="12" t="s">
        <v>47</v>
      </c>
      <c r="J400" s="12" t="s">
        <v>49</v>
      </c>
      <c r="K400" s="10" t="s">
        <v>98</v>
      </c>
      <c r="L400" s="10" t="s">
        <v>2419</v>
      </c>
      <c r="M400" s="12" t="s">
        <v>98</v>
      </c>
      <c r="N400" s="36" t="s">
        <v>2418</v>
      </c>
      <c r="O400" s="34">
        <v>216</v>
      </c>
      <c r="P400" s="12" t="s">
        <v>2417</v>
      </c>
      <c r="Q400" s="34" t="s">
        <v>98</v>
      </c>
      <c r="R400" s="6" t="s">
        <v>98</v>
      </c>
      <c r="S400" s="6" t="s">
        <v>98</v>
      </c>
      <c r="T400" s="12">
        <f>Tableau1[[#This Row],[Loyer €/m²]]*Tableau1[[#This Row],[Surface GLA]]</f>
        <v>58320</v>
      </c>
      <c r="U400" s="12">
        <f>IFERROR(Tableau1[[#This Row],[Loyer annuel]]/12,"")</f>
        <v>4860</v>
      </c>
      <c r="V400" s="12">
        <v>270</v>
      </c>
      <c r="W400" s="46">
        <v>0.06</v>
      </c>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58320</v>
      </c>
      <c r="AF400" s="12" t="str">
        <f t="shared" si="22"/>
        <v>3 mois = 14 580 €</v>
      </c>
      <c r="AG400" s="6" t="s">
        <v>98</v>
      </c>
      <c r="AH400" s="6" t="s">
        <v>98</v>
      </c>
      <c r="AI400" s="12" t="s">
        <v>357</v>
      </c>
      <c r="AJ400" s="10" t="s">
        <v>70</v>
      </c>
      <c r="AK400" s="10" t="s">
        <v>363</v>
      </c>
      <c r="AL400" s="10"/>
      <c r="AM400" s="11"/>
      <c r="AN400" s="11" t="s">
        <v>98</v>
      </c>
      <c r="AO400" s="5" t="s">
        <v>361</v>
      </c>
      <c r="AP400" s="11" t="s">
        <v>2421</v>
      </c>
      <c r="AQ400" s="11" t="s">
        <v>2422</v>
      </c>
      <c r="AR400" s="11" t="s">
        <v>2427</v>
      </c>
      <c r="AS400" s="36" t="s">
        <v>2423</v>
      </c>
      <c r="AT400" s="11" t="s">
        <v>70</v>
      </c>
      <c r="AU400" s="11" t="s">
        <v>370</v>
      </c>
      <c r="AV400" s="13" t="s">
        <v>2420</v>
      </c>
      <c r="AW400" s="14"/>
      <c r="AX400" s="44">
        <v>46197</v>
      </c>
    </row>
    <row r="401" spans="1:50" ht="37.5">
      <c r="A401" s="38" t="str">
        <f>VLOOKUP(Tableau1[[#This Row],[N° Département]],Feuil1!$C$6:$E$106,3)</f>
        <v>Normandie</v>
      </c>
      <c r="B401" s="38" t="str">
        <f>VLOOKUP(Tableau1[[#This Row],[N° Département]],Feuil1!$C$6:$E$106,2)</f>
        <v>Seine-Maritime</v>
      </c>
      <c r="C401" s="38">
        <f>LEFT(Tableau1[[#This Row],[Code Postal]],2)*1</f>
        <v>76</v>
      </c>
      <c r="D401" s="10" t="s">
        <v>2416</v>
      </c>
      <c r="E401" s="26">
        <v>76200</v>
      </c>
      <c r="F401" s="10" t="s">
        <v>2356</v>
      </c>
      <c r="G401" s="39" t="str">
        <f>Tableau1[[#This Row],[Rue]]&amp;CHAR(10)&amp;Tableau1[[#This Row],[Code Postal]]&amp;" - "&amp;Tableau1[[#This Row],[Ville]]</f>
        <v>Centre commercial du Belvédère, avenue des Canadiens
76200 - Dieppe</v>
      </c>
      <c r="H401" s="52" t="s">
        <v>2415</v>
      </c>
      <c r="I401" s="12" t="s">
        <v>47</v>
      </c>
      <c r="J401" s="12" t="s">
        <v>49</v>
      </c>
      <c r="K401" s="10" t="s">
        <v>98</v>
      </c>
      <c r="L401" s="10" t="s">
        <v>2419</v>
      </c>
      <c r="M401" s="12" t="s">
        <v>98</v>
      </c>
      <c r="N401" s="36" t="s">
        <v>2424</v>
      </c>
      <c r="O401" s="34">
        <v>132</v>
      </c>
      <c r="P401" s="6" t="s">
        <v>98</v>
      </c>
      <c r="Q401" s="34" t="s">
        <v>98</v>
      </c>
      <c r="R401" s="6" t="s">
        <v>98</v>
      </c>
      <c r="S401" s="6" t="s">
        <v>98</v>
      </c>
      <c r="T401" s="12"/>
      <c r="U401" s="12">
        <f>IFERROR(Tableau1[[#This Row],[Loyer annuel]]/12,"")</f>
        <v>0</v>
      </c>
      <c r="V401" s="12"/>
      <c r="W401" s="46">
        <v>0.06</v>
      </c>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6" t="s">
        <v>98</v>
      </c>
      <c r="AH401" s="6" t="s">
        <v>98</v>
      </c>
      <c r="AI401" s="12" t="s">
        <v>357</v>
      </c>
      <c r="AJ401" s="10"/>
      <c r="AK401" s="10"/>
      <c r="AL401" s="10"/>
      <c r="AM401" s="11"/>
      <c r="AN401" s="11" t="s">
        <v>98</v>
      </c>
      <c r="AO401" s="5" t="s">
        <v>361</v>
      </c>
      <c r="AP401" s="11" t="s">
        <v>2431</v>
      </c>
      <c r="AQ401" s="11" t="s">
        <v>2432</v>
      </c>
      <c r="AR401" s="11" t="s">
        <v>2428</v>
      </c>
      <c r="AS401" s="36" t="s">
        <v>2423</v>
      </c>
      <c r="AT401" s="11" t="s">
        <v>70</v>
      </c>
      <c r="AU401" s="11" t="s">
        <v>370</v>
      </c>
      <c r="AV401" s="13" t="s">
        <v>2420</v>
      </c>
      <c r="AW401" s="14"/>
      <c r="AX401" s="44">
        <v>46197</v>
      </c>
    </row>
    <row r="402" spans="1:50" ht="37.5">
      <c r="A402" s="38" t="str">
        <f>VLOOKUP(Tableau1[[#This Row],[N° Département]],Feuil1!$C$6:$E$106,3)</f>
        <v>Normandie</v>
      </c>
      <c r="B402" s="38" t="str">
        <f>VLOOKUP(Tableau1[[#This Row],[N° Département]],Feuil1!$C$6:$E$106,2)</f>
        <v>Seine-Maritime</v>
      </c>
      <c r="C402" s="38">
        <f>LEFT(Tableau1[[#This Row],[Code Postal]],2)*1</f>
        <v>76</v>
      </c>
      <c r="D402" s="10" t="s">
        <v>2416</v>
      </c>
      <c r="E402" s="26">
        <v>76200</v>
      </c>
      <c r="F402" s="10" t="s">
        <v>2356</v>
      </c>
      <c r="G402" s="39" t="str">
        <f>Tableau1[[#This Row],[Rue]]&amp;CHAR(10)&amp;Tableau1[[#This Row],[Code Postal]]&amp;" - "&amp;Tableau1[[#This Row],[Ville]]</f>
        <v>Centre commercial du Belvédère, avenue des Canadiens
76200 - Dieppe</v>
      </c>
      <c r="H402" s="52" t="s">
        <v>2415</v>
      </c>
      <c r="I402" s="12" t="s">
        <v>47</v>
      </c>
      <c r="J402" s="12" t="s">
        <v>49</v>
      </c>
      <c r="K402" s="10" t="s">
        <v>98</v>
      </c>
      <c r="L402" s="10" t="s">
        <v>2419</v>
      </c>
      <c r="M402" s="12" t="s">
        <v>98</v>
      </c>
      <c r="N402" s="36" t="s">
        <v>2425</v>
      </c>
      <c r="O402" s="34">
        <v>142</v>
      </c>
      <c r="P402" s="6" t="s">
        <v>98</v>
      </c>
      <c r="Q402" s="34" t="s">
        <v>98</v>
      </c>
      <c r="R402" s="6" t="s">
        <v>98</v>
      </c>
      <c r="S402" s="6" t="s">
        <v>98</v>
      </c>
      <c r="T402" s="12"/>
      <c r="U402" s="12">
        <f>IFERROR(Tableau1[[#This Row],[Loyer annuel]]/12,"")</f>
        <v>0</v>
      </c>
      <c r="V402" s="12"/>
      <c r="W402" s="46">
        <v>0.06</v>
      </c>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6" t="s">
        <v>98</v>
      </c>
      <c r="AH402" s="6" t="s">
        <v>98</v>
      </c>
      <c r="AI402" s="12" t="s">
        <v>357</v>
      </c>
      <c r="AJ402" s="10"/>
      <c r="AK402" s="10"/>
      <c r="AL402" s="10"/>
      <c r="AM402" s="11"/>
      <c r="AN402" s="11" t="s">
        <v>98</v>
      </c>
      <c r="AO402" s="5" t="s">
        <v>361</v>
      </c>
      <c r="AP402" s="11" t="s">
        <v>2435</v>
      </c>
      <c r="AQ402" s="11" t="s">
        <v>2436</v>
      </c>
      <c r="AR402" s="11" t="s">
        <v>2429</v>
      </c>
      <c r="AS402" s="36" t="s">
        <v>2423</v>
      </c>
      <c r="AT402" s="11" t="s">
        <v>70</v>
      </c>
      <c r="AU402" s="11" t="s">
        <v>370</v>
      </c>
      <c r="AV402" s="13" t="s">
        <v>2420</v>
      </c>
      <c r="AW402" s="14"/>
      <c r="AX402" s="44">
        <v>46197</v>
      </c>
    </row>
    <row r="403" spans="1:50" ht="37.5">
      <c r="A403" s="38" t="str">
        <f>VLOOKUP(Tableau1[[#This Row],[N° Département]],Feuil1!$C$6:$E$106,3)</f>
        <v>Normandie</v>
      </c>
      <c r="B403" s="38" t="str">
        <f>VLOOKUP(Tableau1[[#This Row],[N° Département]],Feuil1!$C$6:$E$106,2)</f>
        <v>Seine-Maritime</v>
      </c>
      <c r="C403" s="38">
        <f>LEFT(Tableau1[[#This Row],[Code Postal]],2)*1</f>
        <v>76</v>
      </c>
      <c r="D403" s="10" t="s">
        <v>2416</v>
      </c>
      <c r="E403" s="26">
        <v>76200</v>
      </c>
      <c r="F403" s="10" t="s">
        <v>2356</v>
      </c>
      <c r="G403" s="39" t="str">
        <f>Tableau1[[#This Row],[Rue]]&amp;CHAR(10)&amp;Tableau1[[#This Row],[Code Postal]]&amp;" - "&amp;Tableau1[[#This Row],[Ville]]</f>
        <v>Centre commercial du Belvédère, avenue des Canadiens
76200 - Dieppe</v>
      </c>
      <c r="H403" s="52" t="s">
        <v>2415</v>
      </c>
      <c r="I403" s="12" t="s">
        <v>47</v>
      </c>
      <c r="J403" s="12" t="s">
        <v>49</v>
      </c>
      <c r="K403" s="10" t="s">
        <v>98</v>
      </c>
      <c r="L403" s="10" t="s">
        <v>2419</v>
      </c>
      <c r="M403" s="12" t="s">
        <v>98</v>
      </c>
      <c r="N403" s="36" t="s">
        <v>2426</v>
      </c>
      <c r="O403" s="34">
        <v>180</v>
      </c>
      <c r="P403" s="6" t="s">
        <v>98</v>
      </c>
      <c r="Q403" s="34" t="s">
        <v>98</v>
      </c>
      <c r="R403" s="6" t="s">
        <v>98</v>
      </c>
      <c r="S403" s="6" t="s">
        <v>98</v>
      </c>
      <c r="T403" s="12"/>
      <c r="U403" s="12">
        <f>IFERROR(Tableau1[[#This Row],[Loyer annuel]]/12,"")</f>
        <v>0</v>
      </c>
      <c r="V403" s="12"/>
      <c r="W403" s="46">
        <v>0.06</v>
      </c>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6" t="s">
        <v>98</v>
      </c>
      <c r="AH403" s="6" t="s">
        <v>98</v>
      </c>
      <c r="AI403" s="12" t="s">
        <v>357</v>
      </c>
      <c r="AJ403" s="10"/>
      <c r="AK403" s="10"/>
      <c r="AL403" s="10"/>
      <c r="AM403" s="11"/>
      <c r="AN403" s="11" t="s">
        <v>98</v>
      </c>
      <c r="AO403" s="5" t="s">
        <v>361</v>
      </c>
      <c r="AP403" s="11" t="s">
        <v>2433</v>
      </c>
      <c r="AQ403" s="11" t="s">
        <v>2434</v>
      </c>
      <c r="AR403" s="11" t="s">
        <v>2430</v>
      </c>
      <c r="AS403" s="36" t="s">
        <v>2423</v>
      </c>
      <c r="AT403" s="11" t="s">
        <v>70</v>
      </c>
      <c r="AU403" s="11" t="s">
        <v>370</v>
      </c>
      <c r="AV403" s="13" t="s">
        <v>2420</v>
      </c>
      <c r="AW403" s="14"/>
      <c r="AX403" s="44">
        <v>46197</v>
      </c>
    </row>
    <row r="404" spans="1:50" ht="25">
      <c r="A404" s="38" t="str">
        <f>VLOOKUP(Tableau1[[#This Row],[N° Département]],Feuil1!$C$6:$E$106,3)</f>
        <v>Provence-Alpes-Côte d'Azur</v>
      </c>
      <c r="B404" s="38" t="str">
        <f>VLOOKUP(Tableau1[[#This Row],[N° Département]],Feuil1!$C$6:$E$106,2)</f>
        <v>Bouches-du-Rhône</v>
      </c>
      <c r="C404" s="38">
        <f>LEFT(Tableau1[[#This Row],[Code Postal]],2)*1</f>
        <v>13</v>
      </c>
      <c r="D404" s="10" t="s">
        <v>995</v>
      </c>
      <c r="E404" s="26">
        <v>13480</v>
      </c>
      <c r="F404" s="10" t="s">
        <v>2440</v>
      </c>
      <c r="G404" s="39" t="str">
        <f>Tableau1[[#This Row],[Rue]]&amp;CHAR(10)&amp;Tableau1[[#This Row],[Code Postal]]&amp;" - "&amp;Tableau1[[#This Row],[Ville]]</f>
        <v>Avant Cap
13480 - Cabriès</v>
      </c>
      <c r="H404" s="52" t="s">
        <v>2439</v>
      </c>
      <c r="I404" s="12" t="s">
        <v>47</v>
      </c>
      <c r="J404" s="12" t="s">
        <v>49</v>
      </c>
      <c r="K404" s="10" t="s">
        <v>98</v>
      </c>
      <c r="L404" s="12" t="s">
        <v>2411</v>
      </c>
      <c r="M404" s="12" t="s">
        <v>1152</v>
      </c>
      <c r="N404" s="36"/>
      <c r="O404" s="34"/>
      <c r="P404" s="6" t="s">
        <v>98</v>
      </c>
      <c r="Q404" s="34" t="s">
        <v>98</v>
      </c>
      <c r="R404" s="6" t="s">
        <v>98</v>
      </c>
      <c r="S404" s="6" t="s">
        <v>98</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t="s">
        <v>357</v>
      </c>
      <c r="AJ404" s="10" t="s">
        <v>70</v>
      </c>
      <c r="AK404" s="10" t="s">
        <v>363</v>
      </c>
      <c r="AL404" s="10"/>
      <c r="AM404" s="11" t="s">
        <v>2441</v>
      </c>
      <c r="AN404" s="11"/>
      <c r="AO404" s="11" t="s">
        <v>1158</v>
      </c>
      <c r="AP404" s="11" t="s">
        <v>2437</v>
      </c>
      <c r="AQ404" s="11" t="s">
        <v>2438</v>
      </c>
      <c r="AR404" s="11">
        <v>104</v>
      </c>
      <c r="AS404" s="36" t="s">
        <v>2442</v>
      </c>
      <c r="AT404" s="11" t="s">
        <v>70</v>
      </c>
      <c r="AU404" s="11"/>
      <c r="AV404" s="13" t="s">
        <v>2449</v>
      </c>
      <c r="AW404" s="14"/>
      <c r="AX404" s="44">
        <v>46197</v>
      </c>
    </row>
    <row r="405" spans="1:50" ht="25">
      <c r="A405" s="38" t="str">
        <f>VLOOKUP(Tableau1[[#This Row],[N° Département]],Feuil1!$C$6:$E$106,3)</f>
        <v>Hauts-de-France</v>
      </c>
      <c r="B405" s="38" t="str">
        <f>VLOOKUP(Tableau1[[#This Row],[N° Département]],Feuil1!$C$6:$E$106,2)</f>
        <v>Aisne</v>
      </c>
      <c r="C405" s="38">
        <f>LEFT(Tableau1[[#This Row],[Code Postal]],2)*1</f>
        <v>2</v>
      </c>
      <c r="D405" s="10" t="s">
        <v>2443</v>
      </c>
      <c r="E405" s="48" t="s">
        <v>2444</v>
      </c>
      <c r="F405" s="10" t="s">
        <v>2445</v>
      </c>
      <c r="G405" s="39" t="str">
        <f>Tableau1[[#This Row],[Rue]]&amp;CHAR(10)&amp;Tableau1[[#This Row],[Code Postal]]&amp;" - "&amp;Tableau1[[#This Row],[Ville]]</f>
        <v>Boulevard Henri Martin
02 100 - Saint-Quentrin</v>
      </c>
      <c r="H405" s="15" t="s">
        <v>2446</v>
      </c>
      <c r="I405" s="12" t="s">
        <v>45</v>
      </c>
      <c r="J405" s="12" t="s">
        <v>44</v>
      </c>
      <c r="K405" s="10" t="s">
        <v>98</v>
      </c>
      <c r="L405" s="10"/>
      <c r="M405" s="12" t="s">
        <v>1152</v>
      </c>
      <c r="N405" s="36"/>
      <c r="O405" s="34">
        <v>1135</v>
      </c>
      <c r="P405" s="12" t="s">
        <v>2447</v>
      </c>
      <c r="Q405" s="34" t="s">
        <v>98</v>
      </c>
      <c r="R405" s="6" t="s">
        <v>98</v>
      </c>
      <c r="S405" s="6" t="s">
        <v>98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t="s">
        <v>357</v>
      </c>
      <c r="AJ405" s="10" t="s">
        <v>70</v>
      </c>
      <c r="AK405" s="10" t="s">
        <v>363</v>
      </c>
      <c r="AL405" s="10"/>
      <c r="AM405" s="11" t="s">
        <v>2452</v>
      </c>
      <c r="AN405" s="11"/>
      <c r="AO405" s="11" t="s">
        <v>1158</v>
      </c>
      <c r="AP405" s="11" t="s">
        <v>2450</v>
      </c>
      <c r="AQ405" s="11" t="s">
        <v>2451</v>
      </c>
      <c r="AR405" s="11">
        <v>105</v>
      </c>
      <c r="AS405" s="36" t="s">
        <v>2453</v>
      </c>
      <c r="AT405" s="11" t="s">
        <v>70</v>
      </c>
      <c r="AU405" s="11"/>
      <c r="AV405" s="13" t="s">
        <v>2448</v>
      </c>
      <c r="AW405" s="14"/>
      <c r="AX405" s="44"/>
    </row>
    <row r="406" spans="1:50" ht="25">
      <c r="A406" s="38" t="str">
        <f>VLOOKUP(Tableau1[[#This Row],[N° Département]],Feuil1!$C$6:$E$106,3)</f>
        <v>Centre-Val de Loire</v>
      </c>
      <c r="B406" s="38" t="str">
        <f>VLOOKUP(Tableau1[[#This Row],[N° Département]],Feuil1!$C$6:$E$106,2)</f>
        <v>Indre-et-Loire</v>
      </c>
      <c r="C406" s="38">
        <f>LEFT(Tableau1[[#This Row],[Code Postal]],2)*1</f>
        <v>37</v>
      </c>
      <c r="D406" s="10" t="s">
        <v>2454</v>
      </c>
      <c r="E406" s="26">
        <v>37300</v>
      </c>
      <c r="F406" s="10" t="s">
        <v>2455</v>
      </c>
      <c r="G406" s="39" t="str">
        <f>Tableau1[[#This Row],[Rue]]&amp;CHAR(10)&amp;Tableau1[[#This Row],[Code Postal]]&amp;" - "&amp;Tableau1[[#This Row],[Ville]]</f>
        <v>151 Boulevard de Chinon
37300 - Joué-les-Tours</v>
      </c>
      <c r="H406" s="15" t="s">
        <v>2456</v>
      </c>
      <c r="I406" s="12" t="s">
        <v>45</v>
      </c>
      <c r="J406" s="12" t="s">
        <v>48</v>
      </c>
      <c r="K406" s="10" t="s">
        <v>98</v>
      </c>
      <c r="L406" s="10"/>
      <c r="M406" s="12" t="s">
        <v>1152</v>
      </c>
      <c r="N406" s="36"/>
      <c r="O406" s="34">
        <v>2285</v>
      </c>
      <c r="P406" s="12"/>
      <c r="Q406" s="34"/>
      <c r="R406" s="10"/>
      <c r="S406" s="12"/>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t="s">
        <v>357</v>
      </c>
      <c r="AJ406" s="10"/>
      <c r="AK406" s="10"/>
      <c r="AL406" s="10"/>
      <c r="AM406" s="11" t="s">
        <v>2457</v>
      </c>
      <c r="AN406" s="11"/>
      <c r="AO406" s="11" t="s">
        <v>1158</v>
      </c>
      <c r="AP406" s="11" t="s">
        <v>2459</v>
      </c>
      <c r="AQ406" s="11" t="s">
        <v>2460</v>
      </c>
      <c r="AR406" s="11">
        <v>106</v>
      </c>
      <c r="AS406" s="36" t="s">
        <v>2458</v>
      </c>
      <c r="AT406" s="11" t="s">
        <v>70</v>
      </c>
      <c r="AU406" s="11"/>
      <c r="AV406" s="13" t="s">
        <v>2448</v>
      </c>
      <c r="AW406" s="14"/>
      <c r="AX406" s="44"/>
    </row>
    <row r="413" spans="1:50">
      <c r="F413" s="1" t="s">
        <v>2275</v>
      </c>
    </row>
    <row r="414" spans="1:50">
      <c r="F414" s="1" t="s">
        <v>2276</v>
      </c>
    </row>
    <row r="420" spans="6:6">
      <c r="F420"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 ref="H399" r:id="rId301" xr:uid="{C6D6EB2D-D283-42DB-9622-116FEA35AC16}"/>
    <hyperlink ref="H400" r:id="rId302" xr:uid="{8525C38E-72D3-491A-A4FA-04F1113BEFD2}"/>
    <hyperlink ref="H401" r:id="rId303" xr:uid="{D4E52379-65D6-4F3A-9424-BBF1AEE8110A}"/>
    <hyperlink ref="H402" r:id="rId304" xr:uid="{E9FEBDA5-17FA-4D05-8550-20C06DE2E0FC}"/>
    <hyperlink ref="H403" r:id="rId305" xr:uid="{069B2CAC-CAA0-4A95-A05F-D855EA31D77A}"/>
    <hyperlink ref="H405" r:id="rId306" xr:uid="{F318FE01-8AB6-42A1-9F7E-9AEB7F639B23}"/>
    <hyperlink ref="H406" r:id="rId307" xr:uid="{B30B4D30-2902-4A46-8743-779F54A0979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
  <cols>
    <col min="3" max="3" width="22" bestFit="1" customWidth="1"/>
    <col min="4" max="4" width="35.25" bestFit="1" customWidth="1"/>
  </cols>
  <sheetData>
    <row r="5" spans="3:7" ht="14.5">
      <c r="C5" s="18" t="s">
        <v>9</v>
      </c>
      <c r="D5" s="18" t="s">
        <v>41</v>
      </c>
    </row>
    <row r="6" spans="3:7" ht="14.5">
      <c r="C6" s="18"/>
      <c r="D6" s="18"/>
    </row>
    <row r="7" spans="3:7" ht="18.5">
      <c r="C7" s="19" t="s">
        <v>5</v>
      </c>
      <c r="D7" s="24" t="e">
        <f>HYPERLINK(VLOOKUP($D$5,Tableau,3,FALSE),VLOOKUP($D$5,Tableau,2,FALSE))</f>
        <v>#N/A</v>
      </c>
    </row>
    <row r="8" spans="3:7" ht="14.5">
      <c r="C8" s="19" t="s">
        <v>43</v>
      </c>
      <c r="D8" s="20" t="e">
        <f>VLOOKUP($D$5,Tableau1[],4,FALSE)</f>
        <v>#N/A</v>
      </c>
    </row>
    <row r="9" spans="3:7" ht="14.5">
      <c r="C9" s="19" t="s">
        <v>42</v>
      </c>
      <c r="D9" s="20" t="e">
        <f>VLOOKUP($D$5,Tableau1[],5,FALSE)</f>
        <v>#N/A</v>
      </c>
    </row>
    <row r="10" spans="3:7" ht="14.5">
      <c r="C10" s="19"/>
      <c r="D10" s="17"/>
    </row>
    <row r="11" spans="3:7" ht="14.5">
      <c r="C11" s="19" t="s">
        <v>19</v>
      </c>
      <c r="D11" s="20" t="e">
        <f>VLOOKUP($D$5,Tableau1[],14,FALSE)</f>
        <v>#N/A</v>
      </c>
    </row>
    <row r="12" spans="3:7" ht="14.5">
      <c r="C12" s="19" t="s">
        <v>20</v>
      </c>
      <c r="D12" s="20" t="e">
        <f>VLOOKUP($D$5,Tableau1[],15,FALSE)</f>
        <v>#N/A</v>
      </c>
    </row>
    <row r="13" spans="3:7" ht="14.5">
      <c r="C13" s="19" t="s">
        <v>6</v>
      </c>
      <c r="D13" s="20" t="e">
        <f>VLOOKUP($D$5,Tableau1[],6,FALSE)</f>
        <v>#N/A</v>
      </c>
      <c r="G13" s="2"/>
    </row>
    <row r="14" spans="3:7" ht="14.5">
      <c r="C14" s="19" t="s">
        <v>10</v>
      </c>
      <c r="D14" s="21" t="e">
        <f>VLOOKUP($D$5,Tableau1[],7,FALSE)</f>
        <v>#N/A</v>
      </c>
    </row>
    <row r="15" spans="3:7" ht="15.5">
      <c r="C15" s="19" t="s">
        <v>4</v>
      </c>
      <c r="D15" s="22" t="e">
        <f>VLOOKUP($D$5,Tableau1[],8,FALSE)</f>
        <v>#N/A</v>
      </c>
    </row>
    <row r="16" spans="3:7" ht="14.5">
      <c r="C16" s="19" t="s">
        <v>7</v>
      </c>
      <c r="D16" s="21" t="e">
        <f>VLOOKUP($D$5,Tableau1[],9,FALSE)</f>
        <v>#N/A</v>
      </c>
    </row>
    <row r="17" spans="3:6" ht="14.5">
      <c r="C17" s="19" t="s">
        <v>14</v>
      </c>
      <c r="D17" s="21" t="e">
        <f>VLOOKUP($D$5,Tableau1[],10,FALSE)</f>
        <v>#N/A</v>
      </c>
    </row>
    <row r="18" spans="3:6" ht="15.5">
      <c r="C18" s="19" t="s">
        <v>3</v>
      </c>
      <c r="D18" s="22" t="e">
        <f>VLOOKUP($D$5,Tableau1[],11,FALSE)</f>
        <v>#N/A</v>
      </c>
    </row>
    <row r="19" spans="3:6" ht="14.5">
      <c r="C19" s="19" t="s">
        <v>8</v>
      </c>
      <c r="D19" s="21" t="e">
        <f>VLOOKUP($D$5,Tableau1[],12,FALSE)</f>
        <v>#N/A</v>
      </c>
    </row>
    <row r="20" spans="3:6" ht="14.5">
      <c r="C20" s="19" t="s">
        <v>15</v>
      </c>
      <c r="D20" s="21" t="e">
        <f>VLOOKUP($D$5,Tableau1[],13,FALSE)</f>
        <v>#N/A</v>
      </c>
    </row>
    <row r="21" spans="3:6" ht="14.5">
      <c r="C21" s="19" t="s">
        <v>2</v>
      </c>
      <c r="D21" s="21" t="e">
        <f>VLOOKUP($D$5,Tableau1[],16,FALSE)</f>
        <v>#N/A</v>
      </c>
    </row>
    <row r="22" spans="3:6" ht="69.75" customHeight="1">
      <c r="C22" s="19" t="s">
        <v>1</v>
      </c>
      <c r="D22" s="23" t="e">
        <f>VLOOKUP($D$5,Tableau1[],17,FALSE)</f>
        <v>#N/A</v>
      </c>
    </row>
    <row r="23" spans="3:6" ht="14.5">
      <c r="C23" s="19"/>
      <c r="D23" s="20"/>
    </row>
    <row r="24" spans="3:6" ht="14.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
  <cols>
    <col min="3" max="3" width="7.83203125" customWidth="1"/>
    <col min="4" max="4" width="22" bestFit="1" customWidth="1"/>
    <col min="5" max="5" width="24.08203125" bestFit="1" customWidth="1"/>
  </cols>
  <sheetData>
    <row r="5" spans="3:13">
      <c r="C5" s="27" t="s">
        <v>132</v>
      </c>
      <c r="D5" s="27" t="s">
        <v>133</v>
      </c>
      <c r="E5" s="27" t="s">
        <v>134</v>
      </c>
    </row>
    <row r="6" spans="3:13">
      <c r="C6" s="27">
        <v>1</v>
      </c>
      <c r="D6" s="28" t="s">
        <v>135</v>
      </c>
      <c r="E6" s="28" t="s">
        <v>136</v>
      </c>
    </row>
    <row r="7" spans="3:13">
      <c r="C7" s="27">
        <v>2</v>
      </c>
      <c r="D7" s="28" t="s">
        <v>137</v>
      </c>
      <c r="E7" s="28" t="s">
        <v>138</v>
      </c>
    </row>
    <row r="8" spans="3:13">
      <c r="C8" s="27">
        <v>3</v>
      </c>
      <c r="D8" s="28" t="s">
        <v>139</v>
      </c>
      <c r="E8" s="28" t="s">
        <v>136</v>
      </c>
    </row>
    <row r="9" spans="3:13">
      <c r="C9" s="27">
        <v>4</v>
      </c>
      <c r="D9" s="28" t="s">
        <v>140</v>
      </c>
      <c r="E9" s="28" t="s">
        <v>141</v>
      </c>
    </row>
    <row r="10" spans="3:13">
      <c r="C10" s="27">
        <v>5</v>
      </c>
      <c r="D10" s="28" t="s">
        <v>142</v>
      </c>
      <c r="E10" s="28" t="s">
        <v>141</v>
      </c>
    </row>
    <row r="11" spans="3:13">
      <c r="C11" s="27">
        <v>6</v>
      </c>
      <c r="D11" s="28" t="s">
        <v>143</v>
      </c>
      <c r="E11" s="28" t="s">
        <v>141</v>
      </c>
    </row>
    <row r="12" spans="3:13">
      <c r="C12" s="27">
        <v>7</v>
      </c>
      <c r="D12" s="28" t="s">
        <v>144</v>
      </c>
      <c r="E12" s="28" t="s">
        <v>136</v>
      </c>
    </row>
    <row r="13" spans="3:13">
      <c r="C13" s="27">
        <v>8</v>
      </c>
      <c r="D13" s="28" t="s">
        <v>145</v>
      </c>
      <c r="E13" s="28" t="s">
        <v>146</v>
      </c>
      <c r="I13" t="str">
        <f>VLOOKUP(K13,$C$6:$E$106,2)</f>
        <v>Val-de-Marne</v>
      </c>
      <c r="J13" t="str">
        <f>VLOOKUP(L13,$C$6:$E$106,2)</f>
        <v>Haute-Corse</v>
      </c>
      <c r="K13">
        <v>94</v>
      </c>
      <c r="L13" t="str">
        <f>LEFT(M13,2)</f>
        <v>94</v>
      </c>
      <c r="M13" s="31">
        <v>94300</v>
      </c>
    </row>
    <row r="14" spans="3:13">
      <c r="C14" s="27">
        <v>9</v>
      </c>
      <c r="D14" s="28" t="s">
        <v>147</v>
      </c>
      <c r="E14" s="28" t="s">
        <v>148</v>
      </c>
    </row>
    <row r="15" spans="3:13">
      <c r="C15" s="27">
        <v>10</v>
      </c>
      <c r="D15" s="28" t="s">
        <v>149</v>
      </c>
      <c r="E15" s="28" t="s">
        <v>146</v>
      </c>
    </row>
    <row r="16" spans="3:13">
      <c r="C16" s="27">
        <v>11</v>
      </c>
      <c r="D16" s="28" t="s">
        <v>150</v>
      </c>
      <c r="E16" s="28" t="s">
        <v>148</v>
      </c>
    </row>
    <row r="17" spans="3:5">
      <c r="C17" s="27">
        <v>12</v>
      </c>
      <c r="D17" s="28" t="s">
        <v>151</v>
      </c>
      <c r="E17" s="28" t="s">
        <v>148</v>
      </c>
    </row>
    <row r="18" spans="3:5">
      <c r="C18" s="27">
        <v>13</v>
      </c>
      <c r="D18" s="28" t="s">
        <v>152</v>
      </c>
      <c r="E18" s="28" t="s">
        <v>141</v>
      </c>
    </row>
    <row r="19" spans="3:5">
      <c r="C19" s="27">
        <v>14</v>
      </c>
      <c r="D19" s="28" t="s">
        <v>153</v>
      </c>
      <c r="E19" s="28" t="s">
        <v>154</v>
      </c>
    </row>
    <row r="20" spans="3:5">
      <c r="C20" s="27">
        <v>15</v>
      </c>
      <c r="D20" s="28" t="s">
        <v>155</v>
      </c>
      <c r="E20" s="28" t="s">
        <v>136</v>
      </c>
    </row>
    <row r="21" spans="3:5">
      <c r="C21" s="27">
        <v>16</v>
      </c>
      <c r="D21" s="28" t="s">
        <v>156</v>
      </c>
      <c r="E21" s="28" t="s">
        <v>157</v>
      </c>
    </row>
    <row r="22" spans="3:5">
      <c r="C22" s="27">
        <v>17</v>
      </c>
      <c r="D22" s="28" t="s">
        <v>158</v>
      </c>
      <c r="E22" s="28" t="s">
        <v>157</v>
      </c>
    </row>
    <row r="23" spans="3:5">
      <c r="C23" s="27">
        <v>18</v>
      </c>
      <c r="D23" s="28" t="s">
        <v>159</v>
      </c>
      <c r="E23" s="28" t="s">
        <v>160</v>
      </c>
    </row>
    <row r="24" spans="3:5">
      <c r="C24" s="27">
        <v>19</v>
      </c>
      <c r="D24" s="28" t="s">
        <v>161</v>
      </c>
      <c r="E24" s="28" t="s">
        <v>157</v>
      </c>
    </row>
    <row r="25" spans="3:5">
      <c r="C25" s="29" t="s">
        <v>162</v>
      </c>
      <c r="D25" s="30" t="s">
        <v>163</v>
      </c>
      <c r="E25" s="30" t="s">
        <v>164</v>
      </c>
    </row>
    <row r="26" spans="3:5">
      <c r="C26" s="29" t="s">
        <v>165</v>
      </c>
      <c r="D26" s="30" t="s">
        <v>166</v>
      </c>
      <c r="E26" s="30" t="s">
        <v>164</v>
      </c>
    </row>
    <row r="27" spans="3:5">
      <c r="C27" s="27">
        <v>21</v>
      </c>
      <c r="D27" s="28" t="s">
        <v>167</v>
      </c>
      <c r="E27" s="28" t="s">
        <v>168</v>
      </c>
    </row>
    <row r="28" spans="3:5">
      <c r="C28" s="27">
        <v>22</v>
      </c>
      <c r="D28" s="28" t="s">
        <v>169</v>
      </c>
      <c r="E28" s="28" t="s">
        <v>170</v>
      </c>
    </row>
    <row r="29" spans="3:5">
      <c r="C29" s="27">
        <v>23</v>
      </c>
      <c r="D29" s="28" t="s">
        <v>171</v>
      </c>
      <c r="E29" s="28" t="s">
        <v>157</v>
      </c>
    </row>
    <row r="30" spans="3:5">
      <c r="C30" s="27">
        <v>24</v>
      </c>
      <c r="D30" s="28" t="s">
        <v>172</v>
      </c>
      <c r="E30" s="28" t="s">
        <v>157</v>
      </c>
    </row>
    <row r="31" spans="3:5">
      <c r="C31" s="27">
        <v>25</v>
      </c>
      <c r="D31" s="28" t="s">
        <v>173</v>
      </c>
      <c r="E31" s="28" t="s">
        <v>168</v>
      </c>
    </row>
    <row r="32" spans="3:5">
      <c r="C32" s="27">
        <v>26</v>
      </c>
      <c r="D32" s="28" t="s">
        <v>174</v>
      </c>
      <c r="E32" s="28" t="s">
        <v>136</v>
      </c>
    </row>
    <row r="33" spans="3:5">
      <c r="C33" s="27">
        <v>27</v>
      </c>
      <c r="D33" s="28" t="s">
        <v>175</v>
      </c>
      <c r="E33" s="28" t="s">
        <v>154</v>
      </c>
    </row>
    <row r="34" spans="3:5">
      <c r="C34" s="27">
        <v>28</v>
      </c>
      <c r="D34" s="28" t="s">
        <v>176</v>
      </c>
      <c r="E34" s="28" t="s">
        <v>160</v>
      </c>
    </row>
    <row r="35" spans="3:5">
      <c r="C35" s="27">
        <v>29</v>
      </c>
      <c r="D35" s="28" t="s">
        <v>177</v>
      </c>
      <c r="E35" s="28" t="s">
        <v>170</v>
      </c>
    </row>
    <row r="36" spans="3:5">
      <c r="C36" s="27">
        <v>30</v>
      </c>
      <c r="D36" s="28" t="s">
        <v>178</v>
      </c>
      <c r="E36" s="28" t="s">
        <v>148</v>
      </c>
    </row>
    <row r="37" spans="3:5">
      <c r="C37" s="27">
        <v>31</v>
      </c>
      <c r="D37" s="28" t="s">
        <v>179</v>
      </c>
      <c r="E37" s="28" t="s">
        <v>148</v>
      </c>
    </row>
    <row r="38" spans="3:5">
      <c r="C38" s="27">
        <v>32</v>
      </c>
      <c r="D38" s="28" t="s">
        <v>180</v>
      </c>
      <c r="E38" s="28" t="s">
        <v>148</v>
      </c>
    </row>
    <row r="39" spans="3:5">
      <c r="C39" s="27">
        <v>33</v>
      </c>
      <c r="D39" s="28" t="s">
        <v>181</v>
      </c>
      <c r="E39" s="28" t="s">
        <v>157</v>
      </c>
    </row>
    <row r="40" spans="3:5">
      <c r="C40" s="27">
        <v>34</v>
      </c>
      <c r="D40" s="28" t="s">
        <v>182</v>
      </c>
      <c r="E40" s="28" t="s">
        <v>148</v>
      </c>
    </row>
    <row r="41" spans="3:5">
      <c r="C41" s="27">
        <v>35</v>
      </c>
      <c r="D41" s="28" t="s">
        <v>183</v>
      </c>
      <c r="E41" s="28" t="s">
        <v>170</v>
      </c>
    </row>
    <row r="42" spans="3:5">
      <c r="C42" s="27">
        <v>36</v>
      </c>
      <c r="D42" s="28" t="s">
        <v>184</v>
      </c>
      <c r="E42" s="28" t="s">
        <v>160</v>
      </c>
    </row>
    <row r="43" spans="3:5">
      <c r="C43" s="27">
        <v>37</v>
      </c>
      <c r="D43" s="28" t="s">
        <v>185</v>
      </c>
      <c r="E43" s="28" t="s">
        <v>160</v>
      </c>
    </row>
    <row r="44" spans="3:5">
      <c r="C44" s="27">
        <v>38</v>
      </c>
      <c r="D44" s="28" t="s">
        <v>186</v>
      </c>
      <c r="E44" s="28" t="s">
        <v>136</v>
      </c>
    </row>
    <row r="45" spans="3:5">
      <c r="C45" s="27">
        <v>39</v>
      </c>
      <c r="D45" s="28" t="s">
        <v>187</v>
      </c>
      <c r="E45" s="28" t="s">
        <v>168</v>
      </c>
    </row>
    <row r="46" spans="3:5">
      <c r="C46" s="27">
        <v>40</v>
      </c>
      <c r="D46" s="28" t="s">
        <v>188</v>
      </c>
      <c r="E46" s="28" t="s">
        <v>157</v>
      </c>
    </row>
    <row r="47" spans="3:5">
      <c r="C47" s="27">
        <v>41</v>
      </c>
      <c r="D47" s="28" t="s">
        <v>189</v>
      </c>
      <c r="E47" s="28" t="s">
        <v>160</v>
      </c>
    </row>
    <row r="48" spans="3:5">
      <c r="C48" s="27">
        <v>42</v>
      </c>
      <c r="D48" s="28" t="s">
        <v>190</v>
      </c>
      <c r="E48" s="28" t="s">
        <v>136</v>
      </c>
    </row>
    <row r="49" spans="3:5">
      <c r="C49" s="27">
        <v>43</v>
      </c>
      <c r="D49" s="28" t="s">
        <v>191</v>
      </c>
      <c r="E49" s="28" t="s">
        <v>136</v>
      </c>
    </row>
    <row r="50" spans="3:5">
      <c r="C50" s="27">
        <v>44</v>
      </c>
      <c r="D50" s="28" t="s">
        <v>192</v>
      </c>
      <c r="E50" s="28" t="s">
        <v>193</v>
      </c>
    </row>
    <row r="51" spans="3:5">
      <c r="C51" s="27">
        <v>45</v>
      </c>
      <c r="D51" s="28" t="s">
        <v>194</v>
      </c>
      <c r="E51" s="28" t="s">
        <v>160</v>
      </c>
    </row>
    <row r="52" spans="3:5">
      <c r="C52" s="27">
        <v>46</v>
      </c>
      <c r="D52" s="28" t="s">
        <v>195</v>
      </c>
      <c r="E52" s="28" t="s">
        <v>148</v>
      </c>
    </row>
    <row r="53" spans="3:5">
      <c r="C53" s="27">
        <v>47</v>
      </c>
      <c r="D53" s="28" t="s">
        <v>196</v>
      </c>
      <c r="E53" s="28" t="s">
        <v>157</v>
      </c>
    </row>
    <row r="54" spans="3:5">
      <c r="C54" s="27">
        <v>48</v>
      </c>
      <c r="D54" s="28" t="s">
        <v>197</v>
      </c>
      <c r="E54" s="28" t="s">
        <v>148</v>
      </c>
    </row>
    <row r="55" spans="3:5">
      <c r="C55" s="27">
        <v>49</v>
      </c>
      <c r="D55" s="28" t="s">
        <v>198</v>
      </c>
      <c r="E55" s="28" t="s">
        <v>193</v>
      </c>
    </row>
    <row r="56" spans="3:5">
      <c r="C56" s="27">
        <v>50</v>
      </c>
      <c r="D56" s="28" t="s">
        <v>199</v>
      </c>
      <c r="E56" s="28" t="s">
        <v>154</v>
      </c>
    </row>
    <row r="57" spans="3:5">
      <c r="C57" s="27">
        <v>51</v>
      </c>
      <c r="D57" s="28" t="s">
        <v>200</v>
      </c>
      <c r="E57" s="28" t="s">
        <v>146</v>
      </c>
    </row>
    <row r="58" spans="3:5">
      <c r="C58" s="27">
        <v>52</v>
      </c>
      <c r="D58" s="28" t="s">
        <v>201</v>
      </c>
      <c r="E58" s="28" t="s">
        <v>146</v>
      </c>
    </row>
    <row r="59" spans="3:5">
      <c r="C59" s="27">
        <v>53</v>
      </c>
      <c r="D59" s="28" t="s">
        <v>202</v>
      </c>
      <c r="E59" s="28" t="s">
        <v>193</v>
      </c>
    </row>
    <row r="60" spans="3:5">
      <c r="C60" s="27">
        <v>54</v>
      </c>
      <c r="D60" s="28" t="s">
        <v>203</v>
      </c>
      <c r="E60" s="28" t="s">
        <v>146</v>
      </c>
    </row>
    <row r="61" spans="3:5">
      <c r="C61" s="27">
        <v>55</v>
      </c>
      <c r="D61" s="28" t="s">
        <v>204</v>
      </c>
      <c r="E61" s="28" t="s">
        <v>146</v>
      </c>
    </row>
    <row r="62" spans="3:5">
      <c r="C62" s="27">
        <v>56</v>
      </c>
      <c r="D62" s="28" t="s">
        <v>205</v>
      </c>
      <c r="E62" s="28" t="s">
        <v>170</v>
      </c>
    </row>
    <row r="63" spans="3:5">
      <c r="C63" s="27">
        <v>57</v>
      </c>
      <c r="D63" s="28" t="s">
        <v>206</v>
      </c>
      <c r="E63" s="28" t="s">
        <v>146</v>
      </c>
    </row>
    <row r="64" spans="3:5">
      <c r="C64" s="27">
        <v>58</v>
      </c>
      <c r="D64" s="28" t="s">
        <v>207</v>
      </c>
      <c r="E64" s="28" t="s">
        <v>168</v>
      </c>
    </row>
    <row r="65" spans="3:5">
      <c r="C65" s="27">
        <v>59</v>
      </c>
      <c r="D65" s="28" t="s">
        <v>208</v>
      </c>
      <c r="E65" s="28" t="s">
        <v>138</v>
      </c>
    </row>
    <row r="66" spans="3:5">
      <c r="C66" s="27">
        <v>60</v>
      </c>
      <c r="D66" s="28" t="s">
        <v>209</v>
      </c>
      <c r="E66" s="28" t="s">
        <v>138</v>
      </c>
    </row>
    <row r="67" spans="3:5">
      <c r="C67" s="27">
        <v>61</v>
      </c>
      <c r="D67" s="28" t="s">
        <v>210</v>
      </c>
      <c r="E67" s="28" t="s">
        <v>154</v>
      </c>
    </row>
    <row r="68" spans="3:5">
      <c r="C68" s="27">
        <v>62</v>
      </c>
      <c r="D68" s="28" t="s">
        <v>211</v>
      </c>
      <c r="E68" s="28" t="s">
        <v>138</v>
      </c>
    </row>
    <row r="69" spans="3:5">
      <c r="C69" s="27">
        <v>63</v>
      </c>
      <c r="D69" s="28" t="s">
        <v>212</v>
      </c>
      <c r="E69" s="28" t="s">
        <v>136</v>
      </c>
    </row>
    <row r="70" spans="3:5">
      <c r="C70" s="27">
        <v>64</v>
      </c>
      <c r="D70" s="28" t="s">
        <v>213</v>
      </c>
      <c r="E70" s="28" t="s">
        <v>157</v>
      </c>
    </row>
    <row r="71" spans="3:5">
      <c r="C71" s="27">
        <v>65</v>
      </c>
      <c r="D71" s="28" t="s">
        <v>214</v>
      </c>
      <c r="E71" s="28" t="s">
        <v>148</v>
      </c>
    </row>
    <row r="72" spans="3:5">
      <c r="C72" s="27">
        <v>66</v>
      </c>
      <c r="D72" s="28" t="s">
        <v>215</v>
      </c>
      <c r="E72" s="28" t="s">
        <v>148</v>
      </c>
    </row>
    <row r="73" spans="3:5">
      <c r="C73" s="27">
        <v>67</v>
      </c>
      <c r="D73" s="28" t="s">
        <v>216</v>
      </c>
      <c r="E73" s="28" t="s">
        <v>146</v>
      </c>
    </row>
    <row r="74" spans="3:5">
      <c r="C74" s="27">
        <v>68</v>
      </c>
      <c r="D74" s="28" t="s">
        <v>217</v>
      </c>
      <c r="E74" s="28" t="s">
        <v>146</v>
      </c>
    </row>
    <row r="75" spans="3:5">
      <c r="C75" s="27">
        <v>69</v>
      </c>
      <c r="D75" s="28" t="s">
        <v>218</v>
      </c>
      <c r="E75" s="28" t="s">
        <v>136</v>
      </c>
    </row>
    <row r="76" spans="3:5">
      <c r="C76" s="27">
        <v>70</v>
      </c>
      <c r="D76" s="28" t="s">
        <v>219</v>
      </c>
      <c r="E76" s="28" t="s">
        <v>168</v>
      </c>
    </row>
    <row r="77" spans="3:5">
      <c r="C77" s="27">
        <v>71</v>
      </c>
      <c r="D77" s="28" t="s">
        <v>220</v>
      </c>
      <c r="E77" s="28" t="s">
        <v>168</v>
      </c>
    </row>
    <row r="78" spans="3:5">
      <c r="C78" s="27">
        <v>72</v>
      </c>
      <c r="D78" s="28" t="s">
        <v>221</v>
      </c>
      <c r="E78" s="28" t="s">
        <v>193</v>
      </c>
    </row>
    <row r="79" spans="3:5">
      <c r="C79" s="27">
        <v>73</v>
      </c>
      <c r="D79" s="28" t="s">
        <v>222</v>
      </c>
      <c r="E79" s="28" t="s">
        <v>136</v>
      </c>
    </row>
    <row r="80" spans="3:5">
      <c r="C80" s="27">
        <v>74</v>
      </c>
      <c r="D80" s="28" t="s">
        <v>223</v>
      </c>
      <c r="E80" s="28" t="s">
        <v>136</v>
      </c>
    </row>
    <row r="81" spans="3:5">
      <c r="C81" s="27">
        <v>75</v>
      </c>
      <c r="D81" s="28" t="s">
        <v>87</v>
      </c>
      <c r="E81" s="28" t="s">
        <v>224</v>
      </c>
    </row>
    <row r="82" spans="3:5">
      <c r="C82" s="27">
        <v>76</v>
      </c>
      <c r="D82" s="28" t="s">
        <v>225</v>
      </c>
      <c r="E82" s="28" t="s">
        <v>154</v>
      </c>
    </row>
    <row r="83" spans="3:5">
      <c r="C83" s="27">
        <v>77</v>
      </c>
      <c r="D83" s="28" t="s">
        <v>226</v>
      </c>
      <c r="E83" s="28" t="s">
        <v>224</v>
      </c>
    </row>
    <row r="84" spans="3:5">
      <c r="C84" s="27">
        <v>78</v>
      </c>
      <c r="D84" s="28" t="s">
        <v>227</v>
      </c>
      <c r="E84" s="28" t="s">
        <v>224</v>
      </c>
    </row>
    <row r="85" spans="3:5">
      <c r="C85" s="27">
        <v>79</v>
      </c>
      <c r="D85" s="28" t="s">
        <v>228</v>
      </c>
      <c r="E85" s="28" t="s">
        <v>157</v>
      </c>
    </row>
    <row r="86" spans="3:5">
      <c r="C86" s="27">
        <v>80</v>
      </c>
      <c r="D86" s="28" t="s">
        <v>229</v>
      </c>
      <c r="E86" s="28" t="s">
        <v>138</v>
      </c>
    </row>
    <row r="87" spans="3:5">
      <c r="C87" s="27">
        <v>81</v>
      </c>
      <c r="D87" s="28" t="s">
        <v>230</v>
      </c>
      <c r="E87" s="28" t="s">
        <v>148</v>
      </c>
    </row>
    <row r="88" spans="3:5">
      <c r="C88" s="27">
        <v>82</v>
      </c>
      <c r="D88" s="28" t="s">
        <v>231</v>
      </c>
      <c r="E88" s="28" t="s">
        <v>148</v>
      </c>
    </row>
    <row r="89" spans="3:5">
      <c r="C89" s="27">
        <v>83</v>
      </c>
      <c r="D89" s="28" t="s">
        <v>232</v>
      </c>
      <c r="E89" s="28" t="s">
        <v>141</v>
      </c>
    </row>
    <row r="90" spans="3:5">
      <c r="C90" s="27">
        <v>84</v>
      </c>
      <c r="D90" s="28" t="s">
        <v>233</v>
      </c>
      <c r="E90" s="28" t="s">
        <v>141</v>
      </c>
    </row>
    <row r="91" spans="3:5">
      <c r="C91" s="27">
        <v>85</v>
      </c>
      <c r="D91" s="28" t="s">
        <v>234</v>
      </c>
      <c r="E91" s="28" t="s">
        <v>193</v>
      </c>
    </row>
    <row r="92" spans="3:5">
      <c r="C92" s="27">
        <v>86</v>
      </c>
      <c r="D92" s="28" t="s">
        <v>235</v>
      </c>
      <c r="E92" s="28" t="s">
        <v>157</v>
      </c>
    </row>
    <row r="93" spans="3:5">
      <c r="C93" s="27">
        <v>87</v>
      </c>
      <c r="D93" s="28" t="s">
        <v>236</v>
      </c>
      <c r="E93" s="28" t="s">
        <v>157</v>
      </c>
    </row>
    <row r="94" spans="3:5">
      <c r="C94" s="27">
        <v>88</v>
      </c>
      <c r="D94" s="28" t="s">
        <v>237</v>
      </c>
      <c r="E94" s="28" t="s">
        <v>146</v>
      </c>
    </row>
    <row r="95" spans="3:5">
      <c r="C95" s="27">
        <v>89</v>
      </c>
      <c r="D95" s="28" t="s">
        <v>238</v>
      </c>
      <c r="E95" s="28" t="s">
        <v>168</v>
      </c>
    </row>
    <row r="96" spans="3:5">
      <c r="C96" s="27">
        <v>90</v>
      </c>
      <c r="D96" s="28" t="s">
        <v>239</v>
      </c>
      <c r="E96" s="28" t="s">
        <v>168</v>
      </c>
    </row>
    <row r="97" spans="3:5">
      <c r="C97" s="27">
        <v>91</v>
      </c>
      <c r="D97" s="28" t="s">
        <v>240</v>
      </c>
      <c r="E97" s="28" t="s">
        <v>224</v>
      </c>
    </row>
    <row r="98" spans="3:5">
      <c r="C98" s="27">
        <v>92</v>
      </c>
      <c r="D98" s="28" t="s">
        <v>241</v>
      </c>
      <c r="E98" s="28" t="s">
        <v>224</v>
      </c>
    </row>
    <row r="99" spans="3:5">
      <c r="C99" s="27">
        <v>93</v>
      </c>
      <c r="D99" s="28" t="s">
        <v>242</v>
      </c>
      <c r="E99" s="28" t="s">
        <v>224</v>
      </c>
    </row>
    <row r="100" spans="3:5">
      <c r="C100" s="27">
        <v>94</v>
      </c>
      <c r="D100" s="28" t="s">
        <v>243</v>
      </c>
      <c r="E100" s="28" t="s">
        <v>224</v>
      </c>
    </row>
    <row r="101" spans="3:5">
      <c r="C101" s="27">
        <v>95</v>
      </c>
      <c r="D101" s="28" t="s">
        <v>244</v>
      </c>
      <c r="E101" s="28" t="s">
        <v>224</v>
      </c>
    </row>
    <row r="102" spans="3:5">
      <c r="C102" s="27">
        <v>971</v>
      </c>
      <c r="D102" s="28" t="s">
        <v>245</v>
      </c>
      <c r="E102" s="28" t="s">
        <v>245</v>
      </c>
    </row>
    <row r="103" spans="3:5">
      <c r="C103" s="27">
        <v>972</v>
      </c>
      <c r="D103" s="28" t="s">
        <v>246</v>
      </c>
      <c r="E103" s="28" t="s">
        <v>246</v>
      </c>
    </row>
    <row r="104" spans="3:5">
      <c r="C104" s="27">
        <v>973</v>
      </c>
      <c r="D104" s="28" t="s">
        <v>247</v>
      </c>
      <c r="E104" s="28" t="s">
        <v>247</v>
      </c>
    </row>
    <row r="105" spans="3:5">
      <c r="C105" s="27">
        <v>974</v>
      </c>
      <c r="D105" s="28" t="s">
        <v>248</v>
      </c>
      <c r="E105" s="28" t="s">
        <v>248</v>
      </c>
    </row>
    <row r="106" spans="3: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2026-06-25T10:52:41Z</dcterms:modified>
</cp:coreProperties>
</file>