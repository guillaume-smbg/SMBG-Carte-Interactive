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9246ED5B-8A93-407F-BBB8-1B83171D6849}"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02" i="2" l="1"/>
  <c r="AF303" i="2"/>
  <c r="AF304" i="2"/>
  <c r="AF305" i="2"/>
  <c r="X302" i="2"/>
  <c r="Y302" i="2"/>
  <c r="X303" i="2"/>
  <c r="Y303" i="2" s="1"/>
  <c r="X304" i="2"/>
  <c r="Y304" i="2"/>
  <c r="X305" i="2"/>
  <c r="Y305" i="2" s="1"/>
  <c r="T302" i="2"/>
  <c r="U302" i="2" s="1"/>
  <c r="T303" i="2"/>
  <c r="U303" i="2" s="1"/>
  <c r="T304" i="2"/>
  <c r="U304" i="2"/>
  <c r="T305" i="2"/>
  <c r="U305" i="2"/>
  <c r="G305" i="2"/>
  <c r="G304" i="2"/>
  <c r="G303" i="2"/>
  <c r="C318" i="2"/>
  <c r="A318" i="2" s="1"/>
  <c r="H318" i="2" a="1"/>
  <c r="H318" i="2" s="1"/>
  <c r="U318" i="2"/>
  <c r="Y318" i="2"/>
  <c r="AA318" i="2"/>
  <c r="AC318" i="2"/>
  <c r="AE318" i="2" s="1"/>
  <c r="G302" i="2"/>
  <c r="G306" i="2"/>
  <c r="G307" i="2"/>
  <c r="G308" i="2"/>
  <c r="G309" i="2"/>
  <c r="G310" i="2"/>
  <c r="G311" i="2"/>
  <c r="G312" i="2"/>
  <c r="G313" i="2"/>
  <c r="G314" i="2"/>
  <c r="G315" i="2"/>
  <c r="G316" i="2"/>
  <c r="G317" i="2"/>
  <c r="G318" i="2"/>
  <c r="AF294" i="2"/>
  <c r="X294" i="2"/>
  <c r="Y294" i="2" s="1"/>
  <c r="X295" i="2"/>
  <c r="Y295" i="2" s="1"/>
  <c r="X296" i="2"/>
  <c r="Y296" i="2" s="1"/>
  <c r="X297" i="2"/>
  <c r="Y297" i="2" s="1"/>
  <c r="X298" i="2"/>
  <c r="Y298" i="2" s="1"/>
  <c r="X299" i="2"/>
  <c r="Y299" i="2" s="1"/>
  <c r="X300" i="2"/>
  <c r="Y300" i="2" s="1"/>
  <c r="X301" i="2"/>
  <c r="Y301" i="2"/>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U306" i="2"/>
  <c r="U307" i="2"/>
  <c r="U308" i="2"/>
  <c r="U309" i="2"/>
  <c r="U310" i="2"/>
  <c r="U311" i="2"/>
  <c r="U312" i="2"/>
  <c r="U313" i="2"/>
  <c r="U314" i="2"/>
  <c r="U315" i="2"/>
  <c r="U316" i="2"/>
  <c r="U317" i="2"/>
  <c r="Y306" i="2"/>
  <c r="Y307" i="2"/>
  <c r="Y308" i="2"/>
  <c r="Y309" i="2"/>
  <c r="Y310" i="2"/>
  <c r="Y311" i="2"/>
  <c r="Y312" i="2"/>
  <c r="Y313" i="2"/>
  <c r="Y314" i="2"/>
  <c r="Y315" i="2"/>
  <c r="Y316" i="2"/>
  <c r="Y317" i="2"/>
  <c r="AA296" i="2"/>
  <c r="AA297" i="2"/>
  <c r="AA298" i="2"/>
  <c r="AA299" i="2"/>
  <c r="AA300" i="2"/>
  <c r="AA301" i="2"/>
  <c r="AA302" i="2"/>
  <c r="AA303" i="2"/>
  <c r="AA304" i="2"/>
  <c r="AA305" i="2"/>
  <c r="AA306" i="2"/>
  <c r="AA307" i="2"/>
  <c r="AA308" i="2"/>
  <c r="AA309" i="2"/>
  <c r="AA310" i="2"/>
  <c r="AA311" i="2"/>
  <c r="AA312" i="2"/>
  <c r="AA313" i="2"/>
  <c r="AE313" i="2" s="1"/>
  <c r="AA314" i="2"/>
  <c r="AE314" i="2" s="1"/>
  <c r="AA315" i="2"/>
  <c r="AA316" i="2"/>
  <c r="AA317" i="2"/>
  <c r="AC296" i="2"/>
  <c r="AC297" i="2"/>
  <c r="AC298" i="2"/>
  <c r="AC299" i="2"/>
  <c r="AC300" i="2"/>
  <c r="AC301" i="2"/>
  <c r="AC302" i="2"/>
  <c r="AC303" i="2"/>
  <c r="AC304" i="2"/>
  <c r="AC305" i="2"/>
  <c r="AC306" i="2"/>
  <c r="AC307" i="2"/>
  <c r="AC308" i="2"/>
  <c r="AC309" i="2"/>
  <c r="AC310" i="2"/>
  <c r="AC311" i="2"/>
  <c r="AE311" i="2" s="1"/>
  <c r="AC312" i="2"/>
  <c r="AC313" i="2"/>
  <c r="AC314" i="2"/>
  <c r="AC315" i="2"/>
  <c r="AC316" i="2"/>
  <c r="AC317" i="2"/>
  <c r="AE317" i="2" s="1"/>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A273"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02" i="2" l="1"/>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<sst xmlns="http://schemas.openxmlformats.org/spreadsheetml/2006/main" count="8845" uniqueCount="2030">
  <si>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</si>
  <si>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</si>
  <si>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</si>
  <si>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</si>
  <si>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</si>
  <si>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</si>
  <si>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</si>
  <si>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</si>
  <si>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</si>
  <si>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</si>
  <si>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</si>
  <si>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</si>
  <si>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</si>
  <si>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</si>
  <si>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</si>
  <si>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</si>
  <si>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</si>
  <si>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</si>
  <si>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</si>
  <si>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</si>
  <si>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</si>
  <si>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</si>
  <si>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</si>
  <si>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</si>
  <si>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</si>
  <si>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</si>
  <si>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</si>
  <si>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</si>
  <si>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</si>
  <si>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</si>
  <si>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</si>
  <si>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</si>
  <si>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</si>
  <si>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</si>
  <si>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</si>
  <si>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</si>
  <si>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</si>
  <si>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</si>
  <si>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</si>
  <si>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</si>
  <si>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</si>
  <si>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</si>
  <si>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</si>
  <si>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</si>
  <si>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</si>
  <si>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</si>
  <si>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</si>
  <si>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</si>
  <si>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</si>
  <si>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</si>
  <si>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</si>
  <si>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</si>
  <si>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</si>
  <si>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</si>
  <si>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</si>
  <si>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</si>
  <si>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</si>
  <si>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</si>
  <si>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</si>
  <si>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</si>
  <si>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</si>
  <si>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</si>
  <si>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</si>
  <si>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</si>
  <si>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</si>
  <si>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</si>
  <si>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</si>
  <si>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</si>
  <si>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</si>
  <si>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</si>
  <si>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</si>
  <si>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</si>
  <si>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</si>
  <si>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</si>
  <si>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</si>
  <si>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</si>
  <si>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</si>
  <si>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</si>
  <si>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</si>
  <si>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</si>
  <si>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</si>
  <si>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</si>
  <si>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</si>
  <si>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</si>
  <si>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</si>
  <si>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</si>
  <si>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</si>
  <si>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</si>
  <si>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</si>
  <si>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</si>
  <si>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</si>
  <si>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</si>
  <si>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</si>
  <si>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</si>
  <si>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</si>
  <si>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</si>
  <si>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</si>
  <si>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</si>
  <si>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</si>
  <si>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</si>
  <si>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</si>
  <si>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</si>
  <si>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</si>
  <si>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</si>
  <si>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</si>
  <si>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</si>
  <si>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</si>
  <si>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</si>
  <si>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</si>
  <si>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</si>
  <si>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</si>
  <si>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</si>
  <si>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</si>
  <si>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</si>
  <si>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</si>
  <si>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</si>
  <si>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</si>
  <si>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</si>
  <si>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</si>
  <si>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</si>
  <si>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</si>
  <si>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</si>
  <si>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</si>
  <si>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</si>
  <si>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</si>
  <si>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</si>
  <si>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</si>
  <si>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</si>
  <si>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</si>
  <si>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</si>
  <si>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</si>
  <si>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</si>
  <si>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</si>
  <si>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</si>
  <si>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</si>
  <si>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</si>
  <si>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</si>
  <si>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</si>
  <si>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</si>
  <si>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</si>
  <si>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</si>
  <si>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</si>
  <si>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</si>
  <si>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</si>
  <si>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</si>
  <si>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</si>
  <si>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</si>
  <si>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</si>
  <si>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</si>
  <si>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</si>
  <si>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</si>
  <si>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</si>
  <si>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</si>
  <si>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</si>
  <si>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</si>
  <si>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</si>
  <si>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</si>
  <si>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</si>
  <si>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</si>
  <si>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</si>
  <si>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</si>
  <si>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</si>
  <si>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</si>
  <si>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</si>
  <si>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</si>
  <si>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</si>
  <si>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</si>
  <si>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</si>
  <si>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</si>
  <si>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</si>
  <si>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</si>
  <si>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</si>
  <si>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</si>
  <si>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</si>
  <si>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</si>
  <si>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</si>
  <si>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</si>
  <si>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</si>
  <si>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</si>
  <si>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</si>
  <si>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</si>
  <si>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</si>
  <si>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</si>
  <si>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</si>
  <si>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</si>
  <si>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</si>
  <si>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</si>
  <si>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</si>
  <si>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</si>
  <si>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</si>
  <si>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</si>
  <si>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</si>
  <si>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</si>
  <si>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</si>
  <si>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</si>
  <si>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</si>
  <si>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</si>
  <si>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</si>
  <si>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</si>
  <si>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</si>
  <si>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</si>
  <si>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</si>
  <si>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</si>
  <si>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</si>
  <si>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</si>
  <si>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</si>
  <si>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</si>
  <si>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</si>
  <si>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</si>
  <si>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</si>
  <si>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</si>
  <si>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</si>
  <si>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</si>
  <si>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</si>
  <si>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</si>
  <si>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</si>
  <si>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</si>
  <si>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</si>
  <si>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</si>
  <si>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</si>
  <si>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</si>
  <si>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</si>
  <si>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</si>
  <si>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</si>
  <si>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</si>
  <si>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</si>
  <si>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</si>
  <si>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</si>
  <si>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</si>
  <si>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</si>
  <si>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</si>
  <si>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</si>
  <si>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</si>
  <si>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</si>
  <si>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</si>
  <si>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</si>
  <si>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</si>
  <si>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</si>
  <si>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</si>
  <si>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</si>
  <si>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</si>
  <si>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</si>
  <si>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</si>
  <si>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</si>
  <si>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</si>
  <si>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</si>
  <si>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</si>
  <si>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</si>
  <si>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</si>
  <si>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</si>
  <si>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</si>
  <si>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</si>
  <si>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</si>
  <si>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</si>
  <si>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</si>
  <si>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</si>
  <si>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</si>
  <si>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</si>
  <si>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</si>
  <si>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</si>
  <si>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</si>
  <si>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</si>
  <si>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</si>
  <si>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</si>
  <si>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</si>
  <si>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</si>
  <si>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</si>
  <si>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</si>
  <si>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</si>
  <si>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</si>
  <si>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</si>
  <si>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</si>
  <si>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</si>
  <si>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</si>
  <si>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</si>
  <si>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</si>
  <si>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</si>
  <si>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</si>
  <si>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</si>
  <si>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</si>
  <si>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</si>
  <si>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</si>
  <si>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</si>
  <si>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</si>
  <si>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</si>
  <si>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</si>
  <si>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</si>
  <si>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</si>
  <si>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</si>
  <si>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</si>
  <si>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</si>
  <si>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</si>
  <si>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</si>
  <si>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</si>
  <si>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</si>
  <si>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</si>
  <si>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</si>
  <si>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</si>
  <si>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</si>
  <si>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</si>
  <si>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</si>
  <si>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</si>
  <si>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</si>
  <si>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</si>
  <si>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</si>
  <si>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</si>
  <si>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</si>
  <si>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</si>
  <si>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</si>
  <si>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</si>
  <si>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</si>
  <si>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</si>
  <si>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</si>
  <si>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</si>
  <si>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</si>
  <si>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</si>
  <si>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</si>
  <si>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</si>
  <si>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</si>
  <si>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</si>
  <si>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</si>
  <si>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</si>
  <si>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</si>
  <si>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</si>
  <si>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</si>
  <si>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</si>
  <si>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</si>
  <si>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</si>
  <si>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</si>
  <si>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</si>
  <si>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</si>
  <si>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</si>
  <si>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</si>
  <si>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</si>
  <si>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</si>
  <si>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</si>
  <si>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</si>
  <si>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</si>
  <si>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</si>
  <si>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</si>
  <si>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</si>
  <si>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</si>
  <si>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</si>
  <si>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</si>
  <si>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</si>
  <si>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</si>
  <si>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</si>
  <si>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</si>
  <si>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</si>
  <si>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</si>
  <si>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</si>
  <si>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</si>
  <si>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</si>
  <si>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</si>
  <si>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</si>
  <si>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</si>
  <si>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</si>
  <si>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</si>
  <si>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</si>
  <si>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</si>
  <si>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</si>
  <si>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</si>
  <si>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</si>
  <si>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</si>
  <si>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</si>
  <si>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</si>
  <si>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</si>
  <si>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</si>
  <si>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</si>
  <si>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</si>
  <si>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</si>
  <si>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</si>
  <si>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</si>
  <si>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</si>
  <si>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</si>
  <si>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</si>
  <si>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</si>
  <si>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</si>
  <si>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</si>
  <si>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</si>
  <si>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</si>
  <si>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</si>
  <si>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</si>
  <si>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</si>
  <si>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</si>
  <si>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</si>
  <si>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</si>
  <si>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</si>
  <si>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</si>
  <si>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</si>
  <si>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</si>
  <si>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</si>
  <si>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</si>
  <si>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</si>
  <si>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</si>
  <si>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</si>
  <si>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</si>
  <si>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</si>
  <si>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</si>
  <si>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</si>
  <si>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</si>
  <si>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</si>
  <si>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</si>
  <si>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</si>
  <si>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</si>
  <si>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</si>
  <si>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</si>
  <si>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</si>
  <si>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</si>
  <si>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</si>
  <si>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</si>
  <si>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</si>
  <si>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</si>
  <si>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</si>
  <si>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</si>
  <si>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</si>
  <si>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</si>
  <si>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</si>
  <si>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</si>
  <si>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</si>
  <si>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</si>
  <si>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</si>
  <si>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</si>
  <si>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</si>
  <si>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</si>
  <si>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</si>
  <si>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</si>
  <si>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</si>
  <si>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</si>
  <si>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</si>
  <si>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</si>
  <si>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</si>
  <si>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</si>
  <si>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</si>
  <si>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</si>
  <si>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</si>
  <si>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</si>
  <si>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</si>
  <si>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</si>
  <si>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</si>
  <si>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</si>
  <si>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</si>
  <si>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</si>
  <si>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</si>
  <si>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</si>
  <si>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</si>
  <si>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</si>
  <si>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</si>
  <si>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</si>
  <si>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</si>
  <si>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</si>
  <si>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</si>
  <si>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</si>
  <si>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</si>
  <si>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</si>
  <si>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</si>
  <si>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</si>
  <si>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</si>
  <si>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</si>
  <si>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</si>
  <si>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</si>
  <si>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</si>
  <si>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</si>
  <si>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</si>
  <si>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</si>
  <si>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</si>
  <si>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</si>
  <si>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</si>
  <si>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</si>
  <si>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</si>
  <si>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</si>
  <si>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</si>
  <si>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</si>
  <si>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</si>
  <si>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</si>
  <si>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</si>
  <si>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</si>
  <si>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</si>
  <si>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</si>
  <si>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</si>
  <si>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</si>
  <si>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</si>
  <si>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</si>
  <si>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</si>
  <si>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</si>
  <si>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</si>
  <si>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</si>
  <si>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</si>
  <si>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</si>
  <si>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</si>
  <si>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</si>
  <si>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</si>
  <si>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</si>
  <si>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</si>
  <si>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</si>
  <si>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</si>
  <si>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</si>
  <si>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</si>
  <si>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</si>
  <si>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</si>
  <si>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</si>
  <si>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</si>
  <si>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</si>
  <si>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</si>
  <si>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</si>
  <si>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</si>
  <si>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</si>
  <si>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</si>
  <si>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</si>
  <si>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</si>
  <si>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</si>
  <si>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</si>
  <si>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</si>
  <si>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</si>
  <si>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</si>
  <si>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</si>
  <si>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</si>
  <si>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</si>
  <si>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</si>
  <si>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</si>
  <si>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</si>
  <si>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</si>
  <si>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</si>
  <si>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</si>
  <si>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</si>
  <si>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</si>
  <si>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</si>
  <si>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</si>
  <si>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</si>
  <si>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</si>
  <si>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</si>
  <si>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</si>
  <si>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</si>
  <si>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</si>
  <si>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</si>
  <si>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</si>
  <si>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</si>
  <si>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</si>
  <si>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</si>
  <si>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</si>
  <si>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</si>
  <si>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</si>
  <si>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</si>
  <si>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</si>
  <si>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</si>
  <si>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</si>
  <si>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</si>
  <si>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</si>
  <si>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</si>
  <si>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</si>
  <si>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</si>
  <si>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</si>
  <si>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</si>
  <si>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</si>
  <si>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</si>
  <si>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</si>
  <si>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</si>
  <si>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</si>
  <si>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</si>
  <si>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</si>
  <si>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</si>
  <si>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</si>
  <si>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</si>
  <si>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</si>
  <si>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</si>
  <si>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</si>
  <si>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</si>
  <si>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</si>
  <si>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</si>
  <si>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</si>
  <si>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</si>
  <si>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</si>
  <si>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</si>
  <si>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</si>
  <si>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</si>
  <si>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</si>
  <si>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</si>
  <si>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</si>
  <si>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</si>
  <si>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</si>
  <si>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</si>
  <si>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</si>
  <si>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</si>
  <si>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</si>
  <si>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</si>
  <si>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</si>
  <si>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</si>
  <si>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</si>
  <si>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</si>
  <si>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</si>
  <si>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</si>
  <si>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</si>
  <si>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</si>
  <si>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</si>
  <si>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</si>
  <si>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</si>
  <si>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</si>
  <si>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</si>
  <si>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</si>
  <si>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</si>
  <si>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</si>
  <si>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</si>
  <si>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</si>
  <si>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</si>
  <si>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</si>
  <si>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</si>
  <si>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</si>
  <si>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</si>
  <si>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</si>
  <si>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</si>
  <si>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</si>
  <si>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</si>
  <si>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</si>
  <si>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</si>
  <si>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</si>
  <si>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</si>
  <si>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</si>
  <si>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</si>
  <si>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</si>
  <si>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</si>
  <si>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</si>
  <si>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</si>
  <si>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</si>
  <si>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</si>
  <si>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</si>
  <si>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</si>
  <si>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</si>
  <si>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</si>
  <si>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</si>
  <si>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</si>
  <si>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</si>
  <si>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</si>
  <si>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</si>
  <si>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</si>
  <si>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</si>
  <si>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</si>
  <si>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</si>
  <si>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</si>
  <si>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</si>
  <si>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</si>
  <si>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</si>
  <si>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</si>
  <si>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</si>
  <si>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</si>
  <si>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</si>
  <si>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</si>
  <si>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</si>
  <si>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</si>
  <si>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</si>
  <si>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</si>
  <si>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</si>
  <si>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</si>
  <si>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</si>
  <si>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</si>
  <si>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</si>
  <si>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</si>
  <si>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</si>
  <si>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</si>
  <si>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</si>
  <si>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</si>
  <si>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</si>
  <si>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</si>
  <si>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</si>
  <si>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</si>
  <si>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</si>
  <si>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</si>
  <si>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</si>
  <si>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</si>
  <si>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</si>
  <si>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</si>
  <si>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</si>
  <si>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</si>
  <si>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</si>
  <si>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</si>
  <si>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</si>
  <si>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</si>
  <si>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</si>
  <si>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</si>
  <si>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</si>
  <si>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</si>
  <si>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</si>
  <si>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</si>
  <si>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</si>
  <si>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</si>
  <si>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</si>
  <si>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</si>
  <si>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</si>
  <si>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</si>
  <si>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</si>
  <si>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</si>
  <si>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</si>
  <si>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</si>
  <si>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</si>
  <si>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</si>
  <si>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</si>
  <si>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</si>
  <si>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</si>
  <si>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</si>
  <si>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</si>
  <si>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</si>
  <si>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</si>
  <si>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</si>
  <si>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</si>
  <si>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</si>
  <si>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</si>
  <si>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</si>
  <si>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</si>
  <si>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</si>
  <si>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</si>
  <si>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</si>
  <si>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</si>
  <si>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</si>
  <si>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</si>
  <si>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</si>
  <si>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</si>
  <si>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</si>
  <si>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</si>
  <si>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</si>
  <si>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</si>
  <si>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</si>
  <si>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</si>
  <si>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</si>
  <si>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</si>
  <si>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</si>
  <si>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</si>
  <si>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</si>
  <si>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</si>
  <si>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</si>
  <si>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</si>
  <si>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</si>
  <si>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</si>
  <si>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</si>
  <si>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</si>
  <si>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</si>
  <si>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</si>
  <si>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</si>
  <si>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</si>
  <si>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</si>
  <si>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</si>
  <si>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</si>
  <si>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</si>
  <si>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</si>
  <si>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</si>
  <si>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</si>
  <si>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</si>
  <si>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</si>
  <si>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</si>
  <si>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</si>
  <si>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</si>
  <si>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</si>
  <si>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</si>
  <si>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</si>
  <si>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</si>
  <si>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</si>
  <si>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</si>
  <si>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</si>
  <si>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</si>
  <si>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</si>
  <si>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</si>
  <si>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</si>
  <si>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</si>
  <si>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</si>
  <si>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</si>
  <si>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</si>
  <si>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</si>
  <si>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</si>
  <si>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</si>
  <si>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</si>
  <si>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</si>
  <si>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</si>
  <si>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</si>
  <si>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</si>
  <si>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</si>
  <si>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</si>
  <si>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</si>
  <si>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</si>
  <si>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</si>
  <si>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</si>
  <si>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</si>
  <si>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</si>
  <si>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</si>
  <si>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</si>
  <si>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</si>
  <si>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</si>
  <si>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</si>
  <si>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</si>
  <si>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</si>
  <si>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</si>
  <si>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</si>
  <si>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</si>
  <si>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</si>
  <si>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</si>
  <si>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</si>
  <si>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</si>
  <si>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</si>
  <si>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</si>
  <si>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</si>
  <si>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</si>
  <si>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</si>
  <si>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</si>
  <si>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</si>
  <si>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</si>
  <si>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</si>
  <si>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</si>
  <si>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</si>
  <si>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</si>
  <si>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</si>
  <si>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</si>
  <si>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</si>
  <si>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</si>
  <si>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</si>
  <si>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</si>
  <si>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</si>
  <si>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</si>
  <si>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</si>
  <si>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</si>
  <si>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</si>
  <si>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</si>
  <si>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</si>
  <si>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</si>
  <si>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</si>
  <si>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</si>
  <si>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</si>
  <si>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</si>
  <si>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</si>
  <si>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</si>
  <si>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</si>
  <si>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</si>
  <si>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</si>
  <si>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</si>
  <si>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</si>
  <si>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</si>
  <si>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</si>
  <si>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</si>
  <si>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</si>
  <si>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</si>
  <si>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</si>
  <si>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</si>
  <si>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</si>
  <si>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</si>
  <si>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</si>
  <si>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</si>
  <si>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</si>
  <si>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</si>
  <si>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</si>
  <si>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</si>
  <si>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</si>
  <si>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</si>
  <si>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</si>
  <si>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</si>
  <si>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</si>
  <si>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</si>
  <si>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</si>
  <si>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</si>
  <si>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</si>
  <si>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</si>
  <si>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</si>
  <si>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</si>
  <si>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</si>
  <si>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</si>
  <si>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</si>
  <si>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</si>
  <si>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</si>
  <si>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</si>
  <si>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</si>
  <si>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</si>
  <si>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</si>
  <si>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</si>
  <si>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</si>
  <si>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</si>
  <si>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</si>
  <si>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</si>
  <si>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</si>
  <si>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</si>
  <si>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</si>
  <si>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</si>
  <si>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</si>
  <si>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</si>
  <si>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</si>
  <si>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</si>
  <si>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</si>
  <si>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</si>
  <si>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</si>
  <si>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</si>
  <si>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</si>
  <si>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</si>
  <si>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</si>
  <si>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</si>
  <si>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</si>
  <si>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</si>
  <si>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</si>
  <si>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</si>
  <si>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</si>
  <si>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</si>
  <si>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</si>
  <si>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</si>
  <si>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</si>
  <si>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</si>
  <si>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</si>
  <si>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</si>
  <si>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</si>
  <si>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</si>
  <si>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</si>
  <si>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</si>
  <si>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</si>
  <si>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</si>
  <si>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</si>
  <si>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</si>
  <si>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</si>
  <si>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</si>
  <si>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</si>
  <si>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</si>
  <si>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</si>
  <si>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</si>
  <si>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</si>
  <si>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</si>
  <si>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</si>
  <si>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</si>
  <si>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</si>
  <si>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</si>
  <si>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</si>
  <si>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</si>
  <si>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</si>
  <si>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</si>
  <si>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</si>
  <si>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</si>
  <si>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</si>
  <si>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</si>
  <si>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</si>
  <si>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</si>
  <si>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</si>
  <si>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</si>
  <si>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</si>
  <si>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</si>
  <si>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</si>
  <si>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</si>
  <si>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</si>
  <si>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</si>
  <si>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</si>
  <si>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</si>
  <si>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</si>
  <si>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</si>
  <si>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</si>
  <si>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</si>
  <si>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</si>
  <si>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</si>
  <si>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</si>
  <si>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</si>
  <si>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</si>
  <si>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</si>
  <si>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</si>
  <si>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</si>
  <si>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</si>
  <si>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</si>
  <si>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</si>
  <si>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</si>
  <si>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</si>
  <si>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</si>
  <si>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</si>
  <si>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</si>
  <si>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</si>
  <si>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</si>
  <si>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</si>
  <si>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</si>
  <si>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</si>
  <si>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</si>
  <si>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</si>
  <si>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</si>
  <si>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</si>
  <si>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</si>
  <si>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</si>
  <si>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</si>
  <si>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</si>
  <si>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</si>
  <si>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</si>
  <si>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</si>
  <si>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</si>
  <si>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</si>
  <si>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</si>
  <si>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</si>
  <si>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</si>
  <si>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</si>
  <si>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</si>
  <si>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</si>
  <si>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</si>
  <si>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</si>
  <si>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</si>
  <si>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</si>
  <si>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</si>
  <si>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</si>
  <si>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</si>
  <si>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</si>
  <si>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</si>
  <si>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</si>
  <si>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</si>
  <si>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</si>
  <si>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</si>
  <si>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</si>
  <si>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</si>
  <si>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</si>
  <si>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</si>
  <si>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</si>
  <si>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</si>
  <si>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</si>
  <si>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</si>
  <si>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</si>
  <si>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</si>
  <si>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</si>
  <si>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</si>
  <si>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</si>
  <si>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</si>
  <si>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</si>
  <si>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</si>
  <si>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</si>
  <si>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</si>
  <si>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</si>
  <si>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</si>
  <si>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</si>
  <si>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</si>
  <si>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</si>
  <si>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</si>
  <si>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</si>
  <si>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</si>
  <si>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</si>
  <si>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</si>
  <si>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</si>
  <si>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</si>
  <si>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</si>
  <si>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</si>
  <si>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</si>
  <si>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</si>
  <si>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</si>
  <si>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</si>
  <si>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</si>
  <si>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</si>
  <si>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</si>
  <si>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</si>
  <si>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</si>
  <si>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</si>
  <si>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</si>
  <si>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</si>
  <si>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</si>
  <si>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</si>
  <si>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</si>
  <si>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</si>
  <si>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</si>
  <si>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</si>
  <si>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</si>
  <si>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</si>
  <si>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</si>
  <si>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</si>
  <si>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</si>
  <si>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</si>
  <si>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</si>
  <si>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</si>
  <si>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</si>
  <si>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</si>
  <si>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</si>
  <si>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</si>
  <si>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</si>
  <si>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</si>
  <si>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</si>
  <si>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</si>
  <si>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</si>
  <si>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</si>
  <si>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</si>
  <si>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</si>
  <si>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</si>
  <si>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</si>
  <si>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</si>
  <si>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</si>
  <si>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</si>
  <si>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</si>
  <si>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</si>
  <si>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</si>
  <si>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</si>
  <si>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</si>
  <si>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</si>
  <si>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</si>
  <si>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</si>
  <si>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</si>
  <si>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</si>
  <si>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</si>
  <si>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</si>
  <si>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</si>
  <si>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</si>
  <si>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</si>
  <si>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</si>
  <si>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</si>
  <si>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</si>
  <si>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</si>
  <si>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</si>
  <si>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</si>
  <si>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</si>
  <si>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</si>
  <si>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</si>
  <si>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</si>
  <si>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</si>
  <si>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</si>
  <si>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</si>
  <si>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</si>
  <si>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</si>
  <si>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</si>
  <si>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</si>
  <si>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</si>
  <si>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</si>
  <si>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</si>
  <si>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</si>
  <si>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</si>
  <si>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</si>
  <si>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</si>
  <si>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</si>
  <si>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</si>
  <si>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</si>
  <si>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</si>
  <si>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</si>
  <si>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</si>
  <si>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</si>
  <si>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</si>
  <si>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</si>
  <si>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</si>
  <si>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</si>
  <si>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</si>
  <si>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</si>
  <si>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</si>
  <si>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</si>
  <si>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</si>
  <si>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</si>
  <si>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</si>
  <si>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</si>
  <si>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</si>
  <si>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</si>
  <si>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</si>
  <si>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</si>
  <si>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</si>
  <si>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</si>
  <si>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</si>
  <si>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</si>
  <si>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</si>
  <si>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</si>
  <si>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</si>
  <si>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</si>
  <si>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</si>
  <si>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</si>
  <si>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</si>
  <si>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</si>
  <si>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</si>
  <si>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</si>
  <si>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</si>
  <si>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</si>
  <si>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</si>
  <si>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</si>
  <si>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</si>
  <si>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</si>
  <si>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</si>
  <si>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</si>
  <si>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</si>
  <si>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</si>
  <si>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</si>
  <si>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</si>
  <si>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</si>
  <si>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</si>
  <si>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</si>
  <si>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</si>
  <si>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</si>
  <si>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</si>
  <si>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</si>
  <si>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</si>
  <si>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</si>
  <si>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</si>
  <si>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</si>
  <si>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</si>
  <si>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</si>
  <si>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</si>
  <si>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</si>
  <si>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</si>
  <si>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</si>
  <si>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</si>
  <si>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</si>
  <si>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</si>
  <si>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</si>
  <si>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</si>
  <si>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</si>
  <si>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</si>
  <si>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</si>
  <si>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</si>
  <si>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</si>
  <si>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</si>
  <si>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</si>
  <si>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</si>
  <si>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</si>
  <si>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</si>
  <si>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</si>
  <si>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</si>
  <si>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</si>
  <si>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</si>
  <si>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</si>
  <si>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</si>
  <si>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</si>
  <si>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</si>
  <si>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</si>
  <si>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</si>
  <si>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</si>
  <si>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</si>
  <si>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</si>
  <si>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</si>
  <si>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</si>
  <si>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</si>
  <si>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</si>
  <si>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</si>
  <si>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</si>
  <si>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</si>
  <si>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</si>
  <si>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</si>
  <si>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</si>
  <si>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</si>
  <si>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</si>
  <si>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</si>
  <si>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</si>
  <si>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</si>
  <si>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</si>
  <si>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</si>
  <si>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</si>
  <si>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</si>
  <si>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</si>
  <si>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</si>
  <si>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</si>
  <si>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</si>
  <si>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</si>
  <si>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</si>
  <si>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</si>
  <si>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</si>
  <si>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</si>
  <si>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</si>
  <si>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</si>
  <si>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</si>
  <si>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</si>
  <si>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</si>
  <si>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</si>
  <si>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</si>
  <si>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</si>
  <si>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</si>
  <si>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</si>
  <si>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</si>
  <si>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</si>
  <si>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</si>
  <si>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</si>
  <si>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</si>
  <si>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</si>
  <si>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</si>
  <si>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</si>
  <si>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</si>
  <si>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</si>
  <si>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</si>
  <si>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</si>
  <si>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</si>
  <si>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</si>
  <si>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</si>
  <si>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</si>
  <si>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</si>
  <si>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</si>
  <si>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</si>
  <si>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</si>
  <si>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</si>
  <si>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</si>
  <si>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</si>
  <si>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</si>
  <si>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</si>
  <si>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</si>
  <si>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</si>
  <si>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</si>
  <si>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</si>
  <si>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</si>
  <si>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</si>
  <si>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</si>
  <si>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</si>
  <si>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</si>
  <si>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</si>
  <si>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</si>
  <si>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</si>
  <si>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</si>
  <si>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</si>
  <si>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</si>
  <si>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</si>
  <si>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</si>
  <si>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</si>
  <si>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</si>
  <si>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</si>
  <si>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</si>
  <si>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</si>
  <si>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</si>
  <si>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</si>
  <si>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</si>
  <si>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</si>
  <si>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</si>
  <si>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</si>
  <si>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</si>
  <si>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</si>
  <si>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</si>
  <si>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</si>
  <si>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</si>
  <si>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</si>
  <si>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</si>
  <si>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</si>
  <si>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</si>
  <si>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</si>
  <si>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</si>
  <si>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</si>
  <si>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</si>
  <si>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</si>
  <si>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</si>
  <si>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</si>
  <si>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</si>
  <si>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</si>
  <si>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</si>
  <si>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</si>
  <si>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</si>
  <si>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</si>
  <si>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</si>
  <si>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</si>
  <si>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</si>
  <si>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</si>
  <si>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</si>
  <si>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</si>
  <si>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</si>
  <si>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</si>
  <si>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</si>
  <si>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</si>
  <si>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</si>
  <si>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</si>
  <si>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</si>
  <si>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</si>
  <si>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</si>
  <si>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</si>
  <si>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</si>
  <si>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</si>
  <si>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</si>
  <si>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</si>
  <si>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</si>
  <si>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</si>
  <si>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</si>
  <si>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</si>
  <si>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</si>
  <si>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</si>
  <si>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</si>
  <si>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</si>
  <si>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</si>
  <si>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</si>
  <si>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</si>
  <si>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</si>
  <si>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</si>
  <si>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</si>
  <si>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</si>
  <si>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</si>
  <si>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</si>
  <si>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</si>
  <si>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</si>
  <si>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</si>
  <si>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</si>
  <si>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</si>
  <si>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</si>
  <si>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</si>
  <si>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</si>
  <si>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</si>
  <si>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</si>
  <si>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</si>
  <si>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</si>
  <si>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</si>
  <si>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</si>
  <si>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</si>
  <si>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</si>
  <si>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</si>
  <si>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</si>
  <si>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</si>
  <si>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</si>
  <si>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</si>
  <si>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</si>
  <si>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</si>
  <si>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</si>
  <si>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</si>
  <si>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</si>
  <si>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</si>
  <si>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</si>
  <si>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</si>
  <si>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</si>
  <si>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</si>
  <si>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</si>
  <si>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</si>
  <si>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</si>
  <si>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</si>
  <si>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</si>
  <si>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</si>
  <si>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</si>
  <si>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</si>
  <si>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</si>
  <si>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</si>
  <si>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</si>
  <si>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</si>
  <si>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</si>
  <si>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</si>
  <si>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</si>
  <si>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</si>
  <si>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</si>
  <si>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</si>
  <si>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</si>
  <si>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</si>
  <si>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</si>
  <si>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</si>
  <si>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</si>
  <si>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</si>
  <si>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</si>
  <si>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</si>
  <si>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</si>
  <si>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</si>
  <si>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</si>
  <si>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</si>
  <si>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</si>
  <si>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</si>
  <si>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</si>
  <si>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</si>
  <si>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</si>
  <si>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</si>
  <si>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</si>
  <si>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</si>
  <si>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</si>
  <si>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</si>
  <si>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</si>
  <si>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</si>
  <si>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</si>
  <si>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</si>
  <si>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</si>
  <si>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</si>
  <si>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</si>
  <si>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</si>
  <si>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</si>
  <si>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</si>
  <si>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</si>
  <si>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</si>
  <si>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</si>
  <si>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</si>
  <si>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</si>
  <si>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</si>
  <si>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</si>
  <si>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</si>
  <si>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</si>
  <si>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</si>
  <si>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</si>
  <si>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</si>
  <si>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</si>
  <si>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</si>
  <si>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</si>
  <si>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</si>
  <si>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</si>
  <si>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</si>
  <si>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</si>
  <si>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</si>
  <si>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</si>
  <si>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</si>
  <si>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</si>
  <si>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</si>
  <si>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</si>
  <si>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</si>
  <si>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</si>
  <si>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</si>
  <si>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</si>
  <si>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</si>
  <si>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</si>
  <si>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</si>
  <si>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</si>
  <si>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</si>
  <si>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</si>
  <si>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</si>
  <si>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</si>
  <si>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</si>
  <si>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</si>
  <si>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</si>
  <si>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</si>
  <si>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</si>
  <si>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</si>
  <si>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</si>
  <si>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</si>
  <si>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</si>
  <si>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</si>
  <si>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</si>
  <si>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</si>
  <si>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</si>
  <si>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</si>
  <si>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</si>
  <si>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</si>
  <si>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</si>
  <si>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</si>
  <si>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</si>
  <si>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</si>
  <si>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</si>
  <si>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</si>
  <si>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</si>
  <si>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</si>
  <si>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</si>
  <si>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</si>
  <si>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</si>
  <si>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</si>
  <si>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</si>
  <si>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</si>
  <si>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</si>
  <si>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</si>
  <si>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</si>
  <si>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</si>
  <si>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</si>
  <si>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</si>
  <si>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</si>
  <si>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</si>
  <si>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</si>
  <si>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</si>
  <si>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</si>
  <si>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</si>
  <si>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</si>
  <si>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</si>
  <si>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</si>
  <si>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</si>
  <si>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</si>
  <si>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</si>
  <si>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</si>
  <si>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</si>
  <si>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</si>
  <si>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</si>
  <si>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</si>
  <si>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</si>
  <si>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</si>
  <si>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</si>
  <si>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</si>
  <si>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</si>
  <si>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</si>
  <si>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</si>
  <si>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</si>
  <si>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</si>
  <si>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</si>
  <si>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</si>
  <si>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</si>
  <si>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</si>
  <si>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</si>
  <si>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</si>
  <si>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</si>
  <si>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</si>
  <si>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</si>
  <si>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</si>
  <si>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</si>
  <si>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</si>
  <si>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</si>
  <si>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</si>
  <si>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</si>
  <si>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</si>
  <si>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</si>
  <si>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</si>
  <si>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</si>
  <si>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</si>
  <si>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</si>
  <si>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</si>
  <si>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</si>
  <si>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</si>
  <si>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</si>
  <si>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</si>
  <si>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</si>
  <si>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</si>
  <si>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</si>
  <si>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</si>
  <si>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</si>
  <si>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</si>
  <si>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</si>
  <si>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</si>
  <si>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</si>
  <si>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</si>
  <si>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</si>
  <si>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</si>
  <si>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</si>
  <si>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</si>
  <si>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</si>
  <si>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</si>
  <si>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</si>
  <si>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</si>
  <si>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</si>
  <si>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</si>
  <si>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</si>
  <si>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</si>
  <si>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</si>
  <si>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</si>
  <si>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</si>
  <si>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</si>
  <si>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</si>
  <si>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</si>
  <si>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</si>
  <si>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</si>
  <si>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</si>
  <si>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</si>
  <si>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</si>
  <si>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</si>
  <si>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</si>
  <si>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</si>
  <si>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</si>
  <si>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</si>
  <si>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</si>
  <si>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</si>
  <si>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</si>
  <si>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</si>
  <si>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</si>
  <si>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</si>
  <si>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</si>
  <si>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</si>
  <si>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</si>
  <si>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</si>
  <si>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</si>
  <si>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</si>
  <si>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</si>
  <si>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</si>
  <si>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</si>
  <si>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</si>
  <si>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</si>
  <si>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</si>
  <si>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</si>
  <si>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</si>
  <si>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</si>
  <si>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</si>
  <si>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</si>
  <si>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</si>
  <si>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</si>
  <si>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</si>
  <si>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</si>
  <si>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</si>
  <si>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</si>
  <si>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</si>
  <si>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</si>
  <si>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</si>
  <si>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</si>
  <si>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</si>
  <si>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</si>
  <si>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</si>
  <si>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</si>
  <si>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</si>
  <si>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</si>
  <si>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</si>
  <si>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</si>
  <si>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</si>
  <si>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</si>
  <si>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</si>
  <si>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</si>
  <si>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</si>
  <si>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</si>
  <si>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</si>
  <si>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</si>
  <si>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</si>
  <si>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</si>
  <si>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</si>
  <si>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</si>
  <si>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</si>
  <si>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</si>
  <si>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</si>
  <si>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</si>
  <si>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</si>
  <si>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</si>
  <si>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</si>
  <si>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</si>
  <si>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</si>
  <si>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</si>
  <si>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</si>
  <si>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</si>
  <si>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</si>
  <si>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</si>
  <si>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</si>
  <si>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</si>
  <si>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</si>
  <si>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</si>
  <si>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</si>
  <si>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</si>
  <si>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</si>
  <si>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</si>
  <si>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</si>
  <si>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</si>
  <si>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</si>
  <si>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</si>
  <si>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</si>
  <si>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</si>
  <si>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</si>
  <si>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</si>
  <si>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</si>
  <si>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</si>
  <si>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</si>
  <si>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</si>
  <si>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</si>
  <si>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</si>
  <si>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</si>
  <si>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</si>
  <si>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</si>
  <si>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</si>
  <si>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</si>
  <si>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</si>
  <si>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</si>
  <si>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</si>
  <si>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</si>
  <si>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</si>
  <si>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</si>
  <si>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</si>
  <si>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</si>
  <si>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</si>
  <si>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</si>
  <si>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</si>
  <si>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</si>
  <si>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</si>
  <si>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</si>
  <si>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</si>
  <si>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</si>
  <si>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</si>
  <si>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</si>
  <si>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</si>
  <si>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</si>
  <si>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</si>
  <si>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</si>
  <si>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</si>
  <si>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</si>
  <si>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</si>
  <si>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</si>
  <si>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</si>
  <si>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</si>
  <si>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</si>
  <si>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</si>
  <si>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</si>
  <si>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</si>
  <si>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</si>
  <si>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</si>
  <si>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</si>
  <si>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</si>
  <si>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</si>
  <si>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</si>
  <si>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</si>
  <si>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</si>
  <si>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</si>
  <si>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</si>
  <si>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</si>
  <si>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</si>
  <si>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</si>
  <si>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</si>
  <si>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</si>
  <si>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</si>
  <si>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</si>
  <si>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</si>
  <si>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</si>
  <si>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</si>
  <si>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</si>
  <si>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</si>
  <si>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</si>
  <si>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</si>
  <si>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</si>
  <si>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</si>
  <si>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</si>
  <si>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</si>
  <si>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</si>
  <si>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</si>
  <si>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</si>
  <si>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</si>
  <si>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</si>
  <si>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</si>
  <si>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</si>
  <si>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</si>
  <si>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</si>
  <si>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</si>
  <si>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</si>
  <si>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</si>
  <si>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</si>
  <si>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</si>
  <si>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</si>
  <si>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</si>
  <si>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</si>
  <si>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</si>
  <si>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</si>
  <si>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</si>
  <si>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</si>
  <si>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</si>
  <si>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</si>
  <si>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</si>
  <si>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</si>
  <si>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</si>
  <si>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</si>
  <si>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</si>
  <si>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</si>
  <si>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</si>
  <si>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</si>
  <si>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</si>
  <si>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</si>
  <si>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</si>
  <si>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</si>
  <si>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</si>
  <si>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</si>
  <si>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</si>
  <si>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</si>
  <si>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</si>
  <si>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</si>
  <si>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</si>
  <si>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</si>
  <si>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</si>
  <si>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</si>
  <si>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</si>
  <si>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</si>
  <si>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</si>
  <si>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</si>
  <si>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</si>
  <si>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</si>
  <si>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</si>
  <si>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</si>
  <si>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</si>
  <si>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</si>
  <si>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</si>
  <si>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</si>
  <si>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</si>
  <si>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</si>
  <si>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</si>
  <si>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</si>
  <si>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</si>
  <si>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</si>
  <si>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</si>
  <si>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</si>
  <si>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</si>
  <si>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</si>
  <si>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</si>
  <si>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</si>
  <si>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</si>
  <si>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</si>
  <si>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</si>
  <si>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</si>
  <si>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</si>
  <si>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</si>
  <si>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</si>
  <si>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</si>
  <si>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</si>
  <si>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</si>
  <si>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</si>
  <si>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</si>
  <si>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</si>
  <si>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</si>
  <si>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</si>
  <si>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</si>
  <si>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</si>
  <si>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</si>
  <si>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</si>
  <si>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</si>
  <si>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</si>
  <si>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</si>
  <si>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</si>
  <si>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</si>
  <si>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</si>
  <si>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</si>
  <si>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</si>
  <si>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</si>
  <si>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</si>
  <si>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</si>
  <si>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</si>
  <si>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</si>
  <si>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</si>
  <si>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</si>
  <si>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</si>
  <si>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</si>
  <si>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</si>
  <si>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</si>
  <si>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</si>
  <si>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</si>
  <si>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</si>
  <si>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</si>
  <si>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</si>
  <si>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</si>
  <si>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</si>
  <si>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</si>
  <si>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</si>
  <si>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</si>
  <si>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</si>
  <si>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</si>
  <si>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</si>
  <si>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</si>
  <si>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</si>
  <si>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</si>
  <si>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</si>
  <si>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</si>
  <si>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</si>
  <si>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</si>
  <si>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</si>
  <si>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</si>
  <si>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</si>
  <si>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</si>
  <si>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</si>
  <si>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</si>
  <si>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</si>
  <si>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</si>
  <si>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</si>
  <si>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</si>
  <si>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</si>
  <si>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</si>
  <si>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</si>
  <si>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</si>
  <si>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</si>
  <si>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</si>
  <si>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</si>
  <si>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</si>
  <si>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</si>
  <si>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</si>
  <si>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</si>
  <si>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</si>
  <si>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</si>
  <si>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</si>
  <si>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</si>
  <si>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</si>
  <si>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</si>
  <si>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</si>
  <si>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</si>
  <si>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</si>
  <si>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</si>
  <si>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</si>
  <si>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</si>
  <si>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</si>
  <si>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</si>
  <si>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</si>
  <si>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</si>
  <si>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</si>
  <si>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</si>
  <si>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</si>
  <si>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</si>
  <si>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</si>
  <si>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</si>
  <si>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</si>
  <si>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</si>
  <si>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</si>
  <si>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</si>
  <si>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</si>
  <si>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</si>
  <si>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</si>
  <si>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</si>
  <si>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</si>
  <si>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</si>
  <si>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</si>
  <si>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</si>
  <si>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</si>
  <si>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</si>
  <si>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</si>
  <si>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</si>
  <si>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</si>
  <si>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</si>
  <si>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</si>
  <si>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</si>
  <si>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</si>
  <si>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</si>
  <si>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</si>
  <si>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</si>
  <si>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</si>
  <si>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</si>
  <si>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</si>
  <si>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</si>
  <si>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</si>
  <si>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</si>
  <si>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</si>
  <si>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</si>
  <si>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</si>
  <si>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</si>
  <si>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</si>
  <si>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</si>
  <si>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</si>
  <si>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</si>
  <si>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</si>
  <si>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</si>
  <si>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</si>
  <si>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</si>
  <si>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</si>
  <si>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</si>
  <si>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</si>
  <si>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</si>
  <si>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</si>
  <si>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</si>
  <si>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</si>
  <si>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</si>
  <si>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</si>
  <si>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</si>
  <si>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</si>
  <si>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</si>
  <si>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</si>
  <si>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</si>
  <si>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</si>
  <si>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</si>
  <si>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</si>
  <si>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</si>
  <si>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</si>
  <si>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</si>
  <si>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</si>
  <si>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Centre Commercial Auchan, 1 Rue de Longeville</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</si>
  <si>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</si>
  <si>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</si>
  <si>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</si>
  <si>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</si>
  <si>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</si>
  <si>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</si>
  <si>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</si>
  <si>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</si>
  <si>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</si>
  <si>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</si>
  <si>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</si>
  <si>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</si>
  <si>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</si>
  <si>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</si>
  <si>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</si>
  <si>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</si>
  <si>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</si>
  <si>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</si>
  <si>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</si>
  <si>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</si>
  <si>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</si>
  <si>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</si>
  <si>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</si>
  <si>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</si>
  <si>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</si>
  <si>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</si>
  <si>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</si>
  <si>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</si>
  <si>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</si>
  <si>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</si>
  <si>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</si>
  <si>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</si>
  <si>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</si>
  <si>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</si>
  <si>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</si>
  <si>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</si>
  <si>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</si>
  <si>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</si>
  <si>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</si>
  <si>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</si>
  <si>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</si>
  <si>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Beaune St-Jacques, 9 Av. du Général de Gaulle</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</si>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</sst>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18" totalsRowShown="0" headerRowCellStyle="Normal 2" dataCellStyle="Normal 2">
  <autoFilter ref="A1:AX318"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217" Type="http://schemas.openxmlformats.org/officeDocument/2006/relationships/hyperlink" Target="https://maps.app.goo.gl/Xe5mVhv32b2SqSBH7"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38" Type="http://schemas.openxmlformats.org/officeDocument/2006/relationships/hyperlink" Target="https://maps.app.goo.gl/Xe5mVhv32b2SqSBH7"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table" Target="../tables/table1.xm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327"/>
  <sheetViews>
    <sheetView showZeros="0" tabSelected="1" zoomScale="80" zoomScaleNormal="80" workbookViewId="0">
      <pane xSplit="6" ySplit="1" topLeftCell="R295" activePane="bottomRight" state="frozen"/>
      <selection pane="topRight" activeCell="G1" sqref="G1"/>
      <selection pane="bottomLeft" activeCell="A2" sqref="A2"/>
      <selection pane="bottomRight" activeCell="R305" sqref="R305"/>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05"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38.25">
      <c r="A294" s="38" t="str">
        <f>VLOOKUP(Tableau1[[#This Row],[N° Département]],Feuil1!$C$6:$E$106,3)</f>
        <v>Grand Est</v>
      </c>
      <c r="B294" s="38" t="str">
        <f>VLOOKUP(Tableau1[[#This Row],[N° Département]],Feuil1!$C$6:$E$106,2)</f>
        <v>Meuse</v>
      </c>
      <c r="C294" s="38">
        <f>LEFT(Tableau1[[#This Row],[Code Postal]],2)*1</f>
        <v>55</v>
      </c>
      <c r="D294" s="10" t="s">
        <v>2015</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2002</v>
      </c>
      <c r="AQ294" s="11" t="s">
        <v>2003</v>
      </c>
      <c r="AR294" s="11" t="s">
        <v>1988</v>
      </c>
      <c r="AS294" s="36" t="s">
        <v>2012</v>
      </c>
      <c r="AT294" s="11" t="s">
        <v>70</v>
      </c>
      <c r="AU294" s="11" t="s">
        <v>370</v>
      </c>
      <c r="AV294" s="13" t="s">
        <v>1871</v>
      </c>
      <c r="AW294" s="14"/>
      <c r="AX294" s="44"/>
    </row>
    <row r="295" spans="1:50" ht="38.25">
      <c r="A295" s="38" t="str">
        <f>VLOOKUP(Tableau1[[#This Row],[N° Département]],Feuil1!$C$6:$E$106,3)</f>
        <v>Grand Est</v>
      </c>
      <c r="B295" s="38" t="str">
        <f>VLOOKUP(Tableau1[[#This Row],[N° Département]],Feuil1!$C$6:$E$106,2)</f>
        <v>Meuse</v>
      </c>
      <c r="C295" s="38">
        <f>LEFT(Tableau1[[#This Row],[Code Postal]],2)*1</f>
        <v>55</v>
      </c>
      <c r="D295" s="10" t="s">
        <v>2015</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2000</v>
      </c>
      <c r="AQ295" s="11" t="s">
        <v>2001</v>
      </c>
      <c r="AR295" s="11" t="s">
        <v>1989</v>
      </c>
      <c r="AS295" s="36" t="s">
        <v>2012</v>
      </c>
      <c r="AT295" s="11" t="s">
        <v>70</v>
      </c>
      <c r="AU295" s="11" t="s">
        <v>370</v>
      </c>
      <c r="AV295" s="13" t="s">
        <v>1871</v>
      </c>
      <c r="AW295" s="14"/>
      <c r="AX295" s="44"/>
    </row>
    <row r="296" spans="1:50" ht="38.25">
      <c r="A296" s="38" t="str">
        <f>VLOOKUP(Tableau1[[#This Row],[N° Département]],Feuil1!$C$6:$E$106,3)</f>
        <v>Grand Est</v>
      </c>
      <c r="B296" s="38" t="str">
        <f>VLOOKUP(Tableau1[[#This Row],[N° Département]],Feuil1!$C$6:$E$106,2)</f>
        <v>Meuse</v>
      </c>
      <c r="C296" s="38">
        <f>LEFT(Tableau1[[#This Row],[Code Postal]],2)*1</f>
        <v>55</v>
      </c>
      <c r="D296" s="10" t="s">
        <v>2015</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1998</v>
      </c>
      <c r="AQ296" s="11" t="s">
        <v>1999</v>
      </c>
      <c r="AR296" s="11" t="s">
        <v>1990</v>
      </c>
      <c r="AS296" s="36" t="s">
        <v>2012</v>
      </c>
      <c r="AT296" s="11" t="s">
        <v>70</v>
      </c>
      <c r="AU296" s="11" t="s">
        <v>370</v>
      </c>
      <c r="AV296" s="13" t="s">
        <v>1871</v>
      </c>
      <c r="AW296" s="14"/>
      <c r="AX296" s="44"/>
    </row>
    <row r="297" spans="1:50" ht="38.25">
      <c r="A297" s="38" t="str">
        <f>VLOOKUP(Tableau1[[#This Row],[N° Département]],Feuil1!$C$6:$E$106,3)</f>
        <v>Grand Est</v>
      </c>
      <c r="B297" s="38" t="str">
        <f>VLOOKUP(Tableau1[[#This Row],[N° Département]],Feuil1!$C$6:$E$106,2)</f>
        <v>Meuse</v>
      </c>
      <c r="C297" s="38">
        <f>LEFT(Tableau1[[#This Row],[Code Postal]],2)*1</f>
        <v>55</v>
      </c>
      <c r="D297" s="10" t="s">
        <v>2015</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1996</v>
      </c>
      <c r="AQ297" s="11" t="s">
        <v>1997</v>
      </c>
      <c r="AR297" s="11" t="s">
        <v>1991</v>
      </c>
      <c r="AS297" s="36" t="s">
        <v>2012</v>
      </c>
      <c r="AT297" s="11" t="s">
        <v>70</v>
      </c>
      <c r="AU297" s="11" t="s">
        <v>370</v>
      </c>
      <c r="AV297" s="13" t="s">
        <v>1871</v>
      </c>
      <c r="AW297" s="14"/>
      <c r="AX297" s="44"/>
    </row>
    <row r="298" spans="1:50" ht="38.25">
      <c r="A298" s="38" t="str">
        <f>VLOOKUP(Tableau1[[#This Row],[N° Département]],Feuil1!$C$6:$E$106,3)</f>
        <v>Grand Est</v>
      </c>
      <c r="B298" s="38" t="str">
        <f>VLOOKUP(Tableau1[[#This Row],[N° Département]],Feuil1!$C$6:$E$106,2)</f>
        <v>Meuse</v>
      </c>
      <c r="C298" s="38">
        <f>LEFT(Tableau1[[#This Row],[Code Postal]],2)*1</f>
        <v>55</v>
      </c>
      <c r="D298" s="10" t="s">
        <v>2015</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1987</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2008</v>
      </c>
      <c r="AQ298" s="11" t="s">
        <v>2009</v>
      </c>
      <c r="AR298" s="11" t="s">
        <v>1992</v>
      </c>
      <c r="AS298" s="36" t="s">
        <v>2012</v>
      </c>
      <c r="AT298" s="11" t="s">
        <v>70</v>
      </c>
      <c r="AU298" s="11" t="s">
        <v>370</v>
      </c>
      <c r="AV298" s="13" t="s">
        <v>1871</v>
      </c>
      <c r="AW298" s="14"/>
      <c r="AX298" s="44"/>
    </row>
    <row r="299" spans="1:50" ht="38.25">
      <c r="A299" s="38" t="str">
        <f>VLOOKUP(Tableau1[[#This Row],[N° Département]],Feuil1!$C$6:$E$106,3)</f>
        <v>Grand Est</v>
      </c>
      <c r="B299" s="38" t="str">
        <f>VLOOKUP(Tableau1[[#This Row],[N° Département]],Feuil1!$C$6:$E$106,2)</f>
        <v>Meuse</v>
      </c>
      <c r="C299" s="38">
        <f>LEFT(Tableau1[[#This Row],[Code Postal]],2)*1</f>
        <v>55</v>
      </c>
      <c r="D299" s="10" t="s">
        <v>2015</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2007</v>
      </c>
      <c r="AQ299" s="11" t="s">
        <v>2006</v>
      </c>
      <c r="AR299" s="11" t="s">
        <v>1993</v>
      </c>
      <c r="AS299" s="36" t="s">
        <v>2012</v>
      </c>
      <c r="AT299" s="11" t="s">
        <v>70</v>
      </c>
      <c r="AU299" s="11" t="s">
        <v>370</v>
      </c>
      <c r="AV299" s="13" t="s">
        <v>1871</v>
      </c>
      <c r="AW299" s="14"/>
      <c r="AX299" s="44"/>
    </row>
    <row r="300" spans="1:50" ht="38.25">
      <c r="A300" s="38" t="str">
        <f>VLOOKUP(Tableau1[[#This Row],[N° Département]],Feuil1!$C$6:$E$106,3)</f>
        <v>Grand Est</v>
      </c>
      <c r="B300" s="38" t="str">
        <f>VLOOKUP(Tableau1[[#This Row],[N° Département]],Feuil1!$C$6:$E$106,2)</f>
        <v>Meuse</v>
      </c>
      <c r="C300" s="38">
        <f>LEFT(Tableau1[[#This Row],[Code Postal]],2)*1</f>
        <v>55</v>
      </c>
      <c r="D300" s="10" t="s">
        <v>2015</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2004</v>
      </c>
      <c r="AQ300" s="11" t="s">
        <v>2005</v>
      </c>
      <c r="AR300" s="11" t="s">
        <v>1994</v>
      </c>
      <c r="AS300" s="36" t="s">
        <v>2012</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2015</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2010</v>
      </c>
      <c r="AQ301" s="11" t="s">
        <v>2011</v>
      </c>
      <c r="AR301" s="11" t="s">
        <v>1995</v>
      </c>
      <c r="AS301" s="36" t="s">
        <v>2012</v>
      </c>
      <c r="AT301" s="11" t="s">
        <v>70</v>
      </c>
      <c r="AU301" s="11" t="s">
        <v>370</v>
      </c>
      <c r="AV301" s="13" t="s">
        <v>1871</v>
      </c>
      <c r="AW301" s="14"/>
      <c r="AX301" s="44"/>
    </row>
    <row r="302" spans="1:50" ht="25.5">
      <c r="A302" s="38" t="str">
        <f>VLOOKUP(Tableau1[[#This Row],[N° Département]],Feuil1!$C$6:$E$106,3)</f>
        <v>Bourgogne-Franche-Comté</v>
      </c>
      <c r="B302" s="38" t="str">
        <f>VLOOKUP(Tableau1[[#This Row],[N° Département]],Feuil1!$C$6:$E$106,2)</f>
        <v>Côte-d'Or</v>
      </c>
      <c r="C302" s="38">
        <f>LEFT(Tableau1[[#This Row],[Code Postal]],2)*1</f>
        <v>21</v>
      </c>
      <c r="D302" s="10" t="s">
        <v>2028</v>
      </c>
      <c r="E302" s="26">
        <v>21200</v>
      </c>
      <c r="F302" s="10" t="s">
        <v>2014</v>
      </c>
      <c r="G302" s="39" t="str">
        <f>Tableau1[[#This Row],[Rue]]&amp;CHAR(10)&amp;Tableau1[[#This Row],[Code Postal]]&amp;" - "&amp;Tableau1[[#This Row],[Ville]]</f>
        <v>Beaune St-Jacques, 9 Av. du Général de Gaulle
21200 - Beaune</v>
      </c>
      <c r="H302" s="15" t="s">
        <v>2013</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2020</v>
      </c>
      <c r="AQ302" s="11" t="s">
        <v>2021</v>
      </c>
      <c r="AR302" s="11" t="s">
        <v>2016</v>
      </c>
      <c r="AS302" s="36" t="s">
        <v>2029</v>
      </c>
      <c r="AT302" s="11" t="s">
        <v>70</v>
      </c>
      <c r="AU302" s="11" t="s">
        <v>370</v>
      </c>
      <c r="AV302" s="13" t="s">
        <v>1871</v>
      </c>
      <c r="AW302" s="14"/>
      <c r="AX302" s="44"/>
    </row>
    <row r="303" spans="1:50" ht="25.5">
      <c r="A303" s="38" t="str">
        <f>VLOOKUP(Tableau1[[#This Row],[N° Département]],Feuil1!$C$6:$E$106,3)</f>
        <v>Bourgogne-Franche-Comté</v>
      </c>
      <c r="B303" s="38" t="str">
        <f>VLOOKUP(Tableau1[[#This Row],[N° Département]],Feuil1!$C$6:$E$106,2)</f>
        <v>Côte-d'Or</v>
      </c>
      <c r="C303" s="38">
        <f>LEFT(Tableau1[[#This Row],[Code Postal]],2)*1</f>
        <v>21</v>
      </c>
      <c r="D303" s="10" t="s">
        <v>2028</v>
      </c>
      <c r="E303" s="26">
        <v>21200</v>
      </c>
      <c r="F303" s="10" t="s">
        <v>2014</v>
      </c>
      <c r="G303" s="39" t="str">
        <f>Tableau1[[#This Row],[Rue]]&amp;CHAR(10)&amp;Tableau1[[#This Row],[Code Postal]]&amp;" - "&amp;Tableau1[[#This Row],[Ville]]</f>
        <v>Beaune St-Jacques, 9 Av. du Général de Gaulle
21200 - Beaune</v>
      </c>
      <c r="H303" s="15" t="s">
        <v>2013</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2022</v>
      </c>
      <c r="AQ303" s="11" t="s">
        <v>2023</v>
      </c>
      <c r="AR303" s="11" t="s">
        <v>2017</v>
      </c>
      <c r="AS303" s="36" t="s">
        <v>2029</v>
      </c>
      <c r="AT303" s="11" t="s">
        <v>70</v>
      </c>
      <c r="AU303" s="11" t="s">
        <v>370</v>
      </c>
      <c r="AV303" s="13" t="s">
        <v>1871</v>
      </c>
      <c r="AW303" s="14"/>
      <c r="AX303" s="44"/>
    </row>
    <row r="304" spans="1:50" ht="25.5">
      <c r="A304" s="38" t="str">
        <f>VLOOKUP(Tableau1[[#This Row],[N° Département]],Feuil1!$C$6:$E$106,3)</f>
        <v>Bourgogne-Franche-Comté</v>
      </c>
      <c r="B304" s="38" t="str">
        <f>VLOOKUP(Tableau1[[#This Row],[N° Département]],Feuil1!$C$6:$E$106,2)</f>
        <v>Côte-d'Or</v>
      </c>
      <c r="C304" s="38">
        <f>LEFT(Tableau1[[#This Row],[Code Postal]],2)*1</f>
        <v>21</v>
      </c>
      <c r="D304" s="10" t="s">
        <v>2028</v>
      </c>
      <c r="E304" s="26">
        <v>21200</v>
      </c>
      <c r="F304" s="10" t="s">
        <v>2014</v>
      </c>
      <c r="G304" s="39" t="str">
        <f>Tableau1[[#This Row],[Rue]]&amp;CHAR(10)&amp;Tableau1[[#This Row],[Code Postal]]&amp;" - "&amp;Tableau1[[#This Row],[Ville]]</f>
        <v>Beaune St-Jacques, 9 Av. du Général de Gaulle
21200 - Beaune</v>
      </c>
      <c r="H304" s="15" t="s">
        <v>2013</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2024</v>
      </c>
      <c r="AQ304" s="11" t="s">
        <v>2025</v>
      </c>
      <c r="AR304" s="11" t="s">
        <v>2018</v>
      </c>
      <c r="AS304" s="36" t="s">
        <v>2029</v>
      </c>
      <c r="AT304" s="11" t="s">
        <v>70</v>
      </c>
      <c r="AU304" s="11" t="s">
        <v>370</v>
      </c>
      <c r="AV304" s="13" t="s">
        <v>1871</v>
      </c>
      <c r="AW304" s="14"/>
      <c r="AX304" s="44"/>
    </row>
    <row r="305" spans="1:50" ht="25.5">
      <c r="A305" s="38" t="str">
        <f>VLOOKUP(Tableau1[[#This Row],[N° Département]],Feuil1!$C$6:$E$106,3)</f>
        <v>Bourgogne-Franche-Comté</v>
      </c>
      <c r="B305" s="38" t="str">
        <f>VLOOKUP(Tableau1[[#This Row],[N° Département]],Feuil1!$C$6:$E$106,2)</f>
        <v>Côte-d'Or</v>
      </c>
      <c r="C305" s="38">
        <f>LEFT(Tableau1[[#This Row],[Code Postal]],2)*1</f>
        <v>21</v>
      </c>
      <c r="D305" s="10" t="s">
        <v>2028</v>
      </c>
      <c r="E305" s="26">
        <v>21200</v>
      </c>
      <c r="F305" s="10" t="s">
        <v>2014</v>
      </c>
      <c r="G305" s="39" t="str">
        <f>Tableau1[[#This Row],[Rue]]&amp;CHAR(10)&amp;Tableau1[[#This Row],[Code Postal]]&amp;" - "&amp;Tableau1[[#This Row],[Ville]]</f>
        <v>Beaune St-Jacques, 9 Av. du Général de Gaulle
21200 - Beaune</v>
      </c>
      <c r="H305" s="15" t="s">
        <v>2013</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2026</v>
      </c>
      <c r="AQ305" s="11" t="s">
        <v>2027</v>
      </c>
      <c r="AR305" s="11" t="s">
        <v>2019</v>
      </c>
      <c r="AS305" s="36" t="s">
        <v>2029</v>
      </c>
      <c r="AT305" s="11" t="s">
        <v>70</v>
      </c>
      <c r="AU305" s="11" t="s">
        <v>370</v>
      </c>
      <c r="AV305" s="13" t="s">
        <v>1871</v>
      </c>
      <c r="AW305" s="14"/>
      <c r="AX305" s="44"/>
    </row>
    <row r="306" spans="1:50" ht="38.25">
      <c r="A306" s="38" t="str">
        <f>VLOOKUP(Tableau1[[#This Row],[N° Département]],Feuil1!$C$6:$E$106,3)</f>
        <v>Grand Est</v>
      </c>
      <c r="B306" s="38" t="str">
        <f>VLOOKUP(Tableau1[[#This Row],[N° Département]],Feuil1!$C$6:$E$106,2)</f>
        <v>Meuse</v>
      </c>
      <c r="C306" s="38">
        <f>LEFT(Tableau1[[#This Row],[Code Postal]],2)*1</f>
        <v>55</v>
      </c>
      <c r="D306" s="10" t="s">
        <v>1986</v>
      </c>
      <c r="E306" s="26">
        <v>55000</v>
      </c>
      <c r="F306" s="10" t="s">
        <v>1985</v>
      </c>
      <c r="G306" s="39" t="str">
        <f>Tableau1[[#This Row],[Rue]]&amp;CHAR(10)&amp;Tableau1[[#This Row],[Code Postal]]&amp;" - "&amp;Tableau1[[#This Row],[Ville]]</f>
        <v>Centre Commercial Auchan, 1 Rue de Longeville
55000 - Savonnières-devant-Bar</v>
      </c>
      <c r="H306" s="15" t="s">
        <v>1984</v>
      </c>
      <c r="I306" s="12" t="s">
        <v>47</v>
      </c>
      <c r="J306" s="12" t="s">
        <v>51</v>
      </c>
      <c r="K306" s="10" t="s">
        <v>98</v>
      </c>
      <c r="L306" s="10" t="s">
        <v>98</v>
      </c>
      <c r="M306" s="12" t="s">
        <v>98</v>
      </c>
      <c r="N306" s="36"/>
      <c r="O306" s="34"/>
      <c r="P306" s="12"/>
      <c r="Q306" s="34"/>
      <c r="R306" s="10"/>
      <c r="S306" s="12"/>
      <c r="T306" s="12"/>
      <c r="U306" s="12">
        <f>IFERROR(Tableau1[[#This Row],[Loyer annuel]]/12,"")</f>
        <v>0</v>
      </c>
      <c r="V306" s="12"/>
      <c r="W306" s="12"/>
      <c r="X306" s="12"/>
      <c r="Y306" s="12">
        <f>Tableau1[[#This Row],[Charges annuelles]]/12</f>
        <v>0</v>
      </c>
      <c r="Z306" s="12"/>
      <c r="AA306" s="12">
        <f>IFERROR(Tableau1[[#This Row],[Taxe foncière €/m²]]*Tableau1[[#This Row],[Surface GLA]],)</f>
        <v>0</v>
      </c>
      <c r="AB306" s="12"/>
      <c r="AC306" s="12">
        <f>IFERROR(Tableau1[[#This Row],[Marketing €/m²]]*Tableau1[[#This Row],[Surface GLA]],)</f>
        <v>0</v>
      </c>
      <c r="AD306" s="12"/>
      <c r="AE306" s="12">
        <f>IFERROR(Tableau1[[#This Row],[Loyer annuel]]+Tableau1[[#This Row],[Charges annuelles]]+Tableau1[[#This Row],[Taxe foncière]]+Tableau1[[#This Row],[Marketing]],"")</f>
        <v>0</v>
      </c>
      <c r="AF306" s="12"/>
      <c r="AG306" s="12"/>
      <c r="AH306" s="12"/>
      <c r="AI306" s="12"/>
      <c r="AJ306" s="10"/>
      <c r="AK306" s="10"/>
      <c r="AL306" s="10"/>
      <c r="AM306" s="11"/>
      <c r="AN306" s="11"/>
      <c r="AO306" s="11"/>
      <c r="AP306" s="11"/>
      <c r="AQ306" s="11"/>
      <c r="AR306" s="11"/>
      <c r="AS306" s="36"/>
      <c r="AT306" s="11"/>
      <c r="AU306" s="11"/>
      <c r="AV306" s="13"/>
      <c r="AW306" s="14"/>
      <c r="AX306" s="44"/>
    </row>
    <row r="307" spans="1:50" ht="38.25">
      <c r="A307" s="38" t="str">
        <f>VLOOKUP(Tableau1[[#This Row],[N° Département]],Feuil1!$C$6:$E$106,3)</f>
        <v>Grand Est</v>
      </c>
      <c r="B307" s="38" t="str">
        <f>VLOOKUP(Tableau1[[#This Row],[N° Département]],Feuil1!$C$6:$E$106,2)</f>
        <v>Meuse</v>
      </c>
      <c r="C307" s="38">
        <f>LEFT(Tableau1[[#This Row],[Code Postal]],2)*1</f>
        <v>55</v>
      </c>
      <c r="D307" s="10" t="s">
        <v>1986</v>
      </c>
      <c r="E307" s="26">
        <v>55000</v>
      </c>
      <c r="F307" s="10" t="s">
        <v>1985</v>
      </c>
      <c r="G307" s="39" t="str">
        <f>Tableau1[[#This Row],[Rue]]&amp;CHAR(10)&amp;Tableau1[[#This Row],[Code Postal]]&amp;" - "&amp;Tableau1[[#This Row],[Ville]]</f>
        <v>Centre Commercial Auchan, 1 Rue de Longeville
55000 - Savonnières-devant-Bar</v>
      </c>
      <c r="H307" s="15"/>
      <c r="I307" s="12" t="s">
        <v>47</v>
      </c>
      <c r="J307" s="12" t="s">
        <v>51</v>
      </c>
      <c r="K307" s="10" t="s">
        <v>98</v>
      </c>
      <c r="L307" s="10" t="s">
        <v>98</v>
      </c>
      <c r="M307" s="12" t="s">
        <v>98</v>
      </c>
      <c r="N307" s="36"/>
      <c r="O307" s="34"/>
      <c r="P307" s="12"/>
      <c r="Q307" s="34"/>
      <c r="R307" s="10"/>
      <c r="S307" s="12"/>
      <c r="T307" s="12"/>
      <c r="U307" s="12">
        <f>IFERROR(Tableau1[[#This Row],[Loyer annuel]]/12,"")</f>
        <v>0</v>
      </c>
      <c r="V307" s="12"/>
      <c r="W307" s="12"/>
      <c r="X307" s="12"/>
      <c r="Y307" s="12">
        <f>Tableau1[[#This Row],[Charges annuelles]]/12</f>
        <v>0</v>
      </c>
      <c r="Z307" s="12"/>
      <c r="AA307" s="12">
        <f>IFERROR(Tableau1[[#This Row],[Taxe foncière €/m²]]*Tableau1[[#This Row],[Surface GLA]],)</f>
        <v>0</v>
      </c>
      <c r="AB307" s="12"/>
      <c r="AC307" s="12">
        <f>IFERROR(Tableau1[[#This Row],[Marketing €/m²]]*Tableau1[[#This Row],[Surface GLA]],)</f>
        <v>0</v>
      </c>
      <c r="AD307" s="12"/>
      <c r="AE307" s="12">
        <f>IFERROR(Tableau1[[#This Row],[Loyer annuel]]+Tableau1[[#This Row],[Charges annuelles]]+Tableau1[[#This Row],[Taxe foncière]]+Tableau1[[#This Row],[Marketing]],"")</f>
        <v>0</v>
      </c>
      <c r="AF307" s="12"/>
      <c r="AG307" s="12"/>
      <c r="AH307" s="12"/>
      <c r="AI307" s="12"/>
      <c r="AJ307" s="10"/>
      <c r="AK307" s="10"/>
      <c r="AL307" s="10"/>
      <c r="AM307" s="11"/>
      <c r="AN307" s="11"/>
      <c r="AO307" s="11"/>
      <c r="AP307" s="11"/>
      <c r="AQ307" s="11"/>
      <c r="AR307" s="11"/>
      <c r="AS307" s="36"/>
      <c r="AT307" s="11"/>
      <c r="AU307" s="11"/>
      <c r="AV307" s="13"/>
      <c r="AW307" s="14"/>
      <c r="AX307" s="44"/>
    </row>
    <row r="308" spans="1:50" ht="38.25">
      <c r="A308" s="38" t="str">
        <f>VLOOKUP(Tableau1[[#This Row],[N° Département]],Feuil1!$C$6:$E$106,3)</f>
        <v>Grand Est</v>
      </c>
      <c r="B308" s="38" t="str">
        <f>VLOOKUP(Tableau1[[#This Row],[N° Département]],Feuil1!$C$6:$E$106,2)</f>
        <v>Meuse</v>
      </c>
      <c r="C308" s="38">
        <f>LEFT(Tableau1[[#This Row],[Code Postal]],2)*1</f>
        <v>55</v>
      </c>
      <c r="D308" s="10" t="s">
        <v>1986</v>
      </c>
      <c r="E308" s="26">
        <v>55000</v>
      </c>
      <c r="F308" s="10" t="s">
        <v>1985</v>
      </c>
      <c r="G308" s="39" t="str">
        <f>Tableau1[[#This Row],[Rue]]&amp;CHAR(10)&amp;Tableau1[[#This Row],[Code Postal]]&amp;" - "&amp;Tableau1[[#This Row],[Ville]]</f>
        <v>Centre Commercial Auchan, 1 Rue de Longeville
55000 - Savonnières-devant-Bar</v>
      </c>
      <c r="H308" s="15"/>
      <c r="I308" s="12" t="s">
        <v>47</v>
      </c>
      <c r="J308" s="12" t="s">
        <v>51</v>
      </c>
      <c r="K308" s="10" t="s">
        <v>98</v>
      </c>
      <c r="L308" s="10" t="s">
        <v>98</v>
      </c>
      <c r="M308" s="12" t="s">
        <v>98</v>
      </c>
      <c r="N308" s="36"/>
      <c r="O308" s="34"/>
      <c r="P308" s="12"/>
      <c r="Q308" s="34"/>
      <c r="R308" s="10"/>
      <c r="S308" s="12"/>
      <c r="T308" s="12"/>
      <c r="U308" s="12">
        <f>IFERROR(Tableau1[[#This Row],[Loyer annuel]]/12,"")</f>
        <v>0</v>
      </c>
      <c r="V308" s="12"/>
      <c r="W308" s="12"/>
      <c r="X308" s="12"/>
      <c r="Y308" s="12">
        <f>Tableau1[[#This Row],[Charges annuelles]]/12</f>
        <v>0</v>
      </c>
      <c r="Z308" s="12"/>
      <c r="AA308" s="12">
        <f>IFERROR(Tableau1[[#This Row],[Taxe foncière €/m²]]*Tableau1[[#This Row],[Surface GLA]],)</f>
        <v>0</v>
      </c>
      <c r="AB308" s="12"/>
      <c r="AC308" s="12">
        <f>IFERROR(Tableau1[[#This Row],[Marketing €/m²]]*Tableau1[[#This Row],[Surface GLA]],)</f>
        <v>0</v>
      </c>
      <c r="AD308" s="12"/>
      <c r="AE308" s="12">
        <f>IFERROR(Tableau1[[#This Row],[Loyer annuel]]+Tableau1[[#This Row],[Charges annuelles]]+Tableau1[[#This Row],[Taxe foncière]]+Tableau1[[#This Row],[Marketing]],"")</f>
        <v>0</v>
      </c>
      <c r="AF308" s="12"/>
      <c r="AG308" s="12"/>
      <c r="AH308" s="12"/>
      <c r="AI308" s="12"/>
      <c r="AJ308" s="10"/>
      <c r="AK308" s="10"/>
      <c r="AL308" s="10"/>
      <c r="AM308" s="11"/>
      <c r="AN308" s="11"/>
      <c r="AO308" s="11"/>
      <c r="AP308" s="11"/>
      <c r="AQ308" s="11"/>
      <c r="AR308" s="11"/>
      <c r="AS308" s="36"/>
      <c r="AT308" s="11"/>
      <c r="AU308" s="11"/>
      <c r="AV308" s="13"/>
      <c r="AW308" s="14"/>
      <c r="AX308" s="44"/>
    </row>
    <row r="309" spans="1:50" ht="38.25">
      <c r="A309" s="38" t="str">
        <f>VLOOKUP(Tableau1[[#This Row],[N° Département]],Feuil1!$C$6:$E$106,3)</f>
        <v>Grand Est</v>
      </c>
      <c r="B309" s="38" t="str">
        <f>VLOOKUP(Tableau1[[#This Row],[N° Département]],Feuil1!$C$6:$E$106,2)</f>
        <v>Meuse</v>
      </c>
      <c r="C309" s="38">
        <f>LEFT(Tableau1[[#This Row],[Code Postal]],2)*1</f>
        <v>55</v>
      </c>
      <c r="D309" s="10" t="s">
        <v>1986</v>
      </c>
      <c r="E309" s="26">
        <v>55000</v>
      </c>
      <c r="F309" s="10" t="s">
        <v>1985</v>
      </c>
      <c r="G309" s="39" t="str">
        <f>Tableau1[[#This Row],[Rue]]&amp;CHAR(10)&amp;Tableau1[[#This Row],[Code Postal]]&amp;" - "&amp;Tableau1[[#This Row],[Ville]]</f>
        <v>Centre Commercial Auchan, 1 Rue de Longeville
55000 - Savonnières-devant-Bar</v>
      </c>
      <c r="H309" s="15"/>
      <c r="I309" s="12" t="s">
        <v>47</v>
      </c>
      <c r="J309" s="12" t="s">
        <v>51</v>
      </c>
      <c r="K309" s="10" t="s">
        <v>98</v>
      </c>
      <c r="L309" s="10" t="s">
        <v>98</v>
      </c>
      <c r="M309" s="12" t="s">
        <v>98</v>
      </c>
      <c r="N309" s="36"/>
      <c r="O309" s="34"/>
      <c r="P309" s="12"/>
      <c r="Q309" s="34"/>
      <c r="R309" s="10"/>
      <c r="S309" s="12"/>
      <c r="T309" s="12"/>
      <c r="U309" s="12">
        <f>IFERROR(Tableau1[[#This Row],[Loyer annuel]]/12,"")</f>
        <v>0</v>
      </c>
      <c r="V309" s="12"/>
      <c r="W309" s="12"/>
      <c r="X309" s="12"/>
      <c r="Y309" s="12">
        <f>Tableau1[[#This Row],[Charges annuelles]]/12</f>
        <v>0</v>
      </c>
      <c r="Z309" s="12"/>
      <c r="AA309" s="12">
        <f>IFERROR(Tableau1[[#This Row],[Taxe foncière €/m²]]*Tableau1[[#This Row],[Surface GLA]],)</f>
        <v>0</v>
      </c>
      <c r="AB309" s="12"/>
      <c r="AC309" s="12">
        <f>IFERROR(Tableau1[[#This Row],[Marketing €/m²]]*Tableau1[[#This Row],[Surface GLA]],)</f>
        <v>0</v>
      </c>
      <c r="AD309" s="12"/>
      <c r="AE309" s="12">
        <f>IFERROR(Tableau1[[#This Row],[Loyer annuel]]+Tableau1[[#This Row],[Charges annuelles]]+Tableau1[[#This Row],[Taxe foncière]]+Tableau1[[#This Row],[Marketing]],"")</f>
        <v>0</v>
      </c>
      <c r="AF309" s="12"/>
      <c r="AG309" s="12"/>
      <c r="AH309" s="12"/>
      <c r="AI309" s="12"/>
      <c r="AJ309" s="10"/>
      <c r="AK309" s="10"/>
      <c r="AL309" s="10"/>
      <c r="AM309" s="11"/>
      <c r="AN309" s="11"/>
      <c r="AO309" s="11"/>
      <c r="AP309" s="11"/>
      <c r="AQ309" s="11"/>
      <c r="AR309" s="11"/>
      <c r="AS309" s="36"/>
      <c r="AT309" s="11"/>
      <c r="AU309" s="11"/>
      <c r="AV309" s="13"/>
      <c r="AW309" s="14"/>
      <c r="AX309" s="44"/>
    </row>
    <row r="310" spans="1:50" ht="38.25">
      <c r="A310" s="38" t="str">
        <f>VLOOKUP(Tableau1[[#This Row],[N° Département]],Feuil1!$C$6:$E$106,3)</f>
        <v>Grand Est</v>
      </c>
      <c r="B310" s="38" t="str">
        <f>VLOOKUP(Tableau1[[#This Row],[N° Département]],Feuil1!$C$6:$E$106,2)</f>
        <v>Meuse</v>
      </c>
      <c r="C310" s="38">
        <f>LEFT(Tableau1[[#This Row],[Code Postal]],2)*1</f>
        <v>55</v>
      </c>
      <c r="D310" s="10" t="s">
        <v>1986</v>
      </c>
      <c r="E310" s="26">
        <v>55000</v>
      </c>
      <c r="F310" s="10" t="s">
        <v>1985</v>
      </c>
      <c r="G310" s="39" t="str">
        <f>Tableau1[[#This Row],[Rue]]&amp;CHAR(10)&amp;Tableau1[[#This Row],[Code Postal]]&amp;" - "&amp;Tableau1[[#This Row],[Ville]]</f>
        <v>Centre Commercial Auchan, 1 Rue de Longeville
55000 - Savonnières-devant-Bar</v>
      </c>
      <c r="H310" s="15"/>
      <c r="I310" s="12" t="s">
        <v>47</v>
      </c>
      <c r="J310" s="12" t="s">
        <v>51</v>
      </c>
      <c r="K310" s="10" t="s">
        <v>98</v>
      </c>
      <c r="L310" s="10" t="s">
        <v>98</v>
      </c>
      <c r="M310" s="12" t="s">
        <v>98</v>
      </c>
      <c r="N310" s="36"/>
      <c r="O310" s="34"/>
      <c r="P310" s="12"/>
      <c r="Q310" s="34"/>
      <c r="R310" s="10"/>
      <c r="S310" s="12"/>
      <c r="T310" s="12"/>
      <c r="U310" s="12">
        <f>IFERROR(Tableau1[[#This Row],[Loyer annuel]]/12,"")</f>
        <v>0</v>
      </c>
      <c r="V310" s="12"/>
      <c r="W310" s="12"/>
      <c r="X310" s="12"/>
      <c r="Y310" s="12">
        <f>Tableau1[[#This Row],[Charges annuelles]]/12</f>
        <v>0</v>
      </c>
      <c r="Z310" s="12"/>
      <c r="AA310" s="12">
        <f>IFERROR(Tableau1[[#This Row],[Taxe foncière €/m²]]*Tableau1[[#This Row],[Surface GLA]],)</f>
        <v>0</v>
      </c>
      <c r="AB310" s="12"/>
      <c r="AC310" s="12">
        <f>IFERROR(Tableau1[[#This Row],[Marketing €/m²]]*Tableau1[[#This Row],[Surface GLA]],)</f>
        <v>0</v>
      </c>
      <c r="AD310" s="12"/>
      <c r="AE310" s="12">
        <f>IFERROR(Tableau1[[#This Row],[Loyer annuel]]+Tableau1[[#This Row],[Charges annuelles]]+Tableau1[[#This Row],[Taxe foncière]]+Tableau1[[#This Row],[Marketing]],"")</f>
        <v>0</v>
      </c>
      <c r="AF310" s="12"/>
      <c r="AG310" s="12"/>
      <c r="AH310" s="12"/>
      <c r="AI310" s="12"/>
      <c r="AJ310" s="10"/>
      <c r="AK310" s="10"/>
      <c r="AL310" s="10"/>
      <c r="AM310" s="11"/>
      <c r="AN310" s="11"/>
      <c r="AO310" s="11"/>
      <c r="AP310" s="11"/>
      <c r="AQ310" s="11"/>
      <c r="AR310" s="11"/>
      <c r="AS310" s="36"/>
      <c r="AT310" s="11"/>
      <c r="AU310" s="11"/>
      <c r="AV310" s="13"/>
      <c r="AW310" s="14"/>
      <c r="AX310" s="44"/>
    </row>
    <row r="311" spans="1:50" ht="38.25">
      <c r="A311" s="38" t="str">
        <f>VLOOKUP(Tableau1[[#This Row],[N° Département]],Feuil1!$C$6:$E$106,3)</f>
        <v>Grand Est</v>
      </c>
      <c r="B311" s="38" t="str">
        <f>VLOOKUP(Tableau1[[#This Row],[N° Département]],Feuil1!$C$6:$E$106,2)</f>
        <v>Meuse</v>
      </c>
      <c r="C311" s="38">
        <f>LEFT(Tableau1[[#This Row],[Code Postal]],2)*1</f>
        <v>55</v>
      </c>
      <c r="D311" s="10" t="s">
        <v>1986</v>
      </c>
      <c r="E311" s="26">
        <v>55000</v>
      </c>
      <c r="F311" s="10" t="s">
        <v>1985</v>
      </c>
      <c r="G311" s="39" t="str">
        <f>Tableau1[[#This Row],[Rue]]&amp;CHAR(10)&amp;Tableau1[[#This Row],[Code Postal]]&amp;" - "&amp;Tableau1[[#This Row],[Ville]]</f>
        <v>Centre Commercial Auchan, 1 Rue de Longeville
55000 - Savonnières-devant-Bar</v>
      </c>
      <c r="H311" s="15"/>
      <c r="I311" s="12" t="s">
        <v>47</v>
      </c>
      <c r="J311" s="12" t="s">
        <v>51</v>
      </c>
      <c r="K311" s="10" t="s">
        <v>98</v>
      </c>
      <c r="L311" s="10" t="s">
        <v>98</v>
      </c>
      <c r="M311" s="12" t="s">
        <v>98</v>
      </c>
      <c r="N311" s="36"/>
      <c r="O311" s="34"/>
      <c r="P311" s="12"/>
      <c r="Q311" s="34"/>
      <c r="R311" s="10"/>
      <c r="S311" s="12"/>
      <c r="T311" s="12"/>
      <c r="U311" s="12">
        <f>IFERROR(Tableau1[[#This Row],[Loyer annuel]]/12,"")</f>
        <v>0</v>
      </c>
      <c r="V311" s="12"/>
      <c r="W311" s="12"/>
      <c r="X311" s="12"/>
      <c r="Y311" s="12">
        <f>Tableau1[[#This Row],[Charges annuelles]]/12</f>
        <v>0</v>
      </c>
      <c r="Z311" s="12"/>
      <c r="AA311" s="12">
        <f>IFERROR(Tableau1[[#This Row],[Taxe foncière €/m²]]*Tableau1[[#This Row],[Surface GLA]],)</f>
        <v>0</v>
      </c>
      <c r="AB311" s="12"/>
      <c r="AC311" s="12">
        <f>IFERROR(Tableau1[[#This Row],[Marketing €/m²]]*Tableau1[[#This Row],[Surface GLA]],)</f>
        <v>0</v>
      </c>
      <c r="AD311" s="12"/>
      <c r="AE311" s="12">
        <f>IFERROR(Tableau1[[#This Row],[Loyer annuel]]+Tableau1[[#This Row],[Charges annuelles]]+Tableau1[[#This Row],[Taxe foncière]]+Tableau1[[#This Row],[Marketing]],"")</f>
        <v>0</v>
      </c>
      <c r="AF311" s="12"/>
      <c r="AG311" s="12"/>
      <c r="AH311" s="12"/>
      <c r="AI311" s="12"/>
      <c r="AJ311" s="10"/>
      <c r="AK311" s="10"/>
      <c r="AL311" s="10"/>
      <c r="AM311" s="11"/>
      <c r="AN311" s="11"/>
      <c r="AO311" s="11"/>
      <c r="AP311" s="11"/>
      <c r="AQ311" s="11"/>
      <c r="AR311" s="11"/>
      <c r="AS311" s="36"/>
      <c r="AT311" s="11"/>
      <c r="AU311" s="11"/>
      <c r="AV311" s="13"/>
      <c r="AW311" s="14"/>
      <c r="AX311" s="44"/>
    </row>
    <row r="312" spans="1:50" ht="38.25">
      <c r="A312" s="38" t="str">
        <f>VLOOKUP(Tableau1[[#This Row],[N° Département]],Feuil1!$C$6:$E$106,3)</f>
        <v>Grand Est</v>
      </c>
      <c r="B312" s="38" t="str">
        <f>VLOOKUP(Tableau1[[#This Row],[N° Département]],Feuil1!$C$6:$E$106,2)</f>
        <v>Meuse</v>
      </c>
      <c r="C312" s="38">
        <f>LEFT(Tableau1[[#This Row],[Code Postal]],2)*1</f>
        <v>55</v>
      </c>
      <c r="D312" s="10" t="s">
        <v>1986</v>
      </c>
      <c r="E312" s="26">
        <v>55000</v>
      </c>
      <c r="F312" s="10" t="s">
        <v>1985</v>
      </c>
      <c r="G312" s="39" t="str">
        <f>Tableau1[[#This Row],[Rue]]&amp;CHAR(10)&amp;Tableau1[[#This Row],[Code Postal]]&amp;" - "&amp;Tableau1[[#This Row],[Ville]]</f>
        <v>Centre Commercial Auchan, 1 Rue de Longeville
55000 - Savonnières-devant-Bar</v>
      </c>
      <c r="H312" s="15"/>
      <c r="I312" s="12" t="s">
        <v>47</v>
      </c>
      <c r="J312" s="12" t="s">
        <v>51</v>
      </c>
      <c r="K312" s="10" t="s">
        <v>98</v>
      </c>
      <c r="L312" s="10" t="s">
        <v>98</v>
      </c>
      <c r="M312" s="12" t="s">
        <v>98</v>
      </c>
      <c r="N312" s="36"/>
      <c r="O312" s="34"/>
      <c r="P312" s="12"/>
      <c r="Q312" s="34"/>
      <c r="R312" s="10"/>
      <c r="S312" s="12"/>
      <c r="T312" s="12"/>
      <c r="U312" s="12">
        <f>IFERROR(Tableau1[[#This Row],[Loyer annuel]]/12,"")</f>
        <v>0</v>
      </c>
      <c r="V312" s="12"/>
      <c r="W312" s="12"/>
      <c r="X312" s="12"/>
      <c r="Y312" s="12">
        <f>Tableau1[[#This Row],[Charges annuelles]]/12</f>
        <v>0</v>
      </c>
      <c r="Z312" s="12"/>
      <c r="AA312" s="12">
        <f>IFERROR(Tableau1[[#This Row],[Taxe foncière €/m²]]*Tableau1[[#This Row],[Surface GLA]],)</f>
        <v>0</v>
      </c>
      <c r="AB312" s="12"/>
      <c r="AC312" s="12">
        <f>IFERROR(Tableau1[[#This Row],[Marketing €/m²]]*Tableau1[[#This Row],[Surface GLA]],)</f>
        <v>0</v>
      </c>
      <c r="AD312" s="12"/>
      <c r="AE312" s="12">
        <f>IFERROR(Tableau1[[#This Row],[Loyer annuel]]+Tableau1[[#This Row],[Charges annuelles]]+Tableau1[[#This Row],[Taxe foncière]]+Tableau1[[#This Row],[Marketing]],"")</f>
        <v>0</v>
      </c>
      <c r="AF312" s="12"/>
      <c r="AG312" s="12"/>
      <c r="AH312" s="12"/>
      <c r="AI312" s="12"/>
      <c r="AJ312" s="10"/>
      <c r="AK312" s="10"/>
      <c r="AL312" s="10"/>
      <c r="AM312" s="11"/>
      <c r="AN312" s="11"/>
      <c r="AO312" s="11"/>
      <c r="AP312" s="11"/>
      <c r="AQ312" s="11"/>
      <c r="AR312" s="11"/>
      <c r="AS312" s="36"/>
      <c r="AT312" s="11"/>
      <c r="AU312" s="11"/>
      <c r="AV312" s="13"/>
      <c r="AW312" s="14"/>
      <c r="AX312" s="44"/>
    </row>
    <row r="313" spans="1:50" ht="38.25">
      <c r="A313" s="38" t="str">
        <f>VLOOKUP(Tableau1[[#This Row],[N° Département]],Feuil1!$C$6:$E$106,3)</f>
        <v>Grand Est</v>
      </c>
      <c r="B313" s="38" t="str">
        <f>VLOOKUP(Tableau1[[#This Row],[N° Département]],Feuil1!$C$6:$E$106,2)</f>
        <v>Meuse</v>
      </c>
      <c r="C313" s="38">
        <f>LEFT(Tableau1[[#This Row],[Code Postal]],2)*1</f>
        <v>55</v>
      </c>
      <c r="D313" s="10" t="s">
        <v>1986</v>
      </c>
      <c r="E313" s="26">
        <v>55000</v>
      </c>
      <c r="F313" s="10" t="s">
        <v>1985</v>
      </c>
      <c r="G313" s="39" t="str">
        <f>Tableau1[[#This Row],[Rue]]&amp;CHAR(10)&amp;Tableau1[[#This Row],[Code Postal]]&amp;" - "&amp;Tableau1[[#This Row],[Ville]]</f>
        <v>Centre Commercial Auchan, 1 Rue de Longeville
55000 - Savonnières-devant-Bar</v>
      </c>
      <c r="H313" s="15"/>
      <c r="I313" s="12" t="s">
        <v>47</v>
      </c>
      <c r="J313" s="12" t="s">
        <v>51</v>
      </c>
      <c r="K313" s="10" t="s">
        <v>98</v>
      </c>
      <c r="L313" s="10" t="s">
        <v>98</v>
      </c>
      <c r="M313" s="12" t="s">
        <v>98</v>
      </c>
      <c r="N313" s="36"/>
      <c r="O313" s="34"/>
      <c r="P313" s="12"/>
      <c r="Q313" s="34"/>
      <c r="R313" s="10"/>
      <c r="S313" s="12"/>
      <c r="T313" s="12"/>
      <c r="U313" s="12">
        <f>IFERROR(Tableau1[[#This Row],[Loyer annuel]]/12,"")</f>
        <v>0</v>
      </c>
      <c r="V313" s="12"/>
      <c r="W313" s="12"/>
      <c r="X313" s="12"/>
      <c r="Y313" s="12">
        <f>Tableau1[[#This Row],[Charges annuelles]]/12</f>
        <v>0</v>
      </c>
      <c r="Z313" s="12"/>
      <c r="AA313" s="12">
        <f>IFERROR(Tableau1[[#This Row],[Taxe foncière €/m²]]*Tableau1[[#This Row],[Surface GLA]],)</f>
        <v>0</v>
      </c>
      <c r="AB313" s="12"/>
      <c r="AC313" s="12">
        <f>IFERROR(Tableau1[[#This Row],[Marketing €/m²]]*Tableau1[[#This Row],[Surface GLA]],)</f>
        <v>0</v>
      </c>
      <c r="AD313" s="12"/>
      <c r="AE313" s="12">
        <f>IFERROR(Tableau1[[#This Row],[Loyer annuel]]+Tableau1[[#This Row],[Charges annuelles]]+Tableau1[[#This Row],[Taxe foncière]]+Tableau1[[#This Row],[Marketing]],"")</f>
        <v>0</v>
      </c>
      <c r="AF313" s="12"/>
      <c r="AG313" s="12"/>
      <c r="AH313" s="12"/>
      <c r="AI313" s="12"/>
      <c r="AJ313" s="10"/>
      <c r="AK313" s="10"/>
      <c r="AL313" s="10"/>
      <c r="AM313" s="11"/>
      <c r="AN313" s="11"/>
      <c r="AO313" s="11"/>
      <c r="AP313" s="11"/>
      <c r="AQ313" s="11"/>
      <c r="AR313" s="11"/>
      <c r="AS313" s="36"/>
      <c r="AT313" s="11"/>
      <c r="AU313" s="11"/>
      <c r="AV313" s="13"/>
      <c r="AW313" s="14"/>
      <c r="AX313" s="44"/>
    </row>
    <row r="314" spans="1:50" ht="38.25">
      <c r="A314" s="38" t="str">
        <f>VLOOKUP(Tableau1[[#This Row],[N° Département]],Feuil1!$C$6:$E$106,3)</f>
        <v>Grand Est</v>
      </c>
      <c r="B314" s="38" t="str">
        <f>VLOOKUP(Tableau1[[#This Row],[N° Département]],Feuil1!$C$6:$E$106,2)</f>
        <v>Meuse</v>
      </c>
      <c r="C314" s="38">
        <f>LEFT(Tableau1[[#This Row],[Code Postal]],2)*1</f>
        <v>55</v>
      </c>
      <c r="D314" s="10" t="s">
        <v>1986</v>
      </c>
      <c r="E314" s="26">
        <v>55000</v>
      </c>
      <c r="F314" s="10" t="s">
        <v>1985</v>
      </c>
      <c r="G314" s="39" t="str">
        <f>Tableau1[[#This Row],[Rue]]&amp;CHAR(10)&amp;Tableau1[[#This Row],[Code Postal]]&amp;" - "&amp;Tableau1[[#This Row],[Ville]]</f>
        <v>Centre Commercial Auchan, 1 Rue de Longeville
55000 - Savonnières-devant-Bar</v>
      </c>
      <c r="H314" s="15"/>
      <c r="I314" s="12" t="s">
        <v>47</v>
      </c>
      <c r="J314" s="12" t="s">
        <v>51</v>
      </c>
      <c r="K314" s="10" t="s">
        <v>98</v>
      </c>
      <c r="L314" s="10" t="s">
        <v>98</v>
      </c>
      <c r="M314" s="12" t="s">
        <v>98</v>
      </c>
      <c r="N314" s="36"/>
      <c r="O314" s="34"/>
      <c r="P314" s="12"/>
      <c r="Q314" s="34"/>
      <c r="R314" s="10"/>
      <c r="S314" s="12"/>
      <c r="T314" s="12"/>
      <c r="U314" s="12">
        <f>IFERROR(Tableau1[[#This Row],[Loyer annuel]]/12,"")</f>
        <v>0</v>
      </c>
      <c r="V314" s="12"/>
      <c r="W314" s="12"/>
      <c r="X314" s="12"/>
      <c r="Y314" s="12">
        <f>Tableau1[[#This Row],[Charges annuelles]]/12</f>
        <v>0</v>
      </c>
      <c r="Z314" s="12"/>
      <c r="AA314" s="12">
        <f>IFERROR(Tableau1[[#This Row],[Taxe foncière €/m²]]*Tableau1[[#This Row],[Surface GLA]],)</f>
        <v>0</v>
      </c>
      <c r="AB314" s="12"/>
      <c r="AC314" s="12">
        <f>IFERROR(Tableau1[[#This Row],[Marketing €/m²]]*Tableau1[[#This Row],[Surface GLA]],)</f>
        <v>0</v>
      </c>
      <c r="AD314" s="12"/>
      <c r="AE314" s="12">
        <f>IFERROR(Tableau1[[#This Row],[Loyer annuel]]+Tableau1[[#This Row],[Charges annuelles]]+Tableau1[[#This Row],[Taxe foncière]]+Tableau1[[#This Row],[Marketing]],"")</f>
        <v>0</v>
      </c>
      <c r="AF314" s="12"/>
      <c r="AG314" s="12"/>
      <c r="AH314" s="12"/>
      <c r="AI314" s="12"/>
      <c r="AJ314" s="10"/>
      <c r="AK314" s="10"/>
      <c r="AL314" s="10"/>
      <c r="AM314" s="11"/>
      <c r="AN314" s="11"/>
      <c r="AO314" s="11"/>
      <c r="AP314" s="11"/>
      <c r="AQ314" s="11"/>
      <c r="AR314" s="11"/>
      <c r="AS314" s="36"/>
      <c r="AT314" s="11"/>
      <c r="AU314" s="11"/>
      <c r="AV314" s="13"/>
      <c r="AW314" s="14"/>
      <c r="AX314" s="44"/>
    </row>
    <row r="315" spans="1:50" ht="38.25">
      <c r="A315" s="38" t="str">
        <f>VLOOKUP(Tableau1[[#This Row],[N° Département]],Feuil1!$C$6:$E$106,3)</f>
        <v>Grand Est</v>
      </c>
      <c r="B315" s="38" t="str">
        <f>VLOOKUP(Tableau1[[#This Row],[N° Département]],Feuil1!$C$6:$E$106,2)</f>
        <v>Meuse</v>
      </c>
      <c r="C315" s="38">
        <f>LEFT(Tableau1[[#This Row],[Code Postal]],2)*1</f>
        <v>55</v>
      </c>
      <c r="D315" s="10" t="s">
        <v>1986</v>
      </c>
      <c r="E315" s="26">
        <v>55000</v>
      </c>
      <c r="F315" s="10" t="s">
        <v>1985</v>
      </c>
      <c r="G315" s="39" t="str">
        <f>Tableau1[[#This Row],[Rue]]&amp;CHAR(10)&amp;Tableau1[[#This Row],[Code Postal]]&amp;" - "&amp;Tableau1[[#This Row],[Ville]]</f>
        <v>Centre Commercial Auchan, 1 Rue de Longeville
55000 - Savonnières-devant-Bar</v>
      </c>
      <c r="H315" s="15"/>
      <c r="I315" s="12" t="s">
        <v>47</v>
      </c>
      <c r="J315" s="12" t="s">
        <v>51</v>
      </c>
      <c r="K315" s="10" t="s">
        <v>98</v>
      </c>
      <c r="L315" s="10" t="s">
        <v>98</v>
      </c>
      <c r="M315" s="12" t="s">
        <v>98</v>
      </c>
      <c r="N315" s="36"/>
      <c r="O315" s="34"/>
      <c r="P315" s="12"/>
      <c r="Q315" s="34"/>
      <c r="R315" s="10"/>
      <c r="S315" s="12"/>
      <c r="T315" s="12"/>
      <c r="U315" s="12">
        <f>IFERROR(Tableau1[[#This Row],[Loyer annuel]]/12,"")</f>
        <v>0</v>
      </c>
      <c r="V315" s="12"/>
      <c r="W315" s="12"/>
      <c r="X315" s="12"/>
      <c r="Y315" s="12">
        <f>Tableau1[[#This Row],[Charges annuelles]]/12</f>
        <v>0</v>
      </c>
      <c r="Z315" s="12"/>
      <c r="AA315" s="12">
        <f>IFERROR(Tableau1[[#This Row],[Taxe foncière €/m²]]*Tableau1[[#This Row],[Surface GLA]],)</f>
        <v>0</v>
      </c>
      <c r="AB315" s="12"/>
      <c r="AC315" s="12">
        <f>IFERROR(Tableau1[[#This Row],[Marketing €/m²]]*Tableau1[[#This Row],[Surface GLA]],)</f>
        <v>0</v>
      </c>
      <c r="AD315" s="12"/>
      <c r="AE315" s="12">
        <f>IFERROR(Tableau1[[#This Row],[Loyer annuel]]+Tableau1[[#This Row],[Charges annuelles]]+Tableau1[[#This Row],[Taxe foncière]]+Tableau1[[#This Row],[Marketing]],"")</f>
        <v>0</v>
      </c>
      <c r="AF315" s="12"/>
      <c r="AG315" s="12"/>
      <c r="AH315" s="12"/>
      <c r="AI315" s="12"/>
      <c r="AJ315" s="10"/>
      <c r="AK315" s="10"/>
      <c r="AL315" s="10"/>
      <c r="AM315" s="11"/>
      <c r="AN315" s="11"/>
      <c r="AO315" s="11"/>
      <c r="AP315" s="11"/>
      <c r="AQ315" s="11"/>
      <c r="AR315" s="11"/>
      <c r="AS315" s="36"/>
      <c r="AT315" s="11"/>
      <c r="AU315" s="11"/>
      <c r="AV315" s="13"/>
      <c r="AW315" s="14"/>
      <c r="AX315" s="44"/>
    </row>
    <row r="316" spans="1:50" ht="38.25">
      <c r="A316" s="38" t="str">
        <f>VLOOKUP(Tableau1[[#This Row],[N° Département]],Feuil1!$C$6:$E$106,3)</f>
        <v>Grand Est</v>
      </c>
      <c r="B316" s="38" t="str">
        <f>VLOOKUP(Tableau1[[#This Row],[N° Département]],Feuil1!$C$6:$E$106,2)</f>
        <v>Meuse</v>
      </c>
      <c r="C316" s="38">
        <f>LEFT(Tableau1[[#This Row],[Code Postal]],2)*1</f>
        <v>55</v>
      </c>
      <c r="D316" s="10" t="s">
        <v>1986</v>
      </c>
      <c r="E316" s="26">
        <v>55000</v>
      </c>
      <c r="F316" s="10" t="s">
        <v>1985</v>
      </c>
      <c r="G316" s="39" t="str">
        <f>Tableau1[[#This Row],[Rue]]&amp;CHAR(10)&amp;Tableau1[[#This Row],[Code Postal]]&amp;" - "&amp;Tableau1[[#This Row],[Ville]]</f>
        <v>Centre Commercial Auchan, 1 Rue de Longeville
55000 - Savonnières-devant-Bar</v>
      </c>
      <c r="H316" s="15"/>
      <c r="I316" s="12" t="s">
        <v>47</v>
      </c>
      <c r="J316" s="12" t="s">
        <v>51</v>
      </c>
      <c r="K316" s="10" t="s">
        <v>98</v>
      </c>
      <c r="L316" s="10" t="s">
        <v>98</v>
      </c>
      <c r="M316" s="12" t="s">
        <v>98</v>
      </c>
      <c r="N316" s="36"/>
      <c r="O316" s="34"/>
      <c r="P316" s="12"/>
      <c r="Q316" s="34"/>
      <c r="R316" s="10"/>
      <c r="S316" s="12"/>
      <c r="T316" s="12"/>
      <c r="U316" s="12">
        <f>IFERROR(Tableau1[[#This Row],[Loyer annuel]]/12,"")</f>
        <v>0</v>
      </c>
      <c r="V316" s="12"/>
      <c r="W316" s="12"/>
      <c r="X316" s="12"/>
      <c r="Y316" s="12">
        <f>Tableau1[[#This Row],[Charges annuelles]]/12</f>
        <v>0</v>
      </c>
      <c r="Z316" s="12"/>
      <c r="AA316" s="12">
        <f>IFERROR(Tableau1[[#This Row],[Taxe foncière €/m²]]*Tableau1[[#This Row],[Surface GLA]],)</f>
        <v>0</v>
      </c>
      <c r="AB316" s="12"/>
      <c r="AC316" s="12">
        <f>IFERROR(Tableau1[[#This Row],[Marketing €/m²]]*Tableau1[[#This Row],[Surface GLA]],)</f>
        <v>0</v>
      </c>
      <c r="AD316" s="12"/>
      <c r="AE316" s="12">
        <f>IFERROR(Tableau1[[#This Row],[Loyer annuel]]+Tableau1[[#This Row],[Charges annuelles]]+Tableau1[[#This Row],[Taxe foncière]]+Tableau1[[#This Row],[Marketing]],"")</f>
        <v>0</v>
      </c>
      <c r="AF316" s="12"/>
      <c r="AG316" s="12"/>
      <c r="AH316" s="12"/>
      <c r="AI316" s="12"/>
      <c r="AJ316" s="10"/>
      <c r="AK316" s="10"/>
      <c r="AL316" s="10"/>
      <c r="AM316" s="11"/>
      <c r="AN316" s="11"/>
      <c r="AO316" s="11"/>
      <c r="AP316" s="11"/>
      <c r="AQ316" s="11"/>
      <c r="AR316" s="11"/>
      <c r="AS316" s="36"/>
      <c r="AT316" s="11"/>
      <c r="AU316" s="11"/>
      <c r="AV316" s="13"/>
      <c r="AW316" s="14"/>
      <c r="AX316" s="44"/>
    </row>
    <row r="317" spans="1:50" ht="38.25">
      <c r="A317" s="38" t="str">
        <f>VLOOKUP(Tableau1[[#This Row],[N° Département]],Feuil1!$C$6:$E$106,3)</f>
        <v>Grand Est</v>
      </c>
      <c r="B317" s="38" t="str">
        <f>VLOOKUP(Tableau1[[#This Row],[N° Département]],Feuil1!$C$6:$E$106,2)</f>
        <v>Meuse</v>
      </c>
      <c r="C317" s="38">
        <f>LEFT(Tableau1[[#This Row],[Code Postal]],2)*1</f>
        <v>55</v>
      </c>
      <c r="D317" s="10" t="s">
        <v>1986</v>
      </c>
      <c r="E317" s="26">
        <v>55000</v>
      </c>
      <c r="F317" s="10" t="s">
        <v>1985</v>
      </c>
      <c r="G317" s="39" t="str">
        <f>Tableau1[[#This Row],[Rue]]&amp;CHAR(10)&amp;Tableau1[[#This Row],[Code Postal]]&amp;" - "&amp;Tableau1[[#This Row],[Ville]]</f>
        <v>Centre Commercial Auchan, 1 Rue de Longeville
55000 - Savonnières-devant-Bar</v>
      </c>
      <c r="H317" s="15"/>
      <c r="I317" s="12" t="s">
        <v>47</v>
      </c>
      <c r="J317" s="12" t="s">
        <v>51</v>
      </c>
      <c r="K317" s="10" t="s">
        <v>98</v>
      </c>
      <c r="L317" s="10" t="s">
        <v>98</v>
      </c>
      <c r="M317" s="12" t="s">
        <v>98</v>
      </c>
      <c r="N317" s="36"/>
      <c r="O317" s="34"/>
      <c r="P317" s="12"/>
      <c r="Q317" s="34"/>
      <c r="R317" s="10"/>
      <c r="S317" s="12"/>
      <c r="T317" s="12"/>
      <c r="U317" s="12">
        <f>IFERROR(Tableau1[[#This Row],[Loyer annuel]]/12,"")</f>
        <v>0</v>
      </c>
      <c r="V317" s="12"/>
      <c r="W317" s="12"/>
      <c r="X317" s="12"/>
      <c r="Y317" s="12">
        <f>Tableau1[[#This Row],[Charges annuelles]]/12</f>
        <v>0</v>
      </c>
      <c r="Z317" s="12"/>
      <c r="AA317" s="12">
        <f>IFERROR(Tableau1[[#This Row],[Taxe foncière €/m²]]*Tableau1[[#This Row],[Surface GLA]],)</f>
        <v>0</v>
      </c>
      <c r="AB317" s="12"/>
      <c r="AC317" s="12">
        <f>IFERROR(Tableau1[[#This Row],[Marketing €/m²]]*Tableau1[[#This Row],[Surface GLA]],)</f>
        <v>0</v>
      </c>
      <c r="AD317" s="12"/>
      <c r="AE317" s="12">
        <f>IFERROR(Tableau1[[#This Row],[Loyer annuel]]+Tableau1[[#This Row],[Charges annuelles]]+Tableau1[[#This Row],[Taxe foncière]]+Tableau1[[#This Row],[Marketing]],"")</f>
        <v>0</v>
      </c>
      <c r="AF317" s="12"/>
      <c r="AG317" s="12"/>
      <c r="AH317" s="12"/>
      <c r="AI317" s="12"/>
      <c r="AJ317" s="10"/>
      <c r="AK317" s="10"/>
      <c r="AL317" s="10"/>
      <c r="AM317" s="11"/>
      <c r="AN317" s="11"/>
      <c r="AO317" s="11"/>
      <c r="AP317" s="11"/>
      <c r="AQ317" s="11"/>
      <c r="AR317" s="11"/>
      <c r="AS317" s="36"/>
      <c r="AT317" s="11"/>
      <c r="AU317" s="11"/>
      <c r="AV317" s="13"/>
      <c r="AW317" s="14"/>
      <c r="AX317" s="44"/>
    </row>
    <row r="318" spans="1:50">
      <c r="A318" s="38" t="e">
        <f>VLOOKUP(Tableau1[[#This Row],[N° Département]],Feuil1!$C$6:$E$106,3)</f>
        <v>#VALUE!</v>
      </c>
      <c r="B318" s="38" t="e">
        <f>VLOOKUP(Tableau1[[#This Row],[N° Département]],Feuil1!$C$6:$E$106,2)</f>
        <v>#VALUE!</v>
      </c>
      <c r="C318" s="38" t="e">
        <f>LEFT(Tableau1[[#This Row],[Code Postal]],2)*1</f>
        <v>#VALUE!</v>
      </c>
      <c r="D318" s="10"/>
      <c r="E318" s="10"/>
      <c r="F318" s="10"/>
      <c r="G318" s="39" t="str">
        <f>Tableau1[[#This Row],[Rue]]&amp;CHAR(10)&amp;Tableau1[[#This Row],[Code Postal]]&amp;" - "&amp;Tableau1[[#This Row],[Ville]]</f>
        <v xml:space="preserve">
 - </v>
      </c>
      <c r="H318" s="52" t="e" cm="1">
        <f t="array" aca="1" ref="H318" ca="1">Extrait_hyperlien(#REF!)</f>
        <v>#NAME?</v>
      </c>
      <c r="I318" s="12"/>
      <c r="J318" s="12"/>
      <c r="K318" s="10"/>
      <c r="L318" s="10"/>
      <c r="M318" s="12"/>
      <c r="N318" s="36"/>
      <c r="O318" s="34"/>
      <c r="P318" s="12"/>
      <c r="Q318" s="34"/>
      <c r="R318" s="10"/>
      <c r="S318" s="12"/>
      <c r="T318" s="12"/>
      <c r="U318" s="12">
        <f>IFERROR(Tableau1[[#This Row],[Loyer annuel]]/12,"")</f>
        <v>0</v>
      </c>
      <c r="V318" s="12"/>
      <c r="W318" s="12"/>
      <c r="X318" s="12"/>
      <c r="Y318" s="12">
        <f>Tableau1[[#This Row],[Charges annuelles]]/12</f>
        <v>0</v>
      </c>
      <c r="Z318" s="12"/>
      <c r="AA318" s="12">
        <f>IFERROR(Tableau1[[#This Row],[Taxe foncière €/m²]]*Tableau1[[#This Row],[Surface GLA]],)</f>
        <v>0</v>
      </c>
      <c r="AB318" s="12"/>
      <c r="AC318" s="12">
        <f>IFERROR(Tableau1[[#This Row],[Marketing €/m²]]*Tableau1[[#This Row],[Surface GLA]],)</f>
        <v>0</v>
      </c>
      <c r="AD318" s="12"/>
      <c r="AE318" s="12">
        <f>IFERROR(Tableau1[[#This Row],[Loyer annuel]]+Tableau1[[#This Row],[Charges annuelles]]+Tableau1[[#This Row],[Taxe foncière]]+Tableau1[[#This Row],[Marketing]],"")</f>
        <v>0</v>
      </c>
      <c r="AF318" s="12"/>
      <c r="AG318" s="12"/>
      <c r="AH318" s="12"/>
      <c r="AI318" s="12"/>
      <c r="AJ318" s="10"/>
      <c r="AK318" s="10"/>
      <c r="AL318" s="10"/>
      <c r="AM318" s="11"/>
      <c r="AN318" s="11"/>
      <c r="AO318" s="11"/>
      <c r="AP318" s="11"/>
      <c r="AQ318" s="11"/>
      <c r="AR318" s="11"/>
      <c r="AS318" s="36"/>
      <c r="AT318" s="11"/>
      <c r="AU318" s="11"/>
      <c r="AV318" s="13"/>
      <c r="AW318" s="14"/>
      <c r="AX318" s="44"/>
    </row>
    <row r="326" spans="6:6">
      <c r="F326" s="1" t="s">
        <v>995</v>
      </c>
    </row>
    <row r="327" spans="6:6">
      <c r="F327"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2026-06-08T14:18:26Z</dcterms:modified>
</cp:coreProperties>
</file>