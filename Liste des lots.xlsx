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1F86D9B1-F7A2-4682-9C4D-CCD785B84027}"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139" i="2" l="1"/>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G189" i="2"/>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86" i="2" l="1"/>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<sst xmlns="http://schemas.openxmlformats.org/spreadsheetml/2006/main" count="5563" uniqueCount="1430">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</sst>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64" formatCode="#,##0\ [$€-40C];[Red]\-#,##0\ [$€-40C]"/>
      <fill>
        <patternFill patternType="none">
          <fgColor indexed="64"/>
          <bgColor indexed="65"/>
        </patternFill>
      </fill>
      <alignment horizontal="center" vertical="center" textRotation="0" wrapText="0" indent="0" justifyLastLine="0" shrinkToFit="0" readingOrder="0"/>
    </dxf>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189" totalsRowShown="0" headerRowCellStyle="Normal 2" dataCellStyle="Normal 2">
  <autoFilter ref="A1:AX189" xr:uid="{C496A065-E5CA-44EF-B6AE-AC366F12DAEC}">
    <filterColumn colId="10">
      <filters>
        <filter val="/"/>
      </filters>
    </filterColumn>
  </autoFilter>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0" dataCellStyle="Normal 2"/>
    <tableColumn id="50" xr3:uid="{647D7D49-7B6F-4747-BFFF-85889E08899D}" name="Surface maximale" dataDxfId="34" dataCellStyle="Normal 2"/>
    <tableColumn id="2" xr3:uid="{9969DD5B-5EA2-4595-B887-2E9B21053A55}" name="Surface utile" dataDxfId="33" dataCellStyle="Normal 2"/>
    <tableColumn id="21" xr3:uid="{3DFB9473-7064-409A-A47B-5544538EC4AE}" name="Répartition surface utile" dataDxfId="32" dataCellStyle="Normal 2"/>
    <tableColumn id="5" xr3:uid="{A744513A-B9BE-426C-9A67-F73FDBDA82D8}" name="Loyer annuel" dataDxfId="31" dataCellStyle="Normal 2"/>
    <tableColumn id="6" xr3:uid="{356A37C1-BF3E-4357-A954-82A182007A4A}" name="Loyer Mensuel" dataDxfId="30" dataCellStyle="Normal 2">
      <calculatedColumnFormula>IFERROR(Tableau1[[#This Row],[Loyer annuel]]/12,"")</calculatedColumnFormula>
    </tableColumn>
    <tableColumn id="11" xr3:uid="{767012B1-AABD-475A-8A4D-3B7DA0A65895}" name="Loyer €/m²" dataDxfId="29" dataCellStyle="Normal 2"/>
    <tableColumn id="30" xr3:uid="{1B20B1A4-ACFD-45E3-955E-514E88115368}" name="Loyer variable" dataDxfId="28" dataCellStyle="Normal 2"/>
    <tableColumn id="7" xr3:uid="{2A7DA589-64F1-4CF6-8C82-38781BD9EC1D}" name="Charges annuelles" dataDxfId="27" dataCellStyle="Normal 2"/>
    <tableColumn id="8" xr3:uid="{440DF5B1-3CC3-4785-9C23-94B007AF5E1B}" name="Charges Mensuelles" dataDxfId="26" dataCellStyle="Normal 2">
      <calculatedColumnFormula>Tableau1[[#This Row],[Charges annuelles]]/12</calculatedColumnFormula>
    </tableColumn>
    <tableColumn id="19" xr3:uid="{4129B281-2FE2-4CF1-9B2A-1383495B75F8}" name="Charges €/m²" dataDxfId="25" dataCellStyle="Normal 2"/>
    <tableColumn id="23" xr3:uid="{8D958AF5-4590-4B2C-91C7-84AA83299F72}" name="Taxe foncière" dataDxfId="24" dataCellStyle="Normal 2">
      <calculatedColumnFormula>IFERROR(Tableau1[[#This Row],[Taxe foncière €/m²]]*Tableau1[[#This Row],[Surface GLA]],)</calculatedColumnFormula>
    </tableColumn>
    <tableColumn id="25" xr3:uid="{3ED0377F-0AC3-483C-A382-DCE0304838BB}" name="Taxe foncière €/m²" dataDxfId="23" dataCellStyle="Normal 2"/>
    <tableColumn id="37" xr3:uid="{DCF6EDF6-4C11-48C1-B6A2-F68E6553ECAE}" name="Marketing" dataDxfId="22" dataCellStyle="Normal 2">
      <calculatedColumnFormula>IFERROR(Tableau1[[#This Row],[Marketing €/m²]]*Tableau1[[#This Row],[Surface GLA]],)</calculatedColumnFormula>
    </tableColumn>
    <tableColumn id="26" xr3:uid="{0670F3CF-44F2-4728-8A06-52C034D6BD30}" name="Marketing €/m²" dataDxfId="21" dataCellStyle="Normal 2"/>
    <tableColumn id="39" xr3:uid="{5F4F5D62-4EE8-4561-AFC9-FBA26AD0FEB9}" name="Total (L+C+M)" dataDxfId="20"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9" dataCellStyle="Normal 2"/>
    <tableColumn id="33" xr3:uid="{5D2CDDBF-0016-4D42-9FA2-C6BE7187A781}" name="GAPD" dataDxfId="18" dataCellStyle="Normal 2"/>
    <tableColumn id="27" xr3:uid="{AE6532DB-DF7C-4137-958E-CF0878BAF4EA}" name="Gestion" dataDxfId="17" dataCellStyle="Normal 2"/>
    <tableColumn id="29" xr3:uid="{C7D740EB-05A5-4C80-B626-4AE327C99B0E}" name="Etat de livraison" dataDxfId="16" dataCellStyle="Normal 2"/>
    <tableColumn id="10" xr3:uid="{F202F9CF-E361-49F7-BCB2-41601DB0A090}" name="Extraction" dataDxfId="15" dataCellStyle="Normal 2"/>
    <tableColumn id="38" xr3:uid="{1E22D9C1-89FA-49FF-9893-8AC79191E4A6}" name="Restauration" dataDxfId="14" dataCellStyle="Normal 2"/>
    <tableColumn id="28" xr3:uid="{BF030FEC-E7AF-42C6-AC39-B670759A4BC7}" name="Environnement Commercial" dataDxfId="13" dataCellStyle="Normal 2"/>
    <tableColumn id="16" xr3:uid="{D3CC4D5A-911C-4939-9024-731260442272}" name="Commentaires" dataDxfId="12" dataCellStyle="Normal 2"/>
    <tableColumn id="48" xr3:uid="{251DE01D-1A11-497D-9729-BA9E0EB06C60}" name="Honoraires de rédaction" dataDxfId="11" dataCellStyle="Normal 2"/>
    <tableColumn id="40" xr3:uid="{5463AA4C-3D9C-45CF-B81C-A3755D028F2B}" name="Honoraires commerciaux" dataDxfId="10" dataCellStyle="Normal 2"/>
    <tableColumn id="36" xr3:uid="{EBABBF90-FEC0-4C48-8EB4-A8DB85141CEF}" name="Latitude" dataDxfId="9" dataCellStyle="Normal 2"/>
    <tableColumn id="35" xr3:uid="{FDA62BB3-971D-4771-BFF4-42A78D749576}" name="Longitude" dataDxfId="8" dataCellStyle="Normal 2"/>
    <tableColumn id="41" xr3:uid="{0B5CFD66-9BAF-42E4-85BA-98CEF40CC994}" name="Référence annonce" dataDxfId="7" dataCellStyle="Normal 2"/>
    <tableColumn id="46" xr3:uid="{ED041E73-B65A-464D-8E38-4CD520F93F57}" name="Photos annonce" dataDxfId="6" dataCellStyle="Normal 2"/>
    <tableColumn id="42" xr3:uid="{31DE41E2-CE5A-45AD-B999-11A9307EA50B}" name="Actif" dataDxfId="5" dataCellStyle="Normal 2"/>
    <tableColumn id="20" xr3:uid="{D2AE6F16-4821-49DE-B56C-155BB51A6204}" name="Valeur BP" dataDxfId="4" dataCellStyle="Normal 2"/>
    <tableColumn id="12" xr3:uid="{80CF5A8D-23B2-4B36-80CB-91ECBC7FF3FE}" name="Contact" dataDxfId="3" dataCellStyle="Normal 2"/>
    <tableColumn id="13" xr3:uid="{E28C924B-61DC-4BBD-ABE7-33B29A5037B4}" name="Page Web" dataDxfId="2" dataCellStyle="Normal 2"/>
    <tableColumn id="47" xr3:uid="{6D70689D-C350-4037-8D03-D9E5646BA26C}" name="Date d'ajout" dataDxfId="1"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05"/>
  <sheetViews>
    <sheetView showZeros="0" tabSelected="1" zoomScale="80" zoomScaleNormal="80" workbookViewId="0">
      <pane xSplit="6" ySplit="1" topLeftCell="I2" activePane="bottomRight" state="frozen"/>
      <selection pane="topRight" activeCell="G1" sqref="G1"/>
      <selection pane="bottomLeft" activeCell="A2" sqref="A2"/>
      <selection pane="bottomRight" activeCell="S6" sqref="S6"/>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1" width="53.87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1423</v>
      </c>
      <c r="L1" s="1" t="s">
        <v>1427</v>
      </c>
      <c r="M1" s="1" t="s">
        <v>10</v>
      </c>
      <c r="N1" s="1" t="s">
        <v>304</v>
      </c>
      <c r="O1" s="1" t="s">
        <v>19</v>
      </c>
      <c r="P1" s="1" t="s">
        <v>259</v>
      </c>
      <c r="Q1" s="1" t="s">
        <v>1429</v>
      </c>
      <c r="R1" s="1" t="s">
        <v>260</v>
      </c>
      <c r="S1" s="1" t="s">
        <v>261</v>
      </c>
      <c r="T1" s="1" t="s">
        <v>102</v>
      </c>
      <c r="U1" s="1" t="s">
        <v>11</v>
      </c>
      <c r="V1" s="1" t="s">
        <v>14</v>
      </c>
      <c r="W1" s="1" t="s">
        <v>101</v>
      </c>
      <c r="X1" s="1" t="s">
        <v>442</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1425</v>
      </c>
      <c r="AO1" s="1" t="s">
        <v>1426</v>
      </c>
      <c r="AP1" s="1" t="s">
        <v>106</v>
      </c>
      <c r="AQ1" s="1" t="s">
        <v>107</v>
      </c>
      <c r="AR1" s="1" t="s">
        <v>258</v>
      </c>
      <c r="AS1" s="1" t="s">
        <v>257</v>
      </c>
      <c r="AT1" s="1" t="s">
        <v>109</v>
      </c>
      <c r="AU1" s="1" t="s">
        <v>16</v>
      </c>
      <c r="AV1" s="1" t="s">
        <v>0</v>
      </c>
      <c r="AW1" s="1" t="s">
        <v>12</v>
      </c>
      <c r="AX1" s="3" t="s">
        <v>1100</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3"/>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376</v>
      </c>
      <c r="AK2" s="4" t="s">
        <v>369</v>
      </c>
      <c r="AL2" s="4" t="s">
        <v>371</v>
      </c>
      <c r="AM2" s="5" t="s">
        <v>362</v>
      </c>
      <c r="AN2" s="5"/>
      <c r="AO2" s="5" t="s">
        <v>367</v>
      </c>
      <c r="AP2" s="5" t="s">
        <v>551</v>
      </c>
      <c r="AQ2" s="5" t="s">
        <v>552</v>
      </c>
      <c r="AR2" s="32" t="s">
        <v>335</v>
      </c>
      <c r="AS2" s="35" t="s">
        <v>749</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3"/>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372</v>
      </c>
      <c r="AM3" s="5" t="s">
        <v>364</v>
      </c>
      <c r="AN3" s="5"/>
      <c r="AO3" s="5" t="s">
        <v>367</v>
      </c>
      <c r="AP3" s="5">
        <v>47.238161699999999</v>
      </c>
      <c r="AQ3" s="5">
        <v>6.0234543</v>
      </c>
      <c r="AR3" s="32" t="s">
        <v>336</v>
      </c>
      <c r="AS3" s="35" t="s">
        <v>750</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3"/>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373</v>
      </c>
      <c r="AM4" s="5" t="s">
        <v>365</v>
      </c>
      <c r="AN4" s="5"/>
      <c r="AO4" s="5" t="s">
        <v>367</v>
      </c>
      <c r="AP4" s="5" t="s">
        <v>553</v>
      </c>
      <c r="AQ4" s="5" t="s">
        <v>554</v>
      </c>
      <c r="AR4" s="32" t="s">
        <v>357</v>
      </c>
      <c r="AS4" s="35" t="s">
        <v>751</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1304</v>
      </c>
      <c r="Q5" s="33"/>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376</v>
      </c>
      <c r="AK5" s="4" t="s">
        <v>369</v>
      </c>
      <c r="AL5" s="4" t="s">
        <v>374</v>
      </c>
      <c r="AM5" s="5" t="s">
        <v>366</v>
      </c>
      <c r="AN5" s="5"/>
      <c r="AO5" s="5" t="s">
        <v>367</v>
      </c>
      <c r="AP5" s="5" t="s">
        <v>555</v>
      </c>
      <c r="AQ5" s="5" t="s">
        <v>556</v>
      </c>
      <c r="AR5" s="32" t="s">
        <v>358</v>
      </c>
      <c r="AS5" s="35" t="s">
        <v>752</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375</v>
      </c>
      <c r="AM6" s="11" t="s">
        <v>370</v>
      </c>
      <c r="AN6" s="11"/>
      <c r="AO6" s="5" t="s">
        <v>367</v>
      </c>
      <c r="AP6" s="11" t="s">
        <v>557</v>
      </c>
      <c r="AQ6" s="11" t="s">
        <v>558</v>
      </c>
      <c r="AR6" s="32" t="s">
        <v>443</v>
      </c>
      <c r="AS6" s="35" t="s">
        <v>753</v>
      </c>
      <c r="AT6" s="5" t="s">
        <v>75</v>
      </c>
      <c r="AU6" s="11" t="s">
        <v>377</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375</v>
      </c>
      <c r="AM7" s="11" t="s">
        <v>370</v>
      </c>
      <c r="AN7" s="11"/>
      <c r="AO7" s="5" t="s">
        <v>367</v>
      </c>
      <c r="AP7" s="11" t="s">
        <v>559</v>
      </c>
      <c r="AQ7" s="11" t="s">
        <v>560</v>
      </c>
      <c r="AR7" s="32" t="s">
        <v>444</v>
      </c>
      <c r="AS7" s="35" t="s">
        <v>754</v>
      </c>
      <c r="AT7" s="5" t="s">
        <v>75</v>
      </c>
      <c r="AU7" s="11" t="s">
        <v>377</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375</v>
      </c>
      <c r="AM8" s="11" t="s">
        <v>370</v>
      </c>
      <c r="AN8" s="11"/>
      <c r="AO8" s="5" t="s">
        <v>367</v>
      </c>
      <c r="AP8" s="11" t="s">
        <v>561</v>
      </c>
      <c r="AQ8" s="11" t="s">
        <v>562</v>
      </c>
      <c r="AR8" s="32" t="s">
        <v>445</v>
      </c>
      <c r="AS8" s="35" t="s">
        <v>755</v>
      </c>
      <c r="AT8" s="5" t="s">
        <v>75</v>
      </c>
      <c r="AU8" s="11" t="s">
        <v>377</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375</v>
      </c>
      <c r="AM9" s="11" t="s">
        <v>370</v>
      </c>
      <c r="AN9" s="11"/>
      <c r="AO9" s="5" t="s">
        <v>367</v>
      </c>
      <c r="AP9" s="11" t="s">
        <v>563</v>
      </c>
      <c r="AQ9" s="11" t="s">
        <v>564</v>
      </c>
      <c r="AR9" s="32" t="s">
        <v>446</v>
      </c>
      <c r="AS9" s="35" t="s">
        <v>756</v>
      </c>
      <c r="AT9" s="5" t="s">
        <v>75</v>
      </c>
      <c r="AU9" s="11" t="s">
        <v>377</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375</v>
      </c>
      <c r="AM10" s="11" t="s">
        <v>370</v>
      </c>
      <c r="AN10" s="11"/>
      <c r="AO10" s="5" t="s">
        <v>367</v>
      </c>
      <c r="AP10" s="11" t="s">
        <v>565</v>
      </c>
      <c r="AQ10" s="11" t="s">
        <v>566</v>
      </c>
      <c r="AR10" s="32" t="s">
        <v>447</v>
      </c>
      <c r="AS10" s="35" t="s">
        <v>757</v>
      </c>
      <c r="AT10" s="5" t="s">
        <v>75</v>
      </c>
      <c r="AU10" s="11" t="s">
        <v>377</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375</v>
      </c>
      <c r="AM11" s="11" t="s">
        <v>370</v>
      </c>
      <c r="AN11" s="11"/>
      <c r="AO11" s="5" t="s">
        <v>367</v>
      </c>
      <c r="AP11" s="11" t="s">
        <v>567</v>
      </c>
      <c r="AQ11" s="11" t="s">
        <v>568</v>
      </c>
      <c r="AR11" s="32" t="s">
        <v>448</v>
      </c>
      <c r="AS11" s="35" t="s">
        <v>758</v>
      </c>
      <c r="AT11" s="5" t="s">
        <v>75</v>
      </c>
      <c r="AU11" s="11" t="s">
        <v>377</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375</v>
      </c>
      <c r="AM12" s="11" t="s">
        <v>370</v>
      </c>
      <c r="AN12" s="11"/>
      <c r="AO12" s="5" t="s">
        <v>367</v>
      </c>
      <c r="AP12" s="11" t="s">
        <v>569</v>
      </c>
      <c r="AQ12" s="11" t="s">
        <v>570</v>
      </c>
      <c r="AR12" s="32" t="s">
        <v>449</v>
      </c>
      <c r="AS12" s="35" t="s">
        <v>759</v>
      </c>
      <c r="AT12" s="5" t="s">
        <v>75</v>
      </c>
      <c r="AU12" s="11" t="s">
        <v>377</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375</v>
      </c>
      <c r="AM13" s="11" t="s">
        <v>370</v>
      </c>
      <c r="AN13" s="11"/>
      <c r="AO13" s="5" t="s">
        <v>367</v>
      </c>
      <c r="AP13" s="11" t="s">
        <v>571</v>
      </c>
      <c r="AQ13" s="11" t="s">
        <v>572</v>
      </c>
      <c r="AR13" s="32" t="s">
        <v>450</v>
      </c>
      <c r="AS13" s="35" t="s">
        <v>760</v>
      </c>
      <c r="AT13" s="5" t="s">
        <v>75</v>
      </c>
      <c r="AU13" s="11" t="s">
        <v>377</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375</v>
      </c>
      <c r="AM14" s="11" t="s">
        <v>370</v>
      </c>
      <c r="AN14" s="11"/>
      <c r="AO14" s="5" t="s">
        <v>367</v>
      </c>
      <c r="AP14" s="11" t="s">
        <v>573</v>
      </c>
      <c r="AQ14" s="11" t="s">
        <v>574</v>
      </c>
      <c r="AR14" s="32" t="s">
        <v>451</v>
      </c>
      <c r="AS14" s="35" t="s">
        <v>761</v>
      </c>
      <c r="AT14" s="5" t="s">
        <v>75</v>
      </c>
      <c r="AU14" s="11" t="s">
        <v>377</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375</v>
      </c>
      <c r="AM15" s="11" t="s">
        <v>370</v>
      </c>
      <c r="AN15" s="11"/>
      <c r="AO15" s="5" t="s">
        <v>367</v>
      </c>
      <c r="AP15" s="11" t="s">
        <v>575</v>
      </c>
      <c r="AQ15" s="11" t="s">
        <v>576</v>
      </c>
      <c r="AR15" s="32" t="s">
        <v>452</v>
      </c>
      <c r="AS15" s="35" t="s">
        <v>762</v>
      </c>
      <c r="AT15" s="5" t="s">
        <v>75</v>
      </c>
      <c r="AU15" s="11" t="s">
        <v>377</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375</v>
      </c>
      <c r="AM16" s="11" t="s">
        <v>370</v>
      </c>
      <c r="AN16" s="11"/>
      <c r="AO16" s="5" t="s">
        <v>367</v>
      </c>
      <c r="AP16" s="11" t="s">
        <v>575</v>
      </c>
      <c r="AQ16" s="11" t="s">
        <v>577</v>
      </c>
      <c r="AR16" s="32" t="s">
        <v>453</v>
      </c>
      <c r="AS16" s="35" t="s">
        <v>763</v>
      </c>
      <c r="AT16" s="5" t="s">
        <v>75</v>
      </c>
      <c r="AU16" s="11" t="s">
        <v>377</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375</v>
      </c>
      <c r="AM17" s="11" t="s">
        <v>370</v>
      </c>
      <c r="AN17" s="11"/>
      <c r="AO17" s="5" t="s">
        <v>367</v>
      </c>
      <c r="AP17" s="11" t="s">
        <v>578</v>
      </c>
      <c r="AQ17" s="11" t="s">
        <v>579</v>
      </c>
      <c r="AR17" s="32" t="s">
        <v>454</v>
      </c>
      <c r="AS17" s="35" t="s">
        <v>764</v>
      </c>
      <c r="AT17" s="5" t="s">
        <v>75</v>
      </c>
      <c r="AU17" s="11" t="s">
        <v>377</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375</v>
      </c>
      <c r="AM18" s="11" t="s">
        <v>370</v>
      </c>
      <c r="AN18" s="11"/>
      <c r="AO18" s="5" t="s">
        <v>367</v>
      </c>
      <c r="AP18" s="11" t="s">
        <v>580</v>
      </c>
      <c r="AQ18" s="11" t="s">
        <v>581</v>
      </c>
      <c r="AR18" s="32" t="s">
        <v>455</v>
      </c>
      <c r="AS18" s="35" t="s">
        <v>765</v>
      </c>
      <c r="AT18" s="5" t="s">
        <v>75</v>
      </c>
      <c r="AU18" s="11" t="s">
        <v>377</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376</v>
      </c>
      <c r="AK19" s="4" t="s">
        <v>369</v>
      </c>
      <c r="AL19" s="4" t="s">
        <v>379</v>
      </c>
      <c r="AM19" s="11" t="s">
        <v>378</v>
      </c>
      <c r="AN19" s="11"/>
      <c r="AO19" s="5" t="s">
        <v>367</v>
      </c>
      <c r="AP19" s="11" t="s">
        <v>582</v>
      </c>
      <c r="AQ19" s="11" t="s">
        <v>583</v>
      </c>
      <c r="AR19" s="32" t="s">
        <v>456</v>
      </c>
      <c r="AS19" s="35" t="s">
        <v>766</v>
      </c>
      <c r="AT19" s="5" t="s">
        <v>75</v>
      </c>
      <c r="AU19" s="11" t="s">
        <v>377</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376</v>
      </c>
      <c r="AK20" s="4" t="s">
        <v>369</v>
      </c>
      <c r="AL20" s="4" t="s">
        <v>379</v>
      </c>
      <c r="AM20" s="11" t="s">
        <v>378</v>
      </c>
      <c r="AN20" s="11"/>
      <c r="AO20" s="5" t="s">
        <v>367</v>
      </c>
      <c r="AP20" s="11" t="s">
        <v>584</v>
      </c>
      <c r="AQ20" s="11" t="s">
        <v>585</v>
      </c>
      <c r="AR20" s="32" t="s">
        <v>457</v>
      </c>
      <c r="AS20" s="36" t="s">
        <v>767</v>
      </c>
      <c r="AT20" s="5" t="s">
        <v>75</v>
      </c>
      <c r="AU20" s="11" t="s">
        <v>377</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376</v>
      </c>
      <c r="AK21" s="4" t="s">
        <v>369</v>
      </c>
      <c r="AL21" s="4" t="s">
        <v>379</v>
      </c>
      <c r="AM21" s="11" t="s">
        <v>378</v>
      </c>
      <c r="AN21" s="11"/>
      <c r="AO21" s="5" t="s">
        <v>367</v>
      </c>
      <c r="AP21" s="11" t="s">
        <v>586</v>
      </c>
      <c r="AQ21" s="11" t="s">
        <v>587</v>
      </c>
      <c r="AR21" s="32" t="s">
        <v>458</v>
      </c>
      <c r="AS21" s="36" t="s">
        <v>768</v>
      </c>
      <c r="AT21" s="5" t="s">
        <v>75</v>
      </c>
      <c r="AU21" s="11" t="s">
        <v>377</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376</v>
      </c>
      <c r="AK22" s="4" t="s">
        <v>369</v>
      </c>
      <c r="AL22" s="4" t="s">
        <v>379</v>
      </c>
      <c r="AM22" s="11" t="s">
        <v>378</v>
      </c>
      <c r="AN22" s="11"/>
      <c r="AO22" s="5" t="s">
        <v>367</v>
      </c>
      <c r="AP22" s="11" t="s">
        <v>588</v>
      </c>
      <c r="AQ22" s="11" t="s">
        <v>589</v>
      </c>
      <c r="AR22" s="32" t="s">
        <v>459</v>
      </c>
      <c r="AS22" s="36" t="s">
        <v>769</v>
      </c>
      <c r="AT22" s="5" t="s">
        <v>75</v>
      </c>
      <c r="AU22" s="11" t="s">
        <v>377</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376</v>
      </c>
      <c r="AK23" s="4" t="s">
        <v>369</v>
      </c>
      <c r="AL23" s="4" t="s">
        <v>379</v>
      </c>
      <c r="AM23" s="11" t="s">
        <v>378</v>
      </c>
      <c r="AN23" s="11"/>
      <c r="AO23" s="5" t="s">
        <v>367</v>
      </c>
      <c r="AP23" s="11" t="s">
        <v>590</v>
      </c>
      <c r="AQ23" s="11" t="s">
        <v>591</v>
      </c>
      <c r="AR23" s="32" t="s">
        <v>460</v>
      </c>
      <c r="AS23" s="36" t="s">
        <v>770</v>
      </c>
      <c r="AT23" s="5" t="s">
        <v>75</v>
      </c>
      <c r="AU23" s="11" t="s">
        <v>377</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376</v>
      </c>
      <c r="AK24" s="4" t="s">
        <v>369</v>
      </c>
      <c r="AL24" s="4" t="s">
        <v>379</v>
      </c>
      <c r="AM24" s="11" t="s">
        <v>378</v>
      </c>
      <c r="AN24" s="11"/>
      <c r="AO24" s="5" t="s">
        <v>367</v>
      </c>
      <c r="AP24" s="11" t="s">
        <v>592</v>
      </c>
      <c r="AQ24" s="11" t="s">
        <v>593</v>
      </c>
      <c r="AR24" s="32" t="s">
        <v>461</v>
      </c>
      <c r="AS24" s="36" t="s">
        <v>771</v>
      </c>
      <c r="AT24" s="5" t="s">
        <v>75</v>
      </c>
      <c r="AU24" s="11" t="s">
        <v>377</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376</v>
      </c>
      <c r="AK25" s="4" t="s">
        <v>369</v>
      </c>
      <c r="AL25" s="4" t="s">
        <v>379</v>
      </c>
      <c r="AM25" s="11" t="s">
        <v>378</v>
      </c>
      <c r="AN25" s="11"/>
      <c r="AO25" s="5" t="s">
        <v>367</v>
      </c>
      <c r="AP25" s="11" t="s">
        <v>594</v>
      </c>
      <c r="AQ25" s="11" t="s">
        <v>595</v>
      </c>
      <c r="AR25" s="32" t="s">
        <v>462</v>
      </c>
      <c r="AS25" s="36" t="s">
        <v>772</v>
      </c>
      <c r="AT25" s="5" t="s">
        <v>75</v>
      </c>
      <c r="AU25" s="11" t="s">
        <v>377</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376</v>
      </c>
      <c r="AK26" s="4" t="s">
        <v>369</v>
      </c>
      <c r="AL26" s="4" t="s">
        <v>379</v>
      </c>
      <c r="AM26" s="11" t="s">
        <v>378</v>
      </c>
      <c r="AN26" s="11"/>
      <c r="AO26" s="5" t="s">
        <v>367</v>
      </c>
      <c r="AP26" s="11" t="s">
        <v>596</v>
      </c>
      <c r="AQ26" s="11" t="s">
        <v>597</v>
      </c>
      <c r="AR26" s="32" t="s">
        <v>463</v>
      </c>
      <c r="AS26" s="36" t="s">
        <v>773</v>
      </c>
      <c r="AT26" s="5" t="s">
        <v>75</v>
      </c>
      <c r="AU26" s="11" t="s">
        <v>377</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376</v>
      </c>
      <c r="AK27" s="4" t="s">
        <v>369</v>
      </c>
      <c r="AL27" s="4" t="s">
        <v>379</v>
      </c>
      <c r="AM27" s="11" t="s">
        <v>378</v>
      </c>
      <c r="AN27" s="11"/>
      <c r="AO27" s="5" t="s">
        <v>367</v>
      </c>
      <c r="AP27" s="11" t="s">
        <v>598</v>
      </c>
      <c r="AQ27" s="11" t="s">
        <v>599</v>
      </c>
      <c r="AR27" s="32" t="s">
        <v>464</v>
      </c>
      <c r="AS27" s="36" t="s">
        <v>774</v>
      </c>
      <c r="AT27" s="5" t="s">
        <v>75</v>
      </c>
      <c r="AU27" s="11" t="s">
        <v>377</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376</v>
      </c>
      <c r="AK28" s="4" t="s">
        <v>369</v>
      </c>
      <c r="AL28" s="4" t="s">
        <v>379</v>
      </c>
      <c r="AM28" s="11" t="s">
        <v>378</v>
      </c>
      <c r="AN28" s="11"/>
      <c r="AO28" s="5" t="s">
        <v>367</v>
      </c>
      <c r="AP28" s="11" t="s">
        <v>600</v>
      </c>
      <c r="AQ28" s="11" t="s">
        <v>601</v>
      </c>
      <c r="AR28" s="32" t="s">
        <v>465</v>
      </c>
      <c r="AS28" s="36" t="s">
        <v>775</v>
      </c>
      <c r="AT28" s="5" t="s">
        <v>75</v>
      </c>
      <c r="AU28" s="11" t="s">
        <v>377</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376</v>
      </c>
      <c r="AK29" s="4" t="s">
        <v>369</v>
      </c>
      <c r="AL29" s="4" t="s">
        <v>379</v>
      </c>
      <c r="AM29" s="11" t="s">
        <v>378</v>
      </c>
      <c r="AN29" s="11"/>
      <c r="AO29" s="5" t="s">
        <v>367</v>
      </c>
      <c r="AP29" s="11" t="s">
        <v>602</v>
      </c>
      <c r="AQ29" s="11" t="s">
        <v>603</v>
      </c>
      <c r="AR29" s="32" t="s">
        <v>466</v>
      </c>
      <c r="AS29" s="36" t="s">
        <v>776</v>
      </c>
      <c r="AT29" s="5" t="s">
        <v>75</v>
      </c>
      <c r="AU29" s="11" t="s">
        <v>377</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376</v>
      </c>
      <c r="AK30" s="4" t="s">
        <v>369</v>
      </c>
      <c r="AL30" s="4" t="s">
        <v>379</v>
      </c>
      <c r="AM30" s="11" t="s">
        <v>378</v>
      </c>
      <c r="AN30" s="11"/>
      <c r="AO30" s="5" t="s">
        <v>367</v>
      </c>
      <c r="AP30" s="11" t="s">
        <v>604</v>
      </c>
      <c r="AQ30" s="11" t="s">
        <v>605</v>
      </c>
      <c r="AR30" s="32" t="s">
        <v>467</v>
      </c>
      <c r="AS30" s="36" t="s">
        <v>777</v>
      </c>
      <c r="AT30" s="5" t="s">
        <v>75</v>
      </c>
      <c r="AU30" s="11" t="s">
        <v>377</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441</v>
      </c>
      <c r="AM31" s="11" t="s">
        <v>606</v>
      </c>
      <c r="AN31" s="11"/>
      <c r="AO31" s="5" t="s">
        <v>367</v>
      </c>
      <c r="AP31" s="11" t="s">
        <v>613</v>
      </c>
      <c r="AQ31" s="11" t="s">
        <v>614</v>
      </c>
      <c r="AR31" s="32" t="s">
        <v>468</v>
      </c>
      <c r="AS31" s="35" t="s">
        <v>778</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609</v>
      </c>
      <c r="E32" s="26">
        <v>72101</v>
      </c>
      <c r="F32" s="10" t="s">
        <v>88</v>
      </c>
      <c r="G32" s="5" t="str">
        <f>Tableau1[[#This Row],[Rue]]&amp;CHAR(10)&amp;Tableau1[[#This Row],[Code Postal]]&amp;" - "&amp;Tableau1[[#This Row],[Ville]]</f>
        <v>19 Avenue Pierre Mendès France
72101 - Le Mans</v>
      </c>
      <c r="H32" s="15" t="s">
        <v>610</v>
      </c>
      <c r="I32" s="6" t="s">
        <v>45</v>
      </c>
      <c r="J32" s="6" t="s">
        <v>49</v>
      </c>
      <c r="K32" s="12" t="s">
        <v>103</v>
      </c>
      <c r="L32" s="12"/>
      <c r="M32" s="12" t="s">
        <v>103</v>
      </c>
      <c r="N32" s="36" t="s">
        <v>611</v>
      </c>
      <c r="O32" s="34">
        <v>10</v>
      </c>
      <c r="P32" s="6" t="s">
        <v>103</v>
      </c>
      <c r="Q32" s="34"/>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441</v>
      </c>
      <c r="AM32" s="11" t="s">
        <v>608</v>
      </c>
      <c r="AN32" s="11"/>
      <c r="AO32" s="5" t="s">
        <v>367</v>
      </c>
      <c r="AP32" s="11" t="s">
        <v>615</v>
      </c>
      <c r="AQ32" s="11" t="s">
        <v>616</v>
      </c>
      <c r="AR32" s="11" t="s">
        <v>469</v>
      </c>
      <c r="AS32" s="35" t="s">
        <v>778</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441</v>
      </c>
      <c r="AM33" s="11" t="s">
        <v>606</v>
      </c>
      <c r="AN33" s="11"/>
      <c r="AO33" s="5" t="s">
        <v>367</v>
      </c>
      <c r="AP33" s="11" t="s">
        <v>617</v>
      </c>
      <c r="AQ33" s="11" t="s">
        <v>618</v>
      </c>
      <c r="AR33" s="32" t="s">
        <v>470</v>
      </c>
      <c r="AS33" s="35" t="s">
        <v>778</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441</v>
      </c>
      <c r="AM34" s="11" t="s">
        <v>607</v>
      </c>
      <c r="AN34" s="11"/>
      <c r="AO34" s="5" t="s">
        <v>367</v>
      </c>
      <c r="AP34" s="11" t="s">
        <v>619</v>
      </c>
      <c r="AQ34" s="11" t="s">
        <v>620</v>
      </c>
      <c r="AR34" s="11" t="s">
        <v>471</v>
      </c>
      <c r="AS34" s="35" t="s">
        <v>778</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441</v>
      </c>
      <c r="AM35" s="11" t="s">
        <v>607</v>
      </c>
      <c r="AN35" s="11"/>
      <c r="AO35" s="5" t="s">
        <v>367</v>
      </c>
      <c r="AP35" s="11" t="s">
        <v>621</v>
      </c>
      <c r="AQ35" s="11" t="s">
        <v>622</v>
      </c>
      <c r="AR35" s="32" t="s">
        <v>472</v>
      </c>
      <c r="AS35" s="35" t="s">
        <v>778</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441</v>
      </c>
      <c r="AM36" s="11" t="s">
        <v>607</v>
      </c>
      <c r="AN36" s="11"/>
      <c r="AO36" s="5" t="s">
        <v>367</v>
      </c>
      <c r="AP36" s="11" t="s">
        <v>623</v>
      </c>
      <c r="AQ36" s="11" t="s">
        <v>624</v>
      </c>
      <c r="AR36" s="11" t="s">
        <v>473</v>
      </c>
      <c r="AS36" s="35" t="s">
        <v>778</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441</v>
      </c>
      <c r="AM37" s="11" t="s">
        <v>607</v>
      </c>
      <c r="AN37" s="11"/>
      <c r="AO37" s="5" t="s">
        <v>367</v>
      </c>
      <c r="AP37" s="11" t="s">
        <v>625</v>
      </c>
      <c r="AQ37" s="11" t="s">
        <v>626</v>
      </c>
      <c r="AR37" s="32" t="s">
        <v>474</v>
      </c>
      <c r="AS37" s="35" t="s">
        <v>778</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441</v>
      </c>
      <c r="AM38" s="11" t="s">
        <v>607</v>
      </c>
      <c r="AN38" s="11"/>
      <c r="AO38" s="5" t="s">
        <v>367</v>
      </c>
      <c r="AP38" s="11" t="s">
        <v>627</v>
      </c>
      <c r="AQ38" s="11" t="s">
        <v>628</v>
      </c>
      <c r="AR38" s="11" t="s">
        <v>475</v>
      </c>
      <c r="AS38" s="35" t="s">
        <v>778</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441</v>
      </c>
      <c r="AM39" s="11" t="s">
        <v>607</v>
      </c>
      <c r="AN39" s="11"/>
      <c r="AO39" s="5" t="s">
        <v>367</v>
      </c>
      <c r="AP39" s="11" t="s">
        <v>629</v>
      </c>
      <c r="AQ39" s="11" t="s">
        <v>630</v>
      </c>
      <c r="AR39" s="32" t="s">
        <v>612</v>
      </c>
      <c r="AS39" s="35" t="s">
        <v>778</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381</v>
      </c>
      <c r="AJ40" s="10" t="s">
        <v>75</v>
      </c>
      <c r="AK40" s="4" t="s">
        <v>369</v>
      </c>
      <c r="AL40" s="4" t="s">
        <v>383</v>
      </c>
      <c r="AM40" s="5" t="s">
        <v>382</v>
      </c>
      <c r="AN40" s="5"/>
      <c r="AO40" s="5" t="s">
        <v>367</v>
      </c>
      <c r="AP40" s="5" t="s">
        <v>631</v>
      </c>
      <c r="AQ40" s="5" t="s">
        <v>632</v>
      </c>
      <c r="AR40" s="32" t="s">
        <v>476</v>
      </c>
      <c r="AS40" s="35" t="s">
        <v>779</v>
      </c>
      <c r="AT40" s="5" t="s">
        <v>75</v>
      </c>
      <c r="AU40" s="11" t="s">
        <v>380</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3"/>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384</v>
      </c>
      <c r="AM41" s="5" t="s">
        <v>385</v>
      </c>
      <c r="AN41" s="5"/>
      <c r="AO41" s="5" t="s">
        <v>367</v>
      </c>
      <c r="AP41" s="5" t="s">
        <v>633</v>
      </c>
      <c r="AQ41" s="5" t="s">
        <v>634</v>
      </c>
      <c r="AR41" s="32" t="s">
        <v>477</v>
      </c>
      <c r="AS41" s="35" t="s">
        <v>780</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376</v>
      </c>
      <c r="AK42" s="4" t="s">
        <v>369</v>
      </c>
      <c r="AL42" s="4" t="s">
        <v>384</v>
      </c>
      <c r="AM42" s="5" t="s">
        <v>385</v>
      </c>
      <c r="AN42" s="5"/>
      <c r="AO42" s="5" t="s">
        <v>367</v>
      </c>
      <c r="AP42" s="11" t="s">
        <v>635</v>
      </c>
      <c r="AQ42" s="11" t="s">
        <v>636</v>
      </c>
      <c r="AR42" s="32" t="s">
        <v>478</v>
      </c>
      <c r="AS42" s="35" t="s">
        <v>781</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376</v>
      </c>
      <c r="AK43" s="4" t="s">
        <v>369</v>
      </c>
      <c r="AL43" s="4" t="s">
        <v>384</v>
      </c>
      <c r="AM43" s="5" t="s">
        <v>385</v>
      </c>
      <c r="AN43" s="5"/>
      <c r="AO43" s="5" t="s">
        <v>367</v>
      </c>
      <c r="AP43" s="11" t="s">
        <v>637</v>
      </c>
      <c r="AQ43" s="11" t="s">
        <v>638</v>
      </c>
      <c r="AR43" s="32" t="s">
        <v>479</v>
      </c>
      <c r="AS43" s="35" t="s">
        <v>782</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c r="Q44" s="34"/>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384</v>
      </c>
      <c r="AM44" s="5" t="s">
        <v>385</v>
      </c>
      <c r="AN44" s="5"/>
      <c r="AO44" s="5" t="s">
        <v>367</v>
      </c>
      <c r="AP44" s="11" t="s">
        <v>639</v>
      </c>
      <c r="AQ44" s="11" t="s">
        <v>640</v>
      </c>
      <c r="AR44" s="32" t="s">
        <v>480</v>
      </c>
      <c r="AS44" s="35" t="s">
        <v>783</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384</v>
      </c>
      <c r="AM45" s="5" t="s">
        <v>385</v>
      </c>
      <c r="AN45" s="5"/>
      <c r="AO45" s="5" t="s">
        <v>367</v>
      </c>
      <c r="AP45" s="11" t="s">
        <v>641</v>
      </c>
      <c r="AQ45" s="11" t="s">
        <v>642</v>
      </c>
      <c r="AR45" s="32" t="s">
        <v>481</v>
      </c>
      <c r="AS45" s="35" t="s">
        <v>784</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384</v>
      </c>
      <c r="AM46" s="5" t="s">
        <v>385</v>
      </c>
      <c r="AN46" s="5"/>
      <c r="AO46" s="5" t="s">
        <v>367</v>
      </c>
      <c r="AP46" s="11" t="s">
        <v>643</v>
      </c>
      <c r="AQ46" s="11" t="s">
        <v>644</v>
      </c>
      <c r="AR46" s="32" t="s">
        <v>482</v>
      </c>
      <c r="AS46" s="35" t="s">
        <v>785</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3"/>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388</v>
      </c>
      <c r="AM47" s="5" t="s">
        <v>386</v>
      </c>
      <c r="AN47" s="5"/>
      <c r="AO47" s="5" t="s">
        <v>367</v>
      </c>
      <c r="AP47" s="5" t="s">
        <v>645</v>
      </c>
      <c r="AQ47" s="5" t="s">
        <v>646</v>
      </c>
      <c r="AR47" s="32" t="s">
        <v>483</v>
      </c>
      <c r="AS47" s="35" t="s">
        <v>786</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3"/>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388</v>
      </c>
      <c r="AM48" s="11" t="s">
        <v>387</v>
      </c>
      <c r="AN48" s="11"/>
      <c r="AO48" s="5" t="s">
        <v>367</v>
      </c>
      <c r="AP48" s="11" t="s">
        <v>647</v>
      </c>
      <c r="AQ48" s="11" t="s">
        <v>648</v>
      </c>
      <c r="AR48" s="32" t="s">
        <v>484</v>
      </c>
      <c r="AS48" s="35" t="s">
        <v>787</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3"/>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381</v>
      </c>
      <c r="AJ49" s="10" t="s">
        <v>53</v>
      </c>
      <c r="AK49" s="4" t="s">
        <v>103</v>
      </c>
      <c r="AL49" s="4" t="s">
        <v>389</v>
      </c>
      <c r="AM49" s="11" t="s">
        <v>390</v>
      </c>
      <c r="AN49" s="11"/>
      <c r="AO49" s="5" t="s">
        <v>367</v>
      </c>
      <c r="AP49" s="11" t="s">
        <v>649</v>
      </c>
      <c r="AQ49" s="11" t="s">
        <v>650</v>
      </c>
      <c r="AR49" s="32" t="s">
        <v>485</v>
      </c>
      <c r="AS49" s="35" t="s">
        <v>788</v>
      </c>
      <c r="AT49" s="5" t="s">
        <v>75</v>
      </c>
      <c r="AU49" s="11" t="s">
        <v>377</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c r="R50" s="34" t="s">
        <v>103</v>
      </c>
      <c r="S50" s="6" t="s">
        <v>103</v>
      </c>
      <c r="T50" s="12">
        <f>Tableau1[[#This Row],[Loyer €/m²]]*Tableau1[[#This Row],[Surface GLA]]</f>
        <v>201600</v>
      </c>
      <c r="U50" s="6">
        <f>IFERROR(Tableau1[[#This Row],[Loyer annuel]]/12,"")</f>
        <v>16800</v>
      </c>
      <c r="V50" s="12">
        <v>300</v>
      </c>
      <c r="W50" s="6" t="s">
        <v>103</v>
      </c>
      <c r="X50" s="12" t="s">
        <v>391</v>
      </c>
      <c r="Y50" s="12" t="s">
        <v>391</v>
      </c>
      <c r="Z50" s="12" t="s">
        <v>391</v>
      </c>
      <c r="AA50" s="12" t="s">
        <v>391</v>
      </c>
      <c r="AB50" s="6" t="s">
        <v>391</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392</v>
      </c>
      <c r="AM50" s="11" t="s">
        <v>393</v>
      </c>
      <c r="AN50" s="11"/>
      <c r="AO50" s="5" t="s">
        <v>367</v>
      </c>
      <c r="AP50" s="11" t="s">
        <v>651</v>
      </c>
      <c r="AQ50" s="11" t="s">
        <v>652</v>
      </c>
      <c r="AR50" s="32" t="s">
        <v>308</v>
      </c>
      <c r="AS50" s="35" t="s">
        <v>1265</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3"/>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653</v>
      </c>
      <c r="AQ51" s="11" t="s">
        <v>654</v>
      </c>
      <c r="AR51" s="32" t="s">
        <v>486</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3"/>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395</v>
      </c>
      <c r="AM52" s="11" t="s">
        <v>396</v>
      </c>
      <c r="AN52" s="11"/>
      <c r="AO52" s="5" t="s">
        <v>367</v>
      </c>
      <c r="AP52" s="11" t="s">
        <v>655</v>
      </c>
      <c r="AQ52" s="11" t="s">
        <v>656</v>
      </c>
      <c r="AR52" s="32" t="s">
        <v>487</v>
      </c>
      <c r="AS52" s="35" t="s">
        <v>789</v>
      </c>
      <c r="AT52" s="5" t="s">
        <v>75</v>
      </c>
      <c r="AU52" s="11" t="s">
        <v>394</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3"/>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397</v>
      </c>
      <c r="AM53" s="11" t="s">
        <v>63</v>
      </c>
      <c r="AN53" s="11"/>
      <c r="AO53" s="5" t="s">
        <v>367</v>
      </c>
      <c r="AP53" s="11" t="s">
        <v>657</v>
      </c>
      <c r="AQ53" s="11" t="s">
        <v>658</v>
      </c>
      <c r="AR53" s="32" t="s">
        <v>488</v>
      </c>
      <c r="AS53" s="35" t="s">
        <v>790</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376</v>
      </c>
      <c r="AK54" s="4" t="s">
        <v>369</v>
      </c>
      <c r="AL54" s="4" t="s">
        <v>398</v>
      </c>
      <c r="AM54" s="11" t="s">
        <v>52</v>
      </c>
      <c r="AN54" s="11"/>
      <c r="AO54" s="5" t="s">
        <v>367</v>
      </c>
      <c r="AP54" s="11" t="s">
        <v>659</v>
      </c>
      <c r="AQ54" s="11" t="s">
        <v>660</v>
      </c>
      <c r="AR54" s="32" t="s">
        <v>489</v>
      </c>
      <c r="AS54" s="35" t="s">
        <v>791</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3"/>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399</v>
      </c>
      <c r="AM55" s="11" t="s">
        <v>72</v>
      </c>
      <c r="AN55" s="11"/>
      <c r="AO55" s="5" t="s">
        <v>367</v>
      </c>
      <c r="AP55" s="11" t="s">
        <v>661</v>
      </c>
      <c r="AQ55" s="11" t="s">
        <v>662</v>
      </c>
      <c r="AR55" s="32" t="s">
        <v>490</v>
      </c>
      <c r="AS55" s="35" t="s">
        <v>792</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1305</v>
      </c>
      <c r="Q56" s="33"/>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400</v>
      </c>
      <c r="AM56" s="11" t="s">
        <v>61</v>
      </c>
      <c r="AN56" s="11"/>
      <c r="AO56" s="5" t="s">
        <v>367</v>
      </c>
      <c r="AP56" s="11" t="s">
        <v>663</v>
      </c>
      <c r="AQ56" s="11" t="s">
        <v>664</v>
      </c>
      <c r="AR56" s="32" t="s">
        <v>491</v>
      </c>
      <c r="AS56" s="35" t="s">
        <v>793</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381</v>
      </c>
      <c r="AJ57" s="10" t="s">
        <v>376</v>
      </c>
      <c r="AK57" s="4" t="s">
        <v>369</v>
      </c>
      <c r="AL57" s="4" t="s">
        <v>103</v>
      </c>
      <c r="AM57" s="5" t="s">
        <v>401</v>
      </c>
      <c r="AN57" s="5"/>
      <c r="AO57" s="5" t="s">
        <v>367</v>
      </c>
      <c r="AP57" s="5" t="s">
        <v>665</v>
      </c>
      <c r="AQ57" s="5" t="s">
        <v>666</v>
      </c>
      <c r="AR57" s="32" t="s">
        <v>492</v>
      </c>
      <c r="AS57" s="35" t="s">
        <v>794</v>
      </c>
      <c r="AT57" s="5" t="s">
        <v>75</v>
      </c>
      <c r="AU57" s="11" t="s">
        <v>377</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381</v>
      </c>
      <c r="AJ58" s="10" t="s">
        <v>376</v>
      </c>
      <c r="AK58" s="4" t="s">
        <v>369</v>
      </c>
      <c r="AL58" s="4" t="s">
        <v>103</v>
      </c>
      <c r="AM58" s="5" t="s">
        <v>401</v>
      </c>
      <c r="AN58" s="5"/>
      <c r="AO58" s="5" t="s">
        <v>367</v>
      </c>
      <c r="AP58" s="11" t="s">
        <v>667</v>
      </c>
      <c r="AQ58" s="11" t="s">
        <v>668</v>
      </c>
      <c r="AR58" s="32" t="s">
        <v>493</v>
      </c>
      <c r="AS58" s="35" t="s">
        <v>795</v>
      </c>
      <c r="AT58" s="5" t="s">
        <v>75</v>
      </c>
      <c r="AU58" s="11" t="s">
        <v>377</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381</v>
      </c>
      <c r="AJ59" s="10" t="s">
        <v>376</v>
      </c>
      <c r="AK59" s="4" t="s">
        <v>369</v>
      </c>
      <c r="AL59" s="4" t="s">
        <v>103</v>
      </c>
      <c r="AM59" s="5" t="s">
        <v>401</v>
      </c>
      <c r="AN59" s="5"/>
      <c r="AO59" s="5" t="s">
        <v>367</v>
      </c>
      <c r="AP59" s="11" t="s">
        <v>669</v>
      </c>
      <c r="AQ59" s="11" t="s">
        <v>670</v>
      </c>
      <c r="AR59" s="32" t="s">
        <v>494</v>
      </c>
      <c r="AS59" s="35" t="s">
        <v>796</v>
      </c>
      <c r="AT59" s="5" t="s">
        <v>75</v>
      </c>
      <c r="AU59" s="11" t="s">
        <v>377</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381</v>
      </c>
      <c r="AJ60" s="10" t="s">
        <v>376</v>
      </c>
      <c r="AK60" s="4" t="s">
        <v>369</v>
      </c>
      <c r="AL60" s="4" t="s">
        <v>103</v>
      </c>
      <c r="AM60" s="5" t="s">
        <v>401</v>
      </c>
      <c r="AN60" s="5"/>
      <c r="AO60" s="5" t="s">
        <v>367</v>
      </c>
      <c r="AP60" s="11" t="s">
        <v>671</v>
      </c>
      <c r="AQ60" s="11" t="s">
        <v>672</v>
      </c>
      <c r="AR60" s="32" t="s">
        <v>495</v>
      </c>
      <c r="AS60" s="35" t="s">
        <v>797</v>
      </c>
      <c r="AT60" s="5" t="s">
        <v>75</v>
      </c>
      <c r="AU60" s="11" t="s">
        <v>377</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381</v>
      </c>
      <c r="AJ61" s="10" t="s">
        <v>376</v>
      </c>
      <c r="AK61" s="4" t="s">
        <v>369</v>
      </c>
      <c r="AL61" s="4" t="s">
        <v>103</v>
      </c>
      <c r="AM61" s="5" t="s">
        <v>401</v>
      </c>
      <c r="AN61" s="5"/>
      <c r="AO61" s="5" t="s">
        <v>367</v>
      </c>
      <c r="AP61" s="11" t="s">
        <v>673</v>
      </c>
      <c r="AQ61" s="11" t="s">
        <v>674</v>
      </c>
      <c r="AR61" s="32" t="s">
        <v>496</v>
      </c>
      <c r="AS61" s="35" t="s">
        <v>798</v>
      </c>
      <c r="AT61" s="5" t="s">
        <v>75</v>
      </c>
      <c r="AU61" s="11" t="s">
        <v>377</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381</v>
      </c>
      <c r="AJ62" s="10" t="s">
        <v>376</v>
      </c>
      <c r="AK62" s="4" t="s">
        <v>369</v>
      </c>
      <c r="AL62" s="4" t="s">
        <v>103</v>
      </c>
      <c r="AM62" s="5" t="s">
        <v>401</v>
      </c>
      <c r="AN62" s="5"/>
      <c r="AO62" s="5" t="s">
        <v>367</v>
      </c>
      <c r="AP62" s="11" t="s">
        <v>675</v>
      </c>
      <c r="AQ62" s="11" t="s">
        <v>674</v>
      </c>
      <c r="AR62" s="32" t="s">
        <v>497</v>
      </c>
      <c r="AS62" s="35" t="s">
        <v>799</v>
      </c>
      <c r="AT62" s="5" t="s">
        <v>75</v>
      </c>
      <c r="AU62" s="11" t="s">
        <v>377</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381</v>
      </c>
      <c r="AJ63" s="10" t="s">
        <v>376</v>
      </c>
      <c r="AK63" s="4" t="s">
        <v>369</v>
      </c>
      <c r="AL63" s="4" t="s">
        <v>103</v>
      </c>
      <c r="AM63" s="5" t="s">
        <v>401</v>
      </c>
      <c r="AN63" s="5"/>
      <c r="AO63" s="5" t="s">
        <v>367</v>
      </c>
      <c r="AP63" s="11" t="s">
        <v>676</v>
      </c>
      <c r="AQ63" s="11" t="s">
        <v>677</v>
      </c>
      <c r="AR63" s="32" t="s">
        <v>498</v>
      </c>
      <c r="AS63" s="35" t="s">
        <v>800</v>
      </c>
      <c r="AT63" s="5" t="s">
        <v>75</v>
      </c>
      <c r="AU63" s="11" t="s">
        <v>377</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381</v>
      </c>
      <c r="AJ64" s="10" t="s">
        <v>376</v>
      </c>
      <c r="AK64" s="4" t="s">
        <v>369</v>
      </c>
      <c r="AL64" s="4" t="s">
        <v>103</v>
      </c>
      <c r="AM64" s="5" t="s">
        <v>401</v>
      </c>
      <c r="AN64" s="5"/>
      <c r="AO64" s="5" t="s">
        <v>367</v>
      </c>
      <c r="AP64" s="11" t="s">
        <v>678</v>
      </c>
      <c r="AQ64" s="11" t="s">
        <v>679</v>
      </c>
      <c r="AR64" s="32" t="s">
        <v>499</v>
      </c>
      <c r="AS64" s="35" t="s">
        <v>801</v>
      </c>
      <c r="AT64" s="5" t="s">
        <v>75</v>
      </c>
      <c r="AU64" s="11" t="s">
        <v>377</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381</v>
      </c>
      <c r="AJ65" s="10" t="s">
        <v>53</v>
      </c>
      <c r="AK65" s="4" t="s">
        <v>368</v>
      </c>
      <c r="AL65" s="4" t="s">
        <v>405</v>
      </c>
      <c r="AM65" s="5" t="s">
        <v>402</v>
      </c>
      <c r="AN65" s="5"/>
      <c r="AO65" s="5" t="s">
        <v>367</v>
      </c>
      <c r="AP65" s="5" t="s">
        <v>680</v>
      </c>
      <c r="AQ65" s="5" t="s">
        <v>681</v>
      </c>
      <c r="AR65" s="32" t="s">
        <v>500</v>
      </c>
      <c r="AS65" s="35" t="s">
        <v>802</v>
      </c>
      <c r="AT65" s="5" t="s">
        <v>75</v>
      </c>
      <c r="AU65" s="11" t="s">
        <v>403</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381</v>
      </c>
      <c r="AJ66" s="10" t="s">
        <v>75</v>
      </c>
      <c r="AK66" s="10" t="s">
        <v>369</v>
      </c>
      <c r="AL66" s="4" t="s">
        <v>405</v>
      </c>
      <c r="AM66" s="5" t="s">
        <v>402</v>
      </c>
      <c r="AN66" s="5"/>
      <c r="AO66" s="5" t="s">
        <v>367</v>
      </c>
      <c r="AP66" s="11" t="s">
        <v>682</v>
      </c>
      <c r="AQ66" s="11" t="s">
        <v>683</v>
      </c>
      <c r="AR66" s="32" t="s">
        <v>501</v>
      </c>
      <c r="AS66" s="36" t="s">
        <v>803</v>
      </c>
      <c r="AT66" s="5" t="s">
        <v>75</v>
      </c>
      <c r="AU66" s="11" t="s">
        <v>404</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869</v>
      </c>
      <c r="I67" s="6" t="s">
        <v>45</v>
      </c>
      <c r="J67" s="6" t="s">
        <v>44</v>
      </c>
      <c r="K67" s="12" t="s">
        <v>103</v>
      </c>
      <c r="L67" s="12"/>
      <c r="M67" s="12" t="s">
        <v>103</v>
      </c>
      <c r="N67" s="35" t="s">
        <v>856</v>
      </c>
      <c r="O67" s="34">
        <v>321</v>
      </c>
      <c r="P67" s="6" t="s">
        <v>103</v>
      </c>
      <c r="Q67" s="34"/>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381</v>
      </c>
      <c r="AJ67" s="10" t="s">
        <v>75</v>
      </c>
      <c r="AK67" s="10" t="s">
        <v>369</v>
      </c>
      <c r="AL67" s="4" t="s">
        <v>868</v>
      </c>
      <c r="AM67" s="5" t="s">
        <v>356</v>
      </c>
      <c r="AN67" s="5"/>
      <c r="AO67" s="5" t="s">
        <v>367</v>
      </c>
      <c r="AP67" s="5" t="s">
        <v>860</v>
      </c>
      <c r="AQ67" s="5" t="s">
        <v>861</v>
      </c>
      <c r="AR67" s="32" t="s">
        <v>502</v>
      </c>
      <c r="AS67" s="35" t="s">
        <v>1071</v>
      </c>
      <c r="AT67" s="5" t="s">
        <v>75</v>
      </c>
      <c r="AU67" s="11" t="s">
        <v>377</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870</v>
      </c>
      <c r="I68" s="6" t="s">
        <v>45</v>
      </c>
      <c r="J68" s="6" t="s">
        <v>44</v>
      </c>
      <c r="K68" s="12" t="s">
        <v>103</v>
      </c>
      <c r="L68" s="12"/>
      <c r="M68" s="12" t="s">
        <v>103</v>
      </c>
      <c r="N68" s="36" t="s">
        <v>857</v>
      </c>
      <c r="O68" s="34">
        <v>159</v>
      </c>
      <c r="P68" s="6" t="s">
        <v>103</v>
      </c>
      <c r="Q68" s="34"/>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381</v>
      </c>
      <c r="AJ68" s="10" t="s">
        <v>75</v>
      </c>
      <c r="AK68" s="10" t="s">
        <v>369</v>
      </c>
      <c r="AL68" s="4" t="s">
        <v>868</v>
      </c>
      <c r="AM68" s="5" t="s">
        <v>356</v>
      </c>
      <c r="AN68" s="5"/>
      <c r="AO68" s="5" t="s">
        <v>367</v>
      </c>
      <c r="AP68" s="11" t="s">
        <v>862</v>
      </c>
      <c r="AQ68" s="11" t="s">
        <v>863</v>
      </c>
      <c r="AR68" s="32" t="s">
        <v>503</v>
      </c>
      <c r="AS68" s="35" t="s">
        <v>1072</v>
      </c>
      <c r="AT68" s="5" t="s">
        <v>75</v>
      </c>
      <c r="AU68" s="11" t="s">
        <v>377</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871</v>
      </c>
      <c r="I69" s="6" t="s">
        <v>45</v>
      </c>
      <c r="J69" s="6" t="s">
        <v>44</v>
      </c>
      <c r="K69" s="12" t="s">
        <v>103</v>
      </c>
      <c r="L69" s="12"/>
      <c r="M69" s="12" t="s">
        <v>103</v>
      </c>
      <c r="N69" s="36" t="s">
        <v>858</v>
      </c>
      <c r="O69" s="34">
        <v>281</v>
      </c>
      <c r="P69" s="6" t="s">
        <v>103</v>
      </c>
      <c r="Q69" s="34"/>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381</v>
      </c>
      <c r="AJ69" s="10" t="s">
        <v>75</v>
      </c>
      <c r="AK69" s="10" t="s">
        <v>369</v>
      </c>
      <c r="AL69" s="4" t="s">
        <v>868</v>
      </c>
      <c r="AM69" s="5" t="s">
        <v>356</v>
      </c>
      <c r="AN69" s="5"/>
      <c r="AO69" s="5" t="s">
        <v>367</v>
      </c>
      <c r="AP69" s="11" t="s">
        <v>864</v>
      </c>
      <c r="AQ69" s="11" t="s">
        <v>865</v>
      </c>
      <c r="AR69" s="32" t="s">
        <v>504</v>
      </c>
      <c r="AS69" s="35" t="s">
        <v>1073</v>
      </c>
      <c r="AT69" s="5" t="s">
        <v>75</v>
      </c>
      <c r="AU69" s="11" t="s">
        <v>377</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872</v>
      </c>
      <c r="I70" s="6" t="s">
        <v>45</v>
      </c>
      <c r="J70" s="6" t="s">
        <v>44</v>
      </c>
      <c r="K70" s="12" t="s">
        <v>103</v>
      </c>
      <c r="L70" s="12"/>
      <c r="M70" s="12" t="s">
        <v>103</v>
      </c>
      <c r="N70" s="36" t="s">
        <v>859</v>
      </c>
      <c r="O70" s="34">
        <v>168</v>
      </c>
      <c r="P70" s="6" t="s">
        <v>103</v>
      </c>
      <c r="Q70" s="34"/>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381</v>
      </c>
      <c r="AJ70" s="10" t="s">
        <v>75</v>
      </c>
      <c r="AK70" s="10" t="s">
        <v>369</v>
      </c>
      <c r="AL70" s="4" t="s">
        <v>868</v>
      </c>
      <c r="AM70" s="5" t="s">
        <v>356</v>
      </c>
      <c r="AN70" s="5"/>
      <c r="AO70" s="5" t="s">
        <v>367</v>
      </c>
      <c r="AP70" s="11" t="s">
        <v>866</v>
      </c>
      <c r="AQ70" s="11" t="s">
        <v>867</v>
      </c>
      <c r="AR70" s="32" t="s">
        <v>505</v>
      </c>
      <c r="AS70" s="35" t="s">
        <v>1074</v>
      </c>
      <c r="AT70" s="5" t="s">
        <v>75</v>
      </c>
      <c r="AU70" s="11" t="s">
        <v>377</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873</v>
      </c>
      <c r="I71" s="6" t="s">
        <v>45</v>
      </c>
      <c r="J71" s="6" t="s">
        <v>44</v>
      </c>
      <c r="K71" s="12" t="s">
        <v>103</v>
      </c>
      <c r="L71" s="12"/>
      <c r="M71" s="12" t="s">
        <v>103</v>
      </c>
      <c r="N71" s="36" t="s">
        <v>337</v>
      </c>
      <c r="O71" s="34">
        <v>228</v>
      </c>
      <c r="P71" s="6" t="s">
        <v>103</v>
      </c>
      <c r="Q71" s="34"/>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381</v>
      </c>
      <c r="AJ71" s="10" t="s">
        <v>75</v>
      </c>
      <c r="AK71" s="10" t="s">
        <v>369</v>
      </c>
      <c r="AL71" s="4" t="s">
        <v>868</v>
      </c>
      <c r="AM71" s="5" t="s">
        <v>356</v>
      </c>
      <c r="AN71" s="5"/>
      <c r="AO71" s="5" t="s">
        <v>367</v>
      </c>
      <c r="AP71" s="11" t="s">
        <v>844</v>
      </c>
      <c r="AQ71" s="11" t="s">
        <v>845</v>
      </c>
      <c r="AR71" s="32" t="s">
        <v>506</v>
      </c>
      <c r="AS71" s="35" t="s">
        <v>1075</v>
      </c>
      <c r="AT71" s="5" t="s">
        <v>75</v>
      </c>
      <c r="AU71" s="11" t="s">
        <v>377</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873</v>
      </c>
      <c r="I72" s="6" t="s">
        <v>45</v>
      </c>
      <c r="J72" s="6" t="s">
        <v>44</v>
      </c>
      <c r="K72" s="12" t="s">
        <v>103</v>
      </c>
      <c r="L72" s="12"/>
      <c r="M72" s="12" t="s">
        <v>103</v>
      </c>
      <c r="N72" s="36" t="s">
        <v>338</v>
      </c>
      <c r="O72" s="34">
        <v>133</v>
      </c>
      <c r="P72" s="6" t="s">
        <v>103</v>
      </c>
      <c r="Q72" s="34"/>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381</v>
      </c>
      <c r="AJ72" s="10" t="s">
        <v>75</v>
      </c>
      <c r="AK72" s="10" t="s">
        <v>369</v>
      </c>
      <c r="AL72" s="4" t="s">
        <v>868</v>
      </c>
      <c r="AM72" s="5" t="s">
        <v>356</v>
      </c>
      <c r="AN72" s="5"/>
      <c r="AO72" s="5" t="s">
        <v>367</v>
      </c>
      <c r="AP72" s="11" t="s">
        <v>846</v>
      </c>
      <c r="AQ72" s="11" t="s">
        <v>847</v>
      </c>
      <c r="AR72" s="32" t="s">
        <v>507</v>
      </c>
      <c r="AS72" s="35" t="s">
        <v>1076</v>
      </c>
      <c r="AT72" s="5" t="s">
        <v>75</v>
      </c>
      <c r="AU72" s="11" t="s">
        <v>377</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874</v>
      </c>
      <c r="I73" s="6" t="s">
        <v>45</v>
      </c>
      <c r="J73" s="6" t="s">
        <v>44</v>
      </c>
      <c r="K73" s="12" t="s">
        <v>103</v>
      </c>
      <c r="L73" s="12"/>
      <c r="M73" s="12" t="s">
        <v>103</v>
      </c>
      <c r="N73" s="36" t="s">
        <v>339</v>
      </c>
      <c r="O73" s="34">
        <v>341</v>
      </c>
      <c r="P73" s="6" t="s">
        <v>103</v>
      </c>
      <c r="Q73" s="34"/>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381</v>
      </c>
      <c r="AJ73" s="10" t="s">
        <v>75</v>
      </c>
      <c r="AK73" s="10" t="s">
        <v>369</v>
      </c>
      <c r="AL73" s="4" t="s">
        <v>868</v>
      </c>
      <c r="AM73" s="5" t="s">
        <v>356</v>
      </c>
      <c r="AN73" s="5"/>
      <c r="AO73" s="5" t="s">
        <v>367</v>
      </c>
      <c r="AP73" s="11" t="s">
        <v>842</v>
      </c>
      <c r="AQ73" s="11" t="s">
        <v>843</v>
      </c>
      <c r="AR73" s="32" t="s">
        <v>508</v>
      </c>
      <c r="AS73" s="35" t="s">
        <v>1077</v>
      </c>
      <c r="AT73" s="5" t="s">
        <v>75</v>
      </c>
      <c r="AU73" s="11" t="s">
        <v>377</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875</v>
      </c>
      <c r="I74" s="6" t="s">
        <v>45</v>
      </c>
      <c r="J74" s="6" t="s">
        <v>44</v>
      </c>
      <c r="K74" s="12" t="s">
        <v>103</v>
      </c>
      <c r="L74" s="12"/>
      <c r="M74" s="12" t="s">
        <v>103</v>
      </c>
      <c r="N74" s="36" t="s">
        <v>340</v>
      </c>
      <c r="O74" s="34">
        <v>444</v>
      </c>
      <c r="P74" s="6" t="s">
        <v>103</v>
      </c>
      <c r="Q74" s="34"/>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381</v>
      </c>
      <c r="AJ74" s="10" t="s">
        <v>75</v>
      </c>
      <c r="AK74" s="10" t="s">
        <v>369</v>
      </c>
      <c r="AL74" s="4" t="s">
        <v>868</v>
      </c>
      <c r="AM74" s="5" t="s">
        <v>356</v>
      </c>
      <c r="AN74" s="5"/>
      <c r="AO74" s="5" t="s">
        <v>367</v>
      </c>
      <c r="AP74" s="11" t="s">
        <v>848</v>
      </c>
      <c r="AQ74" s="11" t="s">
        <v>849</v>
      </c>
      <c r="AR74" s="32" t="s">
        <v>509</v>
      </c>
      <c r="AS74" s="35" t="s">
        <v>1078</v>
      </c>
      <c r="AT74" s="5" t="s">
        <v>75</v>
      </c>
      <c r="AU74" s="11" t="s">
        <v>377</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876</v>
      </c>
      <c r="I75" s="6" t="s">
        <v>45</v>
      </c>
      <c r="J75" s="6" t="s">
        <v>44</v>
      </c>
      <c r="K75" s="12" t="s">
        <v>103</v>
      </c>
      <c r="L75" s="12"/>
      <c r="M75" s="12" t="s">
        <v>103</v>
      </c>
      <c r="N75" s="36" t="s">
        <v>341</v>
      </c>
      <c r="O75" s="34">
        <v>206</v>
      </c>
      <c r="P75" s="6" t="s">
        <v>103</v>
      </c>
      <c r="Q75" s="34"/>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381</v>
      </c>
      <c r="AJ75" s="10" t="s">
        <v>75</v>
      </c>
      <c r="AK75" s="10" t="s">
        <v>369</v>
      </c>
      <c r="AL75" s="4" t="s">
        <v>868</v>
      </c>
      <c r="AM75" s="5" t="s">
        <v>356</v>
      </c>
      <c r="AN75" s="5"/>
      <c r="AO75" s="5" t="s">
        <v>367</v>
      </c>
      <c r="AP75" s="11" t="s">
        <v>850</v>
      </c>
      <c r="AQ75" s="11" t="s">
        <v>851</v>
      </c>
      <c r="AR75" s="32" t="s">
        <v>510</v>
      </c>
      <c r="AS75" s="35" t="s">
        <v>1079</v>
      </c>
      <c r="AT75" s="5" t="s">
        <v>75</v>
      </c>
      <c r="AU75" s="11" t="s">
        <v>377</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878</v>
      </c>
      <c r="I76" s="6" t="s">
        <v>45</v>
      </c>
      <c r="J76" s="6" t="s">
        <v>44</v>
      </c>
      <c r="K76" s="12" t="s">
        <v>103</v>
      </c>
      <c r="L76" s="12"/>
      <c r="M76" s="12" t="s">
        <v>103</v>
      </c>
      <c r="N76" s="36" t="s">
        <v>342</v>
      </c>
      <c r="O76" s="34">
        <v>231</v>
      </c>
      <c r="P76" s="6" t="s">
        <v>103</v>
      </c>
      <c r="Q76" s="34"/>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381</v>
      </c>
      <c r="AJ76" s="10" t="s">
        <v>75</v>
      </c>
      <c r="AK76" s="10" t="s">
        <v>369</v>
      </c>
      <c r="AL76" s="4" t="s">
        <v>868</v>
      </c>
      <c r="AM76" s="5" t="s">
        <v>356</v>
      </c>
      <c r="AN76" s="5"/>
      <c r="AO76" s="5" t="s">
        <v>367</v>
      </c>
      <c r="AP76" s="11" t="s">
        <v>852</v>
      </c>
      <c r="AQ76" s="11" t="s">
        <v>853</v>
      </c>
      <c r="AR76" s="32" t="s">
        <v>511</v>
      </c>
      <c r="AS76" s="35" t="s">
        <v>1080</v>
      </c>
      <c r="AT76" s="5" t="s">
        <v>75</v>
      </c>
      <c r="AU76" s="11" t="s">
        <v>377</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877</v>
      </c>
      <c r="I77" s="6" t="s">
        <v>45</v>
      </c>
      <c r="J77" s="6" t="s">
        <v>44</v>
      </c>
      <c r="K77" s="12" t="s">
        <v>103</v>
      </c>
      <c r="L77" s="12"/>
      <c r="M77" s="12" t="s">
        <v>103</v>
      </c>
      <c r="N77" s="36" t="s">
        <v>343</v>
      </c>
      <c r="O77" s="34">
        <v>235</v>
      </c>
      <c r="P77" s="6" t="s">
        <v>103</v>
      </c>
      <c r="Q77" s="34"/>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381</v>
      </c>
      <c r="AJ77" s="10" t="s">
        <v>75</v>
      </c>
      <c r="AK77" s="10" t="s">
        <v>369</v>
      </c>
      <c r="AL77" s="4" t="s">
        <v>868</v>
      </c>
      <c r="AM77" s="5" t="s">
        <v>356</v>
      </c>
      <c r="AN77" s="5"/>
      <c r="AO77" s="5" t="s">
        <v>367</v>
      </c>
      <c r="AP77" s="11" t="s">
        <v>854</v>
      </c>
      <c r="AQ77" s="11" t="s">
        <v>855</v>
      </c>
      <c r="AR77" s="32" t="s">
        <v>512</v>
      </c>
      <c r="AS77" s="35" t="s">
        <v>1081</v>
      </c>
      <c r="AT77" s="5" t="s">
        <v>75</v>
      </c>
      <c r="AU77" s="11" t="s">
        <v>377</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879</v>
      </c>
      <c r="I78" s="6" t="s">
        <v>45</v>
      </c>
      <c r="J78" s="6" t="s">
        <v>44</v>
      </c>
      <c r="K78" s="12" t="s">
        <v>103</v>
      </c>
      <c r="L78" s="12"/>
      <c r="M78" s="12" t="s">
        <v>103</v>
      </c>
      <c r="N78" s="36" t="s">
        <v>344</v>
      </c>
      <c r="O78" s="34">
        <v>333</v>
      </c>
      <c r="P78" s="6" t="s">
        <v>103</v>
      </c>
      <c r="Q78" s="34"/>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381</v>
      </c>
      <c r="AJ78" s="10" t="s">
        <v>75</v>
      </c>
      <c r="AK78" s="10" t="s">
        <v>369</v>
      </c>
      <c r="AL78" s="4" t="s">
        <v>868</v>
      </c>
      <c r="AM78" s="5" t="s">
        <v>356</v>
      </c>
      <c r="AN78" s="5"/>
      <c r="AO78" s="5" t="s">
        <v>367</v>
      </c>
      <c r="AP78" s="11" t="s">
        <v>818</v>
      </c>
      <c r="AQ78" s="11" t="s">
        <v>819</v>
      </c>
      <c r="AR78" s="32" t="s">
        <v>513</v>
      </c>
      <c r="AS78" s="35" t="s">
        <v>1082</v>
      </c>
      <c r="AT78" s="5" t="s">
        <v>75</v>
      </c>
      <c r="AU78" s="11" t="s">
        <v>377</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880</v>
      </c>
      <c r="I79" s="6" t="s">
        <v>45</v>
      </c>
      <c r="J79" s="6" t="s">
        <v>44</v>
      </c>
      <c r="K79" s="12" t="s">
        <v>103</v>
      </c>
      <c r="L79" s="12"/>
      <c r="M79" s="12" t="s">
        <v>103</v>
      </c>
      <c r="N79" s="36" t="s">
        <v>345</v>
      </c>
      <c r="O79" s="34">
        <v>177</v>
      </c>
      <c r="P79" s="6" t="s">
        <v>103</v>
      </c>
      <c r="Q79" s="34"/>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381</v>
      </c>
      <c r="AJ79" s="10" t="s">
        <v>75</v>
      </c>
      <c r="AK79" s="10" t="s">
        <v>369</v>
      </c>
      <c r="AL79" s="4" t="s">
        <v>868</v>
      </c>
      <c r="AM79" s="5" t="s">
        <v>356</v>
      </c>
      <c r="AN79" s="5"/>
      <c r="AO79" s="5" t="s">
        <v>367</v>
      </c>
      <c r="AP79" s="11" t="s">
        <v>820</v>
      </c>
      <c r="AQ79" s="11" t="s">
        <v>821</v>
      </c>
      <c r="AR79" s="32" t="s">
        <v>514</v>
      </c>
      <c r="AS79" s="35" t="s">
        <v>1083</v>
      </c>
      <c r="AT79" s="5" t="s">
        <v>75</v>
      </c>
      <c r="AU79" s="11" t="s">
        <v>377</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881</v>
      </c>
      <c r="I80" s="6" t="s">
        <v>45</v>
      </c>
      <c r="J80" s="6" t="s">
        <v>44</v>
      </c>
      <c r="K80" s="12" t="s">
        <v>103</v>
      </c>
      <c r="L80" s="12"/>
      <c r="M80" s="12" t="s">
        <v>103</v>
      </c>
      <c r="N80" s="36" t="s">
        <v>346</v>
      </c>
      <c r="O80" s="34">
        <v>99</v>
      </c>
      <c r="P80" s="6" t="s">
        <v>103</v>
      </c>
      <c r="Q80" s="34"/>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381</v>
      </c>
      <c r="AJ80" s="10" t="s">
        <v>75</v>
      </c>
      <c r="AK80" s="10" t="s">
        <v>369</v>
      </c>
      <c r="AL80" s="4" t="s">
        <v>868</v>
      </c>
      <c r="AM80" s="5" t="s">
        <v>356</v>
      </c>
      <c r="AN80" s="5"/>
      <c r="AO80" s="5" t="s">
        <v>367</v>
      </c>
      <c r="AP80" s="11" t="s">
        <v>822</v>
      </c>
      <c r="AQ80" s="11" t="s">
        <v>823</v>
      </c>
      <c r="AR80" s="32" t="s">
        <v>515</v>
      </c>
      <c r="AS80" s="35" t="s">
        <v>1084</v>
      </c>
      <c r="AT80" s="5" t="s">
        <v>75</v>
      </c>
      <c r="AU80" s="11" t="s">
        <v>377</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882</v>
      </c>
      <c r="I81" s="6" t="s">
        <v>45</v>
      </c>
      <c r="J81" s="6" t="s">
        <v>44</v>
      </c>
      <c r="K81" s="12" t="s">
        <v>103</v>
      </c>
      <c r="L81" s="12"/>
      <c r="M81" s="12" t="s">
        <v>103</v>
      </c>
      <c r="N81" s="36" t="s">
        <v>347</v>
      </c>
      <c r="O81" s="34">
        <v>169</v>
      </c>
      <c r="P81" s="6" t="s">
        <v>103</v>
      </c>
      <c r="Q81" s="34"/>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381</v>
      </c>
      <c r="AJ81" s="10" t="s">
        <v>75</v>
      </c>
      <c r="AK81" s="10" t="s">
        <v>369</v>
      </c>
      <c r="AL81" s="4" t="s">
        <v>868</v>
      </c>
      <c r="AM81" s="5" t="s">
        <v>356</v>
      </c>
      <c r="AN81" s="5"/>
      <c r="AO81" s="5" t="s">
        <v>367</v>
      </c>
      <c r="AP81" s="11" t="s">
        <v>824</v>
      </c>
      <c r="AQ81" s="11" t="s">
        <v>825</v>
      </c>
      <c r="AR81" s="32" t="s">
        <v>516</v>
      </c>
      <c r="AS81" s="35" t="s">
        <v>1085</v>
      </c>
      <c r="AT81" s="5" t="s">
        <v>75</v>
      </c>
      <c r="AU81" s="11" t="s">
        <v>377</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883</v>
      </c>
      <c r="I82" s="6" t="s">
        <v>45</v>
      </c>
      <c r="J82" s="6" t="s">
        <v>44</v>
      </c>
      <c r="K82" s="12" t="s">
        <v>103</v>
      </c>
      <c r="L82" s="12"/>
      <c r="M82" s="12" t="s">
        <v>103</v>
      </c>
      <c r="N82" s="36" t="s">
        <v>348</v>
      </c>
      <c r="O82" s="34">
        <v>196</v>
      </c>
      <c r="P82" s="6" t="s">
        <v>103</v>
      </c>
      <c r="Q82" s="34"/>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381</v>
      </c>
      <c r="AJ82" s="10" t="s">
        <v>75</v>
      </c>
      <c r="AK82" s="10" t="s">
        <v>369</v>
      </c>
      <c r="AL82" s="4" t="s">
        <v>868</v>
      </c>
      <c r="AM82" s="5" t="s">
        <v>356</v>
      </c>
      <c r="AN82" s="5"/>
      <c r="AO82" s="5" t="s">
        <v>367</v>
      </c>
      <c r="AP82" s="11" t="s">
        <v>826</v>
      </c>
      <c r="AQ82" s="11" t="s">
        <v>827</v>
      </c>
      <c r="AR82" s="32" t="s">
        <v>517</v>
      </c>
      <c r="AS82" s="35" t="s">
        <v>1086</v>
      </c>
      <c r="AT82" s="5" t="s">
        <v>75</v>
      </c>
      <c r="AU82" s="11" t="s">
        <v>377</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884</v>
      </c>
      <c r="I83" s="6" t="s">
        <v>45</v>
      </c>
      <c r="J83" s="6" t="s">
        <v>44</v>
      </c>
      <c r="K83" s="12" t="s">
        <v>103</v>
      </c>
      <c r="L83" s="12"/>
      <c r="M83" s="12" t="s">
        <v>103</v>
      </c>
      <c r="N83" s="36" t="s">
        <v>349</v>
      </c>
      <c r="O83" s="34">
        <v>195</v>
      </c>
      <c r="P83" s="6" t="s">
        <v>103</v>
      </c>
      <c r="Q83" s="34"/>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381</v>
      </c>
      <c r="AJ83" s="10" t="s">
        <v>75</v>
      </c>
      <c r="AK83" s="10" t="s">
        <v>369</v>
      </c>
      <c r="AL83" s="4" t="s">
        <v>868</v>
      </c>
      <c r="AM83" s="5" t="s">
        <v>356</v>
      </c>
      <c r="AN83" s="5"/>
      <c r="AO83" s="5" t="s">
        <v>367</v>
      </c>
      <c r="AP83" s="11" t="s">
        <v>828</v>
      </c>
      <c r="AQ83" s="11" t="s">
        <v>829</v>
      </c>
      <c r="AR83" s="32" t="s">
        <v>518</v>
      </c>
      <c r="AS83" s="35" t="s">
        <v>1087</v>
      </c>
      <c r="AT83" s="5" t="s">
        <v>75</v>
      </c>
      <c r="AU83" s="11" t="s">
        <v>377</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885</v>
      </c>
      <c r="I84" s="6" t="s">
        <v>45</v>
      </c>
      <c r="J84" s="6" t="s">
        <v>44</v>
      </c>
      <c r="K84" s="12" t="s">
        <v>103</v>
      </c>
      <c r="L84" s="12"/>
      <c r="M84" s="12" t="s">
        <v>103</v>
      </c>
      <c r="N84" s="36" t="s">
        <v>350</v>
      </c>
      <c r="O84" s="34">
        <v>181</v>
      </c>
      <c r="P84" s="6" t="s">
        <v>103</v>
      </c>
      <c r="Q84" s="34"/>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381</v>
      </c>
      <c r="AJ84" s="10" t="s">
        <v>75</v>
      </c>
      <c r="AK84" s="10" t="s">
        <v>369</v>
      </c>
      <c r="AL84" s="4" t="s">
        <v>868</v>
      </c>
      <c r="AM84" s="5" t="s">
        <v>356</v>
      </c>
      <c r="AN84" s="5"/>
      <c r="AO84" s="5" t="s">
        <v>367</v>
      </c>
      <c r="AP84" s="11" t="s">
        <v>830</v>
      </c>
      <c r="AQ84" s="11" t="s">
        <v>831</v>
      </c>
      <c r="AR84" s="32" t="s">
        <v>519</v>
      </c>
      <c r="AS84" s="35" t="s">
        <v>1088</v>
      </c>
      <c r="AT84" s="5" t="s">
        <v>75</v>
      </c>
      <c r="AU84" s="11" t="s">
        <v>377</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886</v>
      </c>
      <c r="I85" s="6" t="s">
        <v>45</v>
      </c>
      <c r="J85" s="6" t="s">
        <v>44</v>
      </c>
      <c r="K85" s="12" t="s">
        <v>103</v>
      </c>
      <c r="L85" s="12"/>
      <c r="M85" s="12" t="s">
        <v>103</v>
      </c>
      <c r="N85" s="36" t="s">
        <v>351</v>
      </c>
      <c r="O85" s="34">
        <v>277</v>
      </c>
      <c r="P85" s="6" t="s">
        <v>103</v>
      </c>
      <c r="Q85" s="34"/>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381</v>
      </c>
      <c r="AJ85" s="10" t="s">
        <v>75</v>
      </c>
      <c r="AK85" s="10" t="s">
        <v>369</v>
      </c>
      <c r="AL85" s="4" t="s">
        <v>868</v>
      </c>
      <c r="AM85" s="5" t="s">
        <v>356</v>
      </c>
      <c r="AN85" s="5"/>
      <c r="AO85" s="5" t="s">
        <v>367</v>
      </c>
      <c r="AP85" s="11" t="s">
        <v>832</v>
      </c>
      <c r="AQ85" s="11" t="s">
        <v>833</v>
      </c>
      <c r="AR85" s="32" t="s">
        <v>520</v>
      </c>
      <c r="AS85" s="35" t="s">
        <v>1089</v>
      </c>
      <c r="AT85" s="5" t="s">
        <v>75</v>
      </c>
      <c r="AU85" s="11" t="s">
        <v>377</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887</v>
      </c>
      <c r="I86" s="6" t="s">
        <v>45</v>
      </c>
      <c r="J86" s="6" t="s">
        <v>44</v>
      </c>
      <c r="K86" s="12" t="s">
        <v>103</v>
      </c>
      <c r="L86" s="12"/>
      <c r="M86" s="12" t="s">
        <v>103</v>
      </c>
      <c r="N86" s="36" t="s">
        <v>352</v>
      </c>
      <c r="O86" s="34">
        <v>142</v>
      </c>
      <c r="P86" s="6" t="s">
        <v>103</v>
      </c>
      <c r="Q86" s="34"/>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381</v>
      </c>
      <c r="AJ86" s="10" t="s">
        <v>75</v>
      </c>
      <c r="AK86" s="10" t="s">
        <v>369</v>
      </c>
      <c r="AL86" s="4" t="s">
        <v>868</v>
      </c>
      <c r="AM86" s="5" t="s">
        <v>356</v>
      </c>
      <c r="AN86" s="5"/>
      <c r="AO86" s="5" t="s">
        <v>367</v>
      </c>
      <c r="AP86" s="11" t="s">
        <v>834</v>
      </c>
      <c r="AQ86" s="11" t="s">
        <v>835</v>
      </c>
      <c r="AR86" s="32" t="s">
        <v>521</v>
      </c>
      <c r="AS86" s="35" t="s">
        <v>1090</v>
      </c>
      <c r="AT86" s="5" t="s">
        <v>75</v>
      </c>
      <c r="AU86" s="11" t="s">
        <v>377</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887</v>
      </c>
      <c r="I87" s="6" t="s">
        <v>45</v>
      </c>
      <c r="J87" s="6" t="s">
        <v>44</v>
      </c>
      <c r="K87" s="12" t="s">
        <v>103</v>
      </c>
      <c r="L87" s="12"/>
      <c r="M87" s="12" t="s">
        <v>103</v>
      </c>
      <c r="N87" s="36" t="s">
        <v>353</v>
      </c>
      <c r="O87" s="34">
        <v>114</v>
      </c>
      <c r="P87" s="6" t="s">
        <v>103</v>
      </c>
      <c r="Q87" s="34"/>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381</v>
      </c>
      <c r="AJ87" s="10" t="s">
        <v>75</v>
      </c>
      <c r="AK87" s="10" t="s">
        <v>369</v>
      </c>
      <c r="AL87" s="4" t="s">
        <v>868</v>
      </c>
      <c r="AM87" s="5" t="s">
        <v>356</v>
      </c>
      <c r="AN87" s="5"/>
      <c r="AO87" s="5" t="s">
        <v>367</v>
      </c>
      <c r="AP87" s="11" t="s">
        <v>836</v>
      </c>
      <c r="AQ87" s="11" t="s">
        <v>837</v>
      </c>
      <c r="AR87" s="32" t="s">
        <v>522</v>
      </c>
      <c r="AS87" s="35" t="s">
        <v>1091</v>
      </c>
      <c r="AT87" s="5" t="s">
        <v>75</v>
      </c>
      <c r="AU87" s="11" t="s">
        <v>377</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888</v>
      </c>
      <c r="I88" s="6" t="s">
        <v>45</v>
      </c>
      <c r="J88" s="6" t="s">
        <v>44</v>
      </c>
      <c r="K88" s="12" t="s">
        <v>103</v>
      </c>
      <c r="L88" s="12"/>
      <c r="M88" s="12" t="s">
        <v>103</v>
      </c>
      <c r="N88" s="36" t="s">
        <v>354</v>
      </c>
      <c r="O88" s="34">
        <v>167</v>
      </c>
      <c r="P88" s="6" t="s">
        <v>103</v>
      </c>
      <c r="Q88" s="34"/>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381</v>
      </c>
      <c r="AJ88" s="10" t="s">
        <v>75</v>
      </c>
      <c r="AK88" s="10" t="s">
        <v>369</v>
      </c>
      <c r="AL88" s="4" t="s">
        <v>868</v>
      </c>
      <c r="AM88" s="5" t="s">
        <v>356</v>
      </c>
      <c r="AN88" s="5"/>
      <c r="AO88" s="5" t="s">
        <v>367</v>
      </c>
      <c r="AP88" s="11" t="s">
        <v>838</v>
      </c>
      <c r="AQ88" s="11" t="s">
        <v>839</v>
      </c>
      <c r="AR88" s="32" t="s">
        <v>523</v>
      </c>
      <c r="AS88" s="35" t="s">
        <v>1092</v>
      </c>
      <c r="AT88" s="5" t="s">
        <v>75</v>
      </c>
      <c r="AU88" s="11" t="s">
        <v>377</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889</v>
      </c>
      <c r="I89" s="6" t="s">
        <v>45</v>
      </c>
      <c r="J89" s="6" t="s">
        <v>44</v>
      </c>
      <c r="K89" s="12" t="s">
        <v>103</v>
      </c>
      <c r="L89" s="12"/>
      <c r="M89" s="12" t="s">
        <v>103</v>
      </c>
      <c r="N89" s="36" t="s">
        <v>355</v>
      </c>
      <c r="O89" s="34">
        <v>88</v>
      </c>
      <c r="P89" s="6" t="s">
        <v>103</v>
      </c>
      <c r="Q89" s="34"/>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381</v>
      </c>
      <c r="AJ89" s="10" t="s">
        <v>75</v>
      </c>
      <c r="AK89" s="10" t="s">
        <v>369</v>
      </c>
      <c r="AL89" s="4" t="s">
        <v>868</v>
      </c>
      <c r="AM89" s="5" t="s">
        <v>356</v>
      </c>
      <c r="AN89" s="5"/>
      <c r="AO89" s="5" t="s">
        <v>367</v>
      </c>
      <c r="AP89" s="11" t="s">
        <v>840</v>
      </c>
      <c r="AQ89" s="11" t="s">
        <v>841</v>
      </c>
      <c r="AR89" s="32" t="s">
        <v>524</v>
      </c>
      <c r="AS89" s="35" t="s">
        <v>1093</v>
      </c>
      <c r="AT89" s="5" t="s">
        <v>75</v>
      </c>
      <c r="AU89" s="11" t="s">
        <v>377</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381</v>
      </c>
      <c r="AJ90" s="10" t="s">
        <v>75</v>
      </c>
      <c r="AK90" s="4" t="s">
        <v>369</v>
      </c>
      <c r="AL90" s="4" t="s">
        <v>685</v>
      </c>
      <c r="AM90" s="5" t="s">
        <v>686</v>
      </c>
      <c r="AN90" s="5"/>
      <c r="AO90" s="5" t="s">
        <v>367</v>
      </c>
      <c r="AP90" s="5" t="s">
        <v>694</v>
      </c>
      <c r="AQ90" s="5" t="s">
        <v>695</v>
      </c>
      <c r="AR90" s="32" t="s">
        <v>525</v>
      </c>
      <c r="AS90" s="35" t="s">
        <v>804</v>
      </c>
      <c r="AT90" s="5" t="s">
        <v>75</v>
      </c>
      <c r="AU90" s="11" t="s">
        <v>406</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381</v>
      </c>
      <c r="AJ91" s="10" t="s">
        <v>53</v>
      </c>
      <c r="AK91" s="10" t="s">
        <v>368</v>
      </c>
      <c r="AL91" s="4" t="s">
        <v>685</v>
      </c>
      <c r="AM91" s="5" t="s">
        <v>687</v>
      </c>
      <c r="AN91" s="5"/>
      <c r="AO91" s="5" t="s">
        <v>367</v>
      </c>
      <c r="AP91" s="11" t="s">
        <v>696</v>
      </c>
      <c r="AQ91" s="11" t="s">
        <v>697</v>
      </c>
      <c r="AR91" s="32" t="s">
        <v>526</v>
      </c>
      <c r="AS91" s="35" t="s">
        <v>805</v>
      </c>
      <c r="AT91" s="5" t="s">
        <v>75</v>
      </c>
      <c r="AU91" s="11" t="s">
        <v>407</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381</v>
      </c>
      <c r="AJ92" s="10" t="s">
        <v>53</v>
      </c>
      <c r="AK92" s="10" t="s">
        <v>368</v>
      </c>
      <c r="AL92" s="4" t="s">
        <v>685</v>
      </c>
      <c r="AM92" s="5" t="s">
        <v>688</v>
      </c>
      <c r="AN92" s="5"/>
      <c r="AO92" s="5" t="s">
        <v>367</v>
      </c>
      <c r="AP92" s="11" t="s">
        <v>698</v>
      </c>
      <c r="AQ92" s="11" t="s">
        <v>699</v>
      </c>
      <c r="AR92" s="32" t="s">
        <v>527</v>
      </c>
      <c r="AS92" s="35" t="s">
        <v>806</v>
      </c>
      <c r="AT92" s="5" t="s">
        <v>75</v>
      </c>
      <c r="AU92" s="11" t="s">
        <v>408</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381</v>
      </c>
      <c r="AJ93" s="10" t="s">
        <v>53</v>
      </c>
      <c r="AK93" s="10" t="s">
        <v>368</v>
      </c>
      <c r="AL93" s="4" t="s">
        <v>685</v>
      </c>
      <c r="AM93" s="5" t="s">
        <v>689</v>
      </c>
      <c r="AN93" s="5"/>
      <c r="AO93" s="5" t="s">
        <v>367</v>
      </c>
      <c r="AP93" s="11" t="s">
        <v>696</v>
      </c>
      <c r="AQ93" s="11" t="s">
        <v>700</v>
      </c>
      <c r="AR93" s="32" t="s">
        <v>528</v>
      </c>
      <c r="AS93" s="36" t="s">
        <v>807</v>
      </c>
      <c r="AT93" s="5" t="s">
        <v>75</v>
      </c>
      <c r="AU93" s="11" t="s">
        <v>409</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381</v>
      </c>
      <c r="AJ94" s="10" t="s">
        <v>53</v>
      </c>
      <c r="AK94" s="10" t="s">
        <v>368</v>
      </c>
      <c r="AL94" s="4" t="s">
        <v>685</v>
      </c>
      <c r="AM94" s="5" t="s">
        <v>690</v>
      </c>
      <c r="AN94" s="5"/>
      <c r="AO94" s="5" t="s">
        <v>367</v>
      </c>
      <c r="AP94" s="11" t="s">
        <v>701</v>
      </c>
      <c r="AQ94" s="11" t="s">
        <v>702</v>
      </c>
      <c r="AR94" s="32" t="s">
        <v>529</v>
      </c>
      <c r="AS94" s="36" t="s">
        <v>808</v>
      </c>
      <c r="AT94" s="5" t="s">
        <v>75</v>
      </c>
      <c r="AU94" s="11" t="s">
        <v>410</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381</v>
      </c>
      <c r="AJ95" s="10" t="s">
        <v>53</v>
      </c>
      <c r="AK95" s="10" t="s">
        <v>368</v>
      </c>
      <c r="AL95" s="4" t="s">
        <v>685</v>
      </c>
      <c r="AM95" s="5" t="s">
        <v>691</v>
      </c>
      <c r="AN95" s="5"/>
      <c r="AO95" s="5" t="s">
        <v>367</v>
      </c>
      <c r="AP95" s="11" t="s">
        <v>703</v>
      </c>
      <c r="AQ95" s="11" t="s">
        <v>704</v>
      </c>
      <c r="AR95" s="32" t="s">
        <v>530</v>
      </c>
      <c r="AS95" s="36" t="s">
        <v>809</v>
      </c>
      <c r="AT95" s="5" t="s">
        <v>75</v>
      </c>
      <c r="AU95" s="11" t="s">
        <v>411</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381</v>
      </c>
      <c r="AJ96" s="10" t="s">
        <v>53</v>
      </c>
      <c r="AK96" s="10" t="s">
        <v>368</v>
      </c>
      <c r="AL96" s="4" t="s">
        <v>685</v>
      </c>
      <c r="AM96" s="5" t="s">
        <v>692</v>
      </c>
      <c r="AN96" s="5"/>
      <c r="AO96" s="5" t="s">
        <v>367</v>
      </c>
      <c r="AP96" s="11" t="s">
        <v>705</v>
      </c>
      <c r="AQ96" s="11" t="s">
        <v>706</v>
      </c>
      <c r="AR96" s="32" t="s">
        <v>531</v>
      </c>
      <c r="AS96" s="36" t="s">
        <v>810</v>
      </c>
      <c r="AT96" s="5" t="s">
        <v>75</v>
      </c>
      <c r="AU96" s="11" t="s">
        <v>412</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684</v>
      </c>
      <c r="O97" s="34">
        <v>547</v>
      </c>
      <c r="P97" s="6" t="s">
        <v>103</v>
      </c>
      <c r="Q97" s="34"/>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381</v>
      </c>
      <c r="AJ97" s="10" t="s">
        <v>53</v>
      </c>
      <c r="AK97" s="10" t="s">
        <v>368</v>
      </c>
      <c r="AL97" s="4" t="s">
        <v>685</v>
      </c>
      <c r="AM97" s="5" t="s">
        <v>693</v>
      </c>
      <c r="AN97" s="5"/>
      <c r="AO97" s="5" t="s">
        <v>367</v>
      </c>
      <c r="AP97" s="11" t="s">
        <v>707</v>
      </c>
      <c r="AQ97" s="11" t="s">
        <v>708</v>
      </c>
      <c r="AR97" s="32" t="s">
        <v>709</v>
      </c>
      <c r="AS97" s="36" t="s">
        <v>811</v>
      </c>
      <c r="AT97" s="5" t="s">
        <v>75</v>
      </c>
      <c r="AU97" s="11" t="s">
        <v>710</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428</v>
      </c>
      <c r="I98" s="6" t="s">
        <v>45</v>
      </c>
      <c r="J98" s="6" t="s">
        <v>44</v>
      </c>
      <c r="K98" s="12" t="s">
        <v>103</v>
      </c>
      <c r="L98" s="12"/>
      <c r="M98" s="12" t="s">
        <v>103</v>
      </c>
      <c r="N98" s="35" t="s">
        <v>413</v>
      </c>
      <c r="O98" s="34">
        <v>286</v>
      </c>
      <c r="P98" s="6" t="s">
        <v>103</v>
      </c>
      <c r="Q98" s="34"/>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381</v>
      </c>
      <c r="AJ98" s="10" t="s">
        <v>376</v>
      </c>
      <c r="AK98" s="4" t="s">
        <v>369</v>
      </c>
      <c r="AL98" s="4" t="s">
        <v>422</v>
      </c>
      <c r="AM98" s="5" t="s">
        <v>421</v>
      </c>
      <c r="AN98" s="5"/>
      <c r="AO98" s="5" t="s">
        <v>367</v>
      </c>
      <c r="AP98" s="5" t="s">
        <v>713</v>
      </c>
      <c r="AQ98" s="5" t="s">
        <v>714</v>
      </c>
      <c r="AR98" s="32" t="s">
        <v>532</v>
      </c>
      <c r="AS98" s="35" t="s">
        <v>812</v>
      </c>
      <c r="AT98" s="5" t="s">
        <v>75</v>
      </c>
      <c r="AU98" s="11" t="s">
        <v>418</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426</v>
      </c>
      <c r="I99" s="6" t="s">
        <v>45</v>
      </c>
      <c r="J99" s="6" t="s">
        <v>44</v>
      </c>
      <c r="K99" s="12" t="s">
        <v>103</v>
      </c>
      <c r="L99" s="12"/>
      <c r="M99" s="12" t="s">
        <v>103</v>
      </c>
      <c r="N99" s="36" t="s">
        <v>415</v>
      </c>
      <c r="O99" s="34">
        <v>84</v>
      </c>
      <c r="P99" s="6" t="s">
        <v>103</v>
      </c>
      <c r="Q99" s="34"/>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381</v>
      </c>
      <c r="AJ99" s="10" t="s">
        <v>376</v>
      </c>
      <c r="AK99" s="4" t="s">
        <v>369</v>
      </c>
      <c r="AL99" s="4" t="s">
        <v>422</v>
      </c>
      <c r="AM99" s="5" t="s">
        <v>421</v>
      </c>
      <c r="AN99" s="5"/>
      <c r="AO99" s="5" t="s">
        <v>367</v>
      </c>
      <c r="AP99" s="11" t="s">
        <v>715</v>
      </c>
      <c r="AQ99" s="11" t="s">
        <v>716</v>
      </c>
      <c r="AR99" s="32" t="s">
        <v>533</v>
      </c>
      <c r="AS99" s="35" t="s">
        <v>813</v>
      </c>
      <c r="AT99" s="5" t="s">
        <v>75</v>
      </c>
      <c r="AU99" s="11" t="s">
        <v>419</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424</v>
      </c>
      <c r="I100" s="6" t="s">
        <v>45</v>
      </c>
      <c r="J100" s="6" t="s">
        <v>44</v>
      </c>
      <c r="K100" s="12" t="s">
        <v>103</v>
      </c>
      <c r="L100" s="12"/>
      <c r="M100" s="12" t="s">
        <v>103</v>
      </c>
      <c r="N100" s="36" t="s">
        <v>414</v>
      </c>
      <c r="O100" s="34">
        <v>272</v>
      </c>
      <c r="P100" s="6" t="s">
        <v>103</v>
      </c>
      <c r="Q100" s="34"/>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381</v>
      </c>
      <c r="AJ100" s="10" t="s">
        <v>376</v>
      </c>
      <c r="AK100" s="4" t="s">
        <v>369</v>
      </c>
      <c r="AL100" s="4" t="s">
        <v>422</v>
      </c>
      <c r="AM100" s="5" t="s">
        <v>423</v>
      </c>
      <c r="AN100" s="5"/>
      <c r="AO100" s="5" t="s">
        <v>367</v>
      </c>
      <c r="AP100" s="11" t="s">
        <v>711</v>
      </c>
      <c r="AQ100" s="11" t="s">
        <v>712</v>
      </c>
      <c r="AR100" s="32" t="s">
        <v>534</v>
      </c>
      <c r="AS100" s="35" t="s">
        <v>814</v>
      </c>
      <c r="AT100" s="5" t="s">
        <v>75</v>
      </c>
      <c r="AU100" s="11" t="s">
        <v>420</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425</v>
      </c>
      <c r="I101" s="6" t="s">
        <v>45</v>
      </c>
      <c r="J101" s="6" t="s">
        <v>44</v>
      </c>
      <c r="K101" s="12" t="s">
        <v>103</v>
      </c>
      <c r="L101" s="12"/>
      <c r="M101" s="12" t="s">
        <v>103</v>
      </c>
      <c r="N101" s="36" t="s">
        <v>416</v>
      </c>
      <c r="O101" s="34">
        <v>162</v>
      </c>
      <c r="P101" s="6" t="s">
        <v>103</v>
      </c>
      <c r="Q101" s="34"/>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381</v>
      </c>
      <c r="AJ101" s="10" t="s">
        <v>376</v>
      </c>
      <c r="AK101" s="4" t="s">
        <v>369</v>
      </c>
      <c r="AL101" s="4" t="s">
        <v>422</v>
      </c>
      <c r="AM101" s="5" t="s">
        <v>421</v>
      </c>
      <c r="AN101" s="5"/>
      <c r="AO101" s="5" t="s">
        <v>367</v>
      </c>
      <c r="AP101" s="11" t="s">
        <v>717</v>
      </c>
      <c r="AQ101" s="11" t="s">
        <v>718</v>
      </c>
      <c r="AR101" s="32" t="s">
        <v>535</v>
      </c>
      <c r="AS101" s="35" t="s">
        <v>815</v>
      </c>
      <c r="AT101" s="5" t="s">
        <v>75</v>
      </c>
      <c r="AU101" s="11" t="s">
        <v>418</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427</v>
      </c>
      <c r="I102" s="6" t="s">
        <v>45</v>
      </c>
      <c r="J102" s="6" t="s">
        <v>44</v>
      </c>
      <c r="K102" s="12" t="s">
        <v>103</v>
      </c>
      <c r="L102" s="12"/>
      <c r="M102" s="12" t="s">
        <v>103</v>
      </c>
      <c r="N102" s="36" t="s">
        <v>417</v>
      </c>
      <c r="O102" s="34">
        <v>271</v>
      </c>
      <c r="P102" s="6" t="s">
        <v>103</v>
      </c>
      <c r="Q102" s="34"/>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381</v>
      </c>
      <c r="AJ102" s="10" t="s">
        <v>376</v>
      </c>
      <c r="AK102" s="4" t="s">
        <v>369</v>
      </c>
      <c r="AL102" s="4" t="s">
        <v>422</v>
      </c>
      <c r="AM102" s="5" t="s">
        <v>421</v>
      </c>
      <c r="AN102" s="5"/>
      <c r="AO102" s="5" t="s">
        <v>367</v>
      </c>
      <c r="AP102" s="11" t="s">
        <v>719</v>
      </c>
      <c r="AQ102" s="11" t="s">
        <v>720</v>
      </c>
      <c r="AR102" s="32" t="s">
        <v>536</v>
      </c>
      <c r="AS102" s="35" t="s">
        <v>816</v>
      </c>
      <c r="AT102" s="5" t="s">
        <v>75</v>
      </c>
      <c r="AU102" s="11" t="s">
        <v>418</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429</v>
      </c>
      <c r="O103" s="34">
        <v>144</v>
      </c>
      <c r="P103" s="6" t="s">
        <v>103</v>
      </c>
      <c r="Q103" s="34"/>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376</v>
      </c>
      <c r="AK103" s="10" t="s">
        <v>369</v>
      </c>
      <c r="AL103" s="4" t="s">
        <v>439</v>
      </c>
      <c r="AM103" s="11" t="s">
        <v>440</v>
      </c>
      <c r="AN103" s="11"/>
      <c r="AO103" s="5" t="s">
        <v>367</v>
      </c>
      <c r="AP103" s="11" t="s">
        <v>721</v>
      </c>
      <c r="AQ103" s="11" t="s">
        <v>722</v>
      </c>
      <c r="AR103" s="32" t="s">
        <v>537</v>
      </c>
      <c r="AS103" s="35" t="s">
        <v>817</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430</v>
      </c>
      <c r="O104" s="34">
        <v>133</v>
      </c>
      <c r="P104" s="6" t="s">
        <v>103</v>
      </c>
      <c r="Q104" s="34"/>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439</v>
      </c>
      <c r="AM104" s="11" t="s">
        <v>440</v>
      </c>
      <c r="AN104" s="11"/>
      <c r="AO104" s="5" t="s">
        <v>367</v>
      </c>
      <c r="AP104" s="11" t="s">
        <v>723</v>
      </c>
      <c r="AQ104" s="11" t="s">
        <v>724</v>
      </c>
      <c r="AR104" s="32" t="s">
        <v>538</v>
      </c>
      <c r="AS104" s="35" t="s">
        <v>817</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431</v>
      </c>
      <c r="O105" s="34">
        <v>114</v>
      </c>
      <c r="P105" s="6" t="s">
        <v>103</v>
      </c>
      <c r="Q105" s="34"/>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439</v>
      </c>
      <c r="AM105" s="11" t="s">
        <v>440</v>
      </c>
      <c r="AN105" s="11"/>
      <c r="AO105" s="5" t="s">
        <v>367</v>
      </c>
      <c r="AP105" s="11" t="s">
        <v>725</v>
      </c>
      <c r="AQ105" s="11" t="s">
        <v>726</v>
      </c>
      <c r="AR105" s="32" t="s">
        <v>539</v>
      </c>
      <c r="AS105" s="35" t="s">
        <v>817</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439</v>
      </c>
      <c r="AM106" s="11" t="s">
        <v>440</v>
      </c>
      <c r="AN106" s="11"/>
      <c r="AO106" s="5" t="s">
        <v>367</v>
      </c>
      <c r="AP106" s="11" t="s">
        <v>727</v>
      </c>
      <c r="AQ106" s="11" t="s">
        <v>728</v>
      </c>
      <c r="AR106" s="32" t="s">
        <v>540</v>
      </c>
      <c r="AS106" s="35" t="s">
        <v>817</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432</v>
      </c>
      <c r="O107" s="34">
        <v>60</v>
      </c>
      <c r="P107" s="6" t="s">
        <v>103</v>
      </c>
      <c r="Q107" s="34"/>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439</v>
      </c>
      <c r="AM107" s="11" t="s">
        <v>440</v>
      </c>
      <c r="AN107" s="11"/>
      <c r="AO107" s="5" t="s">
        <v>367</v>
      </c>
      <c r="AP107" s="11" t="s">
        <v>729</v>
      </c>
      <c r="AQ107" s="11" t="s">
        <v>730</v>
      </c>
      <c r="AR107" s="32" t="s">
        <v>541</v>
      </c>
      <c r="AS107" s="35" t="s">
        <v>817</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433</v>
      </c>
      <c r="O108" s="34">
        <v>60</v>
      </c>
      <c r="P108" s="6" t="s">
        <v>103</v>
      </c>
      <c r="Q108" s="34"/>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439</v>
      </c>
      <c r="AM108" s="11" t="s">
        <v>440</v>
      </c>
      <c r="AN108" s="11"/>
      <c r="AO108" s="5" t="s">
        <v>367</v>
      </c>
      <c r="AP108" s="11" t="s">
        <v>731</v>
      </c>
      <c r="AQ108" s="11" t="s">
        <v>732</v>
      </c>
      <c r="AR108" s="32" t="s">
        <v>542</v>
      </c>
      <c r="AS108" s="35" t="s">
        <v>817</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434</v>
      </c>
      <c r="O109" s="34">
        <v>96</v>
      </c>
      <c r="P109" s="6" t="s">
        <v>103</v>
      </c>
      <c r="Q109" s="34"/>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439</v>
      </c>
      <c r="AM109" s="11" t="s">
        <v>440</v>
      </c>
      <c r="AN109" s="11"/>
      <c r="AO109" s="5" t="s">
        <v>367</v>
      </c>
      <c r="AP109" s="11" t="s">
        <v>733</v>
      </c>
      <c r="AQ109" s="11" t="s">
        <v>734</v>
      </c>
      <c r="AR109" s="32" t="s">
        <v>543</v>
      </c>
      <c r="AS109" s="35" t="s">
        <v>817</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439</v>
      </c>
      <c r="AM110" s="11" t="s">
        <v>440</v>
      </c>
      <c r="AN110" s="11"/>
      <c r="AO110" s="5" t="s">
        <v>367</v>
      </c>
      <c r="AP110" s="11" t="s">
        <v>735</v>
      </c>
      <c r="AQ110" s="11" t="s">
        <v>736</v>
      </c>
      <c r="AR110" s="32" t="s">
        <v>544</v>
      </c>
      <c r="AS110" s="35" t="s">
        <v>817</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439</v>
      </c>
      <c r="AM111" s="11" t="s">
        <v>440</v>
      </c>
      <c r="AN111" s="11"/>
      <c r="AO111" s="5" t="s">
        <v>367</v>
      </c>
      <c r="AP111" s="11" t="s">
        <v>737</v>
      </c>
      <c r="AQ111" s="11" t="s">
        <v>738</v>
      </c>
      <c r="AR111" s="32" t="s">
        <v>545</v>
      </c>
      <c r="AS111" s="35" t="s">
        <v>817</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439</v>
      </c>
      <c r="AM112" s="11" t="s">
        <v>440</v>
      </c>
      <c r="AN112" s="11"/>
      <c r="AO112" s="5" t="s">
        <v>367</v>
      </c>
      <c r="AP112" s="11" t="s">
        <v>739</v>
      </c>
      <c r="AQ112" s="11" t="s">
        <v>740</v>
      </c>
      <c r="AR112" s="32" t="s">
        <v>546</v>
      </c>
      <c r="AS112" s="35" t="s">
        <v>817</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435</v>
      </c>
      <c r="O113" s="34">
        <v>176</v>
      </c>
      <c r="P113" s="6" t="s">
        <v>103</v>
      </c>
      <c r="Q113" s="34"/>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439</v>
      </c>
      <c r="AM113" s="11" t="s">
        <v>440</v>
      </c>
      <c r="AN113" s="11"/>
      <c r="AO113" s="5" t="s">
        <v>367</v>
      </c>
      <c r="AP113" s="11" t="s">
        <v>741</v>
      </c>
      <c r="AQ113" s="11" t="s">
        <v>742</v>
      </c>
      <c r="AR113" s="32" t="s">
        <v>547</v>
      </c>
      <c r="AS113" s="35" t="s">
        <v>817</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436</v>
      </c>
      <c r="O114" s="34">
        <v>86</v>
      </c>
      <c r="P114" s="6" t="s">
        <v>103</v>
      </c>
      <c r="Q114" s="34"/>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376</v>
      </c>
      <c r="AK114" s="10" t="s">
        <v>369</v>
      </c>
      <c r="AL114" s="4" t="s">
        <v>439</v>
      </c>
      <c r="AM114" s="11" t="s">
        <v>440</v>
      </c>
      <c r="AN114" s="11"/>
      <c r="AO114" s="5" t="s">
        <v>367</v>
      </c>
      <c r="AP114" s="11" t="s">
        <v>743</v>
      </c>
      <c r="AQ114" s="11" t="s">
        <v>744</v>
      </c>
      <c r="AR114" s="32" t="s">
        <v>548</v>
      </c>
      <c r="AS114" s="35" t="s">
        <v>817</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437</v>
      </c>
      <c r="O115" s="34">
        <v>86</v>
      </c>
      <c r="P115" s="6" t="s">
        <v>103</v>
      </c>
      <c r="Q115" s="34"/>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376</v>
      </c>
      <c r="AK115" s="10" t="s">
        <v>369</v>
      </c>
      <c r="AL115" s="4" t="s">
        <v>439</v>
      </c>
      <c r="AM115" s="11" t="s">
        <v>440</v>
      </c>
      <c r="AN115" s="11"/>
      <c r="AO115" s="5" t="s">
        <v>367</v>
      </c>
      <c r="AP115" s="11" t="s">
        <v>745</v>
      </c>
      <c r="AQ115" s="11" t="s">
        <v>746</v>
      </c>
      <c r="AR115" s="32" t="s">
        <v>549</v>
      </c>
      <c r="AS115" s="35" t="s">
        <v>817</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438</v>
      </c>
      <c r="O116" s="34">
        <v>90</v>
      </c>
      <c r="P116" s="6" t="s">
        <v>103</v>
      </c>
      <c r="Q116" s="34"/>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376</v>
      </c>
      <c r="AK116" s="10" t="s">
        <v>369</v>
      </c>
      <c r="AL116" s="4" t="s">
        <v>439</v>
      </c>
      <c r="AM116" s="11" t="s">
        <v>440</v>
      </c>
      <c r="AN116" s="11"/>
      <c r="AO116" s="5" t="s">
        <v>367</v>
      </c>
      <c r="AP116" s="11" t="s">
        <v>747</v>
      </c>
      <c r="AQ116" s="11" t="s">
        <v>748</v>
      </c>
      <c r="AR116" s="32" t="s">
        <v>550</v>
      </c>
      <c r="AS116" s="35" t="s">
        <v>817</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903</v>
      </c>
      <c r="E117" s="26">
        <v>67600</v>
      </c>
      <c r="F117" s="10" t="s">
        <v>890</v>
      </c>
      <c r="G117" s="39" t="str">
        <f>Tableau1[[#This Row],[Rue]]&amp;CHAR(10)&amp;Tableau1[[#This Row],[Code Postal]]&amp;" - "&amp;Tableau1[[#This Row],[Ville]]</f>
        <v>Supermarché Leclerc Ouest Heyden, All. de la Lohmuhle
67600 - Sélestat</v>
      </c>
      <c r="H117" s="15" t="s">
        <v>891</v>
      </c>
      <c r="I117" s="12" t="s">
        <v>45</v>
      </c>
      <c r="J117" s="12" t="s">
        <v>51</v>
      </c>
      <c r="K117" s="12" t="s">
        <v>103</v>
      </c>
      <c r="L117" s="12"/>
      <c r="M117" s="12">
        <v>7500</v>
      </c>
      <c r="N117" s="36" t="s">
        <v>892</v>
      </c>
      <c r="O117" s="34">
        <v>98</v>
      </c>
      <c r="P117" s="6" t="s">
        <v>103</v>
      </c>
      <c r="Q117" s="34"/>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897</v>
      </c>
      <c r="AM117" s="11" t="s">
        <v>893</v>
      </c>
      <c r="AN117" s="11"/>
      <c r="AO117" s="5" t="s">
        <v>367</v>
      </c>
      <c r="AP117" s="11" t="s">
        <v>894</v>
      </c>
      <c r="AQ117" s="11" t="s">
        <v>895</v>
      </c>
      <c r="AR117" s="11">
        <v>25</v>
      </c>
      <c r="AS117" s="36" t="s">
        <v>898</v>
      </c>
      <c r="AT117" s="11" t="s">
        <v>75</v>
      </c>
      <c r="AU117" s="11" t="s">
        <v>377</v>
      </c>
      <c r="AV117" s="13" t="s">
        <v>896</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904</v>
      </c>
      <c r="E118" s="26">
        <v>84507</v>
      </c>
      <c r="F118" s="10" t="s">
        <v>901</v>
      </c>
      <c r="G118" s="39" t="str">
        <f>Tableau1[[#This Row],[Rue]]&amp;CHAR(10)&amp;Tableau1[[#This Row],[Code Postal]]&amp;" - "&amp;Tableau1[[#This Row],[Ville]]</f>
        <v>Hypermarché Leclerc Bollène, 1 Route de Saint-Paul-trois-Châteaux
84507 - Bollène</v>
      </c>
      <c r="H118" s="15" t="s">
        <v>902</v>
      </c>
      <c r="I118" s="12" t="s">
        <v>47</v>
      </c>
      <c r="J118" s="12" t="s">
        <v>51</v>
      </c>
      <c r="K118" s="12" t="s">
        <v>103</v>
      </c>
      <c r="L118" s="12"/>
      <c r="M118" s="12" t="s">
        <v>103</v>
      </c>
      <c r="N118" s="36" t="s">
        <v>490</v>
      </c>
      <c r="O118" s="34">
        <v>1118</v>
      </c>
      <c r="P118" s="6" t="s">
        <v>103</v>
      </c>
      <c r="Q118" s="34"/>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905</v>
      </c>
      <c r="AM118" s="11" t="s">
        <v>906</v>
      </c>
      <c r="AN118" s="11"/>
      <c r="AO118" s="5" t="s">
        <v>367</v>
      </c>
      <c r="AP118" s="11" t="s">
        <v>907</v>
      </c>
      <c r="AQ118" s="11" t="s">
        <v>908</v>
      </c>
      <c r="AR118" s="11">
        <v>26</v>
      </c>
      <c r="AS118" s="36" t="s">
        <v>910</v>
      </c>
      <c r="AT118" s="11" t="s">
        <v>75</v>
      </c>
      <c r="AU118" s="11" t="s">
        <v>909</v>
      </c>
      <c r="AV118" s="13" t="s">
        <v>896</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914</v>
      </c>
      <c r="E119" s="26">
        <v>92100</v>
      </c>
      <c r="F119" s="10" t="s">
        <v>93</v>
      </c>
      <c r="G119" s="39" t="str">
        <f>Tableau1[[#This Row],[Rue]]&amp;CHAR(10)&amp;Tableau1[[#This Row],[Code Postal]]&amp;" - "&amp;Tableau1[[#This Row],[Ville]]</f>
        <v>30 Cours de l'Île Seguin
92100 - Boulogne-Billancourt</v>
      </c>
      <c r="H119" s="15" t="s">
        <v>911</v>
      </c>
      <c r="I119" s="12" t="s">
        <v>45</v>
      </c>
      <c r="J119" s="12" t="s">
        <v>44</v>
      </c>
      <c r="K119" s="12" t="s">
        <v>103</v>
      </c>
      <c r="L119" s="12"/>
      <c r="M119" s="12" t="s">
        <v>103</v>
      </c>
      <c r="N119" s="36" t="s">
        <v>912</v>
      </c>
      <c r="O119" s="34">
        <v>254</v>
      </c>
      <c r="P119" s="6" t="s">
        <v>103</v>
      </c>
      <c r="Q119" s="34"/>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913</v>
      </c>
      <c r="AN119" s="11"/>
      <c r="AO119" s="5" t="s">
        <v>367</v>
      </c>
      <c r="AP119" s="11" t="s">
        <v>915</v>
      </c>
      <c r="AQ119" s="11" t="s">
        <v>916</v>
      </c>
      <c r="AR119" s="11">
        <v>27</v>
      </c>
      <c r="AS119" s="36" t="s">
        <v>923</v>
      </c>
      <c r="AT119" s="11" t="s">
        <v>75</v>
      </c>
      <c r="AU119" s="11" t="s">
        <v>377</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917</v>
      </c>
      <c r="E120" s="26">
        <v>75020</v>
      </c>
      <c r="F120" s="10" t="s">
        <v>92</v>
      </c>
      <c r="G120" s="39" t="str">
        <f>Tableau1[[#This Row],[Rue]]&amp;CHAR(10)&amp;Tableau1[[#This Row],[Code Postal]]&amp;" - "&amp;Tableau1[[#This Row],[Ville]]</f>
        <v>61 rue de Bagnolet
75020 - Paris</v>
      </c>
      <c r="H120" s="15" t="s">
        <v>918</v>
      </c>
      <c r="I120" s="12" t="s">
        <v>45</v>
      </c>
      <c r="J120" s="12" t="s">
        <v>44</v>
      </c>
      <c r="K120" s="12" t="s">
        <v>103</v>
      </c>
      <c r="L120" s="12"/>
      <c r="M120" s="12" t="s">
        <v>103</v>
      </c>
      <c r="N120" s="36" t="s">
        <v>103</v>
      </c>
      <c r="O120" s="34">
        <v>99</v>
      </c>
      <c r="P120" s="6" t="s">
        <v>103</v>
      </c>
      <c r="Q120" s="34"/>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919</v>
      </c>
      <c r="AM120" s="11" t="s">
        <v>925</v>
      </c>
      <c r="AN120" s="11"/>
      <c r="AO120" s="5" t="s">
        <v>367</v>
      </c>
      <c r="AP120" s="11" t="s">
        <v>920</v>
      </c>
      <c r="AQ120" s="11" t="s">
        <v>921</v>
      </c>
      <c r="AR120" s="11">
        <v>28</v>
      </c>
      <c r="AS120" s="36" t="s">
        <v>924</v>
      </c>
      <c r="AT120" s="11" t="s">
        <v>75</v>
      </c>
      <c r="AU120" s="11" t="s">
        <v>922</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927</v>
      </c>
      <c r="E121" s="26">
        <v>93430</v>
      </c>
      <c r="F121" s="10" t="s">
        <v>926</v>
      </c>
      <c r="G121" s="39" t="str">
        <f>Tableau1[[#This Row],[Rue]]&amp;CHAR(10)&amp;Tableau1[[#This Row],[Code Postal]]&amp;" - "&amp;Tableau1[[#This Row],[Ville]]</f>
        <v>8 Route de Saint-Leu
93430 - Villetaneuse</v>
      </c>
      <c r="H121" s="15" t="s">
        <v>928</v>
      </c>
      <c r="I121" s="12" t="s">
        <v>45</v>
      </c>
      <c r="J121" s="12" t="s">
        <v>49</v>
      </c>
      <c r="K121" s="12" t="s">
        <v>103</v>
      </c>
      <c r="L121" s="12"/>
      <c r="M121" s="12" t="s">
        <v>103</v>
      </c>
      <c r="N121" s="36" t="s">
        <v>929</v>
      </c>
      <c r="O121" s="34">
        <v>163</v>
      </c>
      <c r="P121" s="6" t="s">
        <v>103</v>
      </c>
      <c r="Q121" s="34"/>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951</v>
      </c>
      <c r="AM121" s="11" t="s">
        <v>988</v>
      </c>
      <c r="AN121" s="11"/>
      <c r="AO121" s="5" t="s">
        <v>367</v>
      </c>
      <c r="AP121" s="11" t="s">
        <v>954</v>
      </c>
      <c r="AQ121" s="11" t="s">
        <v>955</v>
      </c>
      <c r="AR121" s="11" t="s">
        <v>934</v>
      </c>
      <c r="AS121" s="36" t="s">
        <v>1398</v>
      </c>
      <c r="AT121" s="11" t="s">
        <v>75</v>
      </c>
      <c r="AU121" s="11" t="s">
        <v>952</v>
      </c>
      <c r="AV121" s="13" t="s">
        <v>953</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927</v>
      </c>
      <c r="E122" s="26">
        <v>93430</v>
      </c>
      <c r="F122" s="10" t="s">
        <v>926</v>
      </c>
      <c r="G122" s="39" t="str">
        <f>Tableau1[[#This Row],[Rue]]&amp;CHAR(10)&amp;Tableau1[[#This Row],[Code Postal]]&amp;" - "&amp;Tableau1[[#This Row],[Ville]]</f>
        <v>8 Route de Saint-Leu
93430 - Villetaneuse</v>
      </c>
      <c r="H122" s="15" t="s">
        <v>928</v>
      </c>
      <c r="I122" s="12" t="s">
        <v>45</v>
      </c>
      <c r="J122" s="12" t="s">
        <v>49</v>
      </c>
      <c r="K122" s="12" t="s">
        <v>103</v>
      </c>
      <c r="L122" s="12"/>
      <c r="M122" s="12" t="s">
        <v>103</v>
      </c>
      <c r="N122" s="36">
        <v>9</v>
      </c>
      <c r="O122" s="34">
        <v>102</v>
      </c>
      <c r="P122" s="6" t="s">
        <v>103</v>
      </c>
      <c r="Q122" s="34"/>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951</v>
      </c>
      <c r="AM122" s="11" t="s">
        <v>988</v>
      </c>
      <c r="AN122" s="11"/>
      <c r="AO122" s="5" t="s">
        <v>367</v>
      </c>
      <c r="AP122" s="11" t="s">
        <v>956</v>
      </c>
      <c r="AQ122" s="11" t="s">
        <v>957</v>
      </c>
      <c r="AR122" s="11" t="s">
        <v>935</v>
      </c>
      <c r="AS122" s="36" t="s">
        <v>1398</v>
      </c>
      <c r="AT122" s="11" t="s">
        <v>75</v>
      </c>
      <c r="AU122" s="11" t="s">
        <v>952</v>
      </c>
      <c r="AV122" s="13" t="s">
        <v>953</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927</v>
      </c>
      <c r="E123" s="26">
        <v>93430</v>
      </c>
      <c r="F123" s="10" t="s">
        <v>926</v>
      </c>
      <c r="G123" s="39" t="str">
        <f>Tableau1[[#This Row],[Rue]]&amp;CHAR(10)&amp;Tableau1[[#This Row],[Code Postal]]&amp;" - "&amp;Tableau1[[#This Row],[Ville]]</f>
        <v>8 Route de Saint-Leu
93430 - Villetaneuse</v>
      </c>
      <c r="H123" s="15" t="s">
        <v>928</v>
      </c>
      <c r="I123" s="12" t="s">
        <v>45</v>
      </c>
      <c r="J123" s="12" t="s">
        <v>49</v>
      </c>
      <c r="K123" s="12" t="s">
        <v>103</v>
      </c>
      <c r="L123" s="12"/>
      <c r="M123" s="12" t="s">
        <v>103</v>
      </c>
      <c r="N123" s="36">
        <v>10</v>
      </c>
      <c r="O123" s="34">
        <v>87</v>
      </c>
      <c r="P123" s="6" t="s">
        <v>103</v>
      </c>
      <c r="Q123" s="34"/>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951</v>
      </c>
      <c r="AM123" s="11" t="s">
        <v>988</v>
      </c>
      <c r="AN123" s="11"/>
      <c r="AO123" s="5" t="s">
        <v>367</v>
      </c>
      <c r="AP123" s="11" t="s">
        <v>958</v>
      </c>
      <c r="AQ123" s="11" t="s">
        <v>959</v>
      </c>
      <c r="AR123" s="11" t="s">
        <v>936</v>
      </c>
      <c r="AS123" s="36" t="s">
        <v>1398</v>
      </c>
      <c r="AT123" s="11" t="s">
        <v>75</v>
      </c>
      <c r="AU123" s="11" t="s">
        <v>952</v>
      </c>
      <c r="AV123" s="13" t="s">
        <v>953</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927</v>
      </c>
      <c r="E124" s="26">
        <v>93430</v>
      </c>
      <c r="F124" s="10" t="s">
        <v>926</v>
      </c>
      <c r="G124" s="39" t="str">
        <f>Tableau1[[#This Row],[Rue]]&amp;CHAR(10)&amp;Tableau1[[#This Row],[Code Postal]]&amp;" - "&amp;Tableau1[[#This Row],[Ville]]</f>
        <v>8 Route de Saint-Leu
93430 - Villetaneuse</v>
      </c>
      <c r="H124" s="15" t="s">
        <v>928</v>
      </c>
      <c r="I124" s="12" t="s">
        <v>45</v>
      </c>
      <c r="J124" s="12" t="s">
        <v>49</v>
      </c>
      <c r="K124" s="12" t="s">
        <v>103</v>
      </c>
      <c r="L124" s="12"/>
      <c r="M124" s="12" t="s">
        <v>103</v>
      </c>
      <c r="N124" s="36" t="s">
        <v>930</v>
      </c>
      <c r="O124" s="34">
        <v>438</v>
      </c>
      <c r="P124" s="6" t="s">
        <v>103</v>
      </c>
      <c r="Q124" s="34"/>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951</v>
      </c>
      <c r="AM124" s="11" t="s">
        <v>989</v>
      </c>
      <c r="AN124" s="11"/>
      <c r="AO124" s="5" t="s">
        <v>367</v>
      </c>
      <c r="AP124" s="11" t="s">
        <v>960</v>
      </c>
      <c r="AQ124" s="11" t="s">
        <v>961</v>
      </c>
      <c r="AR124" s="11" t="s">
        <v>937</v>
      </c>
      <c r="AS124" s="36" t="s">
        <v>1398</v>
      </c>
      <c r="AT124" s="11" t="s">
        <v>75</v>
      </c>
      <c r="AU124" s="11" t="s">
        <v>952</v>
      </c>
      <c r="AV124" s="13" t="s">
        <v>953</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927</v>
      </c>
      <c r="E125" s="26">
        <v>93430</v>
      </c>
      <c r="F125" s="10" t="s">
        <v>926</v>
      </c>
      <c r="G125" s="39" t="str">
        <f>Tableau1[[#This Row],[Rue]]&amp;CHAR(10)&amp;Tableau1[[#This Row],[Code Postal]]&amp;" - "&amp;Tableau1[[#This Row],[Ville]]</f>
        <v>8 Route de Saint-Leu
93430 - Villetaneuse</v>
      </c>
      <c r="H125" s="15" t="s">
        <v>928</v>
      </c>
      <c r="I125" s="12" t="s">
        <v>45</v>
      </c>
      <c r="J125" s="12" t="s">
        <v>49</v>
      </c>
      <c r="K125" s="12" t="s">
        <v>103</v>
      </c>
      <c r="L125" s="12"/>
      <c r="M125" s="12" t="s">
        <v>103</v>
      </c>
      <c r="N125" s="36" t="s">
        <v>931</v>
      </c>
      <c r="O125" s="34">
        <v>97</v>
      </c>
      <c r="P125" s="6" t="s">
        <v>103</v>
      </c>
      <c r="Q125" s="34"/>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951</v>
      </c>
      <c r="AM125" s="11" t="s">
        <v>988</v>
      </c>
      <c r="AN125" s="11"/>
      <c r="AO125" s="5" t="s">
        <v>367</v>
      </c>
      <c r="AP125" s="11" t="s">
        <v>962</v>
      </c>
      <c r="AQ125" s="11" t="s">
        <v>963</v>
      </c>
      <c r="AR125" s="11" t="s">
        <v>938</v>
      </c>
      <c r="AS125" s="36" t="s">
        <v>1398</v>
      </c>
      <c r="AT125" s="11" t="s">
        <v>75</v>
      </c>
      <c r="AU125" s="11" t="s">
        <v>952</v>
      </c>
      <c r="AV125" s="13" t="s">
        <v>953</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927</v>
      </c>
      <c r="E126" s="26">
        <v>93430</v>
      </c>
      <c r="F126" s="10" t="s">
        <v>926</v>
      </c>
      <c r="G126" s="39" t="str">
        <f>Tableau1[[#This Row],[Rue]]&amp;CHAR(10)&amp;Tableau1[[#This Row],[Code Postal]]&amp;" - "&amp;Tableau1[[#This Row],[Ville]]</f>
        <v>8 Route de Saint-Leu
93430 - Villetaneuse</v>
      </c>
      <c r="H126" s="15" t="s">
        <v>928</v>
      </c>
      <c r="I126" s="12" t="s">
        <v>45</v>
      </c>
      <c r="J126" s="12" t="s">
        <v>49</v>
      </c>
      <c r="K126" s="12" t="s">
        <v>103</v>
      </c>
      <c r="L126" s="12"/>
      <c r="M126" s="12" t="s">
        <v>103</v>
      </c>
      <c r="N126" s="36">
        <v>29</v>
      </c>
      <c r="O126" s="34">
        <v>75</v>
      </c>
      <c r="P126" s="6" t="s">
        <v>103</v>
      </c>
      <c r="Q126" s="34"/>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951</v>
      </c>
      <c r="AM126" s="11" t="s">
        <v>988</v>
      </c>
      <c r="AN126" s="11"/>
      <c r="AO126" s="5" t="s">
        <v>367</v>
      </c>
      <c r="AP126" s="11" t="s">
        <v>970</v>
      </c>
      <c r="AQ126" s="11" t="s">
        <v>971</v>
      </c>
      <c r="AR126" s="11" t="s">
        <v>939</v>
      </c>
      <c r="AS126" s="36" t="s">
        <v>1398</v>
      </c>
      <c r="AT126" s="11" t="s">
        <v>75</v>
      </c>
      <c r="AU126" s="11" t="s">
        <v>952</v>
      </c>
      <c r="AV126" s="13" t="s">
        <v>953</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927</v>
      </c>
      <c r="E127" s="26">
        <v>93430</v>
      </c>
      <c r="F127" s="10" t="s">
        <v>926</v>
      </c>
      <c r="G127" s="39" t="str">
        <f>Tableau1[[#This Row],[Rue]]&amp;CHAR(10)&amp;Tableau1[[#This Row],[Code Postal]]&amp;" - "&amp;Tableau1[[#This Row],[Ville]]</f>
        <v>8 Route de Saint-Leu
93430 - Villetaneuse</v>
      </c>
      <c r="H127" s="15" t="s">
        <v>928</v>
      </c>
      <c r="I127" s="12" t="s">
        <v>45</v>
      </c>
      <c r="J127" s="12" t="s">
        <v>49</v>
      </c>
      <c r="K127" s="12" t="s">
        <v>103</v>
      </c>
      <c r="L127" s="12"/>
      <c r="M127" s="12" t="s">
        <v>103</v>
      </c>
      <c r="N127" s="36" t="s">
        <v>932</v>
      </c>
      <c r="O127" s="34">
        <v>125</v>
      </c>
      <c r="P127" s="6" t="s">
        <v>103</v>
      </c>
      <c r="Q127" s="34"/>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951</v>
      </c>
      <c r="AM127" s="11" t="s">
        <v>988</v>
      </c>
      <c r="AN127" s="11"/>
      <c r="AO127" s="5" t="s">
        <v>367</v>
      </c>
      <c r="AP127" s="11" t="s">
        <v>968</v>
      </c>
      <c r="AQ127" s="11" t="s">
        <v>969</v>
      </c>
      <c r="AR127" s="11" t="s">
        <v>940</v>
      </c>
      <c r="AS127" s="36" t="s">
        <v>1398</v>
      </c>
      <c r="AT127" s="11" t="s">
        <v>75</v>
      </c>
      <c r="AU127" s="11" t="s">
        <v>952</v>
      </c>
      <c r="AV127" s="13" t="s">
        <v>953</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927</v>
      </c>
      <c r="E128" s="26">
        <v>93430</v>
      </c>
      <c r="F128" s="10" t="s">
        <v>926</v>
      </c>
      <c r="G128" s="39" t="str">
        <f>Tableau1[[#This Row],[Rue]]&amp;CHAR(10)&amp;Tableau1[[#This Row],[Code Postal]]&amp;" - "&amp;Tableau1[[#This Row],[Ville]]</f>
        <v>8 Route de Saint-Leu
93430 - Villetaneuse</v>
      </c>
      <c r="H128" s="15" t="s">
        <v>928</v>
      </c>
      <c r="I128" s="12" t="s">
        <v>45</v>
      </c>
      <c r="J128" s="12" t="s">
        <v>49</v>
      </c>
      <c r="K128" s="12" t="s">
        <v>103</v>
      </c>
      <c r="L128" s="12"/>
      <c r="M128" s="12" t="s">
        <v>103</v>
      </c>
      <c r="N128" s="36">
        <v>32</v>
      </c>
      <c r="O128" s="34">
        <v>69</v>
      </c>
      <c r="P128" s="6" t="s">
        <v>103</v>
      </c>
      <c r="Q128" s="34"/>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951</v>
      </c>
      <c r="AM128" s="11" t="s">
        <v>988</v>
      </c>
      <c r="AN128" s="11"/>
      <c r="AO128" s="5" t="s">
        <v>367</v>
      </c>
      <c r="AP128" s="11" t="s">
        <v>966</v>
      </c>
      <c r="AQ128" s="11" t="s">
        <v>967</v>
      </c>
      <c r="AR128" s="11" t="s">
        <v>941</v>
      </c>
      <c r="AS128" s="36" t="s">
        <v>1398</v>
      </c>
      <c r="AT128" s="11" t="s">
        <v>75</v>
      </c>
      <c r="AU128" s="11" t="s">
        <v>952</v>
      </c>
      <c r="AV128" s="13" t="s">
        <v>953</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927</v>
      </c>
      <c r="E129" s="26">
        <v>93430</v>
      </c>
      <c r="F129" s="10" t="s">
        <v>926</v>
      </c>
      <c r="G129" s="39" t="str">
        <f>Tableau1[[#This Row],[Rue]]&amp;CHAR(10)&amp;Tableau1[[#This Row],[Code Postal]]&amp;" - "&amp;Tableau1[[#This Row],[Ville]]</f>
        <v>8 Route de Saint-Leu
93430 - Villetaneuse</v>
      </c>
      <c r="H129" s="15" t="s">
        <v>928</v>
      </c>
      <c r="I129" s="12" t="s">
        <v>45</v>
      </c>
      <c r="J129" s="12" t="s">
        <v>49</v>
      </c>
      <c r="K129" s="12" t="s">
        <v>103</v>
      </c>
      <c r="L129" s="12"/>
      <c r="M129" s="12" t="s">
        <v>103</v>
      </c>
      <c r="N129" s="36">
        <v>33</v>
      </c>
      <c r="O129" s="34">
        <v>65</v>
      </c>
      <c r="P129" s="6" t="s">
        <v>103</v>
      </c>
      <c r="Q129" s="34"/>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951</v>
      </c>
      <c r="AM129" s="11" t="s">
        <v>988</v>
      </c>
      <c r="AN129" s="11"/>
      <c r="AO129" s="5" t="s">
        <v>367</v>
      </c>
      <c r="AP129" s="11" t="s">
        <v>964</v>
      </c>
      <c r="AQ129" s="11" t="s">
        <v>965</v>
      </c>
      <c r="AR129" s="11" t="s">
        <v>942</v>
      </c>
      <c r="AS129" s="36" t="s">
        <v>1398</v>
      </c>
      <c r="AT129" s="11" t="s">
        <v>75</v>
      </c>
      <c r="AU129" s="11" t="s">
        <v>952</v>
      </c>
      <c r="AV129" s="13" t="s">
        <v>953</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927</v>
      </c>
      <c r="E130" s="26">
        <v>93430</v>
      </c>
      <c r="F130" s="10" t="s">
        <v>926</v>
      </c>
      <c r="G130" s="39" t="str">
        <f>Tableau1[[#This Row],[Rue]]&amp;CHAR(10)&amp;Tableau1[[#This Row],[Code Postal]]&amp;" - "&amp;Tableau1[[#This Row],[Ville]]</f>
        <v>8 Route de Saint-Leu
93430 - Villetaneuse</v>
      </c>
      <c r="H130" s="15" t="s">
        <v>928</v>
      </c>
      <c r="I130" s="12" t="s">
        <v>45</v>
      </c>
      <c r="J130" s="12" t="s">
        <v>49</v>
      </c>
      <c r="K130" s="12" t="s">
        <v>103</v>
      </c>
      <c r="L130" s="12"/>
      <c r="M130" s="12" t="s">
        <v>103</v>
      </c>
      <c r="N130" s="36">
        <v>34</v>
      </c>
      <c r="O130" s="34">
        <v>73</v>
      </c>
      <c r="P130" s="6" t="s">
        <v>103</v>
      </c>
      <c r="Q130" s="34"/>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951</v>
      </c>
      <c r="AM130" s="11" t="s">
        <v>988</v>
      </c>
      <c r="AN130" s="11"/>
      <c r="AO130" s="5" t="s">
        <v>367</v>
      </c>
      <c r="AP130" s="11" t="s">
        <v>972</v>
      </c>
      <c r="AQ130" s="11" t="s">
        <v>973</v>
      </c>
      <c r="AR130" s="11" t="s">
        <v>943</v>
      </c>
      <c r="AS130" s="36" t="s">
        <v>1398</v>
      </c>
      <c r="AT130" s="11" t="s">
        <v>75</v>
      </c>
      <c r="AU130" s="11" t="s">
        <v>952</v>
      </c>
      <c r="AV130" s="13" t="s">
        <v>953</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927</v>
      </c>
      <c r="E131" s="26">
        <v>93430</v>
      </c>
      <c r="F131" s="10" t="s">
        <v>926</v>
      </c>
      <c r="G131" s="39" t="str">
        <f>Tableau1[[#This Row],[Rue]]&amp;CHAR(10)&amp;Tableau1[[#This Row],[Code Postal]]&amp;" - "&amp;Tableau1[[#This Row],[Ville]]</f>
        <v>8 Route de Saint-Leu
93430 - Villetaneuse</v>
      </c>
      <c r="H131" s="15" t="s">
        <v>928</v>
      </c>
      <c r="I131" s="12" t="s">
        <v>45</v>
      </c>
      <c r="J131" s="12" t="s">
        <v>49</v>
      </c>
      <c r="K131" s="12" t="s">
        <v>103</v>
      </c>
      <c r="L131" s="12"/>
      <c r="M131" s="12" t="s">
        <v>103</v>
      </c>
      <c r="N131" s="36">
        <v>35</v>
      </c>
      <c r="O131" s="34">
        <v>75</v>
      </c>
      <c r="P131" s="6" t="s">
        <v>103</v>
      </c>
      <c r="Q131" s="34"/>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951</v>
      </c>
      <c r="AM131" s="11" t="s">
        <v>988</v>
      </c>
      <c r="AN131" s="11"/>
      <c r="AO131" s="5" t="s">
        <v>367</v>
      </c>
      <c r="AP131" s="11" t="s">
        <v>974</v>
      </c>
      <c r="AQ131" s="11" t="s">
        <v>975</v>
      </c>
      <c r="AR131" s="11" t="s">
        <v>944</v>
      </c>
      <c r="AS131" s="36" t="s">
        <v>1398</v>
      </c>
      <c r="AT131" s="11" t="s">
        <v>75</v>
      </c>
      <c r="AU131" s="11" t="s">
        <v>952</v>
      </c>
      <c r="AV131" s="13" t="s">
        <v>953</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927</v>
      </c>
      <c r="E132" s="26">
        <v>93430</v>
      </c>
      <c r="F132" s="10" t="s">
        <v>926</v>
      </c>
      <c r="G132" s="39" t="str">
        <f>Tableau1[[#This Row],[Rue]]&amp;CHAR(10)&amp;Tableau1[[#This Row],[Code Postal]]&amp;" - "&amp;Tableau1[[#This Row],[Ville]]</f>
        <v>8 Route de Saint-Leu
93430 - Villetaneuse</v>
      </c>
      <c r="H132" s="15" t="s">
        <v>928</v>
      </c>
      <c r="I132" s="12" t="s">
        <v>45</v>
      </c>
      <c r="J132" s="12" t="s">
        <v>49</v>
      </c>
      <c r="K132" s="12" t="s">
        <v>103</v>
      </c>
      <c r="L132" s="12"/>
      <c r="M132" s="12" t="s">
        <v>103</v>
      </c>
      <c r="N132" s="36">
        <v>36</v>
      </c>
      <c r="O132" s="34">
        <v>57</v>
      </c>
      <c r="P132" s="6" t="s">
        <v>103</v>
      </c>
      <c r="Q132" s="34"/>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951</v>
      </c>
      <c r="AM132" s="11" t="s">
        <v>988</v>
      </c>
      <c r="AN132" s="11"/>
      <c r="AO132" s="5" t="s">
        <v>367</v>
      </c>
      <c r="AP132" s="11" t="s">
        <v>976</v>
      </c>
      <c r="AQ132" s="11" t="s">
        <v>977</v>
      </c>
      <c r="AR132" s="11" t="s">
        <v>945</v>
      </c>
      <c r="AS132" s="36" t="s">
        <v>1398</v>
      </c>
      <c r="AT132" s="11" t="s">
        <v>75</v>
      </c>
      <c r="AU132" s="11" t="s">
        <v>952</v>
      </c>
      <c r="AV132" s="13" t="s">
        <v>953</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927</v>
      </c>
      <c r="E133" s="26">
        <v>93430</v>
      </c>
      <c r="F133" s="10" t="s">
        <v>926</v>
      </c>
      <c r="G133" s="39" t="str">
        <f>Tableau1[[#This Row],[Rue]]&amp;CHAR(10)&amp;Tableau1[[#This Row],[Code Postal]]&amp;" - "&amp;Tableau1[[#This Row],[Ville]]</f>
        <v>8 Route de Saint-Leu
93430 - Villetaneuse</v>
      </c>
      <c r="H133" s="15" t="s">
        <v>928</v>
      </c>
      <c r="I133" s="12" t="s">
        <v>45</v>
      </c>
      <c r="J133" s="12" t="s">
        <v>49</v>
      </c>
      <c r="K133" s="12" t="s">
        <v>103</v>
      </c>
      <c r="L133" s="12"/>
      <c r="M133" s="12" t="s">
        <v>103</v>
      </c>
      <c r="N133" s="36">
        <v>41</v>
      </c>
      <c r="O133" s="34">
        <v>58</v>
      </c>
      <c r="P133" s="6" t="s">
        <v>103</v>
      </c>
      <c r="Q133" s="34"/>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951</v>
      </c>
      <c r="AM133" s="11" t="s">
        <v>988</v>
      </c>
      <c r="AN133" s="11"/>
      <c r="AO133" s="5" t="s">
        <v>367</v>
      </c>
      <c r="AP133" s="11" t="s">
        <v>978</v>
      </c>
      <c r="AQ133" s="11" t="s">
        <v>979</v>
      </c>
      <c r="AR133" s="11" t="s">
        <v>946</v>
      </c>
      <c r="AS133" s="36" t="s">
        <v>1398</v>
      </c>
      <c r="AT133" s="11" t="s">
        <v>75</v>
      </c>
      <c r="AU133" s="11" t="s">
        <v>952</v>
      </c>
      <c r="AV133" s="13" t="s">
        <v>953</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927</v>
      </c>
      <c r="E134" s="26">
        <v>93430</v>
      </c>
      <c r="F134" s="10" t="s">
        <v>926</v>
      </c>
      <c r="G134" s="39" t="str">
        <f>Tableau1[[#This Row],[Rue]]&amp;CHAR(10)&amp;Tableau1[[#This Row],[Code Postal]]&amp;" - "&amp;Tableau1[[#This Row],[Ville]]</f>
        <v>8 Route de Saint-Leu
93430 - Villetaneuse</v>
      </c>
      <c r="H134" s="15" t="s">
        <v>928</v>
      </c>
      <c r="I134" s="12" t="s">
        <v>45</v>
      </c>
      <c r="J134" s="12" t="s">
        <v>49</v>
      </c>
      <c r="K134" s="12" t="s">
        <v>103</v>
      </c>
      <c r="L134" s="12"/>
      <c r="M134" s="12" t="s">
        <v>103</v>
      </c>
      <c r="N134" s="36">
        <v>43</v>
      </c>
      <c r="O134" s="34">
        <v>63</v>
      </c>
      <c r="P134" s="6" t="s">
        <v>103</v>
      </c>
      <c r="Q134" s="34"/>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951</v>
      </c>
      <c r="AM134" s="11" t="s">
        <v>988</v>
      </c>
      <c r="AN134" s="11"/>
      <c r="AO134" s="5" t="s">
        <v>367</v>
      </c>
      <c r="AP134" s="11" t="s">
        <v>980</v>
      </c>
      <c r="AQ134" s="11" t="s">
        <v>981</v>
      </c>
      <c r="AR134" s="11" t="s">
        <v>947</v>
      </c>
      <c r="AS134" s="36" t="s">
        <v>1398</v>
      </c>
      <c r="AT134" s="11" t="s">
        <v>75</v>
      </c>
      <c r="AU134" s="11" t="s">
        <v>952</v>
      </c>
      <c r="AV134" s="13" t="s">
        <v>953</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927</v>
      </c>
      <c r="E135" s="26">
        <v>93430</v>
      </c>
      <c r="F135" s="10" t="s">
        <v>926</v>
      </c>
      <c r="G135" s="39" t="str">
        <f>Tableau1[[#This Row],[Rue]]&amp;CHAR(10)&amp;Tableau1[[#This Row],[Code Postal]]&amp;" - "&amp;Tableau1[[#This Row],[Ville]]</f>
        <v>8 Route de Saint-Leu
93430 - Villetaneuse</v>
      </c>
      <c r="H135" s="15" t="s">
        <v>928</v>
      </c>
      <c r="I135" s="12" t="s">
        <v>45</v>
      </c>
      <c r="J135" s="12" t="s">
        <v>49</v>
      </c>
      <c r="K135" s="12" t="s">
        <v>103</v>
      </c>
      <c r="L135" s="12"/>
      <c r="M135" s="12" t="s">
        <v>103</v>
      </c>
      <c r="N135" s="36">
        <v>46</v>
      </c>
      <c r="O135" s="34">
        <v>84</v>
      </c>
      <c r="P135" s="6" t="s">
        <v>103</v>
      </c>
      <c r="Q135" s="34"/>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951</v>
      </c>
      <c r="AM135" s="11" t="s">
        <v>988</v>
      </c>
      <c r="AN135" s="11"/>
      <c r="AO135" s="5" t="s">
        <v>367</v>
      </c>
      <c r="AP135" s="11" t="s">
        <v>982</v>
      </c>
      <c r="AQ135" s="11" t="s">
        <v>983</v>
      </c>
      <c r="AR135" s="11" t="s">
        <v>948</v>
      </c>
      <c r="AS135" s="36" t="s">
        <v>1398</v>
      </c>
      <c r="AT135" s="11" t="s">
        <v>75</v>
      </c>
      <c r="AU135" s="11" t="s">
        <v>952</v>
      </c>
      <c r="AV135" s="13" t="s">
        <v>953</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927</v>
      </c>
      <c r="E136" s="26">
        <v>93430</v>
      </c>
      <c r="F136" s="10" t="s">
        <v>926</v>
      </c>
      <c r="G136" s="39" t="str">
        <f>Tableau1[[#This Row],[Rue]]&amp;CHAR(10)&amp;Tableau1[[#This Row],[Code Postal]]&amp;" - "&amp;Tableau1[[#This Row],[Ville]]</f>
        <v>8 Route de Saint-Leu
93430 - Villetaneuse</v>
      </c>
      <c r="H136" s="15" t="s">
        <v>928</v>
      </c>
      <c r="I136" s="12" t="s">
        <v>45</v>
      </c>
      <c r="J136" s="12" t="s">
        <v>49</v>
      </c>
      <c r="K136" s="12" t="s">
        <v>103</v>
      </c>
      <c r="L136" s="12"/>
      <c r="M136" s="12" t="s">
        <v>103</v>
      </c>
      <c r="N136" s="36">
        <v>48</v>
      </c>
      <c r="O136" s="34">
        <v>94</v>
      </c>
      <c r="P136" s="6" t="s">
        <v>103</v>
      </c>
      <c r="Q136" s="34"/>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951</v>
      </c>
      <c r="AM136" s="11" t="s">
        <v>988</v>
      </c>
      <c r="AN136" s="11"/>
      <c r="AO136" s="5" t="s">
        <v>367</v>
      </c>
      <c r="AP136" s="11" t="s">
        <v>984</v>
      </c>
      <c r="AQ136" s="11" t="s">
        <v>985</v>
      </c>
      <c r="AR136" s="11" t="s">
        <v>949</v>
      </c>
      <c r="AS136" s="36" t="s">
        <v>1398</v>
      </c>
      <c r="AT136" s="11" t="s">
        <v>75</v>
      </c>
      <c r="AU136" s="11" t="s">
        <v>952</v>
      </c>
      <c r="AV136" s="13" t="s">
        <v>953</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927</v>
      </c>
      <c r="E137" s="26">
        <v>93430</v>
      </c>
      <c r="F137" s="10" t="s">
        <v>926</v>
      </c>
      <c r="G137" s="39" t="str">
        <f>Tableau1[[#This Row],[Rue]]&amp;CHAR(10)&amp;Tableau1[[#This Row],[Code Postal]]&amp;" - "&amp;Tableau1[[#This Row],[Ville]]</f>
        <v>8 Route de Saint-Leu
93430 - Villetaneuse</v>
      </c>
      <c r="H137" s="15" t="s">
        <v>928</v>
      </c>
      <c r="I137" s="12" t="s">
        <v>45</v>
      </c>
      <c r="J137" s="12" t="s">
        <v>49</v>
      </c>
      <c r="K137" s="12" t="s">
        <v>103</v>
      </c>
      <c r="L137" s="12"/>
      <c r="M137" s="12" t="s">
        <v>103</v>
      </c>
      <c r="N137" s="36" t="s">
        <v>933</v>
      </c>
      <c r="O137" s="34">
        <v>62</v>
      </c>
      <c r="P137" s="6" t="s">
        <v>103</v>
      </c>
      <c r="Q137" s="34"/>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951</v>
      </c>
      <c r="AM137" s="11" t="s">
        <v>988</v>
      </c>
      <c r="AN137" s="11"/>
      <c r="AO137" s="5" t="s">
        <v>367</v>
      </c>
      <c r="AP137" s="11" t="s">
        <v>986</v>
      </c>
      <c r="AQ137" s="11" t="s">
        <v>987</v>
      </c>
      <c r="AR137" s="11" t="s">
        <v>950</v>
      </c>
      <c r="AS137" s="36" t="s">
        <v>1398</v>
      </c>
      <c r="AT137" s="11" t="s">
        <v>75</v>
      </c>
      <c r="AU137" s="11" t="s">
        <v>952</v>
      </c>
      <c r="AV137" s="13" t="s">
        <v>953</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991</v>
      </c>
      <c r="E138" s="26">
        <v>95290</v>
      </c>
      <c r="F138" s="10" t="s">
        <v>990</v>
      </c>
      <c r="G138" s="39" t="str">
        <f>Tableau1[[#This Row],[Rue]]&amp;CHAR(10)&amp;Tableau1[[#This Row],[Code Postal]]&amp;" - "&amp;Tableau1[[#This Row],[Ville]]</f>
        <v>Centre Commercial le Grand Val, Boulevard de Tilsit
95290 - L'Isle-Adam</v>
      </c>
      <c r="H138" s="15" t="s">
        <v>992</v>
      </c>
      <c r="I138" s="12" t="s">
        <v>47</v>
      </c>
      <c r="J138" s="12" t="s">
        <v>49</v>
      </c>
      <c r="K138" s="12" t="s">
        <v>103</v>
      </c>
      <c r="L138" s="12"/>
      <c r="M138" s="12" t="s">
        <v>103</v>
      </c>
      <c r="N138" s="36" t="s">
        <v>357</v>
      </c>
      <c r="O138" s="34">
        <v>167</v>
      </c>
      <c r="P138" s="6" t="s">
        <v>1401</v>
      </c>
      <c r="Q138" s="34"/>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993</v>
      </c>
      <c r="AM138" s="11" t="s">
        <v>995</v>
      </c>
      <c r="AN138" s="11"/>
      <c r="AO138" s="5" t="s">
        <v>367</v>
      </c>
      <c r="AP138" s="11" t="s">
        <v>1408</v>
      </c>
      <c r="AQ138" s="11" t="s">
        <v>1409</v>
      </c>
      <c r="AR138" s="11" t="s">
        <v>1399</v>
      </c>
      <c r="AS138" s="36" t="s">
        <v>1403</v>
      </c>
      <c r="AT138" s="11" t="s">
        <v>75</v>
      </c>
      <c r="AU138" s="11" t="s">
        <v>994</v>
      </c>
      <c r="AV138" s="13" t="s">
        <v>953</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991</v>
      </c>
      <c r="E139" s="26">
        <v>95290</v>
      </c>
      <c r="F139" s="10" t="s">
        <v>990</v>
      </c>
      <c r="G139" s="39" t="str">
        <f>Tableau1[[#This Row],[Rue]]&amp;CHAR(10)&amp;Tableau1[[#This Row],[Code Postal]]&amp;" - "&amp;Tableau1[[#This Row],[Ville]]</f>
        <v>Centre Commercial le Grand Val, Boulevard de Tilsit
95290 - L'Isle-Adam</v>
      </c>
      <c r="H139" s="15" t="s">
        <v>992</v>
      </c>
      <c r="I139" s="12" t="s">
        <v>47</v>
      </c>
      <c r="J139" s="12" t="s">
        <v>49</v>
      </c>
      <c r="K139" s="12" t="s">
        <v>103</v>
      </c>
      <c r="L139" s="12"/>
      <c r="M139" s="12" t="s">
        <v>103</v>
      </c>
      <c r="N139" s="36" t="s">
        <v>308</v>
      </c>
      <c r="O139" s="34">
        <v>124</v>
      </c>
      <c r="P139" s="6" t="s">
        <v>1402</v>
      </c>
      <c r="Q139" s="34"/>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993</v>
      </c>
      <c r="AM139" s="11" t="s">
        <v>995</v>
      </c>
      <c r="AN139" s="11"/>
      <c r="AO139" s="5" t="s">
        <v>367</v>
      </c>
      <c r="AP139" s="11" t="s">
        <v>1406</v>
      </c>
      <c r="AQ139" s="11" t="s">
        <v>1407</v>
      </c>
      <c r="AR139" s="11" t="s">
        <v>1400</v>
      </c>
      <c r="AS139" s="36" t="s">
        <v>1404</v>
      </c>
      <c r="AT139" s="11" t="s">
        <v>75</v>
      </c>
      <c r="AU139" s="11" t="s">
        <v>994</v>
      </c>
      <c r="AV139" s="13" t="s">
        <v>953</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997</v>
      </c>
      <c r="E140" s="26">
        <v>95260</v>
      </c>
      <c r="F140" s="10" t="s">
        <v>996</v>
      </c>
      <c r="G140" s="39" t="str">
        <f>Tableau1[[#This Row],[Rue]]&amp;CHAR(10)&amp;Tableau1[[#This Row],[Code Postal]]&amp;" - "&amp;Tableau1[[#This Row],[Ville]]</f>
        <v>Parc d’activités Col’Vert Rue du Kiosque
95260 - Mours</v>
      </c>
      <c r="H140" s="15" t="s">
        <v>1003</v>
      </c>
      <c r="I140" s="12" t="s">
        <v>47</v>
      </c>
      <c r="J140" s="12" t="s">
        <v>50</v>
      </c>
      <c r="K140" s="12" t="s">
        <v>103</v>
      </c>
      <c r="L140" s="12"/>
      <c r="M140" s="12" t="s">
        <v>103</v>
      </c>
      <c r="N140" s="36" t="s">
        <v>335</v>
      </c>
      <c r="O140" s="34">
        <v>620</v>
      </c>
      <c r="P140" s="6" t="s">
        <v>103</v>
      </c>
      <c r="Q140" s="34"/>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381</v>
      </c>
      <c r="AJ140" s="10" t="s">
        <v>376</v>
      </c>
      <c r="AK140" s="10" t="s">
        <v>369</v>
      </c>
      <c r="AL140" s="10" t="s">
        <v>1004</v>
      </c>
      <c r="AM140" s="11" t="s">
        <v>1005</v>
      </c>
      <c r="AN140" s="11"/>
      <c r="AO140" s="5" t="s">
        <v>367</v>
      </c>
      <c r="AP140" s="11" t="s">
        <v>1006</v>
      </c>
      <c r="AQ140" s="11" t="s">
        <v>1007</v>
      </c>
      <c r="AR140" s="11" t="s">
        <v>998</v>
      </c>
      <c r="AS140" s="36" t="s">
        <v>1032</v>
      </c>
      <c r="AT140" s="11" t="s">
        <v>75</v>
      </c>
      <c r="AU140" s="11" t="s">
        <v>1410</v>
      </c>
      <c r="AV140" s="13" t="s">
        <v>953</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997</v>
      </c>
      <c r="E141" s="26">
        <v>95260</v>
      </c>
      <c r="F141" s="10" t="s">
        <v>996</v>
      </c>
      <c r="G141" s="39" t="str">
        <f>Tableau1[[#This Row],[Rue]]&amp;CHAR(10)&amp;Tableau1[[#This Row],[Code Postal]]&amp;" - "&amp;Tableau1[[#This Row],[Ville]]</f>
        <v>Parc d’activités Col’Vert Rue du Kiosque
95260 - Mours</v>
      </c>
      <c r="H141" s="15" t="s">
        <v>1003</v>
      </c>
      <c r="I141" s="12" t="s">
        <v>47</v>
      </c>
      <c r="J141" s="12" t="s">
        <v>50</v>
      </c>
      <c r="K141" s="12" t="s">
        <v>103</v>
      </c>
      <c r="L141" s="12"/>
      <c r="M141" s="12" t="s">
        <v>103</v>
      </c>
      <c r="N141" s="36" t="s">
        <v>336</v>
      </c>
      <c r="O141" s="34">
        <v>620</v>
      </c>
      <c r="P141" s="6" t="s">
        <v>103</v>
      </c>
      <c r="Q141" s="34"/>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381</v>
      </c>
      <c r="AJ141" s="10" t="s">
        <v>376</v>
      </c>
      <c r="AK141" s="10" t="s">
        <v>369</v>
      </c>
      <c r="AL141" s="10" t="s">
        <v>1004</v>
      </c>
      <c r="AM141" s="11" t="s">
        <v>1005</v>
      </c>
      <c r="AN141" s="11"/>
      <c r="AO141" s="5" t="s">
        <v>367</v>
      </c>
      <c r="AP141" s="11" t="s">
        <v>1008</v>
      </c>
      <c r="AQ141" s="11" t="s">
        <v>1009</v>
      </c>
      <c r="AR141" s="11" t="s">
        <v>999</v>
      </c>
      <c r="AS141" s="36" t="s">
        <v>1032</v>
      </c>
      <c r="AT141" s="11" t="s">
        <v>75</v>
      </c>
      <c r="AU141" s="11" t="s">
        <v>1410</v>
      </c>
      <c r="AV141" s="13" t="s">
        <v>953</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997</v>
      </c>
      <c r="E142" s="26">
        <v>95260</v>
      </c>
      <c r="F142" s="10" t="s">
        <v>996</v>
      </c>
      <c r="G142" s="39" t="str">
        <f>Tableau1[[#This Row],[Rue]]&amp;CHAR(10)&amp;Tableau1[[#This Row],[Code Postal]]&amp;" - "&amp;Tableau1[[#This Row],[Ville]]</f>
        <v>Parc d’activités Col’Vert Rue du Kiosque
95260 - Mours</v>
      </c>
      <c r="H142" s="15" t="s">
        <v>1003</v>
      </c>
      <c r="I142" s="12" t="s">
        <v>47</v>
      </c>
      <c r="J142" s="12" t="s">
        <v>50</v>
      </c>
      <c r="K142" s="12" t="s">
        <v>103</v>
      </c>
      <c r="L142" s="12"/>
      <c r="M142" s="12" t="s">
        <v>103</v>
      </c>
      <c r="N142" s="36" t="s">
        <v>357</v>
      </c>
      <c r="O142" s="34">
        <v>620</v>
      </c>
      <c r="P142" s="6" t="s">
        <v>103</v>
      </c>
      <c r="Q142" s="34"/>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381</v>
      </c>
      <c r="AJ142" s="10" t="s">
        <v>376</v>
      </c>
      <c r="AK142" s="10" t="s">
        <v>369</v>
      </c>
      <c r="AL142" s="10" t="s">
        <v>1004</v>
      </c>
      <c r="AM142" s="11" t="s">
        <v>1005</v>
      </c>
      <c r="AN142" s="11"/>
      <c r="AO142" s="5" t="s">
        <v>367</v>
      </c>
      <c r="AP142" s="11" t="s">
        <v>1010</v>
      </c>
      <c r="AQ142" s="11" t="s">
        <v>1011</v>
      </c>
      <c r="AR142" s="11" t="s">
        <v>1000</v>
      </c>
      <c r="AS142" s="36" t="s">
        <v>1032</v>
      </c>
      <c r="AT142" s="11" t="s">
        <v>75</v>
      </c>
      <c r="AU142" s="11" t="s">
        <v>1410</v>
      </c>
      <c r="AV142" s="13" t="s">
        <v>953</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997</v>
      </c>
      <c r="E143" s="26">
        <v>95260</v>
      </c>
      <c r="F143" s="10" t="s">
        <v>996</v>
      </c>
      <c r="G143" s="39" t="str">
        <f>Tableau1[[#This Row],[Rue]]&amp;CHAR(10)&amp;Tableau1[[#This Row],[Code Postal]]&amp;" - "&amp;Tableau1[[#This Row],[Ville]]</f>
        <v>Parc d’activités Col’Vert Rue du Kiosque
95260 - Mours</v>
      </c>
      <c r="H143" s="15" t="s">
        <v>1003</v>
      </c>
      <c r="I143" s="12" t="s">
        <v>47</v>
      </c>
      <c r="J143" s="12" t="s">
        <v>50</v>
      </c>
      <c r="K143" s="12" t="s">
        <v>103</v>
      </c>
      <c r="L143" s="12"/>
      <c r="M143" s="12" t="s">
        <v>103</v>
      </c>
      <c r="N143" s="36" t="s">
        <v>358</v>
      </c>
      <c r="O143" s="34">
        <v>628</v>
      </c>
      <c r="P143" s="6" t="s">
        <v>103</v>
      </c>
      <c r="Q143" s="34"/>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381</v>
      </c>
      <c r="AJ143" s="10" t="s">
        <v>376</v>
      </c>
      <c r="AK143" s="10" t="s">
        <v>369</v>
      </c>
      <c r="AL143" s="10" t="s">
        <v>1004</v>
      </c>
      <c r="AM143" s="11" t="s">
        <v>1005</v>
      </c>
      <c r="AN143" s="11"/>
      <c r="AO143" s="5" t="s">
        <v>367</v>
      </c>
      <c r="AP143" s="11" t="s">
        <v>1012</v>
      </c>
      <c r="AQ143" s="11" t="s">
        <v>1013</v>
      </c>
      <c r="AR143" s="11" t="s">
        <v>1001</v>
      </c>
      <c r="AS143" s="36" t="s">
        <v>1032</v>
      </c>
      <c r="AT143" s="11" t="s">
        <v>75</v>
      </c>
      <c r="AU143" s="11" t="s">
        <v>1412</v>
      </c>
      <c r="AV143" s="13" t="s">
        <v>953</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997</v>
      </c>
      <c r="E144" s="26">
        <v>95260</v>
      </c>
      <c r="F144" s="10" t="s">
        <v>996</v>
      </c>
      <c r="G144" s="39" t="str">
        <f>Tableau1[[#This Row],[Rue]]&amp;CHAR(10)&amp;Tableau1[[#This Row],[Code Postal]]&amp;" - "&amp;Tableau1[[#This Row],[Ville]]</f>
        <v>Parc d’activités Col’Vert Rue du Kiosque
95260 - Mours</v>
      </c>
      <c r="H144" s="15" t="s">
        <v>1003</v>
      </c>
      <c r="I144" s="12" t="s">
        <v>47</v>
      </c>
      <c r="J144" s="12" t="s">
        <v>50</v>
      </c>
      <c r="K144" s="12" t="s">
        <v>103</v>
      </c>
      <c r="L144" s="12"/>
      <c r="M144" s="12" t="s">
        <v>1189</v>
      </c>
      <c r="N144" s="36" t="s">
        <v>359</v>
      </c>
      <c r="O144" s="34">
        <v>4272</v>
      </c>
      <c r="P144" s="6" t="s">
        <v>103</v>
      </c>
      <c r="Q144" s="34"/>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381</v>
      </c>
      <c r="AJ144" s="10" t="s">
        <v>376</v>
      </c>
      <c r="AK144" s="10" t="s">
        <v>369</v>
      </c>
      <c r="AL144" s="10" t="s">
        <v>1004</v>
      </c>
      <c r="AM144" s="11" t="s">
        <v>1405</v>
      </c>
      <c r="AN144" s="11"/>
      <c r="AO144" s="5" t="s">
        <v>367</v>
      </c>
      <c r="AP144" s="11" t="s">
        <v>1014</v>
      </c>
      <c r="AQ144" s="11" t="s">
        <v>1015</v>
      </c>
      <c r="AR144" s="11" t="s">
        <v>1002</v>
      </c>
      <c r="AS144" s="36" t="s">
        <v>1033</v>
      </c>
      <c r="AT144" s="11" t="s">
        <v>75</v>
      </c>
      <c r="AU144" s="11" t="s">
        <v>1411</v>
      </c>
      <c r="AV144" s="13" t="s">
        <v>953</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1019</v>
      </c>
      <c r="E145" s="26">
        <v>44200</v>
      </c>
      <c r="F145" s="10" t="s">
        <v>1020</v>
      </c>
      <c r="G145" s="39" t="str">
        <f>Tableau1[[#This Row],[Rue]]&amp;CHAR(10)&amp;Tableau1[[#This Row],[Code Postal]]&amp;" - "&amp;Tableau1[[#This Row],[Ville]]</f>
        <v>15 Boulevard Léon Bureau
44200 - Nantes</v>
      </c>
      <c r="H145" s="15" t="s">
        <v>1018</v>
      </c>
      <c r="I145" s="12" t="s">
        <v>45</v>
      </c>
      <c r="J145" s="12" t="s">
        <v>44</v>
      </c>
      <c r="K145" s="12" t="s">
        <v>103</v>
      </c>
      <c r="L145" s="12"/>
      <c r="M145" s="12" t="s">
        <v>103</v>
      </c>
      <c r="N145" s="36" t="s">
        <v>335</v>
      </c>
      <c r="O145" s="34">
        <v>285</v>
      </c>
      <c r="P145" s="6" t="s">
        <v>103</v>
      </c>
      <c r="Q145" s="34"/>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381</v>
      </c>
      <c r="AJ145" s="10" t="s">
        <v>75</v>
      </c>
      <c r="AK145" s="10" t="s">
        <v>369</v>
      </c>
      <c r="AL145" s="10" t="s">
        <v>1027</v>
      </c>
      <c r="AM145" s="11" t="s">
        <v>1184</v>
      </c>
      <c r="AN145" s="11"/>
      <c r="AO145" s="5" t="s">
        <v>367</v>
      </c>
      <c r="AP145" s="11" t="s">
        <v>1023</v>
      </c>
      <c r="AQ145" s="11" t="s">
        <v>1024</v>
      </c>
      <c r="AR145" s="11" t="s">
        <v>1016</v>
      </c>
      <c r="AS145" s="36" t="s">
        <v>1031</v>
      </c>
      <c r="AT145" s="11" t="s">
        <v>75</v>
      </c>
      <c r="AU145" s="11" t="s">
        <v>1021</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1019</v>
      </c>
      <c r="E146" s="26">
        <v>44200</v>
      </c>
      <c r="F146" s="10" t="s">
        <v>1020</v>
      </c>
      <c r="G146" s="39" t="str">
        <f>Tableau1[[#This Row],[Rue]]&amp;CHAR(10)&amp;Tableau1[[#This Row],[Code Postal]]&amp;" - "&amp;Tableau1[[#This Row],[Ville]]</f>
        <v>15 Boulevard Léon Bureau
44200 - Nantes</v>
      </c>
      <c r="H146" s="15" t="s">
        <v>1018</v>
      </c>
      <c r="I146" s="12" t="s">
        <v>45</v>
      </c>
      <c r="J146" s="12" t="s">
        <v>44</v>
      </c>
      <c r="K146" s="12" t="s">
        <v>103</v>
      </c>
      <c r="L146" s="12"/>
      <c r="M146" s="12" t="s">
        <v>103</v>
      </c>
      <c r="N146" s="36" t="s">
        <v>336</v>
      </c>
      <c r="O146" s="34">
        <v>224</v>
      </c>
      <c r="P146" s="6" t="s">
        <v>103</v>
      </c>
      <c r="Q146" s="34"/>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381</v>
      </c>
      <c r="AJ146" s="10" t="s">
        <v>53</v>
      </c>
      <c r="AK146" s="10" t="s">
        <v>368</v>
      </c>
      <c r="AL146" s="10" t="s">
        <v>1027</v>
      </c>
      <c r="AM146" s="11" t="s">
        <v>1185</v>
      </c>
      <c r="AN146" s="11"/>
      <c r="AO146" s="5" t="s">
        <v>367</v>
      </c>
      <c r="AP146" s="11" t="s">
        <v>1025</v>
      </c>
      <c r="AQ146" s="11" t="s">
        <v>1026</v>
      </c>
      <c r="AR146" s="11" t="s">
        <v>1017</v>
      </c>
      <c r="AS146" s="36" t="s">
        <v>1028</v>
      </c>
      <c r="AT146" s="11" t="s">
        <v>75</v>
      </c>
      <c r="AU146" s="11" t="s">
        <v>1022</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42" t="s">
        <v>1034</v>
      </c>
      <c r="E147" s="26">
        <v>68330</v>
      </c>
      <c r="F147" s="10" t="s">
        <v>899</v>
      </c>
      <c r="G147" s="39" t="str">
        <f>Tableau1[[#This Row],[Rue]]&amp;CHAR(10)&amp;Tableau1[[#This Row],[Code Postal]]&amp;" - "&amp;Tableau1[[#This Row],[Ville]]</f>
        <v>5 avenue d'Alsace
68330 - Huningue</v>
      </c>
      <c r="H147" s="15" t="s">
        <v>1036</v>
      </c>
      <c r="I147" s="12" t="s">
        <v>45</v>
      </c>
      <c r="J147" s="12" t="s">
        <v>50</v>
      </c>
      <c r="K147" s="12" t="s">
        <v>103</v>
      </c>
      <c r="L147" s="12"/>
      <c r="M147" s="12" t="s">
        <v>103</v>
      </c>
      <c r="N147" s="36" t="s">
        <v>1035</v>
      </c>
      <c r="O147" s="34">
        <v>287</v>
      </c>
      <c r="P147" s="6" t="s">
        <v>103</v>
      </c>
      <c r="Q147" s="34"/>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c r="AJ147" s="10"/>
      <c r="AK147" s="10"/>
      <c r="AL147" s="10"/>
      <c r="AM147" s="11" t="s">
        <v>1048</v>
      </c>
      <c r="AN147" s="11"/>
      <c r="AO147" s="5" t="s">
        <v>367</v>
      </c>
      <c r="AP147" s="11" t="s">
        <v>1037</v>
      </c>
      <c r="AQ147" s="11" t="s">
        <v>1038</v>
      </c>
      <c r="AR147" s="11">
        <v>33</v>
      </c>
      <c r="AS147" s="36" t="s">
        <v>1049</v>
      </c>
      <c r="AT147" s="11" t="s">
        <v>75</v>
      </c>
      <c r="AU147" s="11"/>
      <c r="AV147" s="13" t="s">
        <v>1045</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1040</v>
      </c>
      <c r="E148" s="26">
        <v>37600</v>
      </c>
      <c r="F148" s="10" t="s">
        <v>900</v>
      </c>
      <c r="G148" s="39" t="str">
        <f>Tableau1[[#This Row],[Rue]]&amp;CHAR(10)&amp;Tableau1[[#This Row],[Code Postal]]&amp;" - "&amp;Tableau1[[#This Row],[Ville]]</f>
        <v>Super U 38 Route de Vauzelles, Rue du Bon Raisin
37600 - Loches</v>
      </c>
      <c r="H148" s="15" t="s">
        <v>1039</v>
      </c>
      <c r="I148" s="12" t="s">
        <v>47</v>
      </c>
      <c r="J148" s="12" t="s">
        <v>51</v>
      </c>
      <c r="K148" s="12" t="s">
        <v>103</v>
      </c>
      <c r="L148" s="12"/>
      <c r="M148" s="12">
        <v>25000</v>
      </c>
      <c r="N148" s="36" t="s">
        <v>335</v>
      </c>
      <c r="O148" s="34">
        <v>73</v>
      </c>
      <c r="P148" s="6" t="s">
        <v>103</v>
      </c>
      <c r="Q148" s="34"/>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1041</v>
      </c>
      <c r="AM148" s="11" t="s">
        <v>1047</v>
      </c>
      <c r="AN148" s="11"/>
      <c r="AO148" s="5" t="s">
        <v>367</v>
      </c>
      <c r="AP148" s="11" t="s">
        <v>1042</v>
      </c>
      <c r="AQ148" s="11" t="s">
        <v>1043</v>
      </c>
      <c r="AR148" s="11">
        <v>34</v>
      </c>
      <c r="AS148" s="36" t="s">
        <v>1050</v>
      </c>
      <c r="AT148" s="11" t="s">
        <v>75</v>
      </c>
      <c r="AU148" s="43" t="s">
        <v>1046</v>
      </c>
      <c r="AV148" s="13" t="s">
        <v>1044</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1040</v>
      </c>
      <c r="E149" s="26">
        <v>37600</v>
      </c>
      <c r="F149" s="10" t="s">
        <v>900</v>
      </c>
      <c r="G149" s="39" t="str">
        <f>Tableau1[[#This Row],[Rue]]&amp;CHAR(10)&amp;Tableau1[[#This Row],[Code Postal]]&amp;" - "&amp;Tableau1[[#This Row],[Ville]]</f>
        <v>Super U 38 Route de Vauzelles, Rue du Bon Raisin
37600 - Loches</v>
      </c>
      <c r="H149" s="15" t="s">
        <v>1051</v>
      </c>
      <c r="I149" s="12" t="s">
        <v>47</v>
      </c>
      <c r="J149" s="12" t="s">
        <v>50</v>
      </c>
      <c r="K149" s="12" t="s">
        <v>103</v>
      </c>
      <c r="L149" s="12"/>
      <c r="M149" s="12">
        <f>100*Tableau1[[#This Row],[Surface GLA]]</f>
        <v>20000</v>
      </c>
      <c r="N149" s="36" t="s">
        <v>335</v>
      </c>
      <c r="O149" s="34">
        <v>200</v>
      </c>
      <c r="P149" s="6" t="s">
        <v>103</v>
      </c>
      <c r="Q149" s="34"/>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89" si="7">"3 mois = "&amp;TEXT(ROUND(3/12*T149,0),"### ### ##0 €")</f>
        <v>3 mois = 10 000 €</v>
      </c>
      <c r="AG149" s="6" t="s">
        <v>103</v>
      </c>
      <c r="AH149" s="6" t="s">
        <v>103</v>
      </c>
      <c r="AI149" s="12" t="s">
        <v>381</v>
      </c>
      <c r="AJ149" s="10" t="s">
        <v>53</v>
      </c>
      <c r="AK149" s="10" t="s">
        <v>103</v>
      </c>
      <c r="AL149" s="10" t="s">
        <v>1055</v>
      </c>
      <c r="AM149" s="11" t="s">
        <v>1052</v>
      </c>
      <c r="AN149" s="11"/>
      <c r="AO149" s="5" t="s">
        <v>367</v>
      </c>
      <c r="AP149" s="11" t="s">
        <v>1060</v>
      </c>
      <c r="AQ149" s="11" t="s">
        <v>1061</v>
      </c>
      <c r="AR149" s="11" t="s">
        <v>1053</v>
      </c>
      <c r="AS149" s="36" t="s">
        <v>1070</v>
      </c>
      <c r="AT149" s="11" t="s">
        <v>75</v>
      </c>
      <c r="AU149" s="11" t="s">
        <v>1054</v>
      </c>
      <c r="AV149" s="13" t="s">
        <v>1044</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1040</v>
      </c>
      <c r="E150" s="26">
        <v>37600</v>
      </c>
      <c r="F150" s="10" t="s">
        <v>900</v>
      </c>
      <c r="G150" s="39" t="str">
        <f>Tableau1[[#This Row],[Rue]]&amp;CHAR(10)&amp;Tableau1[[#This Row],[Code Postal]]&amp;" - "&amp;Tableau1[[#This Row],[Ville]]</f>
        <v>Super U 38 Route de Vauzelles, Rue du Bon Raisin
37600 - Loches</v>
      </c>
      <c r="H150" s="15" t="s">
        <v>1051</v>
      </c>
      <c r="I150" s="12" t="s">
        <v>47</v>
      </c>
      <c r="J150" s="12" t="s">
        <v>50</v>
      </c>
      <c r="K150" s="12" t="s">
        <v>103</v>
      </c>
      <c r="L150" s="12"/>
      <c r="M150" s="12">
        <f>100*Tableau1[[#This Row],[Surface GLA]]</f>
        <v>50000</v>
      </c>
      <c r="N150" s="36" t="s">
        <v>336</v>
      </c>
      <c r="O150" s="34">
        <v>500</v>
      </c>
      <c r="P150" s="6" t="s">
        <v>103</v>
      </c>
      <c r="Q150" s="34"/>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381</v>
      </c>
      <c r="AJ150" s="10" t="s">
        <v>53</v>
      </c>
      <c r="AK150" s="10" t="s">
        <v>103</v>
      </c>
      <c r="AL150" s="10" t="s">
        <v>1055</v>
      </c>
      <c r="AM150" s="11" t="s">
        <v>1052</v>
      </c>
      <c r="AN150" s="11"/>
      <c r="AO150" s="5" t="s">
        <v>367</v>
      </c>
      <c r="AP150" s="11" t="s">
        <v>1062</v>
      </c>
      <c r="AQ150" s="11" t="s">
        <v>1063</v>
      </c>
      <c r="AR150" s="11" t="s">
        <v>1056</v>
      </c>
      <c r="AS150" s="36" t="s">
        <v>1070</v>
      </c>
      <c r="AT150" s="11" t="s">
        <v>75</v>
      </c>
      <c r="AU150" s="11" t="s">
        <v>1054</v>
      </c>
      <c r="AV150" s="13" t="s">
        <v>1044</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1040</v>
      </c>
      <c r="E151" s="26">
        <v>37600</v>
      </c>
      <c r="F151" s="10" t="s">
        <v>900</v>
      </c>
      <c r="G151" s="39" t="str">
        <f>Tableau1[[#This Row],[Rue]]&amp;CHAR(10)&amp;Tableau1[[#This Row],[Code Postal]]&amp;" - "&amp;Tableau1[[#This Row],[Ville]]</f>
        <v>Super U 38 Route de Vauzelles, Rue du Bon Raisin
37600 - Loches</v>
      </c>
      <c r="H151" s="15" t="s">
        <v>1051</v>
      </c>
      <c r="I151" s="12" t="s">
        <v>47</v>
      </c>
      <c r="J151" s="12" t="s">
        <v>50</v>
      </c>
      <c r="K151" s="12" t="s">
        <v>103</v>
      </c>
      <c r="L151" s="12"/>
      <c r="M151" s="12">
        <f>100*Tableau1[[#This Row],[Surface GLA]]</f>
        <v>100000</v>
      </c>
      <c r="N151" s="36" t="s">
        <v>357</v>
      </c>
      <c r="O151" s="34">
        <v>1000</v>
      </c>
      <c r="P151" s="6" t="s">
        <v>103</v>
      </c>
      <c r="Q151" s="34"/>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381</v>
      </c>
      <c r="AJ151" s="10" t="s">
        <v>53</v>
      </c>
      <c r="AK151" s="10" t="s">
        <v>103</v>
      </c>
      <c r="AL151" s="10" t="s">
        <v>1055</v>
      </c>
      <c r="AM151" s="11" t="s">
        <v>1052</v>
      </c>
      <c r="AN151" s="11"/>
      <c r="AO151" s="5" t="s">
        <v>367</v>
      </c>
      <c r="AP151" s="11" t="s">
        <v>1064</v>
      </c>
      <c r="AQ151" s="11" t="s">
        <v>1065</v>
      </c>
      <c r="AR151" s="11" t="s">
        <v>1057</v>
      </c>
      <c r="AS151" s="36" t="s">
        <v>1070</v>
      </c>
      <c r="AT151" s="11" t="s">
        <v>75</v>
      </c>
      <c r="AU151" s="11" t="s">
        <v>1054</v>
      </c>
      <c r="AV151" s="13" t="s">
        <v>1044</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1040</v>
      </c>
      <c r="E152" s="26">
        <v>37600</v>
      </c>
      <c r="F152" s="10" t="s">
        <v>900</v>
      </c>
      <c r="G152" s="39" t="str">
        <f>Tableau1[[#This Row],[Rue]]&amp;CHAR(10)&amp;Tableau1[[#This Row],[Code Postal]]&amp;" - "&amp;Tableau1[[#This Row],[Ville]]</f>
        <v>Super U 38 Route de Vauzelles, Rue du Bon Raisin
37600 - Loches</v>
      </c>
      <c r="H152" s="15" t="s">
        <v>1051</v>
      </c>
      <c r="I152" s="12" t="s">
        <v>47</v>
      </c>
      <c r="J152" s="12" t="s">
        <v>50</v>
      </c>
      <c r="K152" s="12" t="s">
        <v>103</v>
      </c>
      <c r="L152" s="12"/>
      <c r="M152" s="12">
        <f>100*Tableau1[[#This Row],[Surface GLA]]</f>
        <v>200000</v>
      </c>
      <c r="N152" s="36" t="s">
        <v>358</v>
      </c>
      <c r="O152" s="34">
        <v>2000</v>
      </c>
      <c r="P152" s="6" t="s">
        <v>103</v>
      </c>
      <c r="Q152" s="34"/>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381</v>
      </c>
      <c r="AJ152" s="10" t="s">
        <v>53</v>
      </c>
      <c r="AK152" s="10" t="s">
        <v>103</v>
      </c>
      <c r="AL152" s="10" t="s">
        <v>1055</v>
      </c>
      <c r="AM152" s="11" t="s">
        <v>1052</v>
      </c>
      <c r="AN152" s="11"/>
      <c r="AO152" s="5" t="s">
        <v>367</v>
      </c>
      <c r="AP152" s="11" t="s">
        <v>1066</v>
      </c>
      <c r="AQ152" s="11" t="s">
        <v>1067</v>
      </c>
      <c r="AR152" s="11" t="s">
        <v>1058</v>
      </c>
      <c r="AS152" s="36" t="s">
        <v>1070</v>
      </c>
      <c r="AT152" s="11" t="s">
        <v>75</v>
      </c>
      <c r="AU152" s="11" t="s">
        <v>1054</v>
      </c>
      <c r="AV152" s="13" t="s">
        <v>1044</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1040</v>
      </c>
      <c r="E153" s="26">
        <v>37600</v>
      </c>
      <c r="F153" s="10" t="s">
        <v>900</v>
      </c>
      <c r="G153" s="39" t="str">
        <f>Tableau1[[#This Row],[Rue]]&amp;CHAR(10)&amp;Tableau1[[#This Row],[Code Postal]]&amp;" - "&amp;Tableau1[[#This Row],[Ville]]</f>
        <v>Super U 38 Route de Vauzelles, Rue du Bon Raisin
37600 - Loches</v>
      </c>
      <c r="H153" s="15" t="s">
        <v>1051</v>
      </c>
      <c r="I153" s="12" t="s">
        <v>47</v>
      </c>
      <c r="J153" s="12" t="s">
        <v>50</v>
      </c>
      <c r="K153" s="12" t="s">
        <v>103</v>
      </c>
      <c r="L153" s="12"/>
      <c r="M153" s="12">
        <f>100*Tableau1[[#This Row],[Surface GLA]]</f>
        <v>500000</v>
      </c>
      <c r="N153" s="36" t="s">
        <v>359</v>
      </c>
      <c r="O153" s="34">
        <v>5000</v>
      </c>
      <c r="P153" s="6" t="s">
        <v>103</v>
      </c>
      <c r="Q153" s="34"/>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381</v>
      </c>
      <c r="AJ153" s="10" t="s">
        <v>53</v>
      </c>
      <c r="AK153" s="10" t="s">
        <v>103</v>
      </c>
      <c r="AL153" s="10" t="s">
        <v>1055</v>
      </c>
      <c r="AM153" s="11" t="s">
        <v>1052</v>
      </c>
      <c r="AN153" s="11"/>
      <c r="AO153" s="5" t="s">
        <v>367</v>
      </c>
      <c r="AP153" s="11" t="s">
        <v>1068</v>
      </c>
      <c r="AQ153" s="11" t="s">
        <v>1069</v>
      </c>
      <c r="AR153" s="11" t="s">
        <v>1059</v>
      </c>
      <c r="AS153" s="36" t="s">
        <v>1070</v>
      </c>
      <c r="AT153" s="11" t="s">
        <v>75</v>
      </c>
      <c r="AU153" s="11" t="s">
        <v>1054</v>
      </c>
      <c r="AV153" s="13" t="s">
        <v>1044</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1098</v>
      </c>
      <c r="E154" s="26">
        <v>13127</v>
      </c>
      <c r="F154" s="10" t="s">
        <v>1094</v>
      </c>
      <c r="G154" s="39" t="str">
        <f>Tableau1[[#This Row],[Rue]]&amp;CHAR(10)&amp;Tableau1[[#This Row],[Code Postal]]&amp;" - "&amp;Tableau1[[#This Row],[Ville]]</f>
        <v>14 Boulevard de l'Europe
13127 - Vitrolles</v>
      </c>
      <c r="H154" s="15" t="s">
        <v>1099</v>
      </c>
      <c r="I154" s="12" t="s">
        <v>47</v>
      </c>
      <c r="J154" s="12" t="s">
        <v>48</v>
      </c>
      <c r="K154" s="10" t="s">
        <v>103</v>
      </c>
      <c r="L154" s="10" t="s">
        <v>1428</v>
      </c>
      <c r="M154" s="12" t="s">
        <v>103</v>
      </c>
      <c r="N154" s="36" t="s">
        <v>1198</v>
      </c>
      <c r="O154" s="34">
        <v>181</v>
      </c>
      <c r="P154" s="6" t="s">
        <v>103</v>
      </c>
      <c r="Q154" s="34"/>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1143</v>
      </c>
      <c r="AM154" s="11" t="s">
        <v>1197</v>
      </c>
      <c r="AN154" s="11" t="s">
        <v>1424</v>
      </c>
      <c r="AO154" s="5" t="s">
        <v>367</v>
      </c>
      <c r="AP154" s="11">
        <v>43.4393873</v>
      </c>
      <c r="AQ154" s="11">
        <v>5.2419589999999996</v>
      </c>
      <c r="AR154" s="11" t="s">
        <v>1202</v>
      </c>
      <c r="AS154" s="36" t="s">
        <v>1264</v>
      </c>
      <c r="AT154" s="11" t="s">
        <v>75</v>
      </c>
      <c r="AU154" s="11" t="s">
        <v>1196</v>
      </c>
      <c r="AV154" s="13" t="s">
        <v>1140</v>
      </c>
      <c r="AW154" s="14"/>
      <c r="AX154" s="44">
        <v>46003</v>
      </c>
      <c r="BA154" s="1"/>
      <c r="BG154"/>
      <c r="BH154" s="1"/>
    </row>
    <row r="155" spans="1:60" ht="165.75" hidden="1">
      <c r="A155" s="38" t="str">
        <f>VLOOKUP(Tableau1[[#This Row],[N° Département]],Feuil1!$C$6:$E$106,3)</f>
        <v>Provence-Alpes-Côte d'Azur</v>
      </c>
      <c r="B155" s="38" t="str">
        <f>VLOOKUP(Tableau1[[#This Row],[N° Département]],Feuil1!$C$6:$E$106,2)</f>
        <v>Bouches-du-Rhône</v>
      </c>
      <c r="C155" s="38">
        <f>LEFT(Tableau1[[#This Row],[Code Postal]],2)*1</f>
        <v>13</v>
      </c>
      <c r="D155" s="10" t="s">
        <v>1098</v>
      </c>
      <c r="E155" s="26">
        <v>13127</v>
      </c>
      <c r="F155" s="10" t="s">
        <v>1094</v>
      </c>
      <c r="G155" s="39" t="str">
        <f>Tableau1[[#This Row],[Rue]]&amp;CHAR(10)&amp;Tableau1[[#This Row],[Code Postal]]&amp;" - "&amp;Tableau1[[#This Row],[Ville]]</f>
        <v>14 Boulevard de l'Europe
13127 - Vitrolles</v>
      </c>
      <c r="H155" s="15" t="s">
        <v>1099</v>
      </c>
      <c r="I155" s="12" t="s">
        <v>47</v>
      </c>
      <c r="J155" s="12" t="s">
        <v>48</v>
      </c>
      <c r="K155" s="10" t="s">
        <v>1217</v>
      </c>
      <c r="L155" s="10"/>
      <c r="M155" s="12" t="s">
        <v>103</v>
      </c>
      <c r="N155" s="36" t="s">
        <v>1199</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1143</v>
      </c>
      <c r="AM155" s="11" t="s">
        <v>1205</v>
      </c>
      <c r="AN155" s="11"/>
      <c r="AO155" s="5" t="s">
        <v>367</v>
      </c>
      <c r="AP155" s="11" t="s">
        <v>1200</v>
      </c>
      <c r="AQ155" s="11" t="s">
        <v>1201</v>
      </c>
      <c r="AR155" s="11" t="s">
        <v>1203</v>
      </c>
      <c r="AS155" s="36" t="s">
        <v>1247</v>
      </c>
      <c r="AT155" s="11" t="s">
        <v>75</v>
      </c>
      <c r="AU155" s="11" t="s">
        <v>1206</v>
      </c>
      <c r="AV155" s="13" t="s">
        <v>1140</v>
      </c>
      <c r="AW155" s="14"/>
      <c r="AX155" s="44">
        <v>46004</v>
      </c>
      <c r="BA155" s="1"/>
      <c r="BG155"/>
      <c r="BH155" s="1"/>
    </row>
    <row r="156" spans="1:60" ht="140.25" hidden="1">
      <c r="A156" s="38" t="str">
        <f>VLOOKUP(Tableau1[[#This Row],[N° Département]],Feuil1!$C$6:$E$106,3)</f>
        <v>Provence-Alpes-Côte d'Azur</v>
      </c>
      <c r="B156" s="38" t="str">
        <f>VLOOKUP(Tableau1[[#This Row],[N° Département]],Feuil1!$C$6:$E$106,2)</f>
        <v>Bouches-du-Rhône</v>
      </c>
      <c r="C156" s="38">
        <f>LEFT(Tableau1[[#This Row],[Code Postal]],2)*1</f>
        <v>13</v>
      </c>
      <c r="D156" s="10" t="s">
        <v>1098</v>
      </c>
      <c r="E156" s="26">
        <v>13127</v>
      </c>
      <c r="F156" s="10" t="s">
        <v>1094</v>
      </c>
      <c r="G156" s="39" t="str">
        <f>Tableau1[[#This Row],[Rue]]&amp;CHAR(10)&amp;Tableau1[[#This Row],[Code Postal]]&amp;" - "&amp;Tableau1[[#This Row],[Ville]]</f>
        <v>14 Boulevard de l'Europe
13127 - Vitrolles</v>
      </c>
      <c r="H156" s="15" t="s">
        <v>1099</v>
      </c>
      <c r="I156" s="12" t="s">
        <v>47</v>
      </c>
      <c r="J156" s="12" t="s">
        <v>48</v>
      </c>
      <c r="K156" s="10" t="s">
        <v>1217</v>
      </c>
      <c r="L156" s="10"/>
      <c r="M156" s="12" t="s">
        <v>103</v>
      </c>
      <c r="N156" s="36" t="s">
        <v>1210</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1143</v>
      </c>
      <c r="AM156" s="11" t="s">
        <v>1204</v>
      </c>
      <c r="AN156" s="11"/>
      <c r="AO156" s="5" t="s">
        <v>367</v>
      </c>
      <c r="AP156" s="11" t="s">
        <v>1207</v>
      </c>
      <c r="AQ156" s="11" t="s">
        <v>1208</v>
      </c>
      <c r="AR156" s="11" t="s">
        <v>1212</v>
      </c>
      <c r="AS156" s="36" t="s">
        <v>1248</v>
      </c>
      <c r="AT156" s="11" t="s">
        <v>75</v>
      </c>
      <c r="AU156" s="11" t="s">
        <v>1209</v>
      </c>
      <c r="AV156" s="13" t="s">
        <v>1140</v>
      </c>
      <c r="AW156" s="14"/>
      <c r="AX156" s="44">
        <v>46005</v>
      </c>
      <c r="BA156" s="1"/>
      <c r="BG156"/>
      <c r="BH156" s="1"/>
    </row>
    <row r="157" spans="1:60" ht="140.25" hidden="1">
      <c r="A157" s="38" t="str">
        <f>VLOOKUP(Tableau1[[#This Row],[N° Département]],Feuil1!$C$6:$E$106,3)</f>
        <v>Provence-Alpes-Côte d'Azur</v>
      </c>
      <c r="B157" s="38" t="str">
        <f>VLOOKUP(Tableau1[[#This Row],[N° Département]],Feuil1!$C$6:$E$106,2)</f>
        <v>Bouches-du-Rhône</v>
      </c>
      <c r="C157" s="38">
        <f>LEFT(Tableau1[[#This Row],[Code Postal]],2)*1</f>
        <v>13</v>
      </c>
      <c r="D157" s="10" t="s">
        <v>1098</v>
      </c>
      <c r="E157" s="26">
        <v>13127</v>
      </c>
      <c r="F157" s="10" t="s">
        <v>1094</v>
      </c>
      <c r="G157" s="39" t="str">
        <f>Tableau1[[#This Row],[Rue]]&amp;CHAR(10)&amp;Tableau1[[#This Row],[Code Postal]]&amp;" - "&amp;Tableau1[[#This Row],[Ville]]</f>
        <v>14 Boulevard de l'Europe
13127 - Vitrolles</v>
      </c>
      <c r="H157" s="15" t="s">
        <v>1099</v>
      </c>
      <c r="I157" s="12" t="s">
        <v>47</v>
      </c>
      <c r="J157" s="12" t="s">
        <v>48</v>
      </c>
      <c r="K157" s="10" t="s">
        <v>1217</v>
      </c>
      <c r="L157" s="10"/>
      <c r="M157" s="12" t="s">
        <v>103</v>
      </c>
      <c r="N157" s="36" t="s">
        <v>1211</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1143</v>
      </c>
      <c r="AM157" s="11" t="s">
        <v>1204</v>
      </c>
      <c r="AN157" s="11"/>
      <c r="AO157" s="5" t="s">
        <v>367</v>
      </c>
      <c r="AP157" s="11" t="s">
        <v>1215</v>
      </c>
      <c r="AQ157" s="11" t="s">
        <v>1216</v>
      </c>
      <c r="AR157" s="11" t="s">
        <v>1214</v>
      </c>
      <c r="AS157" s="36" t="s">
        <v>1249</v>
      </c>
      <c r="AT157" s="11" t="s">
        <v>75</v>
      </c>
      <c r="AU157" s="11" t="s">
        <v>1213</v>
      </c>
      <c r="AV157" s="13" t="s">
        <v>1140</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1132</v>
      </c>
      <c r="E158" s="26">
        <v>13170</v>
      </c>
      <c r="F158" s="10" t="s">
        <v>1120</v>
      </c>
      <c r="G158" s="39" t="str">
        <f>Tableau1[[#This Row],[Rue]]&amp;CHAR(10)&amp;Tableau1[[#This Row],[Code Postal]]&amp;" - "&amp;Tableau1[[#This Row],[Ville]]</f>
        <v>Plan de Campagne, Chemin des Pennes CD6
13170 - Les Pennes-Mirabeau</v>
      </c>
      <c r="H158" s="2" t="s">
        <v>1101</v>
      </c>
      <c r="I158" s="12" t="s">
        <v>47</v>
      </c>
      <c r="J158" s="12" t="s">
        <v>48</v>
      </c>
      <c r="K158" s="10" t="s">
        <v>103</v>
      </c>
      <c r="L158" s="10" t="s">
        <v>1428</v>
      </c>
      <c r="M158" s="12" t="s">
        <v>103</v>
      </c>
      <c r="N158" s="36"/>
      <c r="O158" s="34">
        <v>1390</v>
      </c>
      <c r="P158" s="6" t="s">
        <v>1219</v>
      </c>
      <c r="Q158" s="34"/>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376</v>
      </c>
      <c r="AK158" s="10" t="s">
        <v>369</v>
      </c>
      <c r="AL158" s="10" t="s">
        <v>1144</v>
      </c>
      <c r="AM158" s="11" t="s">
        <v>1220</v>
      </c>
      <c r="AN158" s="11" t="s">
        <v>1424</v>
      </c>
      <c r="AO158" s="5" t="s">
        <v>367</v>
      </c>
      <c r="AP158" s="11" t="s">
        <v>1133</v>
      </c>
      <c r="AQ158" s="11" t="s">
        <v>1134</v>
      </c>
      <c r="AR158" s="11">
        <v>37</v>
      </c>
      <c r="AS158" s="36" t="s">
        <v>1250</v>
      </c>
      <c r="AT158" s="11" t="s">
        <v>75</v>
      </c>
      <c r="AU158" s="11" t="s">
        <v>1218</v>
      </c>
      <c r="AV158" s="13" t="s">
        <v>1140</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1121</v>
      </c>
      <c r="E159" s="26">
        <v>18390</v>
      </c>
      <c r="F159" s="10" t="s">
        <v>1122</v>
      </c>
      <c r="G159" s="39" t="str">
        <f>Tableau1[[#This Row],[Rue]]&amp;CHAR(10)&amp;Tableau1[[#This Row],[Code Postal]]&amp;" - "&amp;Tableau1[[#This Row],[Ville]]</f>
        <v>8 Rue des Vignes
18390 - Saint-Germain-du-Puy</v>
      </c>
      <c r="H159" s="15" t="s">
        <v>1102</v>
      </c>
      <c r="I159" s="12" t="s">
        <v>47</v>
      </c>
      <c r="J159" s="12" t="s">
        <v>48</v>
      </c>
      <c r="K159" s="10" t="s">
        <v>103</v>
      </c>
      <c r="L159" s="10" t="s">
        <v>1428</v>
      </c>
      <c r="M159" s="12" t="s">
        <v>103</v>
      </c>
      <c r="N159" s="36"/>
      <c r="O159" s="34">
        <v>1000</v>
      </c>
      <c r="P159" s="6" t="s">
        <v>103</v>
      </c>
      <c r="Q159" s="34"/>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376</v>
      </c>
      <c r="AK159" s="10" t="s">
        <v>369</v>
      </c>
      <c r="AL159" s="10" t="s">
        <v>1145</v>
      </c>
      <c r="AM159" s="11" t="s">
        <v>1146</v>
      </c>
      <c r="AN159" s="11" t="s">
        <v>1424</v>
      </c>
      <c r="AO159" s="5" t="s">
        <v>367</v>
      </c>
      <c r="AP159" s="11" t="s">
        <v>1147</v>
      </c>
      <c r="AQ159" s="11" t="s">
        <v>1148</v>
      </c>
      <c r="AR159" s="11">
        <v>38</v>
      </c>
      <c r="AS159" s="36" t="s">
        <v>1251</v>
      </c>
      <c r="AT159" s="11" t="s">
        <v>75</v>
      </c>
      <c r="AU159" s="11" t="s">
        <v>1221</v>
      </c>
      <c r="AV159" s="13" t="s">
        <v>1140</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1124</v>
      </c>
      <c r="E160" s="26">
        <v>18230</v>
      </c>
      <c r="F160" s="10" t="s">
        <v>1123</v>
      </c>
      <c r="G160" s="39" t="str">
        <f>Tableau1[[#This Row],[Rue]]&amp;CHAR(10)&amp;Tableau1[[#This Row],[Code Postal]]&amp;" - "&amp;Tableau1[[#This Row],[Ville]]</f>
        <v>Centre Commercial Géant,  548 Route d'Orléans
18230 -  Saint-Doulchard</v>
      </c>
      <c r="H160" s="15" t="s">
        <v>1103</v>
      </c>
      <c r="I160" s="12" t="s">
        <v>47</v>
      </c>
      <c r="J160" s="12" t="s">
        <v>49</v>
      </c>
      <c r="K160" s="10" t="s">
        <v>103</v>
      </c>
      <c r="L160" s="10" t="s">
        <v>1428</v>
      </c>
      <c r="M160" s="12"/>
      <c r="N160" s="36"/>
      <c r="O160" s="34">
        <v>5000</v>
      </c>
      <c r="P160" s="6" t="s">
        <v>103</v>
      </c>
      <c r="Q160" s="34"/>
      <c r="R160" s="34" t="s">
        <v>103</v>
      </c>
      <c r="S160" s="6" t="s">
        <v>103</v>
      </c>
      <c r="T160" s="12">
        <f>Tableau1[[#This Row],[Loyer €/m²]]*Tableau1[[#This Row],[Surface GLA]]</f>
        <v>0</v>
      </c>
      <c r="U160" s="12">
        <f>IFERROR(Tableau1[[#This Row],[Loyer annuel]]/12,"")</f>
        <v>0</v>
      </c>
      <c r="V160" s="12"/>
      <c r="W160" s="6" t="s">
        <v>103</v>
      </c>
      <c r="X160" s="6">
        <f>Tableau1[[#This Row],[Charges €/m²]]*Tableau1[[#This Row],[Surface GLA]]</f>
        <v>0</v>
      </c>
      <c r="Y160" s="12">
        <f>Tableau1[[#This Row],[Charges annuelles]]/12</f>
        <v>0</v>
      </c>
      <c r="Z160" s="12"/>
      <c r="AA160" s="12">
        <f>IFERROR(Tableau1[[#This Row],[Taxe foncière €/m²]]*Tableau1[[#This Row],[Surface GLA]],)</f>
        <v>0</v>
      </c>
      <c r="AB160" s="12"/>
      <c r="AC160" s="12">
        <f>IFERROR(Tableau1[[#This Row],[Marketing €/m²]]*Tableau1[[#This Row],[Surface GLA]],)</f>
        <v>0</v>
      </c>
      <c r="AD160" s="6" t="s">
        <v>103</v>
      </c>
      <c r="AE160" s="12">
        <f>IFERROR(Tableau1[[#This Row],[Loyer annuel]]+Tableau1[[#This Row],[Charges annuelles]]+Tableau1[[#This Row],[Taxe foncière]]+Tableau1[[#This Row],[Marketing]],"")</f>
        <v>0</v>
      </c>
      <c r="AF160" s="12" t="str">
        <f t="shared" si="7"/>
        <v>3 mois = 0 €</v>
      </c>
      <c r="AG160" s="6" t="s">
        <v>103</v>
      </c>
      <c r="AH160" s="6" t="s">
        <v>103</v>
      </c>
      <c r="AI160" s="12" t="s">
        <v>363</v>
      </c>
      <c r="AJ160" s="10" t="s">
        <v>53</v>
      </c>
      <c r="AK160" s="10" t="s">
        <v>103</v>
      </c>
      <c r="AL160" s="10" t="s">
        <v>1149</v>
      </c>
      <c r="AM160" s="11" t="s">
        <v>1152</v>
      </c>
      <c r="AN160" s="11" t="s">
        <v>1424</v>
      </c>
      <c r="AO160" s="5" t="s">
        <v>367</v>
      </c>
      <c r="AP160" s="11" t="s">
        <v>1150</v>
      </c>
      <c r="AQ160" s="11" t="s">
        <v>1151</v>
      </c>
      <c r="AR160" s="11">
        <v>39</v>
      </c>
      <c r="AS160" s="36" t="s">
        <v>1182</v>
      </c>
      <c r="AT160" s="11" t="s">
        <v>75</v>
      </c>
      <c r="AU160" s="11"/>
      <c r="AV160" s="13" t="s">
        <v>1140</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1125</v>
      </c>
      <c r="E161" s="26">
        <v>54000</v>
      </c>
      <c r="F161" s="10" t="s">
        <v>1095</v>
      </c>
      <c r="G161" s="39" t="str">
        <f>Tableau1[[#This Row],[Rue]]&amp;CHAR(10)&amp;Tableau1[[#This Row],[Code Postal]]&amp;" - "&amp;Tableau1[[#This Row],[Ville]]</f>
        <v>50 Rue Saint-Dizier
54000 - Nancy</v>
      </c>
      <c r="H161" s="15" t="s">
        <v>1104</v>
      </c>
      <c r="I161" s="12" t="s">
        <v>45</v>
      </c>
      <c r="J161" s="12" t="s">
        <v>44</v>
      </c>
      <c r="K161" s="10" t="s">
        <v>103</v>
      </c>
      <c r="L161" s="10" t="s">
        <v>1428</v>
      </c>
      <c r="M161" s="12" t="s">
        <v>103</v>
      </c>
      <c r="N161" s="36"/>
      <c r="O161" s="34">
        <v>550</v>
      </c>
      <c r="P161" s="6" t="s">
        <v>1223</v>
      </c>
      <c r="Q161" s="34"/>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1155</v>
      </c>
      <c r="AM161" s="11" t="s">
        <v>1224</v>
      </c>
      <c r="AN161" s="11" t="s">
        <v>1424</v>
      </c>
      <c r="AO161" s="5" t="s">
        <v>367</v>
      </c>
      <c r="AP161" s="11" t="s">
        <v>1153</v>
      </c>
      <c r="AQ161" s="11" t="s">
        <v>1154</v>
      </c>
      <c r="AR161" s="11">
        <v>40</v>
      </c>
      <c r="AS161" s="36" t="s">
        <v>1252</v>
      </c>
      <c r="AT161" s="11" t="s">
        <v>75</v>
      </c>
      <c r="AU161" s="11" t="s">
        <v>1222</v>
      </c>
      <c r="AV161" s="13" t="s">
        <v>1140</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1126</v>
      </c>
      <c r="E162" s="26">
        <v>59300</v>
      </c>
      <c r="F162" s="10" t="s">
        <v>1127</v>
      </c>
      <c r="G162" s="39" t="str">
        <f>Tableau1[[#This Row],[Rue]]&amp;CHAR(10)&amp;Tableau1[[#This Row],[Code Postal]]&amp;" - "&amp;Tableau1[[#This Row],[Ville]]</f>
        <v>ZAC D'Aulnoy
59300 - Aulnoy-lez-Valenciennes</v>
      </c>
      <c r="H162" s="15" t="s">
        <v>1292</v>
      </c>
      <c r="I162" s="12" t="s">
        <v>47</v>
      </c>
      <c r="J162" s="12" t="s">
        <v>49</v>
      </c>
      <c r="K162" s="10" t="s">
        <v>103</v>
      </c>
      <c r="L162" s="10" t="s">
        <v>1428</v>
      </c>
      <c r="M162" s="12" t="s">
        <v>103</v>
      </c>
      <c r="N162" s="36"/>
      <c r="O162" s="34">
        <v>480</v>
      </c>
      <c r="P162" s="6" t="s">
        <v>103</v>
      </c>
      <c r="Q162" s="34"/>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376</v>
      </c>
      <c r="AK162" s="10" t="s">
        <v>369</v>
      </c>
      <c r="AL162" s="10" t="s">
        <v>1294</v>
      </c>
      <c r="AM162" s="11" t="s">
        <v>1295</v>
      </c>
      <c r="AN162" s="11" t="s">
        <v>1424</v>
      </c>
      <c r="AO162" s="5" t="s">
        <v>367</v>
      </c>
      <c r="AP162" s="11" t="s">
        <v>1281</v>
      </c>
      <c r="AQ162" s="11" t="s">
        <v>1282</v>
      </c>
      <c r="AR162" s="11" t="s">
        <v>1269</v>
      </c>
      <c r="AS162" s="36" t="s">
        <v>1297</v>
      </c>
      <c r="AT162" s="11" t="s">
        <v>75</v>
      </c>
      <c r="AU162" s="11" t="s">
        <v>1275</v>
      </c>
      <c r="AV162" s="13" t="s">
        <v>1140</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1126</v>
      </c>
      <c r="E163" s="26">
        <v>59300</v>
      </c>
      <c r="F163" s="10" t="s">
        <v>1127</v>
      </c>
      <c r="G163" s="39" t="str">
        <f>Tableau1[[#This Row],[Rue]]&amp;CHAR(10)&amp;Tableau1[[#This Row],[Code Postal]]&amp;" - "&amp;Tableau1[[#This Row],[Ville]]</f>
        <v>ZAC D'Aulnoy
59300 - Aulnoy-lez-Valenciennes</v>
      </c>
      <c r="H163" s="15" t="s">
        <v>1292</v>
      </c>
      <c r="I163" s="12" t="s">
        <v>47</v>
      </c>
      <c r="J163" s="12" t="s">
        <v>49</v>
      </c>
      <c r="K163" s="10" t="s">
        <v>103</v>
      </c>
      <c r="L163" s="10" t="s">
        <v>1428</v>
      </c>
      <c r="M163" s="12" t="s">
        <v>103</v>
      </c>
      <c r="N163" s="36"/>
      <c r="O163" s="34">
        <v>200</v>
      </c>
      <c r="P163" s="6" t="s">
        <v>103</v>
      </c>
      <c r="Q163" s="34"/>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376</v>
      </c>
      <c r="AK163" s="10" t="s">
        <v>369</v>
      </c>
      <c r="AL163" s="10" t="s">
        <v>1294</v>
      </c>
      <c r="AM163" s="11" t="s">
        <v>1296</v>
      </c>
      <c r="AN163" s="11" t="s">
        <v>1424</v>
      </c>
      <c r="AO163" s="5" t="s">
        <v>367</v>
      </c>
      <c r="AP163" s="11" t="s">
        <v>1283</v>
      </c>
      <c r="AQ163" s="11" t="s">
        <v>1284</v>
      </c>
      <c r="AR163" s="11" t="s">
        <v>1270</v>
      </c>
      <c r="AS163" s="36" t="s">
        <v>1298</v>
      </c>
      <c r="AT163" s="11" t="s">
        <v>75</v>
      </c>
      <c r="AU163" s="11" t="s">
        <v>1276</v>
      </c>
      <c r="AV163" s="13" t="s">
        <v>1140</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1126</v>
      </c>
      <c r="E164" s="26">
        <v>59300</v>
      </c>
      <c r="F164" s="10" t="s">
        <v>1127</v>
      </c>
      <c r="G164" s="39" t="str">
        <f>Tableau1[[#This Row],[Rue]]&amp;CHAR(10)&amp;Tableau1[[#This Row],[Code Postal]]&amp;" - "&amp;Tableau1[[#This Row],[Ville]]</f>
        <v>ZAC D'Aulnoy
59300 - Aulnoy-lez-Valenciennes</v>
      </c>
      <c r="H164" s="15" t="s">
        <v>1292</v>
      </c>
      <c r="I164" s="12" t="s">
        <v>47</v>
      </c>
      <c r="J164" s="12" t="s">
        <v>49</v>
      </c>
      <c r="K164" s="10" t="s">
        <v>103</v>
      </c>
      <c r="L164" s="10" t="s">
        <v>1428</v>
      </c>
      <c r="M164" s="12" t="s">
        <v>103</v>
      </c>
      <c r="N164" s="36"/>
      <c r="O164" s="34">
        <v>90</v>
      </c>
      <c r="P164" s="6" t="s">
        <v>103</v>
      </c>
      <c r="Q164" s="34"/>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376</v>
      </c>
      <c r="AK164" s="10" t="s">
        <v>369</v>
      </c>
      <c r="AL164" s="10" t="s">
        <v>1294</v>
      </c>
      <c r="AM164" s="11" t="s">
        <v>1296</v>
      </c>
      <c r="AN164" s="11" t="s">
        <v>1424</v>
      </c>
      <c r="AO164" s="5" t="s">
        <v>367</v>
      </c>
      <c r="AP164" s="11" t="s">
        <v>1283</v>
      </c>
      <c r="AQ164" s="11" t="s">
        <v>1285</v>
      </c>
      <c r="AR164" s="11" t="s">
        <v>1271</v>
      </c>
      <c r="AS164" s="36" t="s">
        <v>1299</v>
      </c>
      <c r="AT164" s="11" t="s">
        <v>75</v>
      </c>
      <c r="AU164" s="11" t="s">
        <v>1277</v>
      </c>
      <c r="AV164" s="13" t="s">
        <v>1140</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1126</v>
      </c>
      <c r="E165" s="26">
        <v>59300</v>
      </c>
      <c r="F165" s="10" t="s">
        <v>1127</v>
      </c>
      <c r="G165" s="39" t="str">
        <f>Tableau1[[#This Row],[Rue]]&amp;CHAR(10)&amp;Tableau1[[#This Row],[Code Postal]]&amp;" - "&amp;Tableau1[[#This Row],[Ville]]</f>
        <v>ZAC D'Aulnoy
59300 - Aulnoy-lez-Valenciennes</v>
      </c>
      <c r="H165" s="15" t="s">
        <v>1292</v>
      </c>
      <c r="I165" s="12" t="s">
        <v>47</v>
      </c>
      <c r="J165" s="12" t="s">
        <v>49</v>
      </c>
      <c r="K165" s="10" t="s">
        <v>103</v>
      </c>
      <c r="L165" s="10" t="s">
        <v>1428</v>
      </c>
      <c r="M165" s="12" t="s">
        <v>103</v>
      </c>
      <c r="N165" s="36"/>
      <c r="O165" s="34">
        <v>78</v>
      </c>
      <c r="P165" s="6" t="s">
        <v>103</v>
      </c>
      <c r="Q165" s="34"/>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1294</v>
      </c>
      <c r="AM165" s="11" t="s">
        <v>1296</v>
      </c>
      <c r="AN165" s="11" t="s">
        <v>1424</v>
      </c>
      <c r="AO165" s="5" t="s">
        <v>367</v>
      </c>
      <c r="AP165" s="11" t="s">
        <v>1286</v>
      </c>
      <c r="AQ165" s="11" t="s">
        <v>1287</v>
      </c>
      <c r="AR165" s="11" t="s">
        <v>1272</v>
      </c>
      <c r="AS165" s="36" t="s">
        <v>1300</v>
      </c>
      <c r="AT165" s="11" t="s">
        <v>75</v>
      </c>
      <c r="AU165" s="11" t="s">
        <v>1278</v>
      </c>
      <c r="AV165" s="13" t="s">
        <v>1140</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1126</v>
      </c>
      <c r="E166" s="26">
        <v>59300</v>
      </c>
      <c r="F166" s="10" t="s">
        <v>1127</v>
      </c>
      <c r="G166" s="39" t="str">
        <f>Tableau1[[#This Row],[Rue]]&amp;CHAR(10)&amp;Tableau1[[#This Row],[Code Postal]]&amp;" - "&amp;Tableau1[[#This Row],[Ville]]</f>
        <v>ZAC D'Aulnoy
59300 - Aulnoy-lez-Valenciennes</v>
      </c>
      <c r="H166" s="15" t="s">
        <v>1292</v>
      </c>
      <c r="I166" s="12" t="s">
        <v>47</v>
      </c>
      <c r="J166" s="12" t="s">
        <v>49</v>
      </c>
      <c r="K166" s="10" t="s">
        <v>103</v>
      </c>
      <c r="L166" s="10" t="s">
        <v>1428</v>
      </c>
      <c r="M166" s="12" t="s">
        <v>103</v>
      </c>
      <c r="N166" s="36"/>
      <c r="O166" s="34">
        <v>70</v>
      </c>
      <c r="P166" s="6" t="s">
        <v>103</v>
      </c>
      <c r="Q166" s="34"/>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376</v>
      </c>
      <c r="AK166" s="10" t="s">
        <v>369</v>
      </c>
      <c r="AL166" s="10" t="s">
        <v>1294</v>
      </c>
      <c r="AM166" s="11" t="s">
        <v>1296</v>
      </c>
      <c r="AN166" s="11" t="s">
        <v>1424</v>
      </c>
      <c r="AO166" s="5" t="s">
        <v>367</v>
      </c>
      <c r="AP166" s="11" t="s">
        <v>1288</v>
      </c>
      <c r="AQ166" s="11" t="s">
        <v>1289</v>
      </c>
      <c r="AR166" s="11" t="s">
        <v>1273</v>
      </c>
      <c r="AS166" s="36" t="s">
        <v>1301</v>
      </c>
      <c r="AT166" s="11" t="s">
        <v>75</v>
      </c>
      <c r="AU166" s="11" t="s">
        <v>1279</v>
      </c>
      <c r="AV166" s="13" t="s">
        <v>1140</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1126</v>
      </c>
      <c r="E167" s="26">
        <v>59300</v>
      </c>
      <c r="F167" s="10" t="s">
        <v>1127</v>
      </c>
      <c r="G167" s="39" t="str">
        <f>Tableau1[[#This Row],[Rue]]&amp;CHAR(10)&amp;Tableau1[[#This Row],[Code Postal]]&amp;" - "&amp;Tableau1[[#This Row],[Ville]]</f>
        <v>ZAC D'Aulnoy
59300 - Aulnoy-lez-Valenciennes</v>
      </c>
      <c r="H167" s="15" t="s">
        <v>1292</v>
      </c>
      <c r="I167" s="12" t="s">
        <v>47</v>
      </c>
      <c r="J167" s="12" t="s">
        <v>49</v>
      </c>
      <c r="K167" s="10" t="s">
        <v>1303</v>
      </c>
      <c r="L167" s="10"/>
      <c r="M167" s="12" t="s">
        <v>103</v>
      </c>
      <c r="N167" s="36"/>
      <c r="O167" s="34">
        <v>20</v>
      </c>
      <c r="P167" s="6" t="s">
        <v>103</v>
      </c>
      <c r="Q167" s="34"/>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1294</v>
      </c>
      <c r="AM167" s="11" t="s">
        <v>1296</v>
      </c>
      <c r="AN167" s="11" t="s">
        <v>1424</v>
      </c>
      <c r="AO167" s="5" t="s">
        <v>367</v>
      </c>
      <c r="AP167" s="11" t="s">
        <v>1290</v>
      </c>
      <c r="AQ167" s="11" t="s">
        <v>1291</v>
      </c>
      <c r="AR167" s="11" t="s">
        <v>1274</v>
      </c>
      <c r="AS167" s="36" t="s">
        <v>1302</v>
      </c>
      <c r="AT167" s="11" t="s">
        <v>75</v>
      </c>
      <c r="AU167" s="11" t="s">
        <v>1280</v>
      </c>
      <c r="AV167" s="13" t="s">
        <v>1140</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1225</v>
      </c>
      <c r="E168" s="26">
        <v>59320</v>
      </c>
      <c r="F168" s="10" t="s">
        <v>1128</v>
      </c>
      <c r="G168" s="39" t="str">
        <f>Tableau1[[#This Row],[Rue]]&amp;CHAR(10)&amp;Tableau1[[#This Row],[Code Postal]]&amp;" - "&amp;Tableau1[[#This Row],[Ville]]</f>
        <v>5001 Rue des Fusillés de 1940
59320 - Ennetières-en-Weppes</v>
      </c>
      <c r="H168" s="15" t="s">
        <v>1157</v>
      </c>
      <c r="I168" s="12" t="s">
        <v>47</v>
      </c>
      <c r="J168" s="12" t="s">
        <v>48</v>
      </c>
      <c r="K168" s="10" t="s">
        <v>103</v>
      </c>
      <c r="L168" s="10" t="s">
        <v>1428</v>
      </c>
      <c r="M168" s="12" t="s">
        <v>103</v>
      </c>
      <c r="N168" s="36"/>
      <c r="O168" s="34">
        <v>750</v>
      </c>
      <c r="P168" s="6" t="s">
        <v>103</v>
      </c>
      <c r="Q168" s="34"/>
      <c r="R168" s="34" t="s">
        <v>103</v>
      </c>
      <c r="S168" s="6" t="s">
        <v>103</v>
      </c>
      <c r="T168" s="12">
        <f>Tableau1[[#This Row],[Loyer €/m²]]*Tableau1[[#This Row],[Surface GLA]]</f>
        <v>262500</v>
      </c>
      <c r="U168" s="12">
        <f>IFERROR(Tableau1[[#This Row],[Loyer annuel]]/12,"")</f>
        <v>21875</v>
      </c>
      <c r="V168" s="12">
        <v>350</v>
      </c>
      <c r="W168" s="6" t="s">
        <v>103</v>
      </c>
      <c r="X168" s="6">
        <f>Tableau1[[#This Row],[Charges €/m²]]*Tableau1[[#This Row],[Surface GLA]]</f>
        <v>10725</v>
      </c>
      <c r="Y168" s="12">
        <f>Tableau1[[#This Row],[Charges annuelles]]/12</f>
        <v>893.75</v>
      </c>
      <c r="Z168" s="12">
        <v>14.3</v>
      </c>
      <c r="AA168" s="12">
        <f>IFERROR(Tableau1[[#This Row],[Taxe foncière €/m²]]*Tableau1[[#This Row],[Surface GLA]],)</f>
        <v>13200.000000000002</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286425</v>
      </c>
      <c r="AF168" s="12" t="str">
        <f t="shared" si="7"/>
        <v>3 mois = 65 625 €</v>
      </c>
      <c r="AG168" s="6" t="s">
        <v>103</v>
      </c>
      <c r="AH168" s="46">
        <v>0.05</v>
      </c>
      <c r="AI168" s="12" t="s">
        <v>363</v>
      </c>
      <c r="AJ168" s="10" t="s">
        <v>75</v>
      </c>
      <c r="AK168" s="10" t="s">
        <v>369</v>
      </c>
      <c r="AL168" s="10" t="s">
        <v>1156</v>
      </c>
      <c r="AM168" s="11" t="s">
        <v>1226</v>
      </c>
      <c r="AN168" s="11" t="s">
        <v>1424</v>
      </c>
      <c r="AO168" s="5" t="s">
        <v>367</v>
      </c>
      <c r="AP168" s="11" t="s">
        <v>1141</v>
      </c>
      <c r="AQ168" s="11" t="s">
        <v>1142</v>
      </c>
      <c r="AR168" s="11">
        <v>42</v>
      </c>
      <c r="AS168" s="36" t="s">
        <v>1253</v>
      </c>
      <c r="AT168" s="11" t="s">
        <v>75</v>
      </c>
      <c r="AU168" s="11" t="s">
        <v>1266</v>
      </c>
      <c r="AV168" s="13" t="s">
        <v>1140</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1129</v>
      </c>
      <c r="E169" s="26">
        <v>68270</v>
      </c>
      <c r="F169" s="10" t="s">
        <v>1130</v>
      </c>
      <c r="G169" s="39" t="str">
        <f>Tableau1[[#This Row],[Rue]]&amp;CHAR(10)&amp;Tableau1[[#This Row],[Code Postal]]&amp;" - "&amp;Tableau1[[#This Row],[Ville]]</f>
        <v>11 Rue de Soultz
68270 - Wittenheim</v>
      </c>
      <c r="H169" s="15" t="s">
        <v>1105</v>
      </c>
      <c r="I169" s="12" t="s">
        <v>47</v>
      </c>
      <c r="J169" s="12" t="s">
        <v>48</v>
      </c>
      <c r="K169" s="10" t="s">
        <v>103</v>
      </c>
      <c r="L169" s="10" t="s">
        <v>1428</v>
      </c>
      <c r="M169" s="12" t="s">
        <v>103</v>
      </c>
      <c r="N169" s="36"/>
      <c r="O169" s="34">
        <v>930</v>
      </c>
      <c r="P169" s="6" t="s">
        <v>103</v>
      </c>
      <c r="Q169" s="34"/>
      <c r="R169" s="34" t="s">
        <v>103</v>
      </c>
      <c r="S169" s="6" t="s">
        <v>103</v>
      </c>
      <c r="T169" s="12">
        <f>Tableau1[[#This Row],[Loyer €/m²]]*Tableau1[[#This Row],[Surface GLA]]</f>
        <v>209250</v>
      </c>
      <c r="U169" s="12">
        <f>IFERROR(Tableau1[[#This Row],[Loyer annuel]]/12,"")</f>
        <v>17437.5</v>
      </c>
      <c r="V169" s="12">
        <v>225</v>
      </c>
      <c r="W169" s="6" t="s">
        <v>103</v>
      </c>
      <c r="X169" s="6">
        <f>Tableau1[[#This Row],[Charges €/m²]]*Tableau1[[#This Row],[Surface GLA]]</f>
        <v>3069</v>
      </c>
      <c r="Y169" s="12">
        <f>Tableau1[[#This Row],[Charges annuelles]]/12</f>
        <v>255.75</v>
      </c>
      <c r="Z169" s="12">
        <v>3.3</v>
      </c>
      <c r="AA169" s="12">
        <f>IFERROR(Tableau1[[#This Row],[Taxe foncière €/m²]]*Tableau1[[#This Row],[Surface GLA]],)</f>
        <v>12276</v>
      </c>
      <c r="AB169" s="12">
        <v>13.2</v>
      </c>
      <c r="AC169" s="12">
        <f>IFERROR(Tableau1[[#This Row],[Marketing €/m²]]*Tableau1[[#This Row],[Surface GLA]],)</f>
        <v>0</v>
      </c>
      <c r="AD169" s="6" t="s">
        <v>103</v>
      </c>
      <c r="AE169" s="12">
        <f>IFERROR(Tableau1[[#This Row],[Loyer annuel]]+Tableau1[[#This Row],[Charges annuelles]]+Tableau1[[#This Row],[Taxe foncière]]+Tableau1[[#This Row],[Marketing]],"")</f>
        <v>224595</v>
      </c>
      <c r="AF169" s="12" t="str">
        <f t="shared" si="7"/>
        <v>3 mois = 52 313 €</v>
      </c>
      <c r="AG169" s="6" t="s">
        <v>103</v>
      </c>
      <c r="AH169" s="46">
        <v>0.05</v>
      </c>
      <c r="AI169" s="12" t="s">
        <v>363</v>
      </c>
      <c r="AJ169" s="10" t="s">
        <v>376</v>
      </c>
      <c r="AK169" s="10" t="s">
        <v>369</v>
      </c>
      <c r="AL169" s="10" t="s">
        <v>1228</v>
      </c>
      <c r="AM169" s="11" t="s">
        <v>1183</v>
      </c>
      <c r="AN169" s="11" t="s">
        <v>1424</v>
      </c>
      <c r="AO169" s="5" t="s">
        <v>367</v>
      </c>
      <c r="AP169" s="11" t="s">
        <v>1158</v>
      </c>
      <c r="AQ169" s="11" t="s">
        <v>1159</v>
      </c>
      <c r="AR169" s="11">
        <v>43</v>
      </c>
      <c r="AS169" s="36" t="s">
        <v>1254</v>
      </c>
      <c r="AT169" s="11" t="s">
        <v>75</v>
      </c>
      <c r="AU169" s="11" t="s">
        <v>1227</v>
      </c>
      <c r="AV169" s="13" t="s">
        <v>1140</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1131</v>
      </c>
      <c r="E170" s="26">
        <v>77140</v>
      </c>
      <c r="F170" s="10" t="s">
        <v>1096</v>
      </c>
      <c r="G170" s="39" t="str">
        <f>Tableau1[[#This Row],[Rue]]&amp;CHAR(10)&amp;Tableau1[[#This Row],[Code Postal]]&amp;" - "&amp;Tableau1[[#This Row],[Ville]]</f>
        <v>31 Rue de Montargis
77140 - Nemours</v>
      </c>
      <c r="H170" s="15" t="s">
        <v>1106</v>
      </c>
      <c r="I170" s="12" t="s">
        <v>47</v>
      </c>
      <c r="J170" s="12" t="s">
        <v>48</v>
      </c>
      <c r="K170" s="10" t="s">
        <v>103</v>
      </c>
      <c r="L170" s="10" t="s">
        <v>1428</v>
      </c>
      <c r="M170" s="12" t="s">
        <v>103</v>
      </c>
      <c r="N170" s="36"/>
      <c r="O170" s="34">
        <v>760</v>
      </c>
      <c r="P170" s="6" t="s">
        <v>1230</v>
      </c>
      <c r="Q170" s="34"/>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376</v>
      </c>
      <c r="AK170" s="10" t="s">
        <v>369</v>
      </c>
      <c r="AL170" s="10" t="s">
        <v>1162</v>
      </c>
      <c r="AM170" s="11" t="s">
        <v>1231</v>
      </c>
      <c r="AN170" s="11" t="s">
        <v>1424</v>
      </c>
      <c r="AO170" s="5" t="s">
        <v>367</v>
      </c>
      <c r="AP170" s="11" t="s">
        <v>1160</v>
      </c>
      <c r="AQ170" s="11" t="s">
        <v>1161</v>
      </c>
      <c r="AR170" s="11">
        <v>44</v>
      </c>
      <c r="AS170" s="36" t="s">
        <v>1255</v>
      </c>
      <c r="AT170" s="11" t="s">
        <v>75</v>
      </c>
      <c r="AU170" s="11" t="s">
        <v>1229</v>
      </c>
      <c r="AV170" s="13" t="s">
        <v>1140</v>
      </c>
      <c r="AW170" s="14"/>
      <c r="AX170" s="44">
        <v>46003</v>
      </c>
      <c r="BA170" s="1"/>
      <c r="BG170"/>
      <c r="BH170" s="1"/>
    </row>
    <row r="171" spans="1:60" ht="38.25">
      <c r="A171" s="38" t="str">
        <f>VLOOKUP(Tableau1[[#This Row],[N° Département]],Feuil1!$C$6:$E$106,3)</f>
        <v>Provence-Alpes-Côte d'Azur</v>
      </c>
      <c r="B171" s="38" t="str">
        <f>VLOOKUP(Tableau1[[#This Row],[N° Département]],Feuil1!$C$6:$E$106,2)</f>
        <v>Var</v>
      </c>
      <c r="C171" s="38">
        <f>LEFT(Tableau1[[#This Row],[Code Postal]],2)*1</f>
        <v>83</v>
      </c>
      <c r="D171" s="10" t="s">
        <v>1113</v>
      </c>
      <c r="E171" s="26">
        <v>83160</v>
      </c>
      <c r="F171" s="10" t="s">
        <v>1112</v>
      </c>
      <c r="G171" s="39" t="str">
        <f>Tableau1[[#This Row],[Rue]]&amp;CHAR(10)&amp;Tableau1[[#This Row],[Code Postal]]&amp;" - "&amp;Tableau1[[#This Row],[Ville]]</f>
        <v>23 Avenue des Frères Lumière
83160 - La Valette-du-Var</v>
      </c>
      <c r="H171" s="15" t="s">
        <v>1107</v>
      </c>
      <c r="I171" s="12" t="s">
        <v>45</v>
      </c>
      <c r="J171" s="12" t="s">
        <v>50</v>
      </c>
      <c r="K171" s="10" t="s">
        <v>103</v>
      </c>
      <c r="L171" s="10" t="s">
        <v>1428</v>
      </c>
      <c r="M171" s="12"/>
      <c r="N171" s="36"/>
      <c r="O171" s="34">
        <v>276</v>
      </c>
      <c r="P171" s="6" t="s">
        <v>1232</v>
      </c>
      <c r="Q171" s="34"/>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1165</v>
      </c>
      <c r="AM171" s="11" t="s">
        <v>1293</v>
      </c>
      <c r="AN171" s="11" t="s">
        <v>1424</v>
      </c>
      <c r="AO171" s="5" t="s">
        <v>367</v>
      </c>
      <c r="AP171" s="11" t="s">
        <v>1163</v>
      </c>
      <c r="AQ171" s="11" t="s">
        <v>1164</v>
      </c>
      <c r="AR171" s="11" t="s">
        <v>1136</v>
      </c>
      <c r="AS171" s="36" t="s">
        <v>1256</v>
      </c>
      <c r="AT171" s="11" t="s">
        <v>75</v>
      </c>
      <c r="AU171" s="11" t="s">
        <v>1267</v>
      </c>
      <c r="AV171" s="13" t="s">
        <v>1140</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1233</v>
      </c>
      <c r="E172" s="26">
        <v>83160</v>
      </c>
      <c r="F172" s="10" t="s">
        <v>1112</v>
      </c>
      <c r="G172" s="39" t="str">
        <f>Tableau1[[#This Row],[Rue]]&amp;CHAR(10)&amp;Tableau1[[#This Row],[Code Postal]]&amp;" - "&amp;Tableau1[[#This Row],[Ville]]</f>
        <v>83 Avenue de l'Université
83160 - La Valette-du-Var</v>
      </c>
      <c r="H172" s="15" t="s">
        <v>1108</v>
      </c>
      <c r="I172" s="12" t="s">
        <v>45</v>
      </c>
      <c r="J172" s="12" t="s">
        <v>50</v>
      </c>
      <c r="K172" s="10" t="s">
        <v>103</v>
      </c>
      <c r="L172" s="10" t="s">
        <v>1428</v>
      </c>
      <c r="M172" s="12">
        <v>60000</v>
      </c>
      <c r="N172" s="36"/>
      <c r="O172" s="34">
        <v>470</v>
      </c>
      <c r="P172" s="6" t="s">
        <v>103</v>
      </c>
      <c r="Q172" s="34"/>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376</v>
      </c>
      <c r="AK172" s="10" t="s">
        <v>369</v>
      </c>
      <c r="AL172" s="10" t="s">
        <v>1166</v>
      </c>
      <c r="AM172" s="11" t="s">
        <v>1235</v>
      </c>
      <c r="AN172" s="11" t="s">
        <v>1424</v>
      </c>
      <c r="AO172" s="5" t="s">
        <v>367</v>
      </c>
      <c r="AP172" s="11" t="s">
        <v>1167</v>
      </c>
      <c r="AQ172" s="11" t="s">
        <v>1168</v>
      </c>
      <c r="AR172" s="11" t="s">
        <v>1135</v>
      </c>
      <c r="AS172" s="36" t="s">
        <v>1257</v>
      </c>
      <c r="AT172" s="11" t="s">
        <v>75</v>
      </c>
      <c r="AU172" s="11" t="s">
        <v>1234</v>
      </c>
      <c r="AV172" s="13" t="s">
        <v>1140</v>
      </c>
      <c r="AW172" s="14"/>
      <c r="AX172" s="44">
        <v>46003</v>
      </c>
      <c r="BA172" s="1"/>
      <c r="BG172"/>
      <c r="BH172" s="1"/>
    </row>
    <row r="173" spans="1:60" ht="38.25">
      <c r="A173" s="38" t="str">
        <f>VLOOKUP(Tableau1[[#This Row],[N° Département]],Feuil1!$C$6:$E$106,3)</f>
        <v>Provence-Alpes-Côte d'Azur</v>
      </c>
      <c r="B173" s="38" t="str">
        <f>VLOOKUP(Tableau1[[#This Row],[N° Département]],Feuil1!$C$6:$E$106,2)</f>
        <v>Vaucluse</v>
      </c>
      <c r="C173" s="38">
        <f>LEFT(Tableau1[[#This Row],[Code Postal]],2)*1</f>
        <v>84</v>
      </c>
      <c r="D173" s="10" t="s">
        <v>1114</v>
      </c>
      <c r="E173" s="26">
        <v>84140</v>
      </c>
      <c r="F173" s="10" t="s">
        <v>1097</v>
      </c>
      <c r="G173" s="39" t="str">
        <f>Tableau1[[#This Row],[Rue]]&amp;CHAR(10)&amp;Tableau1[[#This Row],[Code Postal]]&amp;" - "&amp;Tableau1[[#This Row],[Ville]]</f>
        <v>330 Avenue Marcou Delanglade
84140 - Avignon</v>
      </c>
      <c r="H173" s="15" t="s">
        <v>1172</v>
      </c>
      <c r="I173" s="12" t="s">
        <v>47</v>
      </c>
      <c r="J173" s="12" t="s">
        <v>48</v>
      </c>
      <c r="K173" s="10" t="s">
        <v>103</v>
      </c>
      <c r="L173" s="10" t="s">
        <v>1428</v>
      </c>
      <c r="M173" s="12" t="s">
        <v>103</v>
      </c>
      <c r="N173" s="36"/>
      <c r="O173" s="34">
        <v>616</v>
      </c>
      <c r="P173" s="6" t="s">
        <v>1237</v>
      </c>
      <c r="Q173" s="34"/>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1171</v>
      </c>
      <c r="AM173" s="11" t="s">
        <v>1238</v>
      </c>
      <c r="AN173" s="11" t="s">
        <v>1424</v>
      </c>
      <c r="AO173" s="5" t="s">
        <v>367</v>
      </c>
      <c r="AP173" s="11" t="s">
        <v>1169</v>
      </c>
      <c r="AQ173" s="11" t="s">
        <v>1170</v>
      </c>
      <c r="AR173" s="11">
        <v>46</v>
      </c>
      <c r="AS173" s="45" t="s">
        <v>1258</v>
      </c>
      <c r="AT173" s="11" t="s">
        <v>75</v>
      </c>
      <c r="AU173" s="11" t="s">
        <v>1236</v>
      </c>
      <c r="AV173" s="13" t="s">
        <v>1140</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1117</v>
      </c>
      <c r="E174" s="26">
        <v>94500</v>
      </c>
      <c r="F174" s="10" t="s">
        <v>1116</v>
      </c>
      <c r="G174" s="39" t="str">
        <f>Tableau1[[#This Row],[Rue]]&amp;CHAR(10)&amp;Tableau1[[#This Row],[Code Postal]]&amp;" - "&amp;Tableau1[[#This Row],[Ville]]</f>
        <v>14 Rue Serpente
94500 - Champigny-sur-Marne</v>
      </c>
      <c r="H174" s="15" t="s">
        <v>1111</v>
      </c>
      <c r="I174" s="12" t="s">
        <v>45</v>
      </c>
      <c r="J174" s="12" t="s">
        <v>48</v>
      </c>
      <c r="K174" s="10" t="s">
        <v>103</v>
      </c>
      <c r="L174" s="10" t="s">
        <v>1428</v>
      </c>
      <c r="M174" s="12" t="s">
        <v>103</v>
      </c>
      <c r="N174" s="36"/>
      <c r="O174" s="34">
        <v>875</v>
      </c>
      <c r="P174" s="6" t="s">
        <v>103</v>
      </c>
      <c r="Q174" s="34"/>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376</v>
      </c>
      <c r="AK174" s="10" t="s">
        <v>369</v>
      </c>
      <c r="AL174" s="10" t="s">
        <v>1177</v>
      </c>
      <c r="AM174" s="11" t="s">
        <v>1244</v>
      </c>
      <c r="AN174" s="11" t="s">
        <v>1424</v>
      </c>
      <c r="AO174" s="5" t="s">
        <v>367</v>
      </c>
      <c r="AP174" s="11" t="s">
        <v>1173</v>
      </c>
      <c r="AQ174" s="11" t="s">
        <v>1174</v>
      </c>
      <c r="AR174" s="11" t="s">
        <v>1137</v>
      </c>
      <c r="AS174" s="45" t="s">
        <v>1259</v>
      </c>
      <c r="AT174" s="11" t="s">
        <v>75</v>
      </c>
      <c r="AU174" s="11" t="s">
        <v>1268</v>
      </c>
      <c r="AV174" s="13" t="s">
        <v>1140</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1115</v>
      </c>
      <c r="E175" s="26">
        <v>94500</v>
      </c>
      <c r="F175" s="10" t="s">
        <v>1116</v>
      </c>
      <c r="G175" s="39" t="str">
        <f>Tableau1[[#This Row],[Rue]]&amp;CHAR(10)&amp;Tableau1[[#This Row],[Code Postal]]&amp;" - "&amp;Tableau1[[#This Row],[Ville]]</f>
        <v>13 Rue Serpente
94500 - Champigny-sur-Marne</v>
      </c>
      <c r="H175" s="15" t="s">
        <v>1109</v>
      </c>
      <c r="I175" s="12" t="s">
        <v>45</v>
      </c>
      <c r="J175" s="12" t="s">
        <v>48</v>
      </c>
      <c r="K175" s="10" t="s">
        <v>103</v>
      </c>
      <c r="L175" s="10" t="s">
        <v>1428</v>
      </c>
      <c r="M175" s="12" t="s">
        <v>103</v>
      </c>
      <c r="N175" s="36"/>
      <c r="O175" s="34">
        <v>387</v>
      </c>
      <c r="P175" s="6" t="s">
        <v>103</v>
      </c>
      <c r="Q175" s="34"/>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376</v>
      </c>
      <c r="AK175" s="10" t="s">
        <v>369</v>
      </c>
      <c r="AL175" s="10" t="s">
        <v>1177</v>
      </c>
      <c r="AM175" s="11" t="s">
        <v>1244</v>
      </c>
      <c r="AN175" s="11" t="s">
        <v>1424</v>
      </c>
      <c r="AO175" s="5" t="s">
        <v>367</v>
      </c>
      <c r="AP175" s="11" t="s">
        <v>1240</v>
      </c>
      <c r="AQ175" s="11" t="s">
        <v>1241</v>
      </c>
      <c r="AR175" s="11" t="s">
        <v>1138</v>
      </c>
      <c r="AS175" s="36" t="s">
        <v>1260</v>
      </c>
      <c r="AT175" s="11" t="s">
        <v>75</v>
      </c>
      <c r="AU175" s="11" t="s">
        <v>1239</v>
      </c>
      <c r="AV175" s="13" t="s">
        <v>1140</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1117</v>
      </c>
      <c r="E176" s="26">
        <v>94500</v>
      </c>
      <c r="F176" s="10" t="s">
        <v>1116</v>
      </c>
      <c r="G176" s="39" t="str">
        <f>Tableau1[[#This Row],[Rue]]&amp;CHAR(10)&amp;Tableau1[[#This Row],[Code Postal]]&amp;" - "&amp;Tableau1[[#This Row],[Ville]]</f>
        <v>14 Rue Serpente
94500 - Champigny-sur-Marne</v>
      </c>
      <c r="H176" s="15" t="s">
        <v>1110</v>
      </c>
      <c r="I176" s="12" t="s">
        <v>45</v>
      </c>
      <c r="J176" s="12" t="s">
        <v>48</v>
      </c>
      <c r="K176" s="10" t="s">
        <v>103</v>
      </c>
      <c r="L176" s="10" t="s">
        <v>1428</v>
      </c>
      <c r="M176" s="12" t="s">
        <v>103</v>
      </c>
      <c r="N176" s="36"/>
      <c r="O176" s="34">
        <v>723</v>
      </c>
      <c r="P176" s="6" t="s">
        <v>103</v>
      </c>
      <c r="Q176" s="34"/>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376</v>
      </c>
      <c r="AK176" s="10" t="s">
        <v>369</v>
      </c>
      <c r="AL176" s="10" t="s">
        <v>1177</v>
      </c>
      <c r="AM176" s="11" t="s">
        <v>1244</v>
      </c>
      <c r="AN176" s="11" t="s">
        <v>1424</v>
      </c>
      <c r="AO176" s="5" t="s">
        <v>367</v>
      </c>
      <c r="AP176" s="11" t="s">
        <v>1175</v>
      </c>
      <c r="AQ176" s="11" t="s">
        <v>1176</v>
      </c>
      <c r="AR176" s="11" t="s">
        <v>1139</v>
      </c>
      <c r="AS176" s="36" t="s">
        <v>1261</v>
      </c>
      <c r="AT176" s="11" t="s">
        <v>75</v>
      </c>
      <c r="AU176" s="11" t="s">
        <v>1242</v>
      </c>
      <c r="AV176" s="13" t="s">
        <v>1140</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1119</v>
      </c>
      <c r="E177" s="26">
        <v>95220</v>
      </c>
      <c r="F177" s="10" t="s">
        <v>1118</v>
      </c>
      <c r="G177" s="39" t="str">
        <f>Tableau1[[#This Row],[Rue]]&amp;CHAR(10)&amp;Tableau1[[#This Row],[Code Postal]]&amp;" - "&amp;Tableau1[[#This Row],[Ville]]</f>
        <v>8 Avenue Paul Langevin
95220 - Herblay-sur-Seine</v>
      </c>
      <c r="H177" s="15" t="s">
        <v>1178</v>
      </c>
      <c r="I177" s="12" t="s">
        <v>47</v>
      </c>
      <c r="J177" s="12" t="s">
        <v>48</v>
      </c>
      <c r="K177" s="10" t="s">
        <v>103</v>
      </c>
      <c r="L177" s="10" t="s">
        <v>1428</v>
      </c>
      <c r="M177" s="12" t="s">
        <v>103</v>
      </c>
      <c r="N177" s="36"/>
      <c r="O177" s="34">
        <v>402</v>
      </c>
      <c r="P177" s="6" t="s">
        <v>103</v>
      </c>
      <c r="Q177" s="34"/>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376</v>
      </c>
      <c r="AK177" s="10" t="s">
        <v>369</v>
      </c>
      <c r="AL177" s="10" t="s">
        <v>1181</v>
      </c>
      <c r="AM177" s="11" t="s">
        <v>1245</v>
      </c>
      <c r="AN177" s="11" t="s">
        <v>1424</v>
      </c>
      <c r="AO177" s="5" t="s">
        <v>367</v>
      </c>
      <c r="AP177" s="11" t="s">
        <v>1179</v>
      </c>
      <c r="AQ177" s="11" t="s">
        <v>1180</v>
      </c>
      <c r="AR177" s="11">
        <v>48</v>
      </c>
      <c r="AS177" s="36" t="s">
        <v>1262</v>
      </c>
      <c r="AT177" s="11" t="s">
        <v>75</v>
      </c>
      <c r="AU177" s="11" t="s">
        <v>1243</v>
      </c>
      <c r="AV177" s="13" t="s">
        <v>1140</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1187</v>
      </c>
      <c r="E178" s="48" t="s">
        <v>1387</v>
      </c>
      <c r="F178" s="10" t="s">
        <v>1186</v>
      </c>
      <c r="G178" s="47" t="str">
        <f>Tableau1[[#This Row],[Rue]]&amp;CHAR(10)&amp;Tableau1[[#This Row],[Code Postal]]&amp;" - "&amp;Tableau1[[#This Row],[Ville]]</f>
        <v>CAP 3000
217 Av. Eugène Donadeï
06 700 - Saint-Laurent-du-Var</v>
      </c>
      <c r="H178" s="15" t="s">
        <v>1188</v>
      </c>
      <c r="I178" s="12" t="s">
        <v>47</v>
      </c>
      <c r="J178" s="12" t="s">
        <v>49</v>
      </c>
      <c r="K178" s="10" t="s">
        <v>103</v>
      </c>
      <c r="L178" s="10"/>
      <c r="M178" s="12" t="s">
        <v>1189</v>
      </c>
      <c r="N178" s="36"/>
      <c r="O178" s="34">
        <v>126</v>
      </c>
      <c r="P178" s="6" t="s">
        <v>1246</v>
      </c>
      <c r="Q178" s="34"/>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1191</v>
      </c>
      <c r="AM178" s="11" t="s">
        <v>1190</v>
      </c>
      <c r="AN178" s="11"/>
      <c r="AO178" s="5" t="s">
        <v>1195</v>
      </c>
      <c r="AP178" s="11" t="s">
        <v>1192</v>
      </c>
      <c r="AQ178" s="11" t="s">
        <v>1193</v>
      </c>
      <c r="AR178" s="11">
        <v>49</v>
      </c>
      <c r="AS178" s="36" t="s">
        <v>1263</v>
      </c>
      <c r="AT178" s="11" t="s">
        <v>75</v>
      </c>
      <c r="AU178" s="11"/>
      <c r="AV178" s="13" t="s">
        <v>1194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1306</v>
      </c>
      <c r="E179" s="26">
        <v>77000</v>
      </c>
      <c r="F179" s="10" t="s">
        <v>1307</v>
      </c>
      <c r="G179" s="39" t="str">
        <f>Tableau1[[#This Row],[Rue]]&amp;CHAR(10)&amp;Tableau1[[#This Row],[Code Postal]]&amp;" - "&amp;Tableau1[[#This Row],[Ville]]</f>
        <v>23 avenue Paul Doumer
77000 - Melun</v>
      </c>
      <c r="H179" s="15" t="s">
        <v>1308</v>
      </c>
      <c r="I179" s="12" t="s">
        <v>45</v>
      </c>
      <c r="J179" s="12" t="s">
        <v>44</v>
      </c>
      <c r="K179" s="10" t="s">
        <v>103</v>
      </c>
      <c r="L179" s="10"/>
      <c r="M179" s="12" t="s">
        <v>103</v>
      </c>
      <c r="N179" s="36"/>
      <c r="O179" s="34">
        <v>530</v>
      </c>
      <c r="P179" s="12" t="s">
        <v>1309</v>
      </c>
      <c r="Q179" s="34"/>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376</v>
      </c>
      <c r="AK179" s="10" t="s">
        <v>369</v>
      </c>
      <c r="AL179" s="10" t="s">
        <v>1311</v>
      </c>
      <c r="AM179" s="11" t="s">
        <v>1310</v>
      </c>
      <c r="AN179" s="11"/>
      <c r="AO179" s="5" t="s">
        <v>367</v>
      </c>
      <c r="AP179" s="11" t="s">
        <v>1312</v>
      </c>
      <c r="AQ179" s="11" t="s">
        <v>1313</v>
      </c>
      <c r="AR179" s="11">
        <v>50</v>
      </c>
      <c r="AS179" s="36" t="s">
        <v>1413</v>
      </c>
      <c r="AT179" s="11" t="s">
        <v>75</v>
      </c>
      <c r="AU179" s="11" t="s">
        <v>1314</v>
      </c>
      <c r="AV179" s="13" t="s">
        <v>1315</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1316</v>
      </c>
      <c r="E180" s="26">
        <v>75016</v>
      </c>
      <c r="F180" s="10" t="s">
        <v>92</v>
      </c>
      <c r="G180" s="39" t="str">
        <f>Tableau1[[#This Row],[Rue]]&amp;CHAR(10)&amp;Tableau1[[#This Row],[Code Postal]]&amp;" - "&amp;Tableau1[[#This Row],[Ville]]</f>
        <v>1 boulevard Exelmans
75016 - Paris</v>
      </c>
      <c r="H180" s="15" t="s">
        <v>1317</v>
      </c>
      <c r="I180" s="12" t="s">
        <v>45</v>
      </c>
      <c r="J180" s="12" t="s">
        <v>44</v>
      </c>
      <c r="K180" s="10" t="s">
        <v>103</v>
      </c>
      <c r="L180" s="10"/>
      <c r="M180" s="12" t="s">
        <v>103</v>
      </c>
      <c r="N180" s="36"/>
      <c r="O180" s="34">
        <v>187</v>
      </c>
      <c r="P180" s="12" t="s">
        <v>1318</v>
      </c>
      <c r="Q180" s="34"/>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376</v>
      </c>
      <c r="AK180" s="10" t="s">
        <v>369</v>
      </c>
      <c r="AL180" s="10" t="s">
        <v>1322</v>
      </c>
      <c r="AM180" s="11" t="s">
        <v>1376</v>
      </c>
      <c r="AN180" s="11"/>
      <c r="AO180" s="5" t="s">
        <v>367</v>
      </c>
      <c r="AP180" s="11" t="s">
        <v>1320</v>
      </c>
      <c r="AQ180" s="11" t="s">
        <v>1321</v>
      </c>
      <c r="AR180" s="11">
        <v>51</v>
      </c>
      <c r="AS180" s="36" t="s">
        <v>1414</v>
      </c>
      <c r="AT180" s="11" t="s">
        <v>75</v>
      </c>
      <c r="AU180" s="11" t="s">
        <v>1319</v>
      </c>
      <c r="AV180" s="13" t="s">
        <v>1315</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1323</v>
      </c>
      <c r="E181" s="26">
        <v>75014</v>
      </c>
      <c r="F181" s="10" t="s">
        <v>92</v>
      </c>
      <c r="G181" s="39" t="str">
        <f>Tableau1[[#This Row],[Rue]]&amp;CHAR(10)&amp;Tableau1[[#This Row],[Code Postal]]&amp;" - "&amp;Tableau1[[#This Row],[Ville]]</f>
        <v>90 rue d'Alésia
75014 - Paris</v>
      </c>
      <c r="H181" s="15" t="s">
        <v>1324</v>
      </c>
      <c r="I181" s="12" t="s">
        <v>45</v>
      </c>
      <c r="J181" s="12" t="s">
        <v>44</v>
      </c>
      <c r="K181" s="10" t="s">
        <v>103</v>
      </c>
      <c r="L181" s="10"/>
      <c r="M181" s="12" t="s">
        <v>103</v>
      </c>
      <c r="N181" s="36"/>
      <c r="O181" s="34">
        <v>59</v>
      </c>
      <c r="P181" s="12" t="s">
        <v>1325</v>
      </c>
      <c r="Q181" s="34"/>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376</v>
      </c>
      <c r="AK181" s="10"/>
      <c r="AL181" s="10" t="s">
        <v>1329</v>
      </c>
      <c r="AM181" s="11" t="s">
        <v>1377</v>
      </c>
      <c r="AN181" s="11"/>
      <c r="AO181" s="5" t="s">
        <v>367</v>
      </c>
      <c r="AP181" s="11" t="s">
        <v>1327</v>
      </c>
      <c r="AQ181" s="11" t="s">
        <v>1328</v>
      </c>
      <c r="AR181" s="11">
        <v>52</v>
      </c>
      <c r="AS181" s="36" t="s">
        <v>1415</v>
      </c>
      <c r="AT181" s="11" t="s">
        <v>75</v>
      </c>
      <c r="AU181" s="11" t="s">
        <v>1326</v>
      </c>
      <c r="AV181" s="13" t="s">
        <v>1315</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1330</v>
      </c>
      <c r="E182" s="26">
        <v>75020</v>
      </c>
      <c r="F182" s="10" t="s">
        <v>92</v>
      </c>
      <c r="G182" s="39" t="str">
        <f>Tableau1[[#This Row],[Rue]]&amp;CHAR(10)&amp;Tableau1[[#This Row],[Code Postal]]&amp;" - "&amp;Tableau1[[#This Row],[Ville]]</f>
        <v>356 rue des Pyrénées
75020 - Paris</v>
      </c>
      <c r="H182" s="15" t="s">
        <v>1331</v>
      </c>
      <c r="I182" s="12" t="s">
        <v>45</v>
      </c>
      <c r="J182" s="12" t="s">
        <v>44</v>
      </c>
      <c r="K182" s="10" t="s">
        <v>103</v>
      </c>
      <c r="L182" s="10"/>
      <c r="M182" s="12" t="s">
        <v>103</v>
      </c>
      <c r="N182" s="36"/>
      <c r="O182" s="34">
        <v>39</v>
      </c>
      <c r="P182" s="34" t="s">
        <v>103</v>
      </c>
      <c r="Q182" s="34"/>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376</v>
      </c>
      <c r="AK182" s="10"/>
      <c r="AL182" s="10" t="s">
        <v>1335</v>
      </c>
      <c r="AM182" s="11"/>
      <c r="AN182" s="11"/>
      <c r="AO182" s="5" t="s">
        <v>367</v>
      </c>
      <c r="AP182" s="11" t="s">
        <v>1334</v>
      </c>
      <c r="AQ182" s="11" t="s">
        <v>1333</v>
      </c>
      <c r="AR182" s="11">
        <v>53</v>
      </c>
      <c r="AS182" s="36" t="s">
        <v>1416</v>
      </c>
      <c r="AT182" s="11" t="s">
        <v>75</v>
      </c>
      <c r="AU182" s="11" t="s">
        <v>1332</v>
      </c>
      <c r="AV182" s="13" t="s">
        <v>1315</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1336</v>
      </c>
      <c r="E183" s="26">
        <v>75017</v>
      </c>
      <c r="F183" s="10" t="s">
        <v>92</v>
      </c>
      <c r="G183" s="39" t="str">
        <f>Tableau1[[#This Row],[Rue]]&amp;CHAR(10)&amp;Tableau1[[#This Row],[Code Postal]]&amp;" - "&amp;Tableau1[[#This Row],[Ville]]</f>
        <v>103 rue Legendre
75017 - Paris</v>
      </c>
      <c r="H183" s="15" t="s">
        <v>1337</v>
      </c>
      <c r="I183" s="12" t="s">
        <v>45</v>
      </c>
      <c r="J183" s="12" t="s">
        <v>44</v>
      </c>
      <c r="K183" s="10" t="s">
        <v>103</v>
      </c>
      <c r="L183" s="10"/>
      <c r="M183" s="12" t="s">
        <v>103</v>
      </c>
      <c r="N183" s="36"/>
      <c r="O183" s="34">
        <v>93</v>
      </c>
      <c r="P183" s="34" t="s">
        <v>103</v>
      </c>
      <c r="Q183" s="34"/>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376</v>
      </c>
      <c r="AK183" s="10"/>
      <c r="AL183" s="10" t="s">
        <v>1340</v>
      </c>
      <c r="AM183" s="11" t="s">
        <v>1339</v>
      </c>
      <c r="AN183" s="11"/>
      <c r="AO183" s="5" t="s">
        <v>367</v>
      </c>
      <c r="AP183" s="11" t="s">
        <v>1361</v>
      </c>
      <c r="AQ183" s="11" t="s">
        <v>1362</v>
      </c>
      <c r="AR183" s="11">
        <v>54</v>
      </c>
      <c r="AS183" s="36" t="s">
        <v>1417</v>
      </c>
      <c r="AT183" s="11" t="s">
        <v>75</v>
      </c>
      <c r="AU183" s="11" t="s">
        <v>1338</v>
      </c>
      <c r="AV183" s="13" t="s">
        <v>1315</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1341</v>
      </c>
      <c r="E184" s="26">
        <v>92100</v>
      </c>
      <c r="F184" s="10" t="s">
        <v>93</v>
      </c>
      <c r="G184" s="39" t="str">
        <f>Tableau1[[#This Row],[Rue]]&amp;CHAR(10)&amp;Tableau1[[#This Row],[Code Postal]]&amp;" - "&amp;Tableau1[[#This Row],[Ville]]</f>
        <v>86 avenue Edouard Vaillant
92100 - Boulogne-Billancourt</v>
      </c>
      <c r="H184" s="15" t="s">
        <v>1342</v>
      </c>
      <c r="I184" s="12" t="s">
        <v>45</v>
      </c>
      <c r="J184" s="12" t="s">
        <v>44</v>
      </c>
      <c r="K184" s="10" t="s">
        <v>103</v>
      </c>
      <c r="L184" s="10"/>
      <c r="M184" s="12" t="s">
        <v>103</v>
      </c>
      <c r="N184" s="36"/>
      <c r="O184" s="34">
        <v>141</v>
      </c>
      <c r="P184" s="12" t="s">
        <v>1348</v>
      </c>
      <c r="Q184" s="34"/>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1381</v>
      </c>
      <c r="AM184" s="11" t="s">
        <v>1380</v>
      </c>
      <c r="AN184" s="11"/>
      <c r="AO184" s="5" t="s">
        <v>367</v>
      </c>
      <c r="AP184" s="11" t="s">
        <v>1360</v>
      </c>
      <c r="AQ184" s="11" t="s">
        <v>1359</v>
      </c>
      <c r="AR184" s="11">
        <v>55</v>
      </c>
      <c r="AS184" s="36" t="s">
        <v>1418</v>
      </c>
      <c r="AT184" s="11" t="s">
        <v>75</v>
      </c>
      <c r="AU184" s="11" t="s">
        <v>1343</v>
      </c>
      <c r="AV184" s="13" t="s">
        <v>1315</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1345</v>
      </c>
      <c r="E185" s="26">
        <v>62520</v>
      </c>
      <c r="F185" s="10" t="s">
        <v>1346</v>
      </c>
      <c r="G185" s="39" t="str">
        <f>Tableau1[[#This Row],[Rue]]&amp;CHAR(10)&amp;Tableau1[[#This Row],[Code Postal]]&amp;" - "&amp;Tableau1[[#This Row],[Ville]]</f>
        <v>73 bis rue Saint-Jean
62520 - Le Touquet-Paris-Plage</v>
      </c>
      <c r="H185" s="15" t="s">
        <v>1344</v>
      </c>
      <c r="I185" s="12" t="s">
        <v>45</v>
      </c>
      <c r="J185" s="12" t="s">
        <v>44</v>
      </c>
      <c r="K185" s="10" t="s">
        <v>103</v>
      </c>
      <c r="L185" s="10"/>
      <c r="M185" s="12" t="s">
        <v>103</v>
      </c>
      <c r="N185" s="36"/>
      <c r="O185" s="34">
        <v>86</v>
      </c>
      <c r="P185" s="12" t="s">
        <v>1347</v>
      </c>
      <c r="Q185" s="34"/>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376</v>
      </c>
      <c r="AK185" s="10" t="s">
        <v>369</v>
      </c>
      <c r="AL185" s="10" t="s">
        <v>1382</v>
      </c>
      <c r="AM185" s="11" t="s">
        <v>1378</v>
      </c>
      <c r="AN185" s="11"/>
      <c r="AO185" s="5" t="s">
        <v>367</v>
      </c>
      <c r="AP185" s="11" t="s">
        <v>1350</v>
      </c>
      <c r="AQ185" s="11" t="s">
        <v>1351</v>
      </c>
      <c r="AR185" s="11">
        <v>56</v>
      </c>
      <c r="AS185" s="36" t="s">
        <v>1419</v>
      </c>
      <c r="AT185" s="11" t="s">
        <v>75</v>
      </c>
      <c r="AU185" s="11" t="s">
        <v>1349</v>
      </c>
      <c r="AV185" s="13" t="s">
        <v>1315</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1352</v>
      </c>
      <c r="E186" s="26">
        <v>21000</v>
      </c>
      <c r="F186" s="10" t="s">
        <v>1353</v>
      </c>
      <c r="G186" s="39" t="str">
        <f>Tableau1[[#This Row],[Rue]]&amp;CHAR(10)&amp;Tableau1[[#This Row],[Code Postal]]&amp;" - "&amp;Tableau1[[#This Row],[Ville]]</f>
        <v>65 rue du Bourg
21000 - Dijon</v>
      </c>
      <c r="H186" s="15" t="s">
        <v>1354</v>
      </c>
      <c r="I186" s="12" t="s">
        <v>45</v>
      </c>
      <c r="J186" s="12" t="s">
        <v>44</v>
      </c>
      <c r="K186" s="10" t="s">
        <v>103</v>
      </c>
      <c r="L186" s="10"/>
      <c r="M186" s="12" t="s">
        <v>103</v>
      </c>
      <c r="N186" s="36"/>
      <c r="O186" s="34">
        <v>335</v>
      </c>
      <c r="P186" s="12" t="s">
        <v>1355</v>
      </c>
      <c r="Q186" s="34"/>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376</v>
      </c>
      <c r="AK186" s="10" t="s">
        <v>369</v>
      </c>
      <c r="AL186" s="10" t="s">
        <v>1383</v>
      </c>
      <c r="AM186" s="11" t="s">
        <v>1379</v>
      </c>
      <c r="AN186" s="11"/>
      <c r="AO186" s="5" t="s">
        <v>367</v>
      </c>
      <c r="AP186" s="11" t="s">
        <v>1358</v>
      </c>
      <c r="AQ186" s="11" t="s">
        <v>1357</v>
      </c>
      <c r="AR186" s="11">
        <v>57</v>
      </c>
      <c r="AS186" s="36" t="s">
        <v>1420</v>
      </c>
      <c r="AT186" s="11" t="s">
        <v>75</v>
      </c>
      <c r="AU186" s="11" t="s">
        <v>1356</v>
      </c>
      <c r="AV186" s="13" t="s">
        <v>1315</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1363</v>
      </c>
      <c r="E187" s="26">
        <v>10000</v>
      </c>
      <c r="F187" s="10" t="s">
        <v>1364</v>
      </c>
      <c r="G187" s="39" t="str">
        <f>Tableau1[[#This Row],[Rue]]&amp;CHAR(10)&amp;Tableau1[[#This Row],[Code Postal]]&amp;" - "&amp;Tableau1[[#This Row],[Ville]]</f>
        <v>97 rue Emile Zola
10000 - Troyes</v>
      </c>
      <c r="H187" s="15" t="s">
        <v>1365</v>
      </c>
      <c r="I187" s="12" t="s">
        <v>45</v>
      </c>
      <c r="J187" s="12" t="s">
        <v>44</v>
      </c>
      <c r="K187" s="10" t="s">
        <v>103</v>
      </c>
      <c r="L187" s="10"/>
      <c r="M187" s="12" t="s">
        <v>103</v>
      </c>
      <c r="N187" s="36"/>
      <c r="O187" s="34">
        <v>378</v>
      </c>
      <c r="P187" s="12" t="s">
        <v>1366</v>
      </c>
      <c r="Q187" s="34"/>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376</v>
      </c>
      <c r="AK187" s="10" t="s">
        <v>369</v>
      </c>
      <c r="AL187" s="10" t="s">
        <v>1384</v>
      </c>
      <c r="AM187" s="11" t="s">
        <v>1378</v>
      </c>
      <c r="AN187" s="11"/>
      <c r="AO187" s="5" t="s">
        <v>367</v>
      </c>
      <c r="AP187" s="11" t="s">
        <v>1368</v>
      </c>
      <c r="AQ187" s="11" t="s">
        <v>1369</v>
      </c>
      <c r="AR187" s="11">
        <v>58</v>
      </c>
      <c r="AS187" s="36" t="s">
        <v>1421</v>
      </c>
      <c r="AT187" s="11" t="s">
        <v>75</v>
      </c>
      <c r="AU187" s="11" t="s">
        <v>1367</v>
      </c>
      <c r="AV187" s="13" t="s">
        <v>1315</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1370</v>
      </c>
      <c r="E188" s="26">
        <v>75001</v>
      </c>
      <c r="F188" s="10" t="s">
        <v>92</v>
      </c>
      <c r="G188" s="39" t="str">
        <f>Tableau1[[#This Row],[Rue]]&amp;CHAR(10)&amp;Tableau1[[#This Row],[Code Postal]]&amp;" - "&amp;Tableau1[[#This Row],[Ville]]</f>
        <v>9 Rue du Marché Saint-Honoré
75001 - Paris</v>
      </c>
      <c r="H188" s="15" t="s">
        <v>1371</v>
      </c>
      <c r="I188" s="12" t="s">
        <v>45</v>
      </c>
      <c r="J188" s="12" t="s">
        <v>44</v>
      </c>
      <c r="K188" s="10" t="s">
        <v>103</v>
      </c>
      <c r="L188" s="10"/>
      <c r="M188" s="12" t="s">
        <v>103</v>
      </c>
      <c r="N188" s="36"/>
      <c r="O188" s="34">
        <v>48</v>
      </c>
      <c r="P188" s="12" t="s">
        <v>1372</v>
      </c>
      <c r="Q188" s="34"/>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1385</v>
      </c>
      <c r="AM188" s="11" t="s">
        <v>1386</v>
      </c>
      <c r="AN188" s="11"/>
      <c r="AO188" s="5" t="s">
        <v>367</v>
      </c>
      <c r="AP188" s="11" t="s">
        <v>1374</v>
      </c>
      <c r="AQ188" s="11" t="s">
        <v>1375</v>
      </c>
      <c r="AR188" s="11">
        <v>59</v>
      </c>
      <c r="AS188" s="36" t="s">
        <v>1422</v>
      </c>
      <c r="AT188" s="11" t="s">
        <v>75</v>
      </c>
      <c r="AU188" s="11" t="s">
        <v>1373</v>
      </c>
      <c r="AV188" s="13" t="s">
        <v>1315</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1391</v>
      </c>
      <c r="E189" s="49" t="s">
        <v>1389</v>
      </c>
      <c r="F189" s="10" t="s">
        <v>1390</v>
      </c>
      <c r="G189" s="39" t="str">
        <f>Tableau1[[#This Row],[Rue]]&amp;Tableau1[[#This Row],[Code Postal]]&amp;Tableau1[[#This Row],[Ville]]</f>
        <v>Cap Émeraude
Avenue du Capitaine Dhonne01 000Bourg-en-Bresse</v>
      </c>
      <c r="H189" s="15" t="s">
        <v>1388</v>
      </c>
      <c r="I189" s="12" t="s">
        <v>47</v>
      </c>
      <c r="J189" s="12" t="s">
        <v>49</v>
      </c>
      <c r="K189" s="10" t="s">
        <v>103</v>
      </c>
      <c r="L189" s="10"/>
      <c r="M189" s="12" t="s">
        <v>103</v>
      </c>
      <c r="N189" s="36"/>
      <c r="O189" s="34">
        <v>196</v>
      </c>
      <c r="P189" s="34" t="s">
        <v>103</v>
      </c>
      <c r="Q189" s="34"/>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c r="AK189" s="10"/>
      <c r="AL189" s="10" t="s">
        <v>1395</v>
      </c>
      <c r="AM189" s="11" t="s">
        <v>1394</v>
      </c>
      <c r="AN189" s="11"/>
      <c r="AO189" s="5" t="s">
        <v>367</v>
      </c>
      <c r="AP189" s="11" t="s">
        <v>1392</v>
      </c>
      <c r="AQ189" s="11" t="s">
        <v>1393</v>
      </c>
      <c r="AR189" s="11">
        <v>60</v>
      </c>
      <c r="AS189" s="36" t="s">
        <v>1397</v>
      </c>
      <c r="AT189" s="11" t="s">
        <v>75</v>
      </c>
      <c r="AU189" s="11" t="s">
        <v>377</v>
      </c>
      <c r="AV189" s="13" t="s">
        <v>1396</v>
      </c>
      <c r="AW189" s="14"/>
      <c r="AX189" s="44">
        <v>46042</v>
      </c>
      <c r="BA189" s="1"/>
      <c r="BG189"/>
      <c r="BH189" s="1"/>
    </row>
    <row r="204" spans="6:6">
      <c r="F204" s="1" t="s">
        <v>1029</v>
      </c>
    </row>
    <row r="205" spans="6:6">
      <c r="F205" s="1" t="s">
        <v>1030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2026-01-29T15:27:24Z</dcterms:modified>
</cp:coreProperties>
</file>