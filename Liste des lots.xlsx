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D36666D7-7115-42AD-9800-F77755F81405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2" i="2" l="1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C3" i="2"/>
  <c r="V101" i="2"/>
  <c r="W101" i="2" s="1"/>
  <c r="V102" i="2"/>
  <c r="V103" i="2"/>
  <c r="V104" i="2"/>
  <c r="V105" i="2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V114" i="2"/>
  <c r="R101" i="2"/>
  <c r="R102" i="2"/>
  <c r="R103" i="2"/>
  <c r="S103" i="2" s="1"/>
  <c r="R104" i="2"/>
  <c r="S104" i="2" s="1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02" i="2"/>
  <c r="S114" i="2"/>
  <c r="W102" i="2"/>
  <c r="W103" i="2"/>
  <c r="W104" i="2"/>
  <c r="W105" i="2"/>
  <c r="W113" i="2"/>
  <c r="W114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G114" i="2"/>
  <c r="C114" i="2"/>
  <c r="B114" i="2" s="1"/>
  <c r="G113" i="2"/>
  <c r="C113" i="2"/>
  <c r="A113" i="2" s="1"/>
  <c r="G112" i="2"/>
  <c r="C112" i="2"/>
  <c r="B112" i="2" s="1"/>
  <c r="G111" i="2"/>
  <c r="C111" i="2"/>
  <c r="B111" i="2" s="1"/>
  <c r="G110" i="2"/>
  <c r="C110" i="2"/>
  <c r="A110" i="2" s="1"/>
  <c r="G109" i="2"/>
  <c r="C109" i="2"/>
  <c r="B109" i="2" s="1"/>
  <c r="A109" i="2"/>
  <c r="G108" i="2"/>
  <c r="C108" i="2"/>
  <c r="B108" i="2" s="1"/>
  <c r="G107" i="2"/>
  <c r="C107" i="2"/>
  <c r="A107" i="2" s="1"/>
  <c r="B107" i="2"/>
  <c r="G106" i="2"/>
  <c r="C106" i="2"/>
  <c r="B106" i="2" s="1"/>
  <c r="A106" i="2"/>
  <c r="G105" i="2"/>
  <c r="C105" i="2"/>
  <c r="B105" i="2" s="1"/>
  <c r="G104" i="2"/>
  <c r="C104" i="2"/>
  <c r="A104" i="2" s="1"/>
  <c r="G103" i="2"/>
  <c r="C103" i="2"/>
  <c r="B103" i="2" s="1"/>
  <c r="G102" i="2"/>
  <c r="C102" i="2"/>
  <c r="B102" i="2" s="1"/>
  <c r="V96" i="2"/>
  <c r="W96" i="2" s="1"/>
  <c r="V97" i="2"/>
  <c r="W97" i="2" s="1"/>
  <c r="V98" i="2"/>
  <c r="W98" i="2" s="1"/>
  <c r="V99" i="2"/>
  <c r="W99" i="2" s="1"/>
  <c r="V100" i="2"/>
  <c r="W100" i="2" s="1"/>
  <c r="R96" i="2"/>
  <c r="R97" i="2"/>
  <c r="S97" i="2" s="1"/>
  <c r="R98" i="2"/>
  <c r="S98" i="2" s="1"/>
  <c r="R99" i="2"/>
  <c r="S99" i="2" s="1"/>
  <c r="R100" i="2"/>
  <c r="S100" i="2" s="1"/>
  <c r="G100" i="2"/>
  <c r="C100" i="2"/>
  <c r="B100" i="2" s="1"/>
  <c r="G99" i="2"/>
  <c r="C99" i="2"/>
  <c r="B99" i="2" s="1"/>
  <c r="G98" i="2"/>
  <c r="C98" i="2"/>
  <c r="B98" i="2" s="1"/>
  <c r="G97" i="2"/>
  <c r="C97" i="2"/>
  <c r="B97" i="2" s="1"/>
  <c r="Y97" i="2"/>
  <c r="Y98" i="2"/>
  <c r="Y99" i="2"/>
  <c r="Y100" i="2"/>
  <c r="R65" i="2"/>
  <c r="S65" i="2" s="1"/>
  <c r="R64" i="2"/>
  <c r="V64" i="2"/>
  <c r="W64" i="2" s="1"/>
  <c r="V65" i="2"/>
  <c r="W65" i="2" s="1"/>
  <c r="V56" i="2"/>
  <c r="W5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R56" i="2"/>
  <c r="S56" i="2" s="1"/>
  <c r="R57" i="2"/>
  <c r="S57" i="2" s="1"/>
  <c r="R58" i="2"/>
  <c r="S58" i="2" s="1"/>
  <c r="R59" i="2"/>
  <c r="R60" i="2"/>
  <c r="S60" i="2" s="1"/>
  <c r="R61" i="2"/>
  <c r="R62" i="2"/>
  <c r="S62" i="2" s="1"/>
  <c r="R63" i="2"/>
  <c r="V52" i="2"/>
  <c r="V53" i="2"/>
  <c r="V54" i="2"/>
  <c r="V55" i="2"/>
  <c r="V51" i="2"/>
  <c r="V50" i="2"/>
  <c r="R49" i="2"/>
  <c r="R50" i="2"/>
  <c r="S50" i="2" s="1"/>
  <c r="R51" i="2"/>
  <c r="S51" i="2" s="1"/>
  <c r="R52" i="2"/>
  <c r="R53" i="2"/>
  <c r="S53" i="2" s="1"/>
  <c r="R54" i="2"/>
  <c r="S54" i="2" s="1"/>
  <c r="R55" i="2"/>
  <c r="S55" i="2" s="1"/>
  <c r="R48" i="2"/>
  <c r="R47" i="2"/>
  <c r="S47" i="2" s="1"/>
  <c r="V48" i="2"/>
  <c r="V46" i="2"/>
  <c r="V47" i="2"/>
  <c r="R46" i="2"/>
  <c r="S46" i="2" s="1"/>
  <c r="R40" i="2"/>
  <c r="S40" i="2" s="1"/>
  <c r="R41" i="2"/>
  <c r="S41" i="2" s="1"/>
  <c r="R42" i="2"/>
  <c r="R43" i="2"/>
  <c r="S43" i="2" s="1"/>
  <c r="R44" i="2"/>
  <c r="S44" i="2" s="1"/>
  <c r="R45" i="2"/>
  <c r="S45" i="2" s="1"/>
  <c r="V39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R29" i="2"/>
  <c r="R30" i="2"/>
  <c r="S30" i="2" s="1"/>
  <c r="R31" i="2"/>
  <c r="S31" i="2" s="1"/>
  <c r="R32" i="2"/>
  <c r="S32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66" i="2"/>
  <c r="S66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S59" i="2"/>
  <c r="S61" i="2"/>
  <c r="S96" i="2"/>
  <c r="S101" i="2"/>
  <c r="S63" i="2"/>
  <c r="S48" i="2"/>
  <c r="S52" i="2"/>
  <c r="S28" i="2"/>
  <c r="S29" i="2"/>
  <c r="S42" i="2"/>
  <c r="R2" i="2"/>
  <c r="V5" i="2"/>
  <c r="V4" i="2"/>
  <c r="V3" i="2"/>
  <c r="V2" i="2"/>
  <c r="V90" i="2"/>
  <c r="W90" i="2" s="1"/>
  <c r="Y90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89" i="2"/>
  <c r="W89" i="2" s="1"/>
  <c r="G95" i="2"/>
  <c r="C95" i="2"/>
  <c r="B95" i="2" s="1"/>
  <c r="G94" i="2"/>
  <c r="C94" i="2"/>
  <c r="B94" i="2" s="1"/>
  <c r="G93" i="2"/>
  <c r="C93" i="2"/>
  <c r="A93" i="2" s="1"/>
  <c r="G92" i="2"/>
  <c r="C92" i="2"/>
  <c r="B92" i="2" s="1"/>
  <c r="G91" i="2"/>
  <c r="C91" i="2"/>
  <c r="B91" i="2" s="1"/>
  <c r="G90" i="2"/>
  <c r="C90" i="2"/>
  <c r="A90" i="2" s="1"/>
  <c r="V67" i="2"/>
  <c r="W67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66" i="2"/>
  <c r="W66" i="2" s="1"/>
  <c r="G88" i="2"/>
  <c r="C88" i="2"/>
  <c r="B88" i="2" s="1"/>
  <c r="G87" i="2"/>
  <c r="C87" i="2"/>
  <c r="B87" i="2" s="1"/>
  <c r="G86" i="2"/>
  <c r="C86" i="2"/>
  <c r="A86" i="2" s="1"/>
  <c r="G85" i="2"/>
  <c r="C85" i="2"/>
  <c r="B85" i="2" s="1"/>
  <c r="G84" i="2"/>
  <c r="C84" i="2"/>
  <c r="B84" i="2" s="1"/>
  <c r="G83" i="2"/>
  <c r="C83" i="2"/>
  <c r="A83" i="2" s="1"/>
  <c r="G82" i="2"/>
  <c r="C82" i="2"/>
  <c r="B82" i="2" s="1"/>
  <c r="G81" i="2"/>
  <c r="C81" i="2"/>
  <c r="B81" i="2" s="1"/>
  <c r="G80" i="2"/>
  <c r="C80" i="2"/>
  <c r="A80" i="2" s="1"/>
  <c r="G79" i="2"/>
  <c r="C79" i="2"/>
  <c r="A79" i="2" s="1"/>
  <c r="G78" i="2"/>
  <c r="C78" i="2"/>
  <c r="B78" i="2" s="1"/>
  <c r="G77" i="2"/>
  <c r="C77" i="2"/>
  <c r="A77" i="2" s="1"/>
  <c r="G76" i="2"/>
  <c r="C76" i="2"/>
  <c r="A76" i="2" s="1"/>
  <c r="G75" i="2"/>
  <c r="C75" i="2"/>
  <c r="B75" i="2" s="1"/>
  <c r="G74" i="2"/>
  <c r="C74" i="2"/>
  <c r="A74" i="2" s="1"/>
  <c r="G73" i="2"/>
  <c r="C73" i="2"/>
  <c r="B73" i="2" s="1"/>
  <c r="G72" i="2"/>
  <c r="C72" i="2"/>
  <c r="B72" i="2" s="1"/>
  <c r="G71" i="2"/>
  <c r="C71" i="2"/>
  <c r="A71" i="2" s="1"/>
  <c r="G70" i="2"/>
  <c r="C70" i="2"/>
  <c r="B70" i="2" s="1"/>
  <c r="G69" i="2"/>
  <c r="C69" i="2"/>
  <c r="B69" i="2" s="1"/>
  <c r="G68" i="2"/>
  <c r="C68" i="2"/>
  <c r="A68" i="2" s="1"/>
  <c r="G67" i="2"/>
  <c r="C67" i="2"/>
  <c r="B67" i="2" s="1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G65" i="2"/>
  <c r="C65" i="2"/>
  <c r="B65" i="2" s="1"/>
  <c r="Y65" i="2"/>
  <c r="G63" i="2"/>
  <c r="C63" i="2"/>
  <c r="B63" i="2" s="1"/>
  <c r="G62" i="2"/>
  <c r="C62" i="2"/>
  <c r="B62" i="2" s="1"/>
  <c r="G61" i="2"/>
  <c r="C61" i="2"/>
  <c r="A61" i="2" s="1"/>
  <c r="G60" i="2"/>
  <c r="C60" i="2"/>
  <c r="B60" i="2" s="1"/>
  <c r="G59" i="2"/>
  <c r="C59" i="2"/>
  <c r="B59" i="2" s="1"/>
  <c r="G58" i="2"/>
  <c r="C58" i="2"/>
  <c r="A58" i="2" s="1"/>
  <c r="G57" i="2"/>
  <c r="C57" i="2"/>
  <c r="B57" i="2" s="1"/>
  <c r="Y57" i="2"/>
  <c r="Y58" i="2"/>
  <c r="Y59" i="2"/>
  <c r="Y60" i="2"/>
  <c r="Y61" i="2"/>
  <c r="Y62" i="2"/>
  <c r="Y63" i="2"/>
  <c r="V41" i="2"/>
  <c r="W41" i="2" s="1"/>
  <c r="V42" i="2"/>
  <c r="W42" i="2" s="1"/>
  <c r="V43" i="2"/>
  <c r="W43" i="2" s="1"/>
  <c r="V44" i="2"/>
  <c r="W44" i="2" s="1"/>
  <c r="V45" i="2"/>
  <c r="W45" i="2" s="1"/>
  <c r="V40" i="2"/>
  <c r="W40" i="2" s="1"/>
  <c r="G45" i="2"/>
  <c r="C45" i="2"/>
  <c r="B45" i="2" s="1"/>
  <c r="G44" i="2"/>
  <c r="C44" i="2"/>
  <c r="A44" i="2" s="1"/>
  <c r="G43" i="2"/>
  <c r="C43" i="2"/>
  <c r="B43" i="2" s="1"/>
  <c r="G42" i="2"/>
  <c r="C42" i="2"/>
  <c r="B42" i="2" s="1"/>
  <c r="G41" i="2"/>
  <c r="C41" i="2"/>
  <c r="A41" i="2" s="1"/>
  <c r="Y41" i="2"/>
  <c r="Y42" i="2"/>
  <c r="Y43" i="2"/>
  <c r="Y44" i="2"/>
  <c r="Y45" i="2"/>
  <c r="Y101" i="2"/>
  <c r="Y96" i="2"/>
  <c r="Y89" i="2"/>
  <c r="Y66" i="2"/>
  <c r="Y64" i="2"/>
  <c r="Y56" i="2"/>
  <c r="Y55" i="2"/>
  <c r="Y54" i="2"/>
  <c r="Y53" i="2"/>
  <c r="Y52" i="2"/>
  <c r="Y51" i="2"/>
  <c r="Y50" i="2"/>
  <c r="Y48" i="2"/>
  <c r="Y47" i="2"/>
  <c r="Y46" i="2"/>
  <c r="Y40" i="2"/>
  <c r="Y39" i="2"/>
  <c r="Y38" i="2"/>
  <c r="Y37" i="2"/>
  <c r="Y36" i="2"/>
  <c r="Y35" i="2"/>
  <c r="Y34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2" i="2"/>
  <c r="W32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G32" i="2"/>
  <c r="C32" i="2"/>
  <c r="B32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1" i="2"/>
  <c r="A101" i="2" s="1"/>
  <c r="C96" i="2"/>
  <c r="B96" i="2" s="1"/>
  <c r="C89" i="2"/>
  <c r="B89" i="2" s="1"/>
  <c r="C66" i="2"/>
  <c r="A66" i="2" s="1"/>
  <c r="C64" i="2"/>
  <c r="A64" i="2" s="1"/>
  <c r="C56" i="2"/>
  <c r="A56" i="2" s="1"/>
  <c r="C55" i="2"/>
  <c r="A55" i="2" s="1"/>
  <c r="C54" i="2"/>
  <c r="A54" i="2" s="1"/>
  <c r="C53" i="2"/>
  <c r="B53" i="2" s="1"/>
  <c r="C52" i="2"/>
  <c r="B52" i="2" s="1"/>
  <c r="C51" i="2"/>
  <c r="B51" i="2" s="1"/>
  <c r="C50" i="2"/>
  <c r="A50" i="2" s="1"/>
  <c r="C49" i="2"/>
  <c r="B49" i="2" s="1"/>
  <c r="C48" i="2"/>
  <c r="B48" i="2" s="1"/>
  <c r="C47" i="2"/>
  <c r="B47" i="2" s="1"/>
  <c r="C46" i="2"/>
  <c r="B46" i="2" s="1"/>
  <c r="C40" i="2"/>
  <c r="A40" i="2" s="1"/>
  <c r="C39" i="2"/>
  <c r="A39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5" i="2"/>
  <c r="G56" i="2"/>
  <c r="G64" i="2"/>
  <c r="G66" i="2"/>
  <c r="G89" i="2"/>
  <c r="G96" i="2"/>
  <c r="G101" i="2"/>
  <c r="G39" i="2"/>
  <c r="G40" i="2"/>
  <c r="G46" i="2"/>
  <c r="G47" i="2"/>
  <c r="G48" i="2"/>
  <c r="G49" i="2"/>
  <c r="G50" i="2"/>
  <c r="G51" i="2"/>
  <c r="G52" i="2"/>
  <c r="G53" i="2"/>
  <c r="G54" i="2"/>
  <c r="G5" i="2"/>
  <c r="G6" i="2"/>
  <c r="G19" i="2"/>
  <c r="G31" i="2"/>
  <c r="G3" i="2"/>
  <c r="G4" i="2"/>
  <c r="G2" i="2"/>
  <c r="A103" i="2" l="1"/>
  <c r="B110" i="2"/>
  <c r="B104" i="2"/>
  <c r="B113" i="2"/>
  <c r="AC102" i="2"/>
  <c r="A112" i="2"/>
  <c r="AC106" i="2"/>
  <c r="AC114" i="2"/>
  <c r="AC107" i="2"/>
  <c r="AC113" i="2"/>
  <c r="AC109" i="2"/>
  <c r="AC105" i="2"/>
  <c r="AC104" i="2"/>
  <c r="AC112" i="2"/>
  <c r="AC111" i="2"/>
  <c r="AC110" i="2"/>
  <c r="AC108" i="2"/>
  <c r="AC103" i="2"/>
  <c r="AC101" i="2"/>
  <c r="A102" i="2"/>
  <c r="A105" i="2"/>
  <c r="A108" i="2"/>
  <c r="A111" i="2"/>
  <c r="A114" i="2"/>
  <c r="AC96" i="2"/>
  <c r="A81" i="2"/>
  <c r="A70" i="2"/>
  <c r="B90" i="2"/>
  <c r="A98" i="2"/>
  <c r="B79" i="2"/>
  <c r="A99" i="2"/>
  <c r="AC49" i="2"/>
  <c r="AC98" i="2"/>
  <c r="AC100" i="2"/>
  <c r="AC99" i="2"/>
  <c r="AC97" i="2"/>
  <c r="A97" i="2"/>
  <c r="A100" i="2"/>
  <c r="AC91" i="2"/>
  <c r="A75" i="2"/>
  <c r="A92" i="2"/>
  <c r="AC94" i="2"/>
  <c r="AC89" i="2"/>
  <c r="AC93" i="2"/>
  <c r="A72" i="2"/>
  <c r="AC92" i="2"/>
  <c r="AC95" i="2"/>
  <c r="B77" i="2"/>
  <c r="AC90" i="2"/>
  <c r="A95" i="2"/>
  <c r="S49" i="2"/>
  <c r="B74" i="2"/>
  <c r="AC64" i="2"/>
  <c r="AC57" i="2"/>
  <c r="S64" i="2"/>
  <c r="AC65" i="2"/>
  <c r="AC70" i="2"/>
  <c r="AC58" i="2"/>
  <c r="B71" i="2"/>
  <c r="AC60" i="2"/>
  <c r="AC68" i="2"/>
  <c r="B80" i="2"/>
  <c r="AC79" i="2"/>
  <c r="AC67" i="2"/>
  <c r="B93" i="2"/>
  <c r="A73" i="2"/>
  <c r="A94" i="2"/>
  <c r="A82" i="2"/>
  <c r="A91" i="2"/>
  <c r="A69" i="2"/>
  <c r="B76" i="2"/>
  <c r="A87" i="2"/>
  <c r="A84" i="2"/>
  <c r="AC59" i="2"/>
  <c r="A67" i="2"/>
  <c r="A85" i="2"/>
  <c r="AC86" i="2"/>
  <c r="AC74" i="2"/>
  <c r="A78" i="2"/>
  <c r="B68" i="2"/>
  <c r="B86" i="2"/>
  <c r="AC69" i="2"/>
  <c r="B83" i="2"/>
  <c r="AC82" i="2"/>
  <c r="AC81" i="2"/>
  <c r="AC80" i="2"/>
  <c r="AC84" i="2"/>
  <c r="AC78" i="2"/>
  <c r="AC77" i="2"/>
  <c r="AC88" i="2"/>
  <c r="AC85" i="2"/>
  <c r="AC73" i="2"/>
  <c r="AC87" i="2"/>
  <c r="AC83" i="2"/>
  <c r="AC76" i="2"/>
  <c r="AC75" i="2"/>
  <c r="AC72" i="2"/>
  <c r="AC71" i="2"/>
  <c r="A88" i="2"/>
  <c r="AC63" i="2"/>
  <c r="AC62" i="2"/>
  <c r="A65" i="2"/>
  <c r="AC61" i="2"/>
  <c r="B61" i="2"/>
  <c r="B58" i="2"/>
  <c r="A59" i="2"/>
  <c r="A62" i="2"/>
  <c r="A57" i="2"/>
  <c r="A60" i="2"/>
  <c r="A63" i="2"/>
  <c r="AC56" i="2"/>
  <c r="AC40" i="2"/>
  <c r="AC18" i="2"/>
  <c r="AC47" i="2"/>
  <c r="AC32" i="2"/>
  <c r="AC48" i="2"/>
  <c r="AC44" i="2"/>
  <c r="B41" i="2"/>
  <c r="AC31" i="2"/>
  <c r="AC43" i="2"/>
  <c r="B44" i="2"/>
  <c r="AC55" i="2"/>
  <c r="AC41" i="2"/>
  <c r="AC45" i="2"/>
  <c r="AC42" i="2"/>
  <c r="A42" i="2"/>
  <c r="A45" i="2"/>
  <c r="A43" i="2"/>
  <c r="AC66" i="2"/>
  <c r="AC34" i="2"/>
  <c r="AC39" i="2"/>
  <c r="AC7" i="2"/>
  <c r="AC26" i="2"/>
  <c r="AC27" i="2"/>
  <c r="AC35" i="2"/>
  <c r="AC38" i="2"/>
  <c r="AC37" i="2"/>
  <c r="AC33" i="2"/>
  <c r="AC5" i="2"/>
  <c r="AC4" i="2"/>
  <c r="AC2" i="2"/>
  <c r="AC36" i="2"/>
  <c r="AC53" i="2"/>
  <c r="AC52" i="2"/>
  <c r="AC50" i="2"/>
  <c r="AC46" i="2"/>
  <c r="AC54" i="2"/>
  <c r="AC29" i="2"/>
  <c r="AC20" i="2"/>
  <c r="A33" i="2"/>
  <c r="A36" i="2"/>
  <c r="A34" i="2"/>
  <c r="A37" i="2"/>
  <c r="A32" i="2"/>
  <c r="A35" i="2"/>
  <c r="A38" i="2"/>
  <c r="AC23" i="2"/>
  <c r="AC19" i="2"/>
  <c r="AC30" i="2"/>
  <c r="W19" i="2"/>
  <c r="AC28" i="2"/>
  <c r="AC24" i="2"/>
  <c r="AC25" i="2"/>
  <c r="AC51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1" i="2"/>
  <c r="B40" i="2"/>
  <c r="B56" i="2"/>
  <c r="B39" i="2"/>
  <c r="B64" i="2"/>
  <c r="B6" i="2"/>
  <c r="A51" i="2"/>
  <c r="B55" i="2"/>
  <c r="B54" i="2"/>
  <c r="B3" i="2"/>
  <c r="A52" i="2"/>
  <c r="A5" i="2"/>
  <c r="A4" i="2"/>
  <c r="A96" i="2"/>
  <c r="A48" i="2"/>
  <c r="A49" i="2"/>
  <c r="B66" i="2"/>
  <c r="A89" i="2"/>
  <c r="A47" i="2"/>
  <c r="A46" i="2"/>
  <c r="B50" i="2"/>
  <c r="A31" i="2"/>
  <c r="A19" i="2"/>
  <c r="A53" i="2"/>
  <c r="B2" i="2"/>
  <c r="W54" i="2"/>
  <c r="W52" i="2"/>
  <c r="W55" i="2"/>
  <c r="W48" i="2"/>
  <c r="W50" i="2"/>
  <c r="W51" i="2"/>
  <c r="W5" i="2"/>
  <c r="W39" i="2"/>
  <c r="W46" i="2"/>
  <c r="W47" i="2"/>
  <c r="W53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<sst xmlns="http://schemas.openxmlformats.org/spreadsheetml/2006/main" count="3246" uniqueCount="749">
  <si>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</si>
  <si>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</si>
  <si>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</si>
  <si>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</si>
  <si>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</si>
  <si>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</si>
  <si>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</si>
  <si>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</si>
  <si>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</si>
  <si>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</si>
  <si>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</si>
  <si>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</si>
  <si>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</si>
  <si>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</si>
  <si>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</si>
  <si>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</si>
  <si>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</si>
  <si>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</si>
  <si>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</si>
  <si>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</si>
  <si>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</si>
  <si>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</si>
  <si>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</si>
  <si>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</si>
  <si>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</si>
  <si>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</si>
  <si>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</si>
  <si>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</si>
  <si>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</si>
  <si>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</si>
  <si>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</si>
  <si>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</si>
  <si>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</si>
  <si>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</si>
  <si>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</si>
  <si>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</si>
  <si>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</si>
  <si>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https://www.google.com/maps/place/38+Cours+du+Commerce,+92290+Ch%C3%A2tenay-Malabry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</si>
  <si>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</si>
  <si>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</si>
  <si>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</si>
  <si>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</si>
  <si>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</si>
  <si>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</si>
  <si>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</si>
  <si>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</si>
  <si>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</si>
  <si>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</si>
  <si>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</si>
  <si>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</si>
  <si>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</si>
  <si>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</si>
  <si>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</si>
  <si>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</si>
  <si>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</si>
  <si>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</si>
  <si>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</si>
  <si>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</si>
  <si>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</si>
  <si>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</si>
  <si>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</si>
  <si>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</si>
  <si>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</si>
  <si>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</si>
  <si>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</si>
  <si>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</si>
  <si>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</si>
  <si>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</si>
  <si>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</si>
  <si>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</si>
  <si>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</si>
  <si>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</si>
  <si>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</si>
  <si>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</si>
  <si>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</si>
  <si>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</si>
  <si>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</si>
  <si>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</si>
  <si>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</si>
  <si>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</si>
  <si>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</si>
  <si>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</si>
  <si>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</si>
  <si>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</si>
  <si>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</si>
  <si>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</si>
  <si>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</si>
  <si>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</si>
  <si>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</si>
  <si>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</si>
  <si>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</si>
  <si>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</si>
  <si>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</si>
  <si>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</si>
  <si>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</si>
  <si>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</si>
  <si>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</si>
  <si>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</si>
  <si>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</si>
  <si>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</si>
  <si>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</si>
  <si>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</si>
  <si>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</si>
  <si>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</si>
  <si>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</si>
  <si>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</si>
  <si>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</si>
  <si>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</si>
  <si>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</si>
  <si>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</si>
  <si>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</si>
  <si>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</si>
  <si>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</si>
  <si>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</si>
  <si>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</si>
  <si>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</si>
  <si>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</si>
  <si>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</si>
  <si>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</si>
  <si>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</si>
  <si>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</si>
  <si>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</si>
  <si>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</si>
  <si>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</si>
  <si>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</si>
  <si>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</si>
  <si>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</si>
  <si>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</si>
  <si>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</si>
  <si>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</si>
  <si>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</si>
  <si>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</si>
  <si>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</si>
  <si>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</si>
  <si>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</si>
  <si>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</si>
  <si>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</si>
  <si>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</si>
  <si>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</si>
  <si>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</si>
  <si>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</si>
  <si>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</si>
  <si>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</si>
  <si>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</si>
  <si>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</si>
  <si>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</si>
  <si>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</si>
  <si>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</si>
  <si>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</si>
  <si>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</si>
  <si>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</si>
  <si>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</si>
  <si>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</si>
  <si>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</si>
  <si>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</si>
  <si>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</si>
  <si>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</si>
  <si>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</si>
  <si>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</si>
  <si>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</si>
  <si>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</si>
  <si>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</si>
  <si>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</si>
  <si>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</si>
  <si>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</si>
  <si>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</si>
  <si>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</si>
  <si>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</si>
  <si>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</si>
  <si>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</si>
  <si>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</si>
  <si>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</si>
  <si>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</si>
  <si>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</si>
  <si>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</si>
  <si>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</si>
  <si>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</si>
  <si>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</si>
  <si>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</si>
  <si>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</si>
  <si>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</si>
  <si>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</si>
  <si>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</si>
  <si>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</si>
  <si>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</si>
  <si>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</si>
  <si>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</si>
  <si>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</si>
  <si>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</si>
  <si>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</si>
  <si>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</si>
  <si>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</si>
  <si>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</si>
  <si>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</si>
  <si>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</si>
  <si>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</si>
  <si>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</si>
  <si>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</si>
  <si>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</si>
  <si>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</si>
  <si>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</si>
  <si>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</si>
  <si>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</si>
  <si>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</si>
  <si>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</si>
  <si>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</si>
  <si>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</si>
  <si>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</si>
  <si>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</si>
  <si>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</si>
  <si>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</si>
  <si>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</si>
  <si>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</si>
  <si>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</si>
  <si>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</si>
  <si>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</si>
  <si>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</si>
  <si>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</si>
  <si>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</si>
  <si>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</si>
  <si>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</si>
  <si>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</si>
  <si>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</si>
  <si>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</si>
  <si>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</si>
  <si>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</si>
  <si>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</si>
  <si>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</si>
  <si>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</si>
  <si>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</si>
  <si>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</si>
  <si>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</si>
  <si>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</si>
  <si>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</si>
  <si>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</si>
  <si>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</si>
  <si>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</si>
  <si>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</si>
  <si>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</si>
  <si>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</si>
  <si>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</si>
  <si>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</si>
  <si>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</si>
  <si>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</si>
  <si>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</si>
  <si>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</si>
  <si>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</si>
  <si>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</si>
  <si>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</si>
  <si>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</si>
  <si>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</si>
  <si>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</si>
  <si>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</si>
  <si>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</si>
  <si>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</si>
  <si>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</si>
  <si>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</si>
  <si>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</si>
  <si>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</si>
  <si>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</si>
  <si>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</si>
  <si>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</si>
  <si>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</si>
  <si>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</si>
  <si>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</si>
  <si>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</si>
  <si>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</si>
  <si>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</si>
  <si>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</si>
  <si>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</si>
  <si>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</si>
  <si>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</si>
  <si>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</si>
  <si>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</si>
  <si>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</si>
  <si>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</si>
  <si>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</si>
  <si>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</si>
  <si>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</si>
  <si>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45.753681218897846</t>
  </si>
  <si>
    <t>4.861306293252618</t>
  </si>
  <si>
    <t>48.86949784386822</t>
  </si>
  <si>
    <t>2.305007177912304</t>
  </si>
  <si>
    <t>2.31383313558246</t>
  </si>
  <si>
    <t>48.877243213289276</t>
  </si>
  <si>
    <t>48.871119868314494</t>
  </si>
  <si>
    <t>2.3280511822251913</t>
  </si>
  <si>
    <t>https://maps.app.goo.gl/wJkBLPh5R3fTCHhg8</t>
  </si>
  <si>
    <t>2.369427050922775</t>
  </si>
  <si>
    <t>48.88101993896251</t>
  </si>
  <si>
    <t>48.84670357776639</t>
  </si>
  <si>
    <t>2.3685021932526173</t>
  </si>
  <si>
    <t>48.84555812034668</t>
  </si>
  <si>
    <t>2.3994931797578527</t>
  </si>
  <si>
    <t>https://maps.app.goo.gl/TpC5354fvwyNN33v5</t>
  </si>
  <si>
    <t>48.85723499596395</t>
  </si>
  <si>
    <t>2.2726086124479754</t>
  </si>
  <si>
    <t>https://maps.app.goo.gl/bRUcnSM5Cuttscrc9</t>
  </si>
  <si>
    <t>48.84870910142074</t>
  </si>
  <si>
    <t>2.271172963194535</t>
  </si>
  <si>
    <t>48.763870265771125</t>
  </si>
  <si>
    <t>2.2883596355824607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</si>
  <si>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</si>
  <si>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</si>
  <si>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</si>
  <si>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</si>
  <si>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</si>
  <si>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</si>
  <si>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</si>
  <si>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</si>
  <si>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</si>
  <si>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</si>
  <si>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</si>
  <si>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</si>
  <si>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</si>
  <si>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</si>
  <si>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</si>
  <si>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</si>
  <si>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</si>
  <si>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</si>
  <si>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</si>
  <si>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</si>
  <si>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</si>
  <si>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</si>
  <si>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</si>
  <si>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</si>
  <si>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</si>
  <si>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</si>
  <si>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</si>
  <si>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</si>
  <si>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</si>
  <si>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</si>
  <si>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</si>
  <si>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</si>
  <si>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</si>
  <si>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</si>
  <si>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</si>
  <si>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</si>
  <si>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</si>
  <si>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</si>
  <si>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</si>
  <si>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</si>
  <si>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</si>
  <si>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</si>
  <si>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</si>
  <si>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</si>
  <si>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</si>
  <si>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</si>
  <si>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</si>
  <si>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</si>
  <si>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</si>
  <si>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</si>
  <si>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</si>
  <si>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</si>
  <si>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</si>
  <si>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</si>
  <si>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</si>
  <si>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</si>
  <si>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</si>
  <si>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</si>
  <si>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A1.2.1</t>
  </si>
  <si>
    <t>A1.2.2</t>
  </si>
  <si>
    <t>A2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</si>
  <si>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</si>
  <si>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</si>
  <si>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</si>
  <si>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</si>
  <si>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</si>
  <si>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</si>
  <si>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</si>
  <si>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</si>
  <si>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</si>
  <si>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</si>
  <si>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</si>
  <si>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</si>
  <si>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</si>
  <si>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</si>
  <si>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</si>
  <si>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</si>
  <si>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</si>
  <si>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</si>
  <si>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</si>
  <si>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</si>
  <si>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</si>
  <si>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</si>
  <si>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</si>
  <si>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</si>
  <si>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</si>
  <si>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</si>
  <si>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</si>
  <si>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</si>
  <si>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</si>
  <si>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</si>
  <si>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</si>
  <si>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</si>
  <si>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</si>
  <si>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</si>
  <si>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</si>
  <si>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</si>
  <si>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</si>
  <si>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</si>
  <si>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</si>
  <si>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</si>
  <si>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49.2063092955417</t>
  </si>
  <si>
    <t>-0.3276811493505675</t>
  </si>
  <si>
    <t>49.206235041689915</t>
  </si>
  <si>
    <t>-0.32765631126006584</t>
  </si>
  <si>
    <t>49.206106203612336</t>
  </si>
  <si>
    <t>-0.3275065300305682</t>
  </si>
  <si>
    <t>49.20607669866272</t>
  </si>
  <si>
    <t>-0.3275840549797097</t>
  </si>
  <si>
    <t>49.205987200204724</t>
  </si>
  <si>
    <t>-0.327982217143126</t>
  </si>
  <si>
    <t>49.20568034712577</t>
  </si>
  <si>
    <t>-0.32814103039706655</t>
  </si>
  <si>
    <t>A étudier</t>
  </si>
  <si>
    <t>Au BP</t>
  </si>
  <si>
    <t>1 000 places de parking.</t>
  </si>
  <si>
    <t>Cash Piscine, Lyre, Kraft, Vib's, Cache Cache, Grain de Malice, Bréal, Canadian Store</t>
  </si>
  <si>
    <t>48.19752190792015</t>
  </si>
  <si>
    <t>-1.7259755683652593</t>
  </si>
  <si>
    <t>48.19774807046898</t>
  </si>
  <si>
    <t>-1.7261422916134719</t>
  </si>
  <si>
    <t>48.19807147919867</t>
  </si>
  <si>
    <t>-1.7264312600707086</t>
  </si>
  <si>
    <t>48.19819885419333</t>
  </si>
  <si>
    <t>-1.7265679164429901</t>
  </si>
  <si>
    <t>48.1983256510846</t>
  </si>
  <si>
    <t>-1.7266916944069663</t>
  </si>
  <si>
    <t>48.19840207645366</t>
  </si>
  <si>
    <t>-1.7267920196874926</t>
  </si>
  <si>
    <t>48.19854363678117</t>
  </si>
  <si>
    <t>-1.7269105859475737</t>
  </si>
  <si>
    <t>48.19879201776634</t>
  </si>
  <si>
    <t>-1.726805048919688</t>
  </si>
  <si>
    <t>48.198858020900026</t>
  </si>
  <si>
    <t>-1.7266500007588743</t>
  </si>
  <si>
    <t>48.19890926011624</t>
  </si>
  <si>
    <t>-1.7265405549983002</t>
  </si>
  <si>
    <t>48.199033449870626</t>
  </si>
  <si>
    <t>-1.726210914758006</t>
  </si>
  <si>
    <t>48.199108137268865</t>
  </si>
  <si>
    <t>-1.7260037495683476</t>
  </si>
  <si>
    <t>231 €/m² = 55 000 €</t>
  </si>
  <si>
    <t>Brut de béton</t>
  </si>
  <si>
    <t>15 m de linéaire. Terrasse sous réserve de validation de la Mairie</t>
  </si>
  <si>
    <t>En plein cœur de Lyon</t>
  </si>
  <si>
    <t>48.76183089046028</t>
  </si>
  <si>
    <t>1.912924865195206</t>
  </si>
  <si>
    <t>48.76152946261393</t>
  </si>
  <si>
    <t>1.9129543366436983</t>
  </si>
  <si>
    <t>48.76134254213555</t>
  </si>
  <si>
    <t>1.9132714009259726</t>
  </si>
  <si>
    <t>48.761272662850764</t>
  </si>
  <si>
    <t>1.913442815858133</t>
  </si>
  <si>
    <t>48.76161274055259</t>
  </si>
  <si>
    <t>1.9135765392594337</t>
  </si>
  <si>
    <t>48.76169009462806</t>
  </si>
  <si>
    <t>1.9133525748219058</t>
  </si>
  <si>
    <t>Fitness, Esthétique, La Vie Claire, Padel, Bowling, Restaurant, bar</t>
  </si>
  <si>
    <t>49.115820149606094</t>
  </si>
  <si>
    <t>6.1743772366065555</t>
  </si>
  <si>
    <t>49.11588724471485</t>
  </si>
  <si>
    <t>6.174454556195556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</si>
  <si>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</si>
  <si>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</si>
  <si>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</si>
  <si>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</si>
  <si>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</si>
  <si>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</si>
  <si>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</si>
  <si>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</si>
  <si>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</si>
  <si>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</si>
  <si>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</si>
  <si>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</si>
  <si>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</si>
  <si>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</si>
  <si>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</si>
  <si>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</si>
  <si>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</si>
  <si>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48.83929157522859</t>
  </si>
  <si>
    <t>2.236185051910399</t>
  </si>
  <si>
    <t>2.236574897911596</t>
  </si>
  <si>
    <t>48.83931747667382</t>
  </si>
  <si>
    <t>48.839387086741525</t>
  </si>
  <si>
    <t>2.2370864939257844</t>
  </si>
  <si>
    <t>48.8394259388339</t>
  </si>
  <si>
    <t>2.2374123904630108</t>
  </si>
  <si>
    <t>48.83950526175626</t>
  </si>
  <si>
    <t>2.2374062414717395</t>
  </si>
  <si>
    <t>48.839613723506105</t>
  </si>
  <si>
    <t>2.237389024298185</t>
  </si>
  <si>
    <t>48.83911835896739</t>
  </si>
  <si>
    <t>2.2362059584747076</t>
  </si>
  <si>
    <t>48.83919201642189</t>
  </si>
  <si>
    <t>2.2368921858206634</t>
  </si>
  <si>
    <t>48.90087777754063</t>
  </si>
  <si>
    <t>2.232302768080578</t>
  </si>
  <si>
    <t>48.901030168795614</t>
  </si>
  <si>
    <t>2.2323524442585025</t>
  </si>
  <si>
    <t>Nouvel immeuble en face du siège d'Engie</t>
  </si>
  <si>
    <t>375 €/m² = 30 000 €</t>
  </si>
  <si>
    <t>382 €/m² = 42 000 €</t>
  </si>
  <si>
    <t>Logement, bureaux et restaurants</t>
  </si>
  <si>
    <t>48.82246818929723</t>
  </si>
  <si>
    <t>2.1891107324322667</t>
  </si>
  <si>
    <t>48.82246091029152</t>
  </si>
  <si>
    <t>2.18919733534608</t>
  </si>
  <si>
    <t>48.822406317714965</t>
  </si>
  <si>
    <t>2.1893300036395806</t>
  </si>
  <si>
    <t>48.8223917596845</t>
  </si>
  <si>
    <t>2.1894405605508314</t>
  </si>
  <si>
    <t>48.82240267820774</t>
  </si>
  <si>
    <t>2.1897335363656456</t>
  </si>
  <si>
    <t>48.82243543376318</t>
  </si>
  <si>
    <t>2.1900486235627104</t>
  </si>
  <si>
    <t>48.82255311095043</t>
  </si>
  <si>
    <t>2.190588509804789</t>
  </si>
  <si>
    <t>Boulangerie, Monoprix</t>
  </si>
  <si>
    <t>Quartier réaménagé. Les 1,2,3 sont fusionnables, ainsi que 4 et 5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</si>
  <si>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</si>
  <si>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</si>
  <si>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</si>
  <si>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</si>
  <si>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</si>
  <si>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</si>
  <si>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</si>
  <si>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</si>
  <si>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</si>
  <si>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</si>
  <si>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</si>
  <si>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</si>
  <si>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</si>
  <si>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</si>
  <si>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</si>
  <si>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49.047773402344596</t>
  </si>
  <si>
    <t>2.0926374535883365</t>
  </si>
  <si>
    <t>49.047942861861905</t>
  </si>
  <si>
    <t>2.0939143250781576</t>
  </si>
  <si>
    <t>49.04774498025447</t>
  </si>
  <si>
    <t>2.0941991067124546</t>
  </si>
  <si>
    <t>49.04754984187792</t>
  </si>
  <si>
    <t>2.094032809769657</t>
  </si>
  <si>
    <t>49.04747447004796</t>
  </si>
  <si>
    <t>2.0944099659494526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</si>
  <si>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</si>
  <si>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</si>
  <si>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</si>
  <si>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</si>
  <si>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</si>
  <si>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</si>
  <si>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</si>
  <si>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</si>
  <si>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</si>
  <si>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</si>
  <si>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</si>
  <si>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</si>
  <si>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</si>
  <si>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</si>
  <si>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</si>
  <si>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</si>
  <si>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</si>
  <si>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</si>
  <si>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43.57164909821292</t>
  </si>
  <si>
    <t>3.9402296089457907</t>
  </si>
  <si>
    <t>43.57176278087646</t>
  </si>
  <si>
    <t>3.9404146812680625</t>
  </si>
  <si>
    <t>43.57187160511061</t>
  </si>
  <si>
    <t>3.940672173324781</t>
  </si>
  <si>
    <t>43.572032018264125</t>
  </si>
  <si>
    <t>3.9407859901780045</t>
  </si>
  <si>
    <t>43.572153392783775</t>
  </si>
  <si>
    <t>3.9412129217253873</t>
  </si>
  <si>
    <t>43.57217720643128</t>
  </si>
  <si>
    <t>3.941269894257782</t>
  </si>
  <si>
    <t>43.57242169267419</t>
  </si>
  <si>
    <t>3.9417388220754197</t>
  </si>
  <si>
    <t>43.572524884621</t>
  </si>
  <si>
    <t>3.9419228872012826</t>
  </si>
  <si>
    <t>43.572570924046445</t>
  </si>
  <si>
    <t>3.94203902351109</t>
  </si>
  <si>
    <t>43.572607686969064</t>
  </si>
  <si>
    <t>3.9421271310937813</t>
  </si>
  <si>
    <t>43.57266188352481</t>
  </si>
  <si>
    <t>3.9422167089892235</t>
  </si>
  <si>
    <t>43.572754965284034</t>
  </si>
  <si>
    <t>3.94280371966065</t>
  </si>
  <si>
    <t>43.572719014969984</t>
  </si>
  <si>
    <t>3.942727947256568</t>
  </si>
  <si>
    <t>43.57258930217294</t>
  </si>
  <si>
    <t>3.942494595074587</t>
  </si>
  <si>
    <t>Nocibé, Marionnaud, Jeff de Bruges, Christine Laure, Grain de Malice, Jules, Jean-Louis David</t>
  </si>
  <si>
    <t>Centre commercial dans une zone commerciale : BoConcept, B&amp;M, Saint-Maclou, Chaussea, Darty, Kiabi</t>
  </si>
  <si>
    <t>48.0067565977583</t>
  </si>
  <si>
    <t>0.19891079521259042</t>
  </si>
  <si>
    <t>48.006590464974316</t>
  </si>
  <si>
    <t>0.19939589310990005</t>
  </si>
  <si>
    <t>48.00683541175847</t>
  </si>
  <si>
    <t>0.1990398599180266</t>
  </si>
  <si>
    <t>48.00641347264494</t>
  </si>
  <si>
    <t>0.19912802421074832</t>
  </si>
  <si>
    <t>48.00602265236236</t>
  </si>
  <si>
    <t>0.19941079860354352</t>
  </si>
  <si>
    <t>48.00580775005263</t>
  </si>
  <si>
    <t>0.19943618860518703</t>
  </si>
  <si>
    <t>48.006281016792144</t>
  </si>
  <si>
    <t>0.19948147705828306</t>
  </si>
  <si>
    <t>48.006508109435714</t>
  </si>
  <si>
    <t>0.19941358998429462</t>
  </si>
  <si>
    <t>Fnac, Natures et Découvertes, C&amp;A, Sostrene Grene, Nocibé, Devred, Micormania, Franck Provost, Moa, Adopt</t>
  </si>
  <si>
    <t>Centre commercial en cœur de ville. Toutes charges incluses</t>
  </si>
  <si>
    <t>501 €/m²</t>
  </si>
  <si>
    <t>502 €/m²</t>
  </si>
  <si>
    <t>503 €/m²</t>
  </si>
  <si>
    <t>504 €/m²</t>
  </si>
  <si>
    <t>505 €/m²</t>
  </si>
  <si>
    <t>506 €/m²</t>
  </si>
  <si>
    <t>507 €/m²</t>
  </si>
  <si>
    <t>Restaurants, Optical Centre, Emjo, Gifi, Basic Fit, Carrefour Market, Lidl, coiffeur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</si>
  <si>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</si>
  <si>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</si>
  <si>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</si>
  <si>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</si>
  <si>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</si>
  <si>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</si>
  <si>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</si>
  <si>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</si>
  <si>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</si>
  <si>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</si>
  <si>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</si>
  <si>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</si>
  <si>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</si>
  <si>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</si>
  <si>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</si>
  <si>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</si>
  <si>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</si>
  <si>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</si>
  <si>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</si>
  <si>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</si>
  <si>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</si>
  <si>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</si>
  <si>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</si>
  <si>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</si>
  <si>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</si>
  <si>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</si>
  <si>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</si>
  <si>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</si>
  <si>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</si>
  <si>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</si>
  <si>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</si>
  <si>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</si>
  <si>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</si>
  <si>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</si>
  <si>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</si>
  <si>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</si>
  <si>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</si>
  <si>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</si>
  <si>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</si>
  <si>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</si>
  <si>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</si>
  <si>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</si>
  <si>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</si>
  <si>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</si>
  <si>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</si>
  <si>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</si>
  <si>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</si>
  <si>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</si>
  <si>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</si>
  <si>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</si>
  <si>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</si>
  <si>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</si>
  <si>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</si>
  <si>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</si>
  <si>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</si>
  <si>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</si>
  <si>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</si>
  <si>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</si>
  <si>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</si>
  <si>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</si>
  <si>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</si>
  <si>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</si>
  <si>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</si>
  <si>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</si>
  <si>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</si>
  <si>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</si>
  <si>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</si>
  <si>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</si>
  <si>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</si>
  <si>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</si>
  <si>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</si>
  <si>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</si>
  <si>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</si>
  <si>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</si>
  <si>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</si>
  <si>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</si>
  <si>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</si>
  <si>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</si>
  <si>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</si>
  <si>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</si>
  <si>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</si>
  <si>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</si>
  <si>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</si>
  <si>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</si>
  <si>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</si>
  <si>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</si>
  <si>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</si>
  <si>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</si>
  <si>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</si>
  <si>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</si>
  <si>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</si>
  <si>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</si>
  <si>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</si>
  <si>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</si>
  <si>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</si>
  <si>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</si>
  <si>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</si>
  <si>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</si>
  <si>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</si>
  <si>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</si>
  <si>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</si>
  <si>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</si>
  <si>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</si>
  <si>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</si>
  <si>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</si>
  <si>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</si>
  <si>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</si>
  <si>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</si>
  <si>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</si>
  <si>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</si>
  <si>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</si>
  <si>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</si>
  <si>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</si>
  <si>
    <t>47.505019</t>
  </si>
  <si>
    <t>6.844836</t>
  </si>
  <si>
    <t>49.205819</t>
  </si>
  <si>
    <t>-0.328482</t>
  </si>
  <si>
    <t>49.205645</t>
  </si>
  <si>
    <t>-0.328361</t>
  </si>
  <si>
    <t>49.206029</t>
  </si>
  <si>
    <t>-0.328616</t>
  </si>
  <si>
    <t>49.206122</t>
  </si>
  <si>
    <t>-0.328394</t>
  </si>
  <si>
    <t>49.206071</t>
  </si>
  <si>
    <t>-0.328211</t>
  </si>
  <si>
    <t>49.206257</t>
  </si>
  <si>
    <t>-0.327930</t>
  </si>
  <si>
    <t>49.206164</t>
  </si>
  <si>
    <t>-0.327884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</si>
</sst>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2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0" fontId="1" fillId="0" borderId="0" xfId="1" applyNumberFormat="1" applyFont="1" applyBorder="1" applyAlignment="1">
      <alignment horizontal="center" vertical="center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49" fontId="1" fillId="0" borderId="0" xfId="1" applyNumberFormat="1" applyFill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14" totalsRowShown="0" headerRowCellStyle="Normal 2" dataCellStyle="Normal 2">
  <autoFilter ref="A1:AT114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41" dataCellStyle="Normal 2"/>
    <tableColumn id="17" xr3:uid="{35EE7115-51F8-4E1F-AD3E-33A05B4BE6AA}" name="Ville" dataDxfId="40" dataCellStyle="Normal 2"/>
    <tableColumn id="34" xr3:uid="{BCDF1767-53B8-4755-BA69-6972BF82336C}" name="Adresse" dataDxfId="39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38" dataCellStyle="Normal 2">
      <calculatedColumnFormula array="1">Extrait_hyperlien(#REF!)</calculatedColumnFormula>
    </tableColumn>
    <tableColumn id="15" xr3:uid="{172E07C4-0318-49AC-A621-9C0E3C5C5B5D}" name="Emplacement" dataDxfId="37" dataCellStyle="Normal 2"/>
    <tableColumn id="14" xr3:uid="{95EAECC7-A016-42C4-9C47-2CABFEAEC577}" name="Typologie" dataDxfId="36" dataCellStyle="Normal 2"/>
    <tableColumn id="3" xr3:uid="{8C8D77C7-8B55-471A-B479-215BC0D77604}" name="Type" dataDxfId="35" dataCellStyle="Normal 2"/>
    <tableColumn id="4" xr3:uid="{87D84239-5323-4A47-9424-F0CADB050723}" name="Cession / Droit au bail" dataDxfId="34" dataCellStyle="Normal 2"/>
    <tableColumn id="31" xr3:uid="{86770348-6586-45F2-A401-94B68504976F}" name="Numéro de lot" dataDxfId="33" dataCellStyle="Normal 2"/>
    <tableColumn id="1" xr3:uid="{3888DEAC-D743-4A06-B622-0805DADF7B24}" name="Surface GLA" dataDxfId="32" dataCellStyle="Normal 2"/>
    <tableColumn id="9" xr3:uid="{0D61162C-F920-419C-993E-EDC2DF105B61}" name="Répartition surface GLA" dataDxfId="31" dataCellStyle="Normal 2"/>
    <tableColumn id="2" xr3:uid="{9969DD5B-5EA2-4595-B887-2E9B21053A55}" name="Surface utile" dataDxfId="30" dataCellStyle="Normal 2"/>
    <tableColumn id="21" xr3:uid="{3DFB9473-7064-409A-A47B-5544538EC4AE}" name="Répartition surface utile" dataDxfId="29" dataCellStyle="Normal 2"/>
    <tableColumn id="5" xr3:uid="{A744513A-B9BE-426C-9A67-F73FDBDA82D8}" name="Loyer annuel" dataDxfId="28" dataCellStyle="Normal 2"/>
    <tableColumn id="6" xr3:uid="{356A37C1-BF3E-4357-A954-82A182007A4A}" name="Loyer Mensuel" dataDxfId="27" dataCellStyle="Normal 2">
      <calculatedColumnFormula>IFERROR(Tableau1[[#This Row],[Loyer annuel]]/12,"")</calculatedColumnFormula>
    </tableColumn>
    <tableColumn id="11" xr3:uid="{767012B1-AABD-475A-8A4D-3B7DA0A65895}" name="Loyer €/m²" dataDxfId="26" dataCellStyle="Normal 2"/>
    <tableColumn id="30" xr3:uid="{1B20B1A4-ACFD-45E3-955E-514E88115368}" name="Loyer variable" dataDxfId="25" dataCellStyle="Normal 2"/>
    <tableColumn id="7" xr3:uid="{2A7DA589-64F1-4CF6-8C82-38781BD9EC1D}" name="Charges annuelles" dataDxfId="24" dataCellStyle="Normal 2"/>
    <tableColumn id="8" xr3:uid="{440DF5B1-3CC3-4785-9C23-94B007AF5E1B}" name="Charges Mensuelles" dataDxfId="23" dataCellStyle="Normal 2">
      <calculatedColumnFormula>Tableau1[[#This Row],[Charges annuelles]]/12</calculatedColumnFormula>
    </tableColumn>
    <tableColumn id="19" xr3:uid="{4129B281-2FE2-4CF1-9B2A-1383495B75F8}" name="Charges €/m²" dataDxfId="22" dataCellStyle="Normal 2"/>
    <tableColumn id="23" xr3:uid="{8D958AF5-4590-4B2C-91C7-84AA83299F72}" name="Taxe foncière" dataDxfId="21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0" dataCellStyle="Normal 2"/>
    <tableColumn id="37" xr3:uid="{DCF6EDF6-4C11-48C1-B6A2-F68E6553ECAE}" name="Marketing" dataDxfId="19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18" dataCellStyle="Normal 2"/>
    <tableColumn id="39" xr3:uid="{5F4F5D62-4EE8-4561-AFC9-FBA26AD0FEB9}" name="Total (L+C+M)" dataDxfId="17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6" dataCellStyle="Normal 2"/>
    <tableColumn id="33" xr3:uid="{5D2CDDBF-0016-4D42-9FA2-C6BE7187A781}" name="GAPD" dataDxfId="15" dataCellStyle="Normal 2"/>
    <tableColumn id="27" xr3:uid="{AE6532DB-DF7C-4137-958E-CF0878BAF4EA}" name="Gestion" dataDxfId="14" dataCellStyle="Normal 2"/>
    <tableColumn id="29" xr3:uid="{C7D740EB-05A5-4C80-B626-4AE327C99B0E}" name="Etat de livraison" dataDxfId="13" dataCellStyle="Normal 2"/>
    <tableColumn id="10" xr3:uid="{F202F9CF-E361-49F7-BCB2-41601DB0A090}" name="Extraction" dataDxfId="12" dataCellStyle="Normal 2"/>
    <tableColumn id="38" xr3:uid="{1E22D9C1-89FA-49FF-9893-8AC79191E4A6}" name="Restauration" dataDxfId="11" dataCellStyle="Normal 2"/>
    <tableColumn id="28" xr3:uid="{BF030FEC-E7AF-42C6-AC39-B670759A4BC7}" name="Environnement Commercial" dataDxfId="10" dataCellStyle="Normal 2"/>
    <tableColumn id="16" xr3:uid="{D3CC4D5A-911C-4939-9024-731260442272}" name="Commentaires" dataDxfId="9" dataCellStyle="Normal 2"/>
    <tableColumn id="40" xr3:uid="{5463AA4C-3D9C-45CF-B81C-A3755D028F2B}" name="Honoraires" dataDxfId="8" dataCellStyle="Normal 2"/>
    <tableColumn id="36" xr3:uid="{EBABBF90-FEC0-4C48-8EB4-A8DB85141CEF}" name="Latitude" dataDxfId="7" dataCellStyle="Normal 2"/>
    <tableColumn id="35" xr3:uid="{FDA62BB3-971D-4771-BFF4-42A78D749576}" name="Longitude" dataDxfId="6" dataCellStyle="Normal 2"/>
    <tableColumn id="41" xr3:uid="{0B5CFD66-9BAF-42E4-85BA-98CEF40CC994}" name="Référence annonce" dataDxfId="5" dataCellStyle="Normal 2"/>
    <tableColumn id="46" xr3:uid="{ED041E73-B65A-464D-8E38-4CD520F93F57}" name="Photos annonce" dataDxfId="4" dataCellStyle="Normal 2"/>
    <tableColumn id="42" xr3:uid="{31DE41E2-CE5A-45AD-B999-11A9307EA50B}" name="Actif" dataDxfId="3" dataCellStyle="Normal 2"/>
    <tableColumn id="20" xr3:uid="{D2AE6F16-4821-49DE-B56C-155BB51A6204}" name="Valeur BP" dataDxfId="2" dataCellStyle="Normal 2"/>
    <tableColumn id="12" xr3:uid="{80CF5A8D-23B2-4B36-80CB-91ECBC7FF3FE}" name="Contact" dataDxfId="1" dataCellStyle="Normal 2"/>
    <tableColumn id="13" xr3:uid="{E28C924B-61DC-4BBD-ABE7-33B29A5037B4}" name="Page Web" dataDxfId="0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21" Type="http://schemas.openxmlformats.org/officeDocument/2006/relationships/hyperlink" Target="https://maps.app.goo.gl/yRNFdK1p6sWPThzm7" TargetMode="External"/><Relationship Id="rId34" Type="http://schemas.openxmlformats.org/officeDocument/2006/relationships/hyperlink" Target="https://maps.app.goo.gl/yRNFdK1p6sWPThzm7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8+Cours+du+Commerce,+92290+Ch%C3%A2tenay-Malabry" TargetMode="External"/><Relationship Id="rId76" Type="http://schemas.openxmlformats.org/officeDocument/2006/relationships/hyperlink" Target="https://www.google.com/maps/place/38+Cours+du+Commerce,+92290+Ch%C3%A2tenay-Malabry" TargetMode="External"/><Relationship Id="rId84" Type="http://schemas.openxmlformats.org/officeDocument/2006/relationships/hyperlink" Target="https://www.google.com/maps/place/38+Cours+du+Commerce,+92290+Ch%C3%A2tenay-Malabry" TargetMode="External"/><Relationship Id="rId89" Type="http://schemas.openxmlformats.org/officeDocument/2006/relationships/hyperlink" Target="https://www.google.com/maps/place/30+Rue+de+la+Ronce,+92410+Ville-d'Avray" TargetMode="External"/><Relationship Id="rId97" Type="http://schemas.openxmlformats.org/officeDocument/2006/relationships/hyperlink" Target="https://maps.app.goo.gl/J4fXB1FqZux6N87x9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www.google.com/maps/place/38+Cours+du+Commerce,+92290+Ch%C3%A2tenay-Malabry" TargetMode="External"/><Relationship Id="rId92" Type="http://schemas.openxmlformats.org/officeDocument/2006/relationships/hyperlink" Target="https://www.google.com/maps/place/30+Rue+de+la+Ronce,+92410+Ville-d'Avray" TargetMode="External"/><Relationship Id="rId2" Type="http://schemas.openxmlformats.org/officeDocument/2006/relationships/hyperlink" Target="https://www.google.com/maps/place/44+Grande+Rue,+25000+Besan%C3%A7on" TargetMode="External"/><Relationship Id="rId16" Type="http://schemas.openxmlformats.org/officeDocument/2006/relationships/hyperlink" Target="https://www.google.com/maps/place/32+Rue+Marbeuf,+75008+Paris" TargetMode="External"/><Relationship Id="rId29" Type="http://schemas.openxmlformats.org/officeDocument/2006/relationships/hyperlink" Target="https://maps.app.goo.gl/yRNFdK1p6sWPThzm7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jKvNrbE9PyvENUPV6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8+Cours+du+Commerce,+92290+Ch%C3%A2tenay-Malabry" TargetMode="External"/><Relationship Id="rId74" Type="http://schemas.openxmlformats.org/officeDocument/2006/relationships/hyperlink" Target="https://www.google.com/maps/place/38+Cours+du+Commerce,+92290+Ch%C3%A2tenay-Malabry" TargetMode="External"/><Relationship Id="rId79" Type="http://schemas.openxmlformats.org/officeDocument/2006/relationships/hyperlink" Target="https://www.google.com/maps/place/38+Cours+du+Commerce,+92290+Ch%C3%A2tenay-Malabry" TargetMode="External"/><Relationship Id="rId87" Type="http://schemas.openxmlformats.org/officeDocument/2006/relationships/hyperlink" Target="https://www.google.com/maps/place/38+Cours+du+Commerce,+92290+Ch%C3%A2tenay-Malabry" TargetMode="External"/><Relationship Id="rId102" Type="http://schemas.openxmlformats.org/officeDocument/2006/relationships/table" Target="../tables/table1.xm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www.google.com/maps/place/38+Cours+du+Commerce,+92290+Ch%C3%A2tenay-Malabry" TargetMode="External"/><Relationship Id="rId90" Type="http://schemas.openxmlformats.org/officeDocument/2006/relationships/hyperlink" Target="https://www.google.com/maps/place/30+Rue+de+la+Ronce,+92410+Ville-d'Avray" TargetMode="External"/><Relationship Id="rId95" Type="http://schemas.openxmlformats.org/officeDocument/2006/relationships/hyperlink" Target="https://maps.app.goo.gl/bRUcnSM5Cuttscrc9" TargetMode="External"/><Relationship Id="rId19" Type="http://schemas.openxmlformats.org/officeDocument/2006/relationships/hyperlink" Target="https://www.google.com/maps/place/9+Av.+Ledru+Rollin,+75012+Paris" TargetMode="External"/><Relationship Id="rId14" Type="http://schemas.openxmlformats.org/officeDocument/2006/relationships/hyperlink" Target="https://maps.app.goo.gl/jcUuEcShVcUDuB7A6" TargetMode="External"/><Relationship Id="rId22" Type="http://schemas.openxmlformats.org/officeDocument/2006/relationships/hyperlink" Target="https://maps.app.goo.gl/jKvNrbE9PyvENUPV6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maps.app.goo.gl/HLGbMrDwLnc5Q19B6" TargetMode="External"/><Relationship Id="rId69" Type="http://schemas.openxmlformats.org/officeDocument/2006/relationships/hyperlink" Target="https://www.google.com/maps/place/38+Cours+du+Commerce,+92290+Ch%C3%A2tenay-Malabry" TargetMode="External"/><Relationship Id="rId77" Type="http://schemas.openxmlformats.org/officeDocument/2006/relationships/hyperlink" Target="https://www.google.com/maps/place/38+Cours+du+Commerce,+92290+Ch%C3%A2tenay-Malabry" TargetMode="External"/><Relationship Id="rId100" Type="http://schemas.openxmlformats.org/officeDocument/2006/relationships/hyperlink" Target="https://maps.app.goo.gl/zkvMgjGRX8Yn5yvJ9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www.google.com/maps/place/38+Cours+du+Commerce,+92290+Ch%C3%A2tenay-Malabry" TargetMode="External"/><Relationship Id="rId80" Type="http://schemas.openxmlformats.org/officeDocument/2006/relationships/hyperlink" Target="https://www.google.com/maps/place/38+Cours+du+Commerce,+92290+Ch%C3%A2tenay-Malabry" TargetMode="External"/><Relationship Id="rId85" Type="http://schemas.openxmlformats.org/officeDocument/2006/relationships/hyperlink" Target="https://www.google.com/maps/place/38+Cours+du+Commerce,+92290+Ch%C3%A2tenay-Malabry" TargetMode="External"/><Relationship Id="rId93" Type="http://schemas.openxmlformats.org/officeDocument/2006/relationships/hyperlink" Target="https://www.google.com/maps/place/30+Rue+de+la+Ronce,+92410+Ville-d'Avray" TargetMode="External"/><Relationship Id="rId98" Type="http://schemas.openxmlformats.org/officeDocument/2006/relationships/hyperlink" Target="https://maps.app.goo.gl/v7DEsxhAawsjJmEcA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maps.app.goo.gl/wJkBLPh5R3fTCHhg8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8+Cours+du+Commerce,+92290+Ch%C3%A2tenay-Malabry" TargetMode="External"/><Relationship Id="rId20" Type="http://schemas.openxmlformats.org/officeDocument/2006/relationships/hyperlink" Target="https://www.google.com/maps/place/18+Rue+Treilhard,+75008+Paris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8+Cours+du+Commerce,+92290+Ch%C3%A2tenay-Malabry" TargetMode="External"/><Relationship Id="rId75" Type="http://schemas.openxmlformats.org/officeDocument/2006/relationships/hyperlink" Target="https://www.google.com/maps/place/38+Cours+du+Commerce,+92290+Ch%C3%A2tenay-Malabry" TargetMode="External"/><Relationship Id="rId83" Type="http://schemas.openxmlformats.org/officeDocument/2006/relationships/hyperlink" Target="https://www.google.com/maps/place/38+Cours+du+Commerce,+92290+Ch%C3%A2tenay-Malabry" TargetMode="External"/><Relationship Id="rId88" Type="http://schemas.openxmlformats.org/officeDocument/2006/relationships/hyperlink" Target="https://www.google.com/maps/place/30+Rue+de+la+Ronce,+92410+Ville-d'Avray" TargetMode="External"/><Relationship Id="rId91" Type="http://schemas.openxmlformats.org/officeDocument/2006/relationships/hyperlink" Target="https://www.google.com/maps/place/30+Rue+de+la+Ronce,+92410+Ville-d'Avray" TargetMode="External"/><Relationship Id="rId96" Type="http://schemas.openxmlformats.org/officeDocument/2006/relationships/hyperlink" Target="https://maps.app.goo.gl/kMFypL5FgsVNonvo8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maps.app.goo.gl/ngVAd1ZcuWEZcS5U8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eqCTz2HAdE1NfPPD8" TargetMode="Externa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ngVAd1ZcuWEZcS5U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143+Rue+des+Fauvelles,+92250+La+Garenne-Colombes" TargetMode="External"/><Relationship Id="rId73" Type="http://schemas.openxmlformats.org/officeDocument/2006/relationships/hyperlink" Target="https://www.google.com/maps/place/38+Cours+du+Commerce,+92290+Ch%C3%A2tenay-Malabry" TargetMode="External"/><Relationship Id="rId78" Type="http://schemas.openxmlformats.org/officeDocument/2006/relationships/hyperlink" Target="https://www.google.com/maps/place/38+Cours+du+Commerce,+92290+Ch%C3%A2tenay-Malabry" TargetMode="External"/><Relationship Id="rId81" Type="http://schemas.openxmlformats.org/officeDocument/2006/relationships/hyperlink" Target="https://www.google.com/maps/place/38+Cours+du+Commerce,+92290+Ch%C3%A2tenay-Malabry" TargetMode="External"/><Relationship Id="rId86" Type="http://schemas.openxmlformats.org/officeDocument/2006/relationships/hyperlink" Target="https://www.google.com/maps/place/38+Cours+du+Commerce,+92290+Ch%C3%A2tenay-Malabry" TargetMode="External"/><Relationship Id="rId94" Type="http://schemas.openxmlformats.org/officeDocument/2006/relationships/hyperlink" Target="https://maps.app.goo.gl/TpC5354fvwyNN33v5" TargetMode="External"/><Relationship Id="rId99" Type="http://schemas.openxmlformats.org/officeDocument/2006/relationships/hyperlink" Target="https://maps.app.goo.gl/ZuAXVZPWMRQoosJq9" TargetMode="External"/><Relationship Id="rId101" Type="http://schemas.openxmlformats.org/officeDocument/2006/relationships/hyperlink" Target="https://maps.app.goo.gl/jcUuEcShVcUDuB7A6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www.google.com/maps/place/38+Cours+du+Commerce,+92290+Ch%C3%A2tenay-Malabry" TargetMode="External"/><Relationship Id="rId18" Type="http://schemas.openxmlformats.org/officeDocument/2006/relationships/hyperlink" Target="https://www.google.com/maps/place/204+Quai+de+Jemmapes,+75010+Paris" TargetMode="External"/><Relationship Id="rId39" Type="http://schemas.openxmlformats.org/officeDocument/2006/relationships/hyperlink" Target="https://maps.app.goo.gl/jKvNrbE9PyvENUPV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23"/>
  <sheetViews>
    <sheetView showZeros="0" tabSelected="1" zoomScale="80" zoomScaleNormal="80" workbookViewId="0">
      <pane xSplit="6" ySplit="1" topLeftCell="AK2" activePane="bottomRight" state="frozen"/>
      <selection pane="topRight" activeCell="G1" sqref="G1"/>
      <selection pane="bottomLeft" activeCell="A2" sqref="A2"/>
      <selection pane="bottomRight" activeCell="AM11" sqref="AM11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2.5" style="1" bestFit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257</v>
      </c>
      <c r="B1" s="1" t="s">
        <v>130</v>
      </c>
      <c r="C1" s="1" t="s">
        <v>258</v>
      </c>
      <c r="D1" s="1" t="s">
        <v>129</v>
      </c>
      <c r="E1" s="1" t="s">
        <v>131</v>
      </c>
      <c r="F1" s="1" t="s">
        <v>79</v>
      </c>
      <c r="G1" s="1" t="s">
        <v>5</v>
      </c>
      <c r="H1" s="3" t="s">
        <v>80</v>
      </c>
      <c r="I1" s="3" t="s">
        <v>44</v>
      </c>
      <c r="J1" s="3" t="s">
        <v>43</v>
      </c>
      <c r="K1" s="1" t="s">
        <v>6</v>
      </c>
      <c r="L1" s="1" t="s">
        <v>10</v>
      </c>
      <c r="M1" s="1" t="s">
        <v>327</v>
      </c>
      <c r="N1" s="1" t="s">
        <v>19</v>
      </c>
      <c r="O1" s="1" t="s">
        <v>261</v>
      </c>
      <c r="P1" s="1" t="s">
        <v>262</v>
      </c>
      <c r="Q1" s="1" t="s">
        <v>263</v>
      </c>
      <c r="R1" s="1" t="s">
        <v>104</v>
      </c>
      <c r="S1" s="1" t="s">
        <v>11</v>
      </c>
      <c r="T1" s="1" t="s">
        <v>14</v>
      </c>
      <c r="U1" s="1" t="s">
        <v>103</v>
      </c>
      <c r="V1" s="1" t="s">
        <v>620</v>
      </c>
      <c r="W1" s="1" t="s">
        <v>8</v>
      </c>
      <c r="X1" s="1" t="s">
        <v>15</v>
      </c>
      <c r="Y1" s="1" t="s">
        <v>81</v>
      </c>
      <c r="Z1" s="1" t="s">
        <v>328</v>
      </c>
      <c r="AA1" s="1" t="s">
        <v>82</v>
      </c>
      <c r="AB1" s="1" t="s">
        <v>329</v>
      </c>
      <c r="AC1" s="1" t="s">
        <v>330</v>
      </c>
      <c r="AD1" s="1" t="s">
        <v>106</v>
      </c>
      <c r="AE1" s="1" t="s">
        <v>107</v>
      </c>
      <c r="AF1" s="1" t="s">
        <v>83</v>
      </c>
      <c r="AG1" s="1" t="s">
        <v>101</v>
      </c>
      <c r="AH1" s="1" t="s">
        <v>2</v>
      </c>
      <c r="AI1" s="1" t="s">
        <v>110</v>
      </c>
      <c r="AJ1" s="1" t="s">
        <v>102</v>
      </c>
      <c r="AK1" s="1" t="s">
        <v>1</v>
      </c>
      <c r="AL1" s="1" t="s">
        <v>393</v>
      </c>
      <c r="AM1" s="1" t="s">
        <v>108</v>
      </c>
      <c r="AN1" s="1" t="s">
        <v>109</v>
      </c>
      <c r="AO1" s="1" t="s">
        <v>260</v>
      </c>
      <c r="AP1" s="1" t="s">
        <v>259</v>
      </c>
      <c r="AQ1" s="1" t="s">
        <v>111</v>
      </c>
      <c r="AR1" s="1" t="s">
        <v>16</v>
      </c>
      <c r="AS1" s="1" t="s">
        <v>0</v>
      </c>
      <c r="AT1" s="1" t="s">
        <v>12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112</v>
      </c>
      <c r="E2" s="26">
        <v>16000</v>
      </c>
      <c r="F2" s="40" t="s">
        <v>84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46</v>
      </c>
      <c r="J2" s="6" t="s">
        <v>45</v>
      </c>
      <c r="K2" s="12" t="s">
        <v>105</v>
      </c>
      <c r="L2" s="12" t="s">
        <v>105</v>
      </c>
      <c r="M2" s="37" t="s">
        <v>105</v>
      </c>
      <c r="N2" s="35">
        <v>451</v>
      </c>
      <c r="O2" s="4" t="s">
        <v>264</v>
      </c>
      <c r="P2" s="36">
        <v>423</v>
      </c>
      <c r="Q2" s="4" t="s">
        <v>275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105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105</v>
      </c>
      <c r="AA2" s="6">
        <f>IFERROR(Tableau1[[#This Row],[Marketing €/m²]]*Tableau1[[#This Row],[Surface GLA]],)</f>
        <v>0</v>
      </c>
      <c r="AB2" s="6" t="s">
        <v>105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105</v>
      </c>
      <c r="AE2" s="6" t="s">
        <v>105</v>
      </c>
      <c r="AF2" s="6" t="s">
        <v>105</v>
      </c>
      <c r="AG2" s="6" t="s">
        <v>389</v>
      </c>
      <c r="AH2" s="4" t="s">
        <v>415</v>
      </c>
      <c r="AI2" s="4" t="s">
        <v>396</v>
      </c>
      <c r="AJ2" s="4" t="s">
        <v>398</v>
      </c>
      <c r="AK2" s="5" t="s">
        <v>388</v>
      </c>
      <c r="AL2" s="5" t="s">
        <v>394</v>
      </c>
      <c r="AM2" s="5" t="s">
        <v>729</v>
      </c>
      <c r="AN2" s="5" t="s">
        <v>730</v>
      </c>
      <c r="AO2" s="33" t="s">
        <v>358</v>
      </c>
      <c r="AP2" s="33"/>
      <c r="AQ2" s="5" t="s">
        <v>77</v>
      </c>
      <c r="AR2" s="5" t="s">
        <v>17</v>
      </c>
      <c r="AS2" s="7" t="s">
        <v>18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113</v>
      </c>
      <c r="E3" s="26">
        <v>25000</v>
      </c>
      <c r="F3" s="40" t="s">
        <v>85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46</v>
      </c>
      <c r="J3" s="6" t="s">
        <v>45</v>
      </c>
      <c r="K3" s="12" t="s">
        <v>105</v>
      </c>
      <c r="L3" s="12" t="s">
        <v>105</v>
      </c>
      <c r="M3" s="37" t="s">
        <v>105</v>
      </c>
      <c r="N3" s="35">
        <v>325</v>
      </c>
      <c r="O3" s="4" t="s">
        <v>265</v>
      </c>
      <c r="P3" s="36" t="s">
        <v>105</v>
      </c>
      <c r="Q3" s="6" t="s">
        <v>105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105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105</v>
      </c>
      <c r="AA3" s="6">
        <f>IFERROR(Tableau1[[#This Row],[Marketing €/m²]]*Tableau1[[#This Row],[Surface GLA]],)</f>
        <v>0</v>
      </c>
      <c r="AB3" s="6" t="s">
        <v>105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105</v>
      </c>
      <c r="AE3" s="6" t="s">
        <v>105</v>
      </c>
      <c r="AF3" s="6" t="s">
        <v>105</v>
      </c>
      <c r="AG3" s="6" t="s">
        <v>389</v>
      </c>
      <c r="AH3" s="4" t="s">
        <v>54</v>
      </c>
      <c r="AI3" s="4" t="s">
        <v>395</v>
      </c>
      <c r="AJ3" s="4" t="s">
        <v>399</v>
      </c>
      <c r="AK3" s="5" t="s">
        <v>390</v>
      </c>
      <c r="AL3" s="5" t="s">
        <v>394</v>
      </c>
      <c r="AM3" s="5">
        <v>47.238161699999999</v>
      </c>
      <c r="AN3" s="5">
        <v>6.0234543</v>
      </c>
      <c r="AO3" s="33" t="s">
        <v>359</v>
      </c>
      <c r="AP3" s="33"/>
      <c r="AQ3" s="5" t="s">
        <v>77</v>
      </c>
      <c r="AR3" s="5" t="s">
        <v>22</v>
      </c>
      <c r="AS3" s="7" t="s">
        <v>18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114</v>
      </c>
      <c r="E4" s="26">
        <v>41000</v>
      </c>
      <c r="F4" s="40" t="s">
        <v>86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46</v>
      </c>
      <c r="J4" s="6" t="s">
        <v>45</v>
      </c>
      <c r="K4" s="12" t="s">
        <v>105</v>
      </c>
      <c r="L4" s="12" t="s">
        <v>105</v>
      </c>
      <c r="M4" s="37" t="s">
        <v>105</v>
      </c>
      <c r="N4" s="35">
        <v>264</v>
      </c>
      <c r="O4" s="4" t="s">
        <v>266</v>
      </c>
      <c r="P4" s="36">
        <v>244</v>
      </c>
      <c r="Q4" s="4" t="s">
        <v>276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105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105</v>
      </c>
      <c r="AA4" s="6">
        <f>IFERROR(Tableau1[[#This Row],[Marketing €/m²]]*Tableau1[[#This Row],[Surface GLA]],)</f>
        <v>0</v>
      </c>
      <c r="AB4" s="6" t="s">
        <v>105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105</v>
      </c>
      <c r="AE4" s="6" t="s">
        <v>105</v>
      </c>
      <c r="AF4" s="6" t="s">
        <v>105</v>
      </c>
      <c r="AG4" s="6" t="s">
        <v>389</v>
      </c>
      <c r="AH4" s="4" t="s">
        <v>54</v>
      </c>
      <c r="AI4" s="4" t="s">
        <v>395</v>
      </c>
      <c r="AJ4" s="4" t="s">
        <v>400</v>
      </c>
      <c r="AK4" s="5" t="s">
        <v>391</v>
      </c>
      <c r="AL4" s="5" t="s">
        <v>394</v>
      </c>
      <c r="AM4" s="5" t="s">
        <v>731</v>
      </c>
      <c r="AN4" s="5" t="s">
        <v>732</v>
      </c>
      <c r="AO4" s="33" t="s">
        <v>383</v>
      </c>
      <c r="AP4" s="33"/>
      <c r="AQ4" s="5" t="s">
        <v>77</v>
      </c>
      <c r="AR4" s="5" t="s">
        <v>35</v>
      </c>
      <c r="AS4" s="7" t="s">
        <v>18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115</v>
      </c>
      <c r="E5" s="26">
        <v>25400</v>
      </c>
      <c r="F5" s="40" t="s">
        <v>87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278</v>
      </c>
      <c r="I5" s="6" t="s">
        <v>48</v>
      </c>
      <c r="J5" s="6" t="s">
        <v>49</v>
      </c>
      <c r="K5" s="12" t="s">
        <v>105</v>
      </c>
      <c r="L5" s="12" t="s">
        <v>105</v>
      </c>
      <c r="M5" s="37" t="s">
        <v>105</v>
      </c>
      <c r="N5" s="35">
        <v>9030</v>
      </c>
      <c r="O5" s="4" t="s">
        <v>267</v>
      </c>
      <c r="P5" s="36">
        <v>8628</v>
      </c>
      <c r="Q5" s="4" t="s">
        <v>277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105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105</v>
      </c>
      <c r="AA5" s="6">
        <f>IFERROR(Tableau1[[#This Row],[Marketing €/m²]]*Tableau1[[#This Row],[Surface GLA]],)</f>
        <v>0</v>
      </c>
      <c r="AB5" s="6" t="s">
        <v>105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105</v>
      </c>
      <c r="AE5" s="6" t="s">
        <v>105</v>
      </c>
      <c r="AF5" s="6" t="s">
        <v>105</v>
      </c>
      <c r="AG5" s="6" t="s">
        <v>389</v>
      </c>
      <c r="AH5" s="4" t="s">
        <v>415</v>
      </c>
      <c r="AI5" s="4" t="s">
        <v>396</v>
      </c>
      <c r="AJ5" s="4" t="s">
        <v>401</v>
      </c>
      <c r="AK5" s="5" t="s">
        <v>392</v>
      </c>
      <c r="AL5" s="5" t="s">
        <v>394</v>
      </c>
      <c r="AM5" s="5" t="s">
        <v>733</v>
      </c>
      <c r="AN5" s="5" t="s">
        <v>734</v>
      </c>
      <c r="AO5" s="33" t="s">
        <v>384</v>
      </c>
      <c r="AP5" s="33"/>
      <c r="AQ5" s="5" t="s">
        <v>77</v>
      </c>
      <c r="AR5" s="5" t="s">
        <v>24</v>
      </c>
      <c r="AS5" s="7" t="s">
        <v>18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121</v>
      </c>
      <c r="E6" s="27">
        <v>14200</v>
      </c>
      <c r="F6" s="40" t="s">
        <v>88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75</v>
      </c>
      <c r="I6" s="12" t="s">
        <v>48</v>
      </c>
      <c r="J6" s="12" t="s">
        <v>50</v>
      </c>
      <c r="K6" s="12" t="s">
        <v>105</v>
      </c>
      <c r="L6" s="12" t="s">
        <v>105</v>
      </c>
      <c r="M6" s="38" t="s">
        <v>315</v>
      </c>
      <c r="N6" s="36">
        <v>179</v>
      </c>
      <c r="O6" s="6" t="s">
        <v>105</v>
      </c>
      <c r="P6" s="36" t="s">
        <v>105</v>
      </c>
      <c r="Q6" s="6" t="s">
        <v>105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105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105</v>
      </c>
      <c r="AE6" s="6" t="s">
        <v>105</v>
      </c>
      <c r="AF6" s="39">
        <v>2.5000000000000001E-2</v>
      </c>
      <c r="AG6" s="6" t="s">
        <v>389</v>
      </c>
      <c r="AH6" s="10" t="s">
        <v>54</v>
      </c>
      <c r="AI6" s="4" t="s">
        <v>395</v>
      </c>
      <c r="AJ6" s="4" t="s">
        <v>402</v>
      </c>
      <c r="AK6" s="11" t="s">
        <v>397</v>
      </c>
      <c r="AL6" s="5" t="s">
        <v>394</v>
      </c>
      <c r="AM6" s="11" t="s">
        <v>735</v>
      </c>
      <c r="AN6" s="11" t="s">
        <v>736</v>
      </c>
      <c r="AO6" s="33" t="s">
        <v>621</v>
      </c>
      <c r="AP6" s="33"/>
      <c r="AQ6" s="5" t="s">
        <v>77</v>
      </c>
      <c r="AR6" s="11" t="s">
        <v>416</v>
      </c>
      <c r="AS6" s="13" t="s">
        <v>76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121</v>
      </c>
      <c r="E7" s="27">
        <v>14200</v>
      </c>
      <c r="F7" s="40" t="s">
        <v>88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302</v>
      </c>
      <c r="I7" s="12" t="s">
        <v>48</v>
      </c>
      <c r="J7" s="12" t="s">
        <v>50</v>
      </c>
      <c r="K7" s="12" t="s">
        <v>105</v>
      </c>
      <c r="L7" s="12" t="s">
        <v>105</v>
      </c>
      <c r="M7" s="38" t="s">
        <v>316</v>
      </c>
      <c r="N7" s="36">
        <v>159</v>
      </c>
      <c r="O7" s="6" t="s">
        <v>105</v>
      </c>
      <c r="P7" s="36" t="s">
        <v>105</v>
      </c>
      <c r="Q7" s="6" t="s">
        <v>105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105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105</v>
      </c>
      <c r="AE7" s="6" t="s">
        <v>105</v>
      </c>
      <c r="AF7" s="39">
        <v>2.5000000000000001E-2</v>
      </c>
      <c r="AG7" s="6" t="s">
        <v>389</v>
      </c>
      <c r="AH7" s="10" t="s">
        <v>54</v>
      </c>
      <c r="AI7" s="4" t="s">
        <v>395</v>
      </c>
      <c r="AJ7" s="4" t="s">
        <v>402</v>
      </c>
      <c r="AK7" s="11" t="s">
        <v>397</v>
      </c>
      <c r="AL7" s="5" t="s">
        <v>394</v>
      </c>
      <c r="AM7" s="11" t="s">
        <v>737</v>
      </c>
      <c r="AN7" s="11" t="s">
        <v>738</v>
      </c>
      <c r="AO7" s="33" t="s">
        <v>622</v>
      </c>
      <c r="AP7" s="34"/>
      <c r="AQ7" s="5" t="s">
        <v>77</v>
      </c>
      <c r="AR7" s="11" t="s">
        <v>416</v>
      </c>
      <c r="AS7" s="13" t="s">
        <v>76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121</v>
      </c>
      <c r="E8" s="27">
        <v>14200</v>
      </c>
      <c r="F8" s="40" t="s">
        <v>88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303</v>
      </c>
      <c r="I8" s="12" t="s">
        <v>48</v>
      </c>
      <c r="J8" s="12" t="s">
        <v>50</v>
      </c>
      <c r="K8" s="12" t="s">
        <v>105</v>
      </c>
      <c r="L8" s="12" t="s">
        <v>105</v>
      </c>
      <c r="M8" s="38" t="s">
        <v>314</v>
      </c>
      <c r="N8" s="36">
        <v>125</v>
      </c>
      <c r="O8" s="6" t="s">
        <v>105</v>
      </c>
      <c r="P8" s="36" t="s">
        <v>105</v>
      </c>
      <c r="Q8" s="6" t="s">
        <v>105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105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105</v>
      </c>
      <c r="AE8" s="6" t="s">
        <v>105</v>
      </c>
      <c r="AF8" s="39">
        <v>2.5000000000000001E-2</v>
      </c>
      <c r="AG8" s="6" t="s">
        <v>389</v>
      </c>
      <c r="AH8" s="10" t="s">
        <v>54</v>
      </c>
      <c r="AI8" s="4" t="s">
        <v>395</v>
      </c>
      <c r="AJ8" s="4" t="s">
        <v>402</v>
      </c>
      <c r="AK8" s="11" t="s">
        <v>397</v>
      </c>
      <c r="AL8" s="5" t="s">
        <v>394</v>
      </c>
      <c r="AM8" s="11" t="s">
        <v>739</v>
      </c>
      <c r="AN8" s="11" t="s">
        <v>740</v>
      </c>
      <c r="AO8" s="33" t="s">
        <v>623</v>
      </c>
      <c r="AP8" s="34"/>
      <c r="AQ8" s="5" t="s">
        <v>77</v>
      </c>
      <c r="AR8" s="11" t="s">
        <v>416</v>
      </c>
      <c r="AS8" s="13" t="s">
        <v>76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121</v>
      </c>
      <c r="E9" s="27">
        <v>14200</v>
      </c>
      <c r="F9" s="40" t="s">
        <v>88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304</v>
      </c>
      <c r="I9" s="12" t="s">
        <v>48</v>
      </c>
      <c r="J9" s="12" t="s">
        <v>50</v>
      </c>
      <c r="K9" s="12" t="s">
        <v>105</v>
      </c>
      <c r="L9" s="12" t="s">
        <v>105</v>
      </c>
      <c r="M9" s="38" t="s">
        <v>317</v>
      </c>
      <c r="N9" s="36">
        <v>156</v>
      </c>
      <c r="O9" s="6" t="s">
        <v>105</v>
      </c>
      <c r="P9" s="36" t="s">
        <v>105</v>
      </c>
      <c r="Q9" s="6" t="s">
        <v>105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105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105</v>
      </c>
      <c r="AE9" s="6" t="s">
        <v>105</v>
      </c>
      <c r="AF9" s="39">
        <v>2.5000000000000001E-2</v>
      </c>
      <c r="AG9" s="6" t="s">
        <v>389</v>
      </c>
      <c r="AH9" s="10" t="s">
        <v>54</v>
      </c>
      <c r="AI9" s="4" t="s">
        <v>395</v>
      </c>
      <c r="AJ9" s="4" t="s">
        <v>402</v>
      </c>
      <c r="AK9" s="11" t="s">
        <v>397</v>
      </c>
      <c r="AL9" s="5" t="s">
        <v>394</v>
      </c>
      <c r="AM9" s="11" t="s">
        <v>741</v>
      </c>
      <c r="AN9" s="11" t="s">
        <v>742</v>
      </c>
      <c r="AO9" s="33" t="s">
        <v>624</v>
      </c>
      <c r="AP9" s="34"/>
      <c r="AQ9" s="5" t="s">
        <v>77</v>
      </c>
      <c r="AR9" s="11" t="s">
        <v>416</v>
      </c>
      <c r="AS9" s="13" t="s">
        <v>76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121</v>
      </c>
      <c r="E10" s="27">
        <v>14200</v>
      </c>
      <c r="F10" s="40" t="s">
        <v>88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305</v>
      </c>
      <c r="I10" s="12" t="s">
        <v>48</v>
      </c>
      <c r="J10" s="12" t="s">
        <v>50</v>
      </c>
      <c r="K10" s="12" t="s">
        <v>105</v>
      </c>
      <c r="L10" s="12" t="s">
        <v>105</v>
      </c>
      <c r="M10" s="38" t="s">
        <v>318</v>
      </c>
      <c r="N10" s="36">
        <v>178</v>
      </c>
      <c r="O10" s="6" t="s">
        <v>105</v>
      </c>
      <c r="P10" s="36" t="s">
        <v>105</v>
      </c>
      <c r="Q10" s="6" t="s">
        <v>105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105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105</v>
      </c>
      <c r="AE10" s="6" t="s">
        <v>105</v>
      </c>
      <c r="AF10" s="39">
        <v>2.5000000000000001E-2</v>
      </c>
      <c r="AG10" s="6" t="s">
        <v>389</v>
      </c>
      <c r="AH10" s="10" t="s">
        <v>54</v>
      </c>
      <c r="AI10" s="4" t="s">
        <v>395</v>
      </c>
      <c r="AJ10" s="4" t="s">
        <v>402</v>
      </c>
      <c r="AK10" s="11" t="s">
        <v>397</v>
      </c>
      <c r="AL10" s="5" t="s">
        <v>394</v>
      </c>
      <c r="AM10" s="11" t="s">
        <v>743</v>
      </c>
      <c r="AN10" s="11" t="s">
        <v>744</v>
      </c>
      <c r="AO10" s="33" t="s">
        <v>625</v>
      </c>
      <c r="AP10" s="34"/>
      <c r="AQ10" s="5" t="s">
        <v>77</v>
      </c>
      <c r="AR10" s="11" t="s">
        <v>416</v>
      </c>
      <c r="AS10" s="13" t="s">
        <v>76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121</v>
      </c>
      <c r="E11" s="27">
        <v>14200</v>
      </c>
      <c r="F11" s="40" t="s">
        <v>88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306</v>
      </c>
      <c r="I11" s="12" t="s">
        <v>48</v>
      </c>
      <c r="J11" s="12" t="s">
        <v>50</v>
      </c>
      <c r="K11" s="12" t="s">
        <v>105</v>
      </c>
      <c r="L11" s="12" t="s">
        <v>105</v>
      </c>
      <c r="M11" s="38" t="s">
        <v>319</v>
      </c>
      <c r="N11" s="36">
        <v>253</v>
      </c>
      <c r="O11" s="6" t="s">
        <v>105</v>
      </c>
      <c r="P11" s="36" t="s">
        <v>105</v>
      </c>
      <c r="Q11" s="6" t="s">
        <v>105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105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105</v>
      </c>
      <c r="AE11" s="6" t="s">
        <v>105</v>
      </c>
      <c r="AF11" s="39">
        <v>2.5000000000000001E-2</v>
      </c>
      <c r="AG11" s="6" t="s">
        <v>389</v>
      </c>
      <c r="AH11" s="10" t="s">
        <v>54</v>
      </c>
      <c r="AI11" s="4" t="s">
        <v>395</v>
      </c>
      <c r="AJ11" s="4" t="s">
        <v>402</v>
      </c>
      <c r="AK11" s="11" t="s">
        <v>397</v>
      </c>
      <c r="AL11" s="5" t="s">
        <v>394</v>
      </c>
      <c r="AM11" s="11" t="s">
        <v>745</v>
      </c>
      <c r="AN11" s="11" t="s">
        <v>746</v>
      </c>
      <c r="AO11" s="33" t="s">
        <v>626</v>
      </c>
      <c r="AP11" s="34"/>
      <c r="AQ11" s="5" t="s">
        <v>77</v>
      </c>
      <c r="AR11" s="11" t="s">
        <v>416</v>
      </c>
      <c r="AS11" s="13" t="s">
        <v>76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121</v>
      </c>
      <c r="E12" s="27">
        <v>14200</v>
      </c>
      <c r="F12" s="40" t="s">
        <v>88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307</v>
      </c>
      <c r="I12" s="12" t="s">
        <v>48</v>
      </c>
      <c r="J12" s="12" t="s">
        <v>50</v>
      </c>
      <c r="K12" s="12" t="s">
        <v>105</v>
      </c>
      <c r="L12" s="12" t="s">
        <v>105</v>
      </c>
      <c r="M12" s="38" t="s">
        <v>320</v>
      </c>
      <c r="N12" s="36">
        <v>171</v>
      </c>
      <c r="O12" s="6" t="s">
        <v>105</v>
      </c>
      <c r="P12" s="36" t="s">
        <v>105</v>
      </c>
      <c r="Q12" s="6" t="s">
        <v>105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105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105</v>
      </c>
      <c r="AE12" s="6" t="s">
        <v>105</v>
      </c>
      <c r="AF12" s="39">
        <v>2.5000000000000001E-2</v>
      </c>
      <c r="AG12" s="6" t="s">
        <v>389</v>
      </c>
      <c r="AH12" s="10" t="s">
        <v>54</v>
      </c>
      <c r="AI12" s="4" t="s">
        <v>395</v>
      </c>
      <c r="AJ12" s="4" t="s">
        <v>402</v>
      </c>
      <c r="AK12" s="11" t="s">
        <v>397</v>
      </c>
      <c r="AL12" s="5" t="s">
        <v>394</v>
      </c>
      <c r="AM12" s="11" t="s">
        <v>747</v>
      </c>
      <c r="AN12" s="11" t="s">
        <v>748</v>
      </c>
      <c r="AO12" s="33" t="s">
        <v>627</v>
      </c>
      <c r="AP12" s="34"/>
      <c r="AQ12" s="5" t="s">
        <v>77</v>
      </c>
      <c r="AR12" s="11" t="s">
        <v>416</v>
      </c>
      <c r="AS12" s="13" t="s">
        <v>76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121</v>
      </c>
      <c r="E13" s="27">
        <v>14200</v>
      </c>
      <c r="F13" s="40" t="s">
        <v>88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308</v>
      </c>
      <c r="I13" s="12" t="s">
        <v>48</v>
      </c>
      <c r="J13" s="12" t="s">
        <v>50</v>
      </c>
      <c r="K13" s="12" t="s">
        <v>105</v>
      </c>
      <c r="L13" s="12" t="s">
        <v>105</v>
      </c>
      <c r="M13" s="38" t="s">
        <v>321</v>
      </c>
      <c r="N13" s="36">
        <v>200</v>
      </c>
      <c r="O13" s="6" t="s">
        <v>105</v>
      </c>
      <c r="P13" s="36" t="s">
        <v>105</v>
      </c>
      <c r="Q13" s="6" t="s">
        <v>105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105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105</v>
      </c>
      <c r="AE13" s="6" t="s">
        <v>105</v>
      </c>
      <c r="AF13" s="39">
        <v>2.5000000000000001E-2</v>
      </c>
      <c r="AG13" s="6" t="s">
        <v>389</v>
      </c>
      <c r="AH13" s="10" t="s">
        <v>54</v>
      </c>
      <c r="AI13" s="4" t="s">
        <v>395</v>
      </c>
      <c r="AJ13" s="4" t="s">
        <v>402</v>
      </c>
      <c r="AK13" s="11" t="s">
        <v>397</v>
      </c>
      <c r="AL13" s="5" t="s">
        <v>394</v>
      </c>
      <c r="AM13" s="11" t="s">
        <v>403</v>
      </c>
      <c r="AN13" s="11" t="s">
        <v>404</v>
      </c>
      <c r="AO13" s="33" t="s">
        <v>628</v>
      </c>
      <c r="AP13" s="34"/>
      <c r="AQ13" s="5" t="s">
        <v>77</v>
      </c>
      <c r="AR13" s="11" t="s">
        <v>416</v>
      </c>
      <c r="AS13" s="13" t="s">
        <v>76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121</v>
      </c>
      <c r="E14" s="27">
        <v>14200</v>
      </c>
      <c r="F14" s="40" t="s">
        <v>88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309</v>
      </c>
      <c r="I14" s="12" t="s">
        <v>48</v>
      </c>
      <c r="J14" s="12" t="s">
        <v>50</v>
      </c>
      <c r="K14" s="12" t="s">
        <v>105</v>
      </c>
      <c r="L14" s="12" t="s">
        <v>105</v>
      </c>
      <c r="M14" s="38" t="s">
        <v>322</v>
      </c>
      <c r="N14" s="36">
        <v>105</v>
      </c>
      <c r="O14" s="6" t="s">
        <v>105</v>
      </c>
      <c r="P14" s="36" t="s">
        <v>105</v>
      </c>
      <c r="Q14" s="6" t="s">
        <v>105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105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105</v>
      </c>
      <c r="AE14" s="6" t="s">
        <v>105</v>
      </c>
      <c r="AF14" s="39">
        <v>2.5000000000000001E-2</v>
      </c>
      <c r="AG14" s="6" t="s">
        <v>389</v>
      </c>
      <c r="AH14" s="10" t="s">
        <v>54</v>
      </c>
      <c r="AI14" s="4" t="s">
        <v>395</v>
      </c>
      <c r="AJ14" s="4" t="s">
        <v>402</v>
      </c>
      <c r="AK14" s="11" t="s">
        <v>397</v>
      </c>
      <c r="AL14" s="5" t="s">
        <v>394</v>
      </c>
      <c r="AM14" s="11" t="s">
        <v>405</v>
      </c>
      <c r="AN14" s="11" t="s">
        <v>406</v>
      </c>
      <c r="AO14" s="33" t="s">
        <v>629</v>
      </c>
      <c r="AP14" s="34"/>
      <c r="AQ14" s="5" t="s">
        <v>77</v>
      </c>
      <c r="AR14" s="11" t="s">
        <v>416</v>
      </c>
      <c r="AS14" s="13" t="s">
        <v>76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121</v>
      </c>
      <c r="E15" s="27">
        <v>14200</v>
      </c>
      <c r="F15" s="40" t="s">
        <v>88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310</v>
      </c>
      <c r="I15" s="12" t="s">
        <v>48</v>
      </c>
      <c r="J15" s="12" t="s">
        <v>50</v>
      </c>
      <c r="K15" s="12" t="s">
        <v>105</v>
      </c>
      <c r="L15" s="12" t="s">
        <v>105</v>
      </c>
      <c r="M15" s="38" t="s">
        <v>323</v>
      </c>
      <c r="N15" s="36">
        <v>51</v>
      </c>
      <c r="O15" s="6" t="s">
        <v>105</v>
      </c>
      <c r="P15" s="36" t="s">
        <v>105</v>
      </c>
      <c r="Q15" s="6" t="s">
        <v>105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105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105</v>
      </c>
      <c r="AE15" s="6" t="s">
        <v>105</v>
      </c>
      <c r="AF15" s="39">
        <v>2.5000000000000001E-2</v>
      </c>
      <c r="AG15" s="6" t="s">
        <v>389</v>
      </c>
      <c r="AH15" s="10" t="s">
        <v>54</v>
      </c>
      <c r="AI15" s="4" t="s">
        <v>395</v>
      </c>
      <c r="AJ15" s="4" t="s">
        <v>402</v>
      </c>
      <c r="AK15" s="11" t="s">
        <v>397</v>
      </c>
      <c r="AL15" s="5" t="s">
        <v>394</v>
      </c>
      <c r="AM15" s="11" t="s">
        <v>407</v>
      </c>
      <c r="AN15" s="11" t="s">
        <v>408</v>
      </c>
      <c r="AO15" s="33" t="s">
        <v>630</v>
      </c>
      <c r="AP15" s="34"/>
      <c r="AQ15" s="5" t="s">
        <v>77</v>
      </c>
      <c r="AR15" s="11" t="s">
        <v>416</v>
      </c>
      <c r="AS15" s="13" t="s">
        <v>76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121</v>
      </c>
      <c r="E16" s="27">
        <v>14200</v>
      </c>
      <c r="F16" s="40" t="s">
        <v>88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311</v>
      </c>
      <c r="I16" s="12" t="s">
        <v>48</v>
      </c>
      <c r="J16" s="12" t="s">
        <v>50</v>
      </c>
      <c r="K16" s="12" t="s">
        <v>105</v>
      </c>
      <c r="L16" s="12" t="s">
        <v>105</v>
      </c>
      <c r="M16" s="38" t="s">
        <v>324</v>
      </c>
      <c r="N16" s="36">
        <v>115</v>
      </c>
      <c r="O16" s="6" t="s">
        <v>105</v>
      </c>
      <c r="P16" s="36" t="s">
        <v>105</v>
      </c>
      <c r="Q16" s="6" t="s">
        <v>105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105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105</v>
      </c>
      <c r="AE16" s="6" t="s">
        <v>105</v>
      </c>
      <c r="AF16" s="39">
        <v>2.5000000000000001E-2</v>
      </c>
      <c r="AG16" s="6" t="s">
        <v>389</v>
      </c>
      <c r="AH16" s="10" t="s">
        <v>54</v>
      </c>
      <c r="AI16" s="4" t="s">
        <v>395</v>
      </c>
      <c r="AJ16" s="4" t="s">
        <v>402</v>
      </c>
      <c r="AK16" s="11" t="s">
        <v>397</v>
      </c>
      <c r="AL16" s="5" t="s">
        <v>394</v>
      </c>
      <c r="AM16" s="11" t="s">
        <v>409</v>
      </c>
      <c r="AN16" s="11" t="s">
        <v>410</v>
      </c>
      <c r="AO16" s="33" t="s">
        <v>631</v>
      </c>
      <c r="AP16" s="34"/>
      <c r="AQ16" s="5" t="s">
        <v>77</v>
      </c>
      <c r="AR16" s="11" t="s">
        <v>416</v>
      </c>
      <c r="AS16" s="13" t="s">
        <v>76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121</v>
      </c>
      <c r="E17" s="27">
        <v>14200</v>
      </c>
      <c r="F17" s="40" t="s">
        <v>88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312</v>
      </c>
      <c r="I17" s="12" t="s">
        <v>48</v>
      </c>
      <c r="J17" s="12" t="s">
        <v>50</v>
      </c>
      <c r="K17" s="12" t="s">
        <v>105</v>
      </c>
      <c r="L17" s="12" t="s">
        <v>105</v>
      </c>
      <c r="M17" s="38" t="s">
        <v>325</v>
      </c>
      <c r="N17" s="36">
        <v>210</v>
      </c>
      <c r="O17" s="6" t="s">
        <v>105</v>
      </c>
      <c r="P17" s="36" t="s">
        <v>105</v>
      </c>
      <c r="Q17" s="6" t="s">
        <v>105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105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105</v>
      </c>
      <c r="AE17" s="6" t="s">
        <v>105</v>
      </c>
      <c r="AF17" s="39">
        <v>2.5000000000000001E-2</v>
      </c>
      <c r="AG17" s="6" t="s">
        <v>389</v>
      </c>
      <c r="AH17" s="10" t="s">
        <v>54</v>
      </c>
      <c r="AI17" s="4" t="s">
        <v>395</v>
      </c>
      <c r="AJ17" s="4" t="s">
        <v>402</v>
      </c>
      <c r="AK17" s="11" t="s">
        <v>397</v>
      </c>
      <c r="AL17" s="5" t="s">
        <v>394</v>
      </c>
      <c r="AM17" s="11" t="s">
        <v>411</v>
      </c>
      <c r="AN17" s="11" t="s">
        <v>412</v>
      </c>
      <c r="AO17" s="33" t="s">
        <v>632</v>
      </c>
      <c r="AP17" s="34"/>
      <c r="AQ17" s="5" t="s">
        <v>77</v>
      </c>
      <c r="AR17" s="11" t="s">
        <v>416</v>
      </c>
      <c r="AS17" s="13" t="s">
        <v>76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121</v>
      </c>
      <c r="E18" s="27">
        <v>14200</v>
      </c>
      <c r="F18" s="40" t="s">
        <v>88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313</v>
      </c>
      <c r="I18" s="12" t="s">
        <v>48</v>
      </c>
      <c r="J18" s="12" t="s">
        <v>50</v>
      </c>
      <c r="K18" s="12" t="s">
        <v>105</v>
      </c>
      <c r="L18" s="12" t="s">
        <v>105</v>
      </c>
      <c r="M18" s="38" t="s">
        <v>326</v>
      </c>
      <c r="N18" s="36">
        <v>30</v>
      </c>
      <c r="O18" s="6" t="s">
        <v>105</v>
      </c>
      <c r="P18" s="36" t="s">
        <v>105</v>
      </c>
      <c r="Q18" s="6" t="s">
        <v>105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105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105</v>
      </c>
      <c r="AE18" s="6" t="s">
        <v>105</v>
      </c>
      <c r="AF18" s="39">
        <v>2.5000000000000001E-2</v>
      </c>
      <c r="AG18" s="6" t="s">
        <v>389</v>
      </c>
      <c r="AH18" s="10" t="s">
        <v>77</v>
      </c>
      <c r="AI18" s="4" t="s">
        <v>396</v>
      </c>
      <c r="AJ18" s="4" t="s">
        <v>402</v>
      </c>
      <c r="AK18" s="11" t="s">
        <v>397</v>
      </c>
      <c r="AL18" s="5" t="s">
        <v>394</v>
      </c>
      <c r="AM18" s="11" t="s">
        <v>413</v>
      </c>
      <c r="AN18" s="11" t="s">
        <v>414</v>
      </c>
      <c r="AO18" s="33" t="s">
        <v>633</v>
      </c>
      <c r="AP18" s="34"/>
      <c r="AQ18" s="5" t="s">
        <v>77</v>
      </c>
      <c r="AR18" s="11" t="s">
        <v>416</v>
      </c>
      <c r="AS18" s="13" t="s">
        <v>76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122</v>
      </c>
      <c r="E19" s="27">
        <v>35520</v>
      </c>
      <c r="F19" s="40" t="s">
        <v>89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78</v>
      </c>
      <c r="I19" s="12" t="s">
        <v>48</v>
      </c>
      <c r="J19" s="12" t="s">
        <v>51</v>
      </c>
      <c r="K19" s="12" t="s">
        <v>105</v>
      </c>
      <c r="L19" s="12" t="s">
        <v>105</v>
      </c>
      <c r="M19" s="38">
        <v>1</v>
      </c>
      <c r="N19" s="36">
        <v>1200</v>
      </c>
      <c r="O19" s="6" t="s">
        <v>105</v>
      </c>
      <c r="P19" s="36" t="s">
        <v>105</v>
      </c>
      <c r="Q19" s="6" t="s">
        <v>105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105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105</v>
      </c>
      <c r="AE19" s="6" t="s">
        <v>105</v>
      </c>
      <c r="AF19" s="6" t="s">
        <v>105</v>
      </c>
      <c r="AG19" s="6" t="s">
        <v>389</v>
      </c>
      <c r="AH19" s="10" t="s">
        <v>415</v>
      </c>
      <c r="AI19" s="4" t="s">
        <v>396</v>
      </c>
      <c r="AJ19" s="4" t="s">
        <v>418</v>
      </c>
      <c r="AK19" s="11" t="s">
        <v>417</v>
      </c>
      <c r="AL19" s="5" t="s">
        <v>394</v>
      </c>
      <c r="AM19" s="11" t="s">
        <v>419</v>
      </c>
      <c r="AN19" s="11" t="s">
        <v>420</v>
      </c>
      <c r="AO19" s="33" t="s">
        <v>634</v>
      </c>
      <c r="AP19" s="33"/>
      <c r="AQ19" s="5" t="s">
        <v>77</v>
      </c>
      <c r="AR19" s="11" t="s">
        <v>416</v>
      </c>
      <c r="AS19" s="13" t="s">
        <v>76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122</v>
      </c>
      <c r="E20" s="27">
        <v>35520</v>
      </c>
      <c r="F20" s="40" t="s">
        <v>89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78</v>
      </c>
      <c r="I20" s="12" t="s">
        <v>48</v>
      </c>
      <c r="J20" s="12" t="s">
        <v>51</v>
      </c>
      <c r="K20" s="12" t="s">
        <v>105</v>
      </c>
      <c r="L20" s="12" t="s">
        <v>105</v>
      </c>
      <c r="M20" s="38">
        <v>2</v>
      </c>
      <c r="N20" s="36">
        <v>1200</v>
      </c>
      <c r="O20" s="6" t="s">
        <v>105</v>
      </c>
      <c r="P20" s="36" t="s">
        <v>105</v>
      </c>
      <c r="Q20" s="6" t="s">
        <v>105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105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105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105</v>
      </c>
      <c r="AE20" s="6" t="s">
        <v>105</v>
      </c>
      <c r="AF20" s="6" t="s">
        <v>105</v>
      </c>
      <c r="AG20" s="6" t="s">
        <v>389</v>
      </c>
      <c r="AH20" s="10" t="s">
        <v>415</v>
      </c>
      <c r="AI20" s="4" t="s">
        <v>396</v>
      </c>
      <c r="AJ20" s="4" t="s">
        <v>418</v>
      </c>
      <c r="AK20" s="11" t="s">
        <v>417</v>
      </c>
      <c r="AL20" s="5" t="s">
        <v>394</v>
      </c>
      <c r="AM20" s="11" t="s">
        <v>421</v>
      </c>
      <c r="AN20" s="11" t="s">
        <v>422</v>
      </c>
      <c r="AO20" s="33" t="s">
        <v>635</v>
      </c>
      <c r="AP20" s="34"/>
      <c r="AQ20" s="5" t="s">
        <v>77</v>
      </c>
      <c r="AR20" s="11" t="s">
        <v>416</v>
      </c>
      <c r="AS20" s="13" t="s">
        <v>76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122</v>
      </c>
      <c r="E21" s="27">
        <v>35520</v>
      </c>
      <c r="F21" s="40" t="s">
        <v>89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78</v>
      </c>
      <c r="I21" s="12" t="s">
        <v>48</v>
      </c>
      <c r="J21" s="12" t="s">
        <v>51</v>
      </c>
      <c r="K21" s="12" t="s">
        <v>105</v>
      </c>
      <c r="L21" s="12" t="s">
        <v>105</v>
      </c>
      <c r="M21" s="38">
        <v>3</v>
      </c>
      <c r="N21" s="36">
        <v>549</v>
      </c>
      <c r="O21" s="6" t="s">
        <v>105</v>
      </c>
      <c r="P21" s="36" t="s">
        <v>105</v>
      </c>
      <c r="Q21" s="6" t="s">
        <v>105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105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105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105</v>
      </c>
      <c r="AE21" s="6" t="s">
        <v>105</v>
      </c>
      <c r="AF21" s="6" t="s">
        <v>105</v>
      </c>
      <c r="AG21" s="6" t="s">
        <v>389</v>
      </c>
      <c r="AH21" s="10" t="s">
        <v>415</v>
      </c>
      <c r="AI21" s="4" t="s">
        <v>396</v>
      </c>
      <c r="AJ21" s="4" t="s">
        <v>418</v>
      </c>
      <c r="AK21" s="11" t="s">
        <v>417</v>
      </c>
      <c r="AL21" s="5" t="s">
        <v>394</v>
      </c>
      <c r="AM21" s="11" t="s">
        <v>423</v>
      </c>
      <c r="AN21" s="11" t="s">
        <v>424</v>
      </c>
      <c r="AO21" s="33" t="s">
        <v>636</v>
      </c>
      <c r="AP21" s="34"/>
      <c r="AQ21" s="5" t="s">
        <v>77</v>
      </c>
      <c r="AR21" s="11" t="s">
        <v>416</v>
      </c>
      <c r="AS21" s="13" t="s">
        <v>76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122</v>
      </c>
      <c r="E22" s="27">
        <v>35520</v>
      </c>
      <c r="F22" s="40" t="s">
        <v>89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78</v>
      </c>
      <c r="I22" s="12" t="s">
        <v>48</v>
      </c>
      <c r="J22" s="12" t="s">
        <v>51</v>
      </c>
      <c r="K22" s="12" t="s">
        <v>105</v>
      </c>
      <c r="L22" s="12" t="s">
        <v>105</v>
      </c>
      <c r="M22" s="38">
        <v>4</v>
      </c>
      <c r="N22" s="36">
        <v>502</v>
      </c>
      <c r="O22" s="6" t="s">
        <v>105</v>
      </c>
      <c r="P22" s="36" t="s">
        <v>105</v>
      </c>
      <c r="Q22" s="6" t="s">
        <v>105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105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105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105</v>
      </c>
      <c r="AE22" s="6" t="s">
        <v>105</v>
      </c>
      <c r="AF22" s="6" t="s">
        <v>105</v>
      </c>
      <c r="AG22" s="6" t="s">
        <v>389</v>
      </c>
      <c r="AH22" s="10" t="s">
        <v>415</v>
      </c>
      <c r="AI22" s="4" t="s">
        <v>396</v>
      </c>
      <c r="AJ22" s="4" t="s">
        <v>418</v>
      </c>
      <c r="AK22" s="11" t="s">
        <v>417</v>
      </c>
      <c r="AL22" s="5" t="s">
        <v>394</v>
      </c>
      <c r="AM22" s="11" t="s">
        <v>425</v>
      </c>
      <c r="AN22" s="11" t="s">
        <v>426</v>
      </c>
      <c r="AO22" s="33" t="s">
        <v>637</v>
      </c>
      <c r="AP22" s="34"/>
      <c r="AQ22" s="5" t="s">
        <v>77</v>
      </c>
      <c r="AR22" s="11" t="s">
        <v>416</v>
      </c>
      <c r="AS22" s="13" t="s">
        <v>76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122</v>
      </c>
      <c r="E23" s="27">
        <v>35520</v>
      </c>
      <c r="F23" s="40" t="s">
        <v>89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78</v>
      </c>
      <c r="I23" s="12" t="s">
        <v>48</v>
      </c>
      <c r="J23" s="12" t="s">
        <v>51</v>
      </c>
      <c r="K23" s="12" t="s">
        <v>105</v>
      </c>
      <c r="L23" s="12" t="s">
        <v>105</v>
      </c>
      <c r="M23" s="38">
        <v>5</v>
      </c>
      <c r="N23" s="36">
        <v>250</v>
      </c>
      <c r="O23" s="6" t="s">
        <v>105</v>
      </c>
      <c r="P23" s="36" t="s">
        <v>105</v>
      </c>
      <c r="Q23" s="6" t="s">
        <v>105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105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105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105</v>
      </c>
      <c r="AE23" s="6" t="s">
        <v>105</v>
      </c>
      <c r="AF23" s="6" t="s">
        <v>105</v>
      </c>
      <c r="AG23" s="6" t="s">
        <v>389</v>
      </c>
      <c r="AH23" s="10" t="s">
        <v>415</v>
      </c>
      <c r="AI23" s="4" t="s">
        <v>396</v>
      </c>
      <c r="AJ23" s="4" t="s">
        <v>418</v>
      </c>
      <c r="AK23" s="11" t="s">
        <v>417</v>
      </c>
      <c r="AL23" s="5" t="s">
        <v>394</v>
      </c>
      <c r="AM23" s="11" t="s">
        <v>427</v>
      </c>
      <c r="AN23" s="11" t="s">
        <v>428</v>
      </c>
      <c r="AO23" s="33" t="s">
        <v>638</v>
      </c>
      <c r="AP23" s="34"/>
      <c r="AQ23" s="5" t="s">
        <v>77</v>
      </c>
      <c r="AR23" s="11" t="s">
        <v>416</v>
      </c>
      <c r="AS23" s="13" t="s">
        <v>76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122</v>
      </c>
      <c r="E24" s="27">
        <v>35520</v>
      </c>
      <c r="F24" s="40" t="s">
        <v>89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78</v>
      </c>
      <c r="I24" s="12" t="s">
        <v>48</v>
      </c>
      <c r="J24" s="12" t="s">
        <v>51</v>
      </c>
      <c r="K24" s="12" t="s">
        <v>105</v>
      </c>
      <c r="L24" s="12" t="s">
        <v>105</v>
      </c>
      <c r="M24" s="38">
        <v>6</v>
      </c>
      <c r="N24" s="36">
        <v>264</v>
      </c>
      <c r="O24" s="6" t="s">
        <v>105</v>
      </c>
      <c r="P24" s="36" t="s">
        <v>105</v>
      </c>
      <c r="Q24" s="6" t="s">
        <v>105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105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105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105</v>
      </c>
      <c r="AE24" s="6" t="s">
        <v>105</v>
      </c>
      <c r="AF24" s="6" t="s">
        <v>105</v>
      </c>
      <c r="AG24" s="6" t="s">
        <v>389</v>
      </c>
      <c r="AH24" s="10" t="s">
        <v>415</v>
      </c>
      <c r="AI24" s="4" t="s">
        <v>396</v>
      </c>
      <c r="AJ24" s="4" t="s">
        <v>418</v>
      </c>
      <c r="AK24" s="11" t="s">
        <v>417</v>
      </c>
      <c r="AL24" s="5" t="s">
        <v>394</v>
      </c>
      <c r="AM24" s="11" t="s">
        <v>429</v>
      </c>
      <c r="AN24" s="11" t="s">
        <v>430</v>
      </c>
      <c r="AO24" s="33" t="s">
        <v>639</v>
      </c>
      <c r="AP24" s="34"/>
      <c r="AQ24" s="5" t="s">
        <v>77</v>
      </c>
      <c r="AR24" s="11" t="s">
        <v>416</v>
      </c>
      <c r="AS24" s="13" t="s">
        <v>76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122</v>
      </c>
      <c r="E25" s="27">
        <v>35520</v>
      </c>
      <c r="F25" s="40" t="s">
        <v>89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78</v>
      </c>
      <c r="I25" s="12" t="s">
        <v>48</v>
      </c>
      <c r="J25" s="12" t="s">
        <v>51</v>
      </c>
      <c r="K25" s="12" t="s">
        <v>105</v>
      </c>
      <c r="L25" s="12" t="s">
        <v>105</v>
      </c>
      <c r="M25" s="38">
        <v>7</v>
      </c>
      <c r="N25" s="36">
        <v>486</v>
      </c>
      <c r="O25" s="6" t="s">
        <v>105</v>
      </c>
      <c r="P25" s="36" t="s">
        <v>105</v>
      </c>
      <c r="Q25" s="6" t="s">
        <v>105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105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105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105</v>
      </c>
      <c r="AE25" s="6" t="s">
        <v>105</v>
      </c>
      <c r="AF25" s="6" t="s">
        <v>105</v>
      </c>
      <c r="AG25" s="6" t="s">
        <v>389</v>
      </c>
      <c r="AH25" s="10" t="s">
        <v>415</v>
      </c>
      <c r="AI25" s="4" t="s">
        <v>396</v>
      </c>
      <c r="AJ25" s="4" t="s">
        <v>418</v>
      </c>
      <c r="AK25" s="11" t="s">
        <v>417</v>
      </c>
      <c r="AL25" s="5" t="s">
        <v>394</v>
      </c>
      <c r="AM25" s="11" t="s">
        <v>431</v>
      </c>
      <c r="AN25" s="11" t="s">
        <v>432</v>
      </c>
      <c r="AO25" s="33" t="s">
        <v>640</v>
      </c>
      <c r="AP25" s="34"/>
      <c r="AQ25" s="5" t="s">
        <v>77</v>
      </c>
      <c r="AR25" s="11" t="s">
        <v>416</v>
      </c>
      <c r="AS25" s="13" t="s">
        <v>76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122</v>
      </c>
      <c r="E26" s="27">
        <v>35520</v>
      </c>
      <c r="F26" s="40" t="s">
        <v>89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78</v>
      </c>
      <c r="I26" s="12" t="s">
        <v>48</v>
      </c>
      <c r="J26" s="12" t="s">
        <v>51</v>
      </c>
      <c r="K26" s="12" t="s">
        <v>105</v>
      </c>
      <c r="L26" s="12" t="s">
        <v>105</v>
      </c>
      <c r="M26" s="38">
        <v>8</v>
      </c>
      <c r="N26" s="36">
        <v>267</v>
      </c>
      <c r="O26" s="6" t="s">
        <v>105</v>
      </c>
      <c r="P26" s="36" t="s">
        <v>105</v>
      </c>
      <c r="Q26" s="6" t="s">
        <v>105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105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105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105</v>
      </c>
      <c r="AE26" s="6" t="s">
        <v>105</v>
      </c>
      <c r="AF26" s="6" t="s">
        <v>105</v>
      </c>
      <c r="AG26" s="6" t="s">
        <v>389</v>
      </c>
      <c r="AH26" s="10" t="s">
        <v>415</v>
      </c>
      <c r="AI26" s="4" t="s">
        <v>396</v>
      </c>
      <c r="AJ26" s="4" t="s">
        <v>418</v>
      </c>
      <c r="AK26" s="11" t="s">
        <v>417</v>
      </c>
      <c r="AL26" s="5" t="s">
        <v>394</v>
      </c>
      <c r="AM26" s="11" t="s">
        <v>433</v>
      </c>
      <c r="AN26" s="11" t="s">
        <v>434</v>
      </c>
      <c r="AO26" s="33" t="s">
        <v>641</v>
      </c>
      <c r="AP26" s="34"/>
      <c r="AQ26" s="5" t="s">
        <v>77</v>
      </c>
      <c r="AR26" s="11" t="s">
        <v>416</v>
      </c>
      <c r="AS26" s="13" t="s">
        <v>76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122</v>
      </c>
      <c r="E27" s="27">
        <v>35520</v>
      </c>
      <c r="F27" s="40" t="s">
        <v>89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78</v>
      </c>
      <c r="I27" s="12" t="s">
        <v>48</v>
      </c>
      <c r="J27" s="12" t="s">
        <v>51</v>
      </c>
      <c r="K27" s="12" t="s">
        <v>105</v>
      </c>
      <c r="L27" s="12" t="s">
        <v>105</v>
      </c>
      <c r="M27" s="38">
        <v>9</v>
      </c>
      <c r="N27" s="36">
        <v>321</v>
      </c>
      <c r="O27" s="6" t="s">
        <v>105</v>
      </c>
      <c r="P27" s="36" t="s">
        <v>105</v>
      </c>
      <c r="Q27" s="6" t="s">
        <v>105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105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105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105</v>
      </c>
      <c r="AE27" s="6" t="s">
        <v>105</v>
      </c>
      <c r="AF27" s="6" t="s">
        <v>105</v>
      </c>
      <c r="AG27" s="6" t="s">
        <v>389</v>
      </c>
      <c r="AH27" s="10" t="s">
        <v>415</v>
      </c>
      <c r="AI27" s="4" t="s">
        <v>396</v>
      </c>
      <c r="AJ27" s="4" t="s">
        <v>418</v>
      </c>
      <c r="AK27" s="11" t="s">
        <v>417</v>
      </c>
      <c r="AL27" s="5" t="s">
        <v>394</v>
      </c>
      <c r="AM27" s="11" t="s">
        <v>435</v>
      </c>
      <c r="AN27" s="11" t="s">
        <v>436</v>
      </c>
      <c r="AO27" s="33" t="s">
        <v>642</v>
      </c>
      <c r="AP27" s="34"/>
      <c r="AQ27" s="5" t="s">
        <v>77</v>
      </c>
      <c r="AR27" s="11" t="s">
        <v>416</v>
      </c>
      <c r="AS27" s="13" t="s">
        <v>76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122</v>
      </c>
      <c r="E28" s="27">
        <v>35520</v>
      </c>
      <c r="F28" s="40" t="s">
        <v>89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78</v>
      </c>
      <c r="I28" s="12" t="s">
        <v>48</v>
      </c>
      <c r="J28" s="12" t="s">
        <v>51</v>
      </c>
      <c r="K28" s="12" t="s">
        <v>105</v>
      </c>
      <c r="L28" s="12" t="s">
        <v>105</v>
      </c>
      <c r="M28" s="38">
        <v>10</v>
      </c>
      <c r="N28" s="36">
        <v>472</v>
      </c>
      <c r="O28" s="6" t="s">
        <v>105</v>
      </c>
      <c r="P28" s="36" t="s">
        <v>105</v>
      </c>
      <c r="Q28" s="6" t="s">
        <v>105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105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105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105</v>
      </c>
      <c r="AE28" s="6" t="s">
        <v>105</v>
      </c>
      <c r="AF28" s="6" t="s">
        <v>105</v>
      </c>
      <c r="AG28" s="6" t="s">
        <v>389</v>
      </c>
      <c r="AH28" s="10" t="s">
        <v>415</v>
      </c>
      <c r="AI28" s="4" t="s">
        <v>396</v>
      </c>
      <c r="AJ28" s="4" t="s">
        <v>418</v>
      </c>
      <c r="AK28" s="11" t="s">
        <v>417</v>
      </c>
      <c r="AL28" s="5" t="s">
        <v>394</v>
      </c>
      <c r="AM28" s="11" t="s">
        <v>437</v>
      </c>
      <c r="AN28" s="11" t="s">
        <v>438</v>
      </c>
      <c r="AO28" s="33" t="s">
        <v>643</v>
      </c>
      <c r="AP28" s="34"/>
      <c r="AQ28" s="5" t="s">
        <v>77</v>
      </c>
      <c r="AR28" s="11" t="s">
        <v>416</v>
      </c>
      <c r="AS28" s="13" t="s">
        <v>76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122</v>
      </c>
      <c r="E29" s="27">
        <v>35520</v>
      </c>
      <c r="F29" s="40" t="s">
        <v>89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78</v>
      </c>
      <c r="I29" s="12" t="s">
        <v>48</v>
      </c>
      <c r="J29" s="12" t="s">
        <v>51</v>
      </c>
      <c r="K29" s="12" t="s">
        <v>105</v>
      </c>
      <c r="L29" s="12" t="s">
        <v>105</v>
      </c>
      <c r="M29" s="38">
        <v>11</v>
      </c>
      <c r="N29" s="36">
        <v>1195</v>
      </c>
      <c r="O29" s="6" t="s">
        <v>105</v>
      </c>
      <c r="P29" s="36" t="s">
        <v>105</v>
      </c>
      <c r="Q29" s="6" t="s">
        <v>105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105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105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105</v>
      </c>
      <c r="AE29" s="6" t="s">
        <v>105</v>
      </c>
      <c r="AF29" s="6" t="s">
        <v>105</v>
      </c>
      <c r="AG29" s="6" t="s">
        <v>389</v>
      </c>
      <c r="AH29" s="10" t="s">
        <v>415</v>
      </c>
      <c r="AI29" s="4" t="s">
        <v>396</v>
      </c>
      <c r="AJ29" s="4" t="s">
        <v>418</v>
      </c>
      <c r="AK29" s="11" t="s">
        <v>417</v>
      </c>
      <c r="AL29" s="5" t="s">
        <v>394</v>
      </c>
      <c r="AM29" s="11" t="s">
        <v>439</v>
      </c>
      <c r="AN29" s="11" t="s">
        <v>440</v>
      </c>
      <c r="AO29" s="33" t="s">
        <v>644</v>
      </c>
      <c r="AP29" s="34"/>
      <c r="AQ29" s="5" t="s">
        <v>77</v>
      </c>
      <c r="AR29" s="11" t="s">
        <v>416</v>
      </c>
      <c r="AS29" s="13" t="s">
        <v>76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122</v>
      </c>
      <c r="E30" s="27">
        <v>35520</v>
      </c>
      <c r="F30" s="40" t="s">
        <v>89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78</v>
      </c>
      <c r="I30" s="12" t="s">
        <v>48</v>
      </c>
      <c r="J30" s="12" t="s">
        <v>51</v>
      </c>
      <c r="K30" s="12" t="s">
        <v>105</v>
      </c>
      <c r="L30" s="12" t="s">
        <v>105</v>
      </c>
      <c r="M30" s="38">
        <v>12</v>
      </c>
      <c r="N30" s="36">
        <v>170</v>
      </c>
      <c r="O30" s="6" t="s">
        <v>105</v>
      </c>
      <c r="P30" s="36" t="s">
        <v>105</v>
      </c>
      <c r="Q30" s="6" t="s">
        <v>105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105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105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105</v>
      </c>
      <c r="AE30" s="6" t="s">
        <v>105</v>
      </c>
      <c r="AF30" s="6" t="s">
        <v>105</v>
      </c>
      <c r="AG30" s="6" t="s">
        <v>389</v>
      </c>
      <c r="AH30" s="10" t="s">
        <v>415</v>
      </c>
      <c r="AI30" s="4" t="s">
        <v>396</v>
      </c>
      <c r="AJ30" s="4" t="s">
        <v>418</v>
      </c>
      <c r="AK30" s="11" t="s">
        <v>417</v>
      </c>
      <c r="AL30" s="5" t="s">
        <v>394</v>
      </c>
      <c r="AM30" s="11" t="s">
        <v>441</v>
      </c>
      <c r="AN30" s="11" t="s">
        <v>442</v>
      </c>
      <c r="AO30" s="33" t="s">
        <v>645</v>
      </c>
      <c r="AP30" s="34"/>
      <c r="AQ30" s="5" t="s">
        <v>77</v>
      </c>
      <c r="AR30" s="11" t="s">
        <v>416</v>
      </c>
      <c r="AS30" s="13" t="s">
        <v>76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123</v>
      </c>
      <c r="E31" s="27">
        <v>72100</v>
      </c>
      <c r="F31" s="40" t="s">
        <v>90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56</v>
      </c>
      <c r="I31" s="6" t="s">
        <v>46</v>
      </c>
      <c r="J31" s="6" t="s">
        <v>50</v>
      </c>
      <c r="K31" s="12" t="s">
        <v>105</v>
      </c>
      <c r="L31" s="12" t="s">
        <v>105</v>
      </c>
      <c r="M31" s="37" t="s">
        <v>331</v>
      </c>
      <c r="N31" s="36">
        <v>61</v>
      </c>
      <c r="O31" s="6" t="s">
        <v>105</v>
      </c>
      <c r="P31" s="36" t="s">
        <v>105</v>
      </c>
      <c r="Q31" s="6" t="s">
        <v>105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105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105</v>
      </c>
      <c r="AA31" s="6">
        <f>IFERROR(Tableau1[[#This Row],[Marketing €/m²]]*Tableau1[[#This Row],[Surface GLA]],)</f>
        <v>0</v>
      </c>
      <c r="AB31" s="6" t="s">
        <v>105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105</v>
      </c>
      <c r="AE31" s="6" t="s">
        <v>105</v>
      </c>
      <c r="AF31" s="6" t="s">
        <v>105</v>
      </c>
      <c r="AG31" s="6" t="s">
        <v>389</v>
      </c>
      <c r="AH31" s="10" t="s">
        <v>54</v>
      </c>
      <c r="AI31" s="4" t="s">
        <v>395</v>
      </c>
      <c r="AJ31" s="4" t="s">
        <v>610</v>
      </c>
      <c r="AK31" s="11" t="s">
        <v>611</v>
      </c>
      <c r="AL31" s="5" t="s">
        <v>394</v>
      </c>
      <c r="AM31" s="11" t="s">
        <v>594</v>
      </c>
      <c r="AN31" s="11" t="s">
        <v>595</v>
      </c>
      <c r="AO31" s="33" t="s">
        <v>646</v>
      </c>
      <c r="AP31" s="33"/>
      <c r="AQ31" s="5" t="s">
        <v>77</v>
      </c>
      <c r="AR31" s="11" t="s">
        <v>55</v>
      </c>
      <c r="AS31" s="13" t="s">
        <v>40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123</v>
      </c>
      <c r="E32" s="27">
        <v>72100</v>
      </c>
      <c r="F32" s="40" t="s">
        <v>90</v>
      </c>
      <c r="G32" s="5" t="str">
        <f>Tableau1[[#This Row],[Rue]]&amp;CHAR(10)&amp;Tableau1[[#This Row],[Code Postal]]&amp;" - "&amp;Tableau1[[#This Row],[Ville]]</f>
        <v>18 Avenue Pierre Mendès France
72100 - Le Mans</v>
      </c>
      <c r="H32" s="15" t="s">
        <v>56</v>
      </c>
      <c r="I32" s="6" t="s">
        <v>46</v>
      </c>
      <c r="J32" s="6" t="s">
        <v>50</v>
      </c>
      <c r="K32" s="12" t="s">
        <v>105</v>
      </c>
      <c r="L32" s="12" t="s">
        <v>105</v>
      </c>
      <c r="M32" s="38" t="s">
        <v>332</v>
      </c>
      <c r="N32" s="36">
        <v>227</v>
      </c>
      <c r="O32" s="6" t="s">
        <v>105</v>
      </c>
      <c r="P32" s="36" t="s">
        <v>105</v>
      </c>
      <c r="Q32" s="6" t="s">
        <v>105</v>
      </c>
      <c r="R32" s="12">
        <f>Tableau1[[#This Row],[Loyer €/m²]]*Tableau1[[#This Row],[Surface GLA]]</f>
        <v>90800</v>
      </c>
      <c r="S32" s="6">
        <f>IFERROR(Tableau1[[#This Row],[Loyer annuel]]/12,"")</f>
        <v>7566.666666666667</v>
      </c>
      <c r="T32" s="12">
        <v>400</v>
      </c>
      <c r="U32" s="6" t="s">
        <v>105</v>
      </c>
      <c r="V32" s="6">
        <f>Tableau1[[#This Row],[Charges €/m²]]*Tableau1[[#This Row],[Surface GLA]]</f>
        <v>49940</v>
      </c>
      <c r="W32" s="12">
        <f>Tableau1[[#This Row],[Charges annuelles]]/12</f>
        <v>4161.666666666667</v>
      </c>
      <c r="X32" s="12">
        <v>220</v>
      </c>
      <c r="Y32" s="12">
        <f>IFERROR(Tableau1[[#This Row],[Taxe foncière €/m²]]*Tableau1[[#This Row],[Surface GLA]],)</f>
        <v>0</v>
      </c>
      <c r="Z32" s="6" t="s">
        <v>105</v>
      </c>
      <c r="AA32" s="6">
        <f>IFERROR(Tableau1[[#This Row],[Marketing €/m²]]*Tableau1[[#This Row],[Surface GLA]],)</f>
        <v>0</v>
      </c>
      <c r="AB32" s="6" t="s">
        <v>105</v>
      </c>
      <c r="AC32" s="12">
        <f>IFERROR(Tableau1[[#This Row],[Loyer annuel]]+Tableau1[[#This Row],[Charges annuelles]]+Tableau1[[#This Row],[Taxe foncière]]+Tableau1[[#This Row],[Marketing]],"")</f>
        <v>140740</v>
      </c>
      <c r="AD32" s="6" t="s">
        <v>105</v>
      </c>
      <c r="AE32" s="6" t="s">
        <v>105</v>
      </c>
      <c r="AF32" s="6" t="s">
        <v>105</v>
      </c>
      <c r="AG32" s="6" t="s">
        <v>389</v>
      </c>
      <c r="AH32" s="10" t="s">
        <v>54</v>
      </c>
      <c r="AI32" s="4" t="s">
        <v>395</v>
      </c>
      <c r="AJ32" s="4" t="s">
        <v>610</v>
      </c>
      <c r="AK32" s="11" t="s">
        <v>611</v>
      </c>
      <c r="AL32" s="5" t="s">
        <v>394</v>
      </c>
      <c r="AM32" s="11" t="s">
        <v>596</v>
      </c>
      <c r="AN32" s="11" t="s">
        <v>597</v>
      </c>
      <c r="AO32" s="33" t="s">
        <v>647</v>
      </c>
      <c r="AP32" s="34"/>
      <c r="AQ32" s="5" t="s">
        <v>77</v>
      </c>
      <c r="AR32" s="11" t="s">
        <v>612</v>
      </c>
      <c r="AS32" s="13" t="s">
        <v>40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123</v>
      </c>
      <c r="E33" s="27">
        <v>72100</v>
      </c>
      <c r="F33" s="40" t="s">
        <v>90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56</v>
      </c>
      <c r="I33" s="6" t="s">
        <v>46</v>
      </c>
      <c r="J33" s="6" t="s">
        <v>50</v>
      </c>
      <c r="K33" s="12" t="s">
        <v>105</v>
      </c>
      <c r="L33" s="12" t="s">
        <v>105</v>
      </c>
      <c r="M33" s="38" t="s">
        <v>333</v>
      </c>
      <c r="N33" s="36">
        <v>102</v>
      </c>
      <c r="O33" s="6" t="s">
        <v>105</v>
      </c>
      <c r="P33" s="36" t="s">
        <v>105</v>
      </c>
      <c r="Q33" s="6" t="s">
        <v>105</v>
      </c>
      <c r="R33" s="12">
        <f>Tableau1[[#This Row],[Loyer €/m²]]*Tableau1[[#This Row],[Surface GLA]]</f>
        <v>51000</v>
      </c>
      <c r="S33" s="6">
        <f>IFERROR(Tableau1[[#This Row],[Loyer annuel]]/12,"")</f>
        <v>4250</v>
      </c>
      <c r="T33" s="12">
        <v>500</v>
      </c>
      <c r="U33" s="6" t="s">
        <v>105</v>
      </c>
      <c r="V33" s="6">
        <f>Tableau1[[#This Row],[Charges €/m²]]*Tableau1[[#This Row],[Surface GLA]]</f>
        <v>22440</v>
      </c>
      <c r="W33" s="12">
        <f>Tableau1[[#This Row],[Charges annuelles]]/12</f>
        <v>1870</v>
      </c>
      <c r="X33" s="12">
        <v>220</v>
      </c>
      <c r="Y33" s="12">
        <f>IFERROR(Tableau1[[#This Row],[Taxe foncière €/m²]]*Tableau1[[#This Row],[Surface GLA]],)</f>
        <v>0</v>
      </c>
      <c r="Z33" s="6" t="s">
        <v>105</v>
      </c>
      <c r="AA33" s="6">
        <f>IFERROR(Tableau1[[#This Row],[Marketing €/m²]]*Tableau1[[#This Row],[Surface GLA]],)</f>
        <v>0</v>
      </c>
      <c r="AB33" s="6" t="s">
        <v>105</v>
      </c>
      <c r="AC33" s="12">
        <f>IFERROR(Tableau1[[#This Row],[Loyer annuel]]+Tableau1[[#This Row],[Charges annuelles]]+Tableau1[[#This Row],[Taxe foncière]]+Tableau1[[#This Row],[Marketing]],"")</f>
        <v>73440</v>
      </c>
      <c r="AD33" s="6" t="s">
        <v>105</v>
      </c>
      <c r="AE33" s="6" t="s">
        <v>105</v>
      </c>
      <c r="AF33" s="6" t="s">
        <v>105</v>
      </c>
      <c r="AG33" s="6" t="s">
        <v>389</v>
      </c>
      <c r="AH33" s="10" t="s">
        <v>54</v>
      </c>
      <c r="AI33" s="4" t="s">
        <v>395</v>
      </c>
      <c r="AJ33" s="4" t="s">
        <v>610</v>
      </c>
      <c r="AK33" s="11" t="s">
        <v>611</v>
      </c>
      <c r="AL33" s="5" t="s">
        <v>394</v>
      </c>
      <c r="AM33" s="11" t="s">
        <v>598</v>
      </c>
      <c r="AN33" s="11" t="s">
        <v>599</v>
      </c>
      <c r="AO33" s="33" t="s">
        <v>648</v>
      </c>
      <c r="AP33" s="34"/>
      <c r="AQ33" s="5" t="s">
        <v>77</v>
      </c>
      <c r="AR33" s="11" t="s">
        <v>613</v>
      </c>
      <c r="AS33" s="13" t="s">
        <v>40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123</v>
      </c>
      <c r="E34" s="27">
        <v>72100</v>
      </c>
      <c r="F34" s="40" t="s">
        <v>90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56</v>
      </c>
      <c r="I34" s="6" t="s">
        <v>46</v>
      </c>
      <c r="J34" s="6" t="s">
        <v>50</v>
      </c>
      <c r="K34" s="12" t="s">
        <v>105</v>
      </c>
      <c r="L34" s="12" t="s">
        <v>105</v>
      </c>
      <c r="M34" s="38" t="s">
        <v>334</v>
      </c>
      <c r="N34" s="36">
        <v>62</v>
      </c>
      <c r="O34" s="6" t="s">
        <v>105</v>
      </c>
      <c r="P34" s="36" t="s">
        <v>105</v>
      </c>
      <c r="Q34" s="6" t="s">
        <v>105</v>
      </c>
      <c r="R34" s="12">
        <f>Tableau1[[#This Row],[Loyer €/m²]]*Tableau1[[#This Row],[Surface GLA]]</f>
        <v>37200</v>
      </c>
      <c r="S34" s="6">
        <f>IFERROR(Tableau1[[#This Row],[Loyer annuel]]/12,"")</f>
        <v>3100</v>
      </c>
      <c r="T34" s="12">
        <v>600</v>
      </c>
      <c r="U34" s="6" t="s">
        <v>105</v>
      </c>
      <c r="V34" s="6">
        <f>Tableau1[[#This Row],[Charges €/m²]]*Tableau1[[#This Row],[Surface GLA]]</f>
        <v>13640</v>
      </c>
      <c r="W34" s="12">
        <f>Tableau1[[#This Row],[Charges annuelles]]/12</f>
        <v>1136.6666666666667</v>
      </c>
      <c r="X34" s="12">
        <v>220</v>
      </c>
      <c r="Y34" s="12">
        <f>IFERROR(Tableau1[[#This Row],[Taxe foncière €/m²]]*Tableau1[[#This Row],[Surface GLA]],)</f>
        <v>0</v>
      </c>
      <c r="Z34" s="6" t="s">
        <v>105</v>
      </c>
      <c r="AA34" s="6">
        <f>IFERROR(Tableau1[[#This Row],[Marketing €/m²]]*Tableau1[[#This Row],[Surface GLA]],)</f>
        <v>0</v>
      </c>
      <c r="AB34" s="6" t="s">
        <v>105</v>
      </c>
      <c r="AC34" s="12">
        <f>IFERROR(Tableau1[[#This Row],[Loyer annuel]]+Tableau1[[#This Row],[Charges annuelles]]+Tableau1[[#This Row],[Taxe foncière]]+Tableau1[[#This Row],[Marketing]],"")</f>
        <v>50840</v>
      </c>
      <c r="AD34" s="6" t="s">
        <v>105</v>
      </c>
      <c r="AE34" s="6" t="s">
        <v>105</v>
      </c>
      <c r="AF34" s="6" t="s">
        <v>105</v>
      </c>
      <c r="AG34" s="6" t="s">
        <v>389</v>
      </c>
      <c r="AH34" s="10" t="s">
        <v>54</v>
      </c>
      <c r="AI34" s="4" t="s">
        <v>395</v>
      </c>
      <c r="AJ34" s="4" t="s">
        <v>610</v>
      </c>
      <c r="AK34" s="11" t="s">
        <v>611</v>
      </c>
      <c r="AL34" s="5" t="s">
        <v>394</v>
      </c>
      <c r="AM34" s="11" t="s">
        <v>600</v>
      </c>
      <c r="AN34" s="11" t="s">
        <v>601</v>
      </c>
      <c r="AO34" s="33" t="s">
        <v>649</v>
      </c>
      <c r="AP34" s="34"/>
      <c r="AQ34" s="5" t="s">
        <v>77</v>
      </c>
      <c r="AR34" s="11" t="s">
        <v>614</v>
      </c>
      <c r="AS34" s="13" t="s">
        <v>40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123</v>
      </c>
      <c r="E35" s="27">
        <v>72100</v>
      </c>
      <c r="F35" s="40" t="s">
        <v>90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56</v>
      </c>
      <c r="I35" s="6" t="s">
        <v>46</v>
      </c>
      <c r="J35" s="6" t="s">
        <v>50</v>
      </c>
      <c r="K35" s="12" t="s">
        <v>105</v>
      </c>
      <c r="L35" s="12" t="s">
        <v>105</v>
      </c>
      <c r="M35" s="38" t="s">
        <v>335</v>
      </c>
      <c r="N35" s="36">
        <v>22</v>
      </c>
      <c r="O35" s="6" t="s">
        <v>105</v>
      </c>
      <c r="P35" s="36" t="s">
        <v>105</v>
      </c>
      <c r="Q35" s="6" t="s">
        <v>105</v>
      </c>
      <c r="R35" s="12">
        <f>Tableau1[[#This Row],[Loyer €/m²]]*Tableau1[[#This Row],[Surface GLA]]</f>
        <v>15400</v>
      </c>
      <c r="S35" s="6">
        <f>IFERROR(Tableau1[[#This Row],[Loyer annuel]]/12,"")</f>
        <v>1283.3333333333333</v>
      </c>
      <c r="T35" s="12">
        <v>700</v>
      </c>
      <c r="U35" s="6" t="s">
        <v>105</v>
      </c>
      <c r="V35" s="6">
        <f>Tableau1[[#This Row],[Charges €/m²]]*Tableau1[[#This Row],[Surface GLA]]</f>
        <v>4840</v>
      </c>
      <c r="W35" s="12">
        <f>Tableau1[[#This Row],[Charges annuelles]]/12</f>
        <v>403.33333333333331</v>
      </c>
      <c r="X35" s="12">
        <v>220</v>
      </c>
      <c r="Y35" s="12">
        <f>IFERROR(Tableau1[[#This Row],[Taxe foncière €/m²]]*Tableau1[[#This Row],[Surface GLA]],)</f>
        <v>0</v>
      </c>
      <c r="Z35" s="6" t="s">
        <v>105</v>
      </c>
      <c r="AA35" s="6">
        <f>IFERROR(Tableau1[[#This Row],[Marketing €/m²]]*Tableau1[[#This Row],[Surface GLA]],)</f>
        <v>0</v>
      </c>
      <c r="AB35" s="6" t="s">
        <v>105</v>
      </c>
      <c r="AC35" s="12">
        <f>IFERROR(Tableau1[[#This Row],[Loyer annuel]]+Tableau1[[#This Row],[Charges annuelles]]+Tableau1[[#This Row],[Taxe foncière]]+Tableau1[[#This Row],[Marketing]],"")</f>
        <v>20240</v>
      </c>
      <c r="AD35" s="6" t="s">
        <v>105</v>
      </c>
      <c r="AE35" s="6" t="s">
        <v>105</v>
      </c>
      <c r="AF35" s="6" t="s">
        <v>105</v>
      </c>
      <c r="AG35" s="6" t="s">
        <v>389</v>
      </c>
      <c r="AH35" s="10" t="s">
        <v>54</v>
      </c>
      <c r="AI35" s="4" t="s">
        <v>395</v>
      </c>
      <c r="AJ35" s="4" t="s">
        <v>610</v>
      </c>
      <c r="AK35" s="11" t="s">
        <v>611</v>
      </c>
      <c r="AL35" s="5" t="s">
        <v>394</v>
      </c>
      <c r="AM35" s="11" t="s">
        <v>602</v>
      </c>
      <c r="AN35" s="11" t="s">
        <v>603</v>
      </c>
      <c r="AO35" s="33" t="s">
        <v>650</v>
      </c>
      <c r="AP35" s="34"/>
      <c r="AQ35" s="5" t="s">
        <v>77</v>
      </c>
      <c r="AR35" s="11" t="s">
        <v>615</v>
      </c>
      <c r="AS35" s="13" t="s">
        <v>40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123</v>
      </c>
      <c r="E36" s="27">
        <v>72100</v>
      </c>
      <c r="F36" s="40" t="s">
        <v>90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56</v>
      </c>
      <c r="I36" s="6" t="s">
        <v>46</v>
      </c>
      <c r="J36" s="6" t="s">
        <v>50</v>
      </c>
      <c r="K36" s="12" t="s">
        <v>105</v>
      </c>
      <c r="L36" s="12" t="s">
        <v>105</v>
      </c>
      <c r="M36" s="38" t="s">
        <v>336</v>
      </c>
      <c r="N36" s="36">
        <v>9</v>
      </c>
      <c r="O36" s="6" t="s">
        <v>105</v>
      </c>
      <c r="P36" s="36" t="s">
        <v>105</v>
      </c>
      <c r="Q36" s="6" t="s">
        <v>105</v>
      </c>
      <c r="R36" s="12">
        <f>Tableau1[[#This Row],[Loyer €/m²]]*Tableau1[[#This Row],[Surface GLA]]</f>
        <v>7200</v>
      </c>
      <c r="S36" s="6">
        <f>IFERROR(Tableau1[[#This Row],[Loyer annuel]]/12,"")</f>
        <v>600</v>
      </c>
      <c r="T36" s="12">
        <v>800</v>
      </c>
      <c r="U36" s="6" t="s">
        <v>105</v>
      </c>
      <c r="V36" s="6">
        <f>Tableau1[[#This Row],[Charges €/m²]]*Tableau1[[#This Row],[Surface GLA]]</f>
        <v>1980</v>
      </c>
      <c r="W36" s="12">
        <f>Tableau1[[#This Row],[Charges annuelles]]/12</f>
        <v>165</v>
      </c>
      <c r="X36" s="12">
        <v>220</v>
      </c>
      <c r="Y36" s="12">
        <f>IFERROR(Tableau1[[#This Row],[Taxe foncière €/m²]]*Tableau1[[#This Row],[Surface GLA]],)</f>
        <v>0</v>
      </c>
      <c r="Z36" s="6" t="s">
        <v>105</v>
      </c>
      <c r="AA36" s="6">
        <f>IFERROR(Tableau1[[#This Row],[Marketing €/m²]]*Tableau1[[#This Row],[Surface GLA]],)</f>
        <v>0</v>
      </c>
      <c r="AB36" s="6" t="s">
        <v>105</v>
      </c>
      <c r="AC36" s="12">
        <f>IFERROR(Tableau1[[#This Row],[Loyer annuel]]+Tableau1[[#This Row],[Charges annuelles]]+Tableau1[[#This Row],[Taxe foncière]]+Tableau1[[#This Row],[Marketing]],"")</f>
        <v>9180</v>
      </c>
      <c r="AD36" s="6" t="s">
        <v>105</v>
      </c>
      <c r="AE36" s="6" t="s">
        <v>105</v>
      </c>
      <c r="AF36" s="6" t="s">
        <v>105</v>
      </c>
      <c r="AG36" s="6" t="s">
        <v>389</v>
      </c>
      <c r="AH36" s="10" t="s">
        <v>54</v>
      </c>
      <c r="AI36" s="4" t="s">
        <v>395</v>
      </c>
      <c r="AJ36" s="4" t="s">
        <v>610</v>
      </c>
      <c r="AK36" s="11" t="s">
        <v>611</v>
      </c>
      <c r="AL36" s="5" t="s">
        <v>394</v>
      </c>
      <c r="AM36" s="11" t="s">
        <v>604</v>
      </c>
      <c r="AN36" s="11" t="s">
        <v>605</v>
      </c>
      <c r="AO36" s="33" t="s">
        <v>651</v>
      </c>
      <c r="AP36" s="34"/>
      <c r="AQ36" s="5" t="s">
        <v>77</v>
      </c>
      <c r="AR36" s="11" t="s">
        <v>616</v>
      </c>
      <c r="AS36" s="13" t="s">
        <v>40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123</v>
      </c>
      <c r="E37" s="27">
        <v>72100</v>
      </c>
      <c r="F37" s="40" t="s">
        <v>90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56</v>
      </c>
      <c r="I37" s="6" t="s">
        <v>46</v>
      </c>
      <c r="J37" s="6" t="s">
        <v>50</v>
      </c>
      <c r="K37" s="12" t="s">
        <v>105</v>
      </c>
      <c r="L37" s="12" t="s">
        <v>105</v>
      </c>
      <c r="M37" s="38" t="s">
        <v>337</v>
      </c>
      <c r="N37" s="36">
        <v>71</v>
      </c>
      <c r="O37" s="6" t="s">
        <v>105</v>
      </c>
      <c r="P37" s="36" t="s">
        <v>105</v>
      </c>
      <c r="Q37" s="6" t="s">
        <v>105</v>
      </c>
      <c r="R37" s="12">
        <f>Tableau1[[#This Row],[Loyer €/m²]]*Tableau1[[#This Row],[Surface GLA]]</f>
        <v>42600</v>
      </c>
      <c r="S37" s="6">
        <f>IFERROR(Tableau1[[#This Row],[Loyer annuel]]/12,"")</f>
        <v>3550</v>
      </c>
      <c r="T37" s="12">
        <v>600</v>
      </c>
      <c r="U37" s="6" t="s">
        <v>105</v>
      </c>
      <c r="V37" s="6">
        <f>Tableau1[[#This Row],[Charges €/m²]]*Tableau1[[#This Row],[Surface GLA]]</f>
        <v>15620</v>
      </c>
      <c r="W37" s="12">
        <f>Tableau1[[#This Row],[Charges annuelles]]/12</f>
        <v>1301.6666666666667</v>
      </c>
      <c r="X37" s="12">
        <v>220</v>
      </c>
      <c r="Y37" s="12">
        <f>IFERROR(Tableau1[[#This Row],[Taxe foncière €/m²]]*Tableau1[[#This Row],[Surface GLA]],)</f>
        <v>0</v>
      </c>
      <c r="Z37" s="6" t="s">
        <v>105</v>
      </c>
      <c r="AA37" s="6">
        <f>IFERROR(Tableau1[[#This Row],[Marketing €/m²]]*Tableau1[[#This Row],[Surface GLA]],)</f>
        <v>0</v>
      </c>
      <c r="AB37" s="6" t="s">
        <v>105</v>
      </c>
      <c r="AC37" s="12">
        <f>IFERROR(Tableau1[[#This Row],[Loyer annuel]]+Tableau1[[#This Row],[Charges annuelles]]+Tableau1[[#This Row],[Taxe foncière]]+Tableau1[[#This Row],[Marketing]],"")</f>
        <v>58220</v>
      </c>
      <c r="AD37" s="6" t="s">
        <v>105</v>
      </c>
      <c r="AE37" s="6" t="s">
        <v>105</v>
      </c>
      <c r="AF37" s="6" t="s">
        <v>105</v>
      </c>
      <c r="AG37" s="6" t="s">
        <v>389</v>
      </c>
      <c r="AH37" s="10" t="s">
        <v>54</v>
      </c>
      <c r="AI37" s="4" t="s">
        <v>395</v>
      </c>
      <c r="AJ37" s="4" t="s">
        <v>610</v>
      </c>
      <c r="AK37" s="11" t="s">
        <v>611</v>
      </c>
      <c r="AL37" s="5" t="s">
        <v>394</v>
      </c>
      <c r="AM37" s="11" t="s">
        <v>606</v>
      </c>
      <c r="AN37" s="11" t="s">
        <v>607</v>
      </c>
      <c r="AO37" s="33" t="s">
        <v>652</v>
      </c>
      <c r="AP37" s="34"/>
      <c r="AQ37" s="5" t="s">
        <v>77</v>
      </c>
      <c r="AR37" s="11" t="s">
        <v>617</v>
      </c>
      <c r="AS37" s="13" t="s">
        <v>40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123</v>
      </c>
      <c r="E38" s="27">
        <v>72100</v>
      </c>
      <c r="F38" s="40" t="s">
        <v>90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56</v>
      </c>
      <c r="I38" s="6" t="s">
        <v>46</v>
      </c>
      <c r="J38" s="6" t="s">
        <v>50</v>
      </c>
      <c r="K38" s="12" t="s">
        <v>105</v>
      </c>
      <c r="L38" s="12" t="s">
        <v>105</v>
      </c>
      <c r="M38" s="38" t="s">
        <v>338</v>
      </c>
      <c r="N38" s="36">
        <v>45</v>
      </c>
      <c r="O38" s="6" t="s">
        <v>105</v>
      </c>
      <c r="P38" s="36" t="s">
        <v>105</v>
      </c>
      <c r="Q38" s="6" t="s">
        <v>105</v>
      </c>
      <c r="R38" s="12">
        <f>Tableau1[[#This Row],[Loyer €/m²]]*Tableau1[[#This Row],[Surface GLA]]</f>
        <v>31500</v>
      </c>
      <c r="S38" s="6">
        <f>IFERROR(Tableau1[[#This Row],[Loyer annuel]]/12,"")</f>
        <v>2625</v>
      </c>
      <c r="T38" s="12">
        <v>700</v>
      </c>
      <c r="U38" s="6" t="s">
        <v>105</v>
      </c>
      <c r="V38" s="6">
        <f>Tableau1[[#This Row],[Charges €/m²]]*Tableau1[[#This Row],[Surface GLA]]</f>
        <v>9900</v>
      </c>
      <c r="W38" s="12">
        <f>Tableau1[[#This Row],[Charges annuelles]]/12</f>
        <v>825</v>
      </c>
      <c r="X38" s="12">
        <v>220</v>
      </c>
      <c r="Y38" s="12">
        <f>IFERROR(Tableau1[[#This Row],[Taxe foncière €/m²]]*Tableau1[[#This Row],[Surface GLA]],)</f>
        <v>0</v>
      </c>
      <c r="Z38" s="6" t="s">
        <v>105</v>
      </c>
      <c r="AA38" s="6">
        <f>IFERROR(Tableau1[[#This Row],[Marketing €/m²]]*Tableau1[[#This Row],[Surface GLA]],)</f>
        <v>0</v>
      </c>
      <c r="AB38" s="6" t="s">
        <v>105</v>
      </c>
      <c r="AC38" s="12">
        <f>IFERROR(Tableau1[[#This Row],[Loyer annuel]]+Tableau1[[#This Row],[Charges annuelles]]+Tableau1[[#This Row],[Taxe foncière]]+Tableau1[[#This Row],[Marketing]],"")</f>
        <v>41400</v>
      </c>
      <c r="AD38" s="6" t="s">
        <v>105</v>
      </c>
      <c r="AE38" s="6" t="s">
        <v>105</v>
      </c>
      <c r="AF38" s="6" t="s">
        <v>105</v>
      </c>
      <c r="AG38" s="6" t="s">
        <v>389</v>
      </c>
      <c r="AH38" s="10" t="s">
        <v>54</v>
      </c>
      <c r="AI38" s="4" t="s">
        <v>395</v>
      </c>
      <c r="AJ38" s="4" t="s">
        <v>610</v>
      </c>
      <c r="AK38" s="11" t="s">
        <v>611</v>
      </c>
      <c r="AL38" s="5" t="s">
        <v>394</v>
      </c>
      <c r="AM38" s="11" t="s">
        <v>608</v>
      </c>
      <c r="AN38" s="11" t="s">
        <v>609</v>
      </c>
      <c r="AO38" s="33" t="s">
        <v>653</v>
      </c>
      <c r="AP38" s="34"/>
      <c r="AQ38" s="5" t="s">
        <v>77</v>
      </c>
      <c r="AR38" s="11" t="s">
        <v>618</v>
      </c>
      <c r="AS38" s="13" t="s">
        <v>40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Auvergne-Rhône-Alpes</v>
      </c>
      <c r="B39" s="4" t="str">
        <f>VLOOKUP(Tableau1[[#This Row],[N° Département]],Feuil1!$C$6:$E$106,2)</f>
        <v>Rhône</v>
      </c>
      <c r="C39" s="10">
        <f>LEFT(Tableau1[[#This Row],[Code Postal]],2)*1</f>
        <v>69</v>
      </c>
      <c r="D39" s="10" t="s">
        <v>116</v>
      </c>
      <c r="E39" s="27">
        <v>69003</v>
      </c>
      <c r="F39" s="40" t="s">
        <v>91</v>
      </c>
      <c r="G39" s="5" t="str">
        <f>Tableau1[[#This Row],[Rue]]&amp;CHAR(10)&amp;Tableau1[[#This Row],[Code Postal]]&amp;" - "&amp;Tableau1[[#This Row],[Ville]]</f>
        <v>18 Rue du Général Mouton-Duvernet
69003 - Lyon</v>
      </c>
      <c r="H39" s="15" t="s">
        <v>36</v>
      </c>
      <c r="I39" s="6" t="s">
        <v>46</v>
      </c>
      <c r="J39" s="6" t="s">
        <v>45</v>
      </c>
      <c r="K39" s="12" t="s">
        <v>105</v>
      </c>
      <c r="L39" s="12" t="s">
        <v>105</v>
      </c>
      <c r="M39" s="37" t="s">
        <v>105</v>
      </c>
      <c r="N39" s="36">
        <v>238</v>
      </c>
      <c r="O39" s="6" t="s">
        <v>105</v>
      </c>
      <c r="P39" s="36">
        <v>200</v>
      </c>
      <c r="Q39" s="6" t="s">
        <v>105</v>
      </c>
      <c r="R39" s="12">
        <f>Tableau1[[#This Row],[Loyer €/m²]]*Tableau1[[#This Row],[Surface GLA]]</f>
        <v>71400</v>
      </c>
      <c r="S39" s="6">
        <f>IFERROR(Tableau1[[#This Row],[Loyer annuel]]/12,"")</f>
        <v>5950</v>
      </c>
      <c r="T39" s="12">
        <v>300</v>
      </c>
      <c r="U39" s="6" t="s">
        <v>105</v>
      </c>
      <c r="V39" s="6">
        <f>Tableau1[[#This Row],[Charges €/m²]]*Tableau1[[#This Row],[Surface GLA]]</f>
        <v>9996</v>
      </c>
      <c r="W39" s="6">
        <f>IFERROR(Tableau1[[#This Row],[Charges annuelles]]/12,"")</f>
        <v>833</v>
      </c>
      <c r="X39" s="12">
        <v>42</v>
      </c>
      <c r="Y39" s="12">
        <f>IFERROR(Tableau1[[#This Row],[Taxe foncière €/m²]]*Tableau1[[#This Row],[Surface GLA]],)</f>
        <v>15946</v>
      </c>
      <c r="Z39" s="6">
        <v>67</v>
      </c>
      <c r="AA39" s="6">
        <f>IFERROR(Tableau1[[#This Row],[Marketing €/m²]]*Tableau1[[#This Row],[Surface GLA]],)</f>
        <v>0</v>
      </c>
      <c r="AB39" s="6" t="s">
        <v>105</v>
      </c>
      <c r="AC39" s="6">
        <f>IFERROR(Tableau1[[#This Row],[Loyer annuel]]+Tableau1[[#This Row],[Charges annuelles]]+Tableau1[[#This Row],[Taxe foncière]]+Tableau1[[#This Row],[Marketing]],"")</f>
        <v>97342</v>
      </c>
      <c r="AD39" s="6" t="s">
        <v>105</v>
      </c>
      <c r="AE39" s="6" t="s">
        <v>105</v>
      </c>
      <c r="AF39" s="6" t="s">
        <v>105</v>
      </c>
      <c r="AG39" s="6" t="s">
        <v>444</v>
      </c>
      <c r="AH39" s="10" t="s">
        <v>77</v>
      </c>
      <c r="AI39" s="4" t="s">
        <v>396</v>
      </c>
      <c r="AJ39" s="4" t="s">
        <v>446</v>
      </c>
      <c r="AK39" s="5" t="s">
        <v>445</v>
      </c>
      <c r="AL39" s="5" t="s">
        <v>394</v>
      </c>
      <c r="AM39" s="5" t="s">
        <v>279</v>
      </c>
      <c r="AN39" s="5" t="s">
        <v>280</v>
      </c>
      <c r="AO39" s="33" t="s">
        <v>654</v>
      </c>
      <c r="AP39" s="33"/>
      <c r="AQ39" s="5" t="s">
        <v>77</v>
      </c>
      <c r="AR39" s="11" t="s">
        <v>443</v>
      </c>
      <c r="AS39" s="13" t="s">
        <v>31</v>
      </c>
      <c r="AT39" s="14"/>
      <c r="AU39" s="1"/>
      <c r="AV39" s="1"/>
      <c r="AW39" s="1"/>
      <c r="BD39" s="1"/>
    </row>
    <row r="40" spans="1:56" ht="25.5">
      <c r="A40" s="4" t="str">
        <f>VLOOKUP(Tableau1[[#This Row],[N° Département]],Feuil1!$C$6:$E$106,3)</f>
        <v>Ile-de-France</v>
      </c>
      <c r="B40" s="4" t="str">
        <f>VLOOKUP(Tableau1[[#This Row],[N° Département]],Feuil1!$C$6:$E$106,2)</f>
        <v>Yvelines</v>
      </c>
      <c r="C40" s="4">
        <f>LEFT(Tableau1[[#This Row],[Code Postal]],2)*1</f>
        <v>78</v>
      </c>
      <c r="D40" s="4" t="s">
        <v>124</v>
      </c>
      <c r="E40" s="26">
        <v>78310</v>
      </c>
      <c r="F40" s="40" t="s">
        <v>92</v>
      </c>
      <c r="G40" s="5" t="str">
        <f>Tableau1[[#This Row],[Rue]]&amp;CHAR(10)&amp;Tableau1[[#This Row],[Code Postal]]&amp;" - "&amp;Tableau1[[#This Row],[Ville]]</f>
        <v>3 Avenue Louis Pasteur
78310 - Maurepas</v>
      </c>
      <c r="H40" s="15" t="s">
        <v>69</v>
      </c>
      <c r="I40" s="6" t="s">
        <v>48</v>
      </c>
      <c r="J40" s="6" t="s">
        <v>51</v>
      </c>
      <c r="K40" s="12" t="s">
        <v>105</v>
      </c>
      <c r="L40" s="12" t="s">
        <v>105</v>
      </c>
      <c r="M40" s="37" t="s">
        <v>339</v>
      </c>
      <c r="N40" s="35">
        <v>168</v>
      </c>
      <c r="O40" s="6" t="s">
        <v>340</v>
      </c>
      <c r="P40" s="36">
        <v>156</v>
      </c>
      <c r="Q40" s="6" t="s">
        <v>341</v>
      </c>
      <c r="R40" s="12">
        <f>Tableau1[[#This Row],[Loyer €/m²]]*Tableau1[[#This Row],[Surface GLA]]</f>
        <v>42000</v>
      </c>
      <c r="S40" s="6">
        <f>IFERROR(Tableau1[[#This Row],[Loyer annuel]]/12,"")</f>
        <v>3500</v>
      </c>
      <c r="T40" s="6">
        <v>250</v>
      </c>
      <c r="U40" s="6" t="s">
        <v>105</v>
      </c>
      <c r="V40" s="6">
        <f>Tableau1[[#This Row],[Charges €/m²]]*Tableau1[[#This Row],[Surface GLA]]</f>
        <v>5880</v>
      </c>
      <c r="W40" s="6">
        <f>IFERROR(Tableau1[[#This Row],[Charges annuelles]]/12,"")</f>
        <v>490</v>
      </c>
      <c r="X40" s="6">
        <v>35</v>
      </c>
      <c r="Y40" s="6">
        <f>IFERROR(Tableau1[[#This Row],[Taxe foncière €/m²]]*Tableau1[[#This Row],[Surface GLA]],)</f>
        <v>0</v>
      </c>
      <c r="Z40" s="6" t="s">
        <v>105</v>
      </c>
      <c r="AA40" s="6">
        <f>IFERROR(Tableau1[[#This Row],[Marketing €/m²]]*Tableau1[[#This Row],[Surface GLA]],)</f>
        <v>0</v>
      </c>
      <c r="AB40" s="6" t="s">
        <v>105</v>
      </c>
      <c r="AC40" s="6">
        <f>IFERROR(Tableau1[[#This Row],[Loyer annuel]]+Tableau1[[#This Row],[Charges annuelles]]+Tableau1[[#This Row],[Taxe foncière]]+Tableau1[[#This Row],[Marketing]],"")</f>
        <v>47880</v>
      </c>
      <c r="AD40" s="6" t="s">
        <v>105</v>
      </c>
      <c r="AE40" s="6" t="s">
        <v>105</v>
      </c>
      <c r="AF40" s="6" t="s">
        <v>105</v>
      </c>
      <c r="AG40" s="6" t="s">
        <v>389</v>
      </c>
      <c r="AH40" s="10" t="s">
        <v>77</v>
      </c>
      <c r="AI40" s="4" t="s">
        <v>396</v>
      </c>
      <c r="AJ40" s="4" t="s">
        <v>459</v>
      </c>
      <c r="AK40" s="5" t="s">
        <v>464</v>
      </c>
      <c r="AL40" s="5" t="s">
        <v>394</v>
      </c>
      <c r="AM40" s="5" t="s">
        <v>447</v>
      </c>
      <c r="AN40" s="5" t="s">
        <v>448</v>
      </c>
      <c r="AO40" s="33" t="s">
        <v>655</v>
      </c>
      <c r="AP40" s="33"/>
      <c r="AQ40" s="5" t="s">
        <v>77</v>
      </c>
      <c r="AR40" s="5" t="s">
        <v>29</v>
      </c>
      <c r="AS40" s="7" t="s">
        <v>18</v>
      </c>
      <c r="AT40" s="9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124</v>
      </c>
      <c r="E41" s="26">
        <v>78310</v>
      </c>
      <c r="F41" s="40" t="s">
        <v>92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69</v>
      </c>
      <c r="I41" s="6" t="s">
        <v>48</v>
      </c>
      <c r="J41" s="6" t="s">
        <v>51</v>
      </c>
      <c r="K41" s="12" t="s">
        <v>105</v>
      </c>
      <c r="L41" s="12" t="s">
        <v>105</v>
      </c>
      <c r="M41" s="38" t="s">
        <v>331</v>
      </c>
      <c r="N41" s="36">
        <v>87</v>
      </c>
      <c r="O41" s="12"/>
      <c r="P41" s="36">
        <v>82</v>
      </c>
      <c r="Q41" s="12"/>
      <c r="R41" s="12">
        <f>Tableau1[[#This Row],[Loyer €/m²]]*Tableau1[[#This Row],[Surface GLA]]</f>
        <v>17400</v>
      </c>
      <c r="S41" s="6">
        <f>IFERROR(Tableau1[[#This Row],[Loyer annuel]]/12,"")</f>
        <v>1450</v>
      </c>
      <c r="T41" s="6">
        <v>200</v>
      </c>
      <c r="U41" s="6" t="s">
        <v>105</v>
      </c>
      <c r="V41" s="6">
        <f>Tableau1[[#This Row],[Charges €/m²]]*Tableau1[[#This Row],[Surface GLA]]</f>
        <v>3045</v>
      </c>
      <c r="W41" s="6">
        <f>IFERROR(Tableau1[[#This Row],[Charges annuelles]]/12,"")</f>
        <v>253.75</v>
      </c>
      <c r="X41" s="6">
        <v>35</v>
      </c>
      <c r="Y41" s="12">
        <f>IFERROR(Tableau1[[#This Row],[Taxe foncière €/m²]]*Tableau1[[#This Row],[Surface GLA]],)</f>
        <v>0</v>
      </c>
      <c r="Z41" s="6" t="s">
        <v>105</v>
      </c>
      <c r="AA41" s="12">
        <f>IFERROR(Tableau1[[#This Row],[Marketing €/m²]]*Tableau1[[#This Row],[Surface GLA]],)</f>
        <v>0</v>
      </c>
      <c r="AB41" s="6" t="s">
        <v>105</v>
      </c>
      <c r="AC41" s="12">
        <f>IFERROR(Tableau1[[#This Row],[Loyer annuel]]+Tableau1[[#This Row],[Charges annuelles]]+Tableau1[[#This Row],[Taxe foncière]]+Tableau1[[#This Row],[Marketing]],"")</f>
        <v>20445</v>
      </c>
      <c r="AD41" s="6" t="s">
        <v>105</v>
      </c>
      <c r="AE41" s="6" t="s">
        <v>105</v>
      </c>
      <c r="AF41" s="6" t="s">
        <v>105</v>
      </c>
      <c r="AG41" s="6" t="s">
        <v>389</v>
      </c>
      <c r="AH41" s="10" t="s">
        <v>415</v>
      </c>
      <c r="AI41" s="4" t="s">
        <v>396</v>
      </c>
      <c r="AJ41" s="4" t="s">
        <v>459</v>
      </c>
      <c r="AK41" s="5" t="s">
        <v>464</v>
      </c>
      <c r="AL41" s="5" t="s">
        <v>394</v>
      </c>
      <c r="AM41" s="11" t="s">
        <v>449</v>
      </c>
      <c r="AN41" s="11" t="s">
        <v>450</v>
      </c>
      <c r="AO41" s="33" t="s">
        <v>656</v>
      </c>
      <c r="AP41" s="34"/>
      <c r="AQ41" s="5" t="s">
        <v>77</v>
      </c>
      <c r="AR41" s="5" t="s">
        <v>29</v>
      </c>
      <c r="AS41" s="7" t="s">
        <v>18</v>
      </c>
      <c r="AT41" s="14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124</v>
      </c>
      <c r="E42" s="26">
        <v>78310</v>
      </c>
      <c r="F42" s="40" t="s">
        <v>92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69</v>
      </c>
      <c r="I42" s="6" t="s">
        <v>48</v>
      </c>
      <c r="J42" s="6" t="s">
        <v>51</v>
      </c>
      <c r="K42" s="12" t="s">
        <v>105</v>
      </c>
      <c r="L42" s="12" t="s">
        <v>105</v>
      </c>
      <c r="M42" s="38" t="s">
        <v>342</v>
      </c>
      <c r="N42" s="36">
        <v>197</v>
      </c>
      <c r="O42" s="12"/>
      <c r="P42" s="36">
        <v>182</v>
      </c>
      <c r="Q42" s="12"/>
      <c r="R42" s="12">
        <f>Tableau1[[#This Row],[Loyer €/m²]]*Tableau1[[#This Row],[Surface GLA]]</f>
        <v>39400</v>
      </c>
      <c r="S42" s="6">
        <f>IFERROR(Tableau1[[#This Row],[Loyer annuel]]/12,"")</f>
        <v>3283.3333333333335</v>
      </c>
      <c r="T42" s="6">
        <v>200</v>
      </c>
      <c r="U42" s="6" t="s">
        <v>105</v>
      </c>
      <c r="V42" s="6">
        <f>Tableau1[[#This Row],[Charges €/m²]]*Tableau1[[#This Row],[Surface GLA]]</f>
        <v>6895</v>
      </c>
      <c r="W42" s="6">
        <f>IFERROR(Tableau1[[#This Row],[Charges annuelles]]/12,"")</f>
        <v>574.58333333333337</v>
      </c>
      <c r="X42" s="6">
        <v>35</v>
      </c>
      <c r="Y42" s="12">
        <f>IFERROR(Tableau1[[#This Row],[Taxe foncière €/m²]]*Tableau1[[#This Row],[Surface GLA]],)</f>
        <v>0</v>
      </c>
      <c r="Z42" s="6" t="s">
        <v>105</v>
      </c>
      <c r="AA42" s="12">
        <f>IFERROR(Tableau1[[#This Row],[Marketing €/m²]]*Tableau1[[#This Row],[Surface GLA]],)</f>
        <v>0</v>
      </c>
      <c r="AB42" s="6" t="s">
        <v>105</v>
      </c>
      <c r="AC42" s="12">
        <f>IFERROR(Tableau1[[#This Row],[Loyer annuel]]+Tableau1[[#This Row],[Charges annuelles]]+Tableau1[[#This Row],[Taxe foncière]]+Tableau1[[#This Row],[Marketing]],"")</f>
        <v>46295</v>
      </c>
      <c r="AD42" s="6" t="s">
        <v>105</v>
      </c>
      <c r="AE42" s="6" t="s">
        <v>105</v>
      </c>
      <c r="AF42" s="6" t="s">
        <v>105</v>
      </c>
      <c r="AG42" s="6" t="s">
        <v>389</v>
      </c>
      <c r="AH42" s="10" t="s">
        <v>415</v>
      </c>
      <c r="AI42" s="4" t="s">
        <v>396</v>
      </c>
      <c r="AJ42" s="4" t="s">
        <v>459</v>
      </c>
      <c r="AK42" s="5" t="s">
        <v>464</v>
      </c>
      <c r="AL42" s="5" t="s">
        <v>394</v>
      </c>
      <c r="AM42" s="11" t="s">
        <v>451</v>
      </c>
      <c r="AN42" s="11" t="s">
        <v>452</v>
      </c>
      <c r="AO42" s="33" t="s">
        <v>657</v>
      </c>
      <c r="AP42" s="34"/>
      <c r="AQ42" s="5" t="s">
        <v>77</v>
      </c>
      <c r="AR42" s="5" t="s">
        <v>29</v>
      </c>
      <c r="AS42" s="7" t="s">
        <v>18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124</v>
      </c>
      <c r="E43" s="26">
        <v>78310</v>
      </c>
      <c r="F43" s="40" t="s">
        <v>92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69</v>
      </c>
      <c r="I43" s="6" t="s">
        <v>48</v>
      </c>
      <c r="J43" s="6" t="s">
        <v>51</v>
      </c>
      <c r="K43" s="12" t="s">
        <v>105</v>
      </c>
      <c r="L43" s="12" t="s">
        <v>105</v>
      </c>
      <c r="M43" s="38" t="s">
        <v>343</v>
      </c>
      <c r="N43" s="36">
        <v>576</v>
      </c>
      <c r="O43" s="12"/>
      <c r="P43" s="36">
        <v>543</v>
      </c>
      <c r="Q43" s="12"/>
      <c r="R43" s="12">
        <f>Tableau1[[#This Row],[Loyer €/m²]]*Tableau1[[#This Row],[Surface GLA]]</f>
        <v>115200</v>
      </c>
      <c r="S43" s="6">
        <f>IFERROR(Tableau1[[#This Row],[Loyer annuel]]/12,"")</f>
        <v>9600</v>
      </c>
      <c r="T43" s="6">
        <v>200</v>
      </c>
      <c r="U43" s="6" t="s">
        <v>105</v>
      </c>
      <c r="V43" s="6">
        <f>Tableau1[[#This Row],[Charges €/m²]]*Tableau1[[#This Row],[Surface GLA]]</f>
        <v>20160</v>
      </c>
      <c r="W43" s="6">
        <f>IFERROR(Tableau1[[#This Row],[Charges annuelles]]/12,"")</f>
        <v>1680</v>
      </c>
      <c r="X43" s="6">
        <v>35</v>
      </c>
      <c r="Y43" s="12">
        <f>IFERROR(Tableau1[[#This Row],[Taxe foncière €/m²]]*Tableau1[[#This Row],[Surface GLA]],)</f>
        <v>0</v>
      </c>
      <c r="Z43" s="6" t="s">
        <v>105</v>
      </c>
      <c r="AA43" s="12">
        <f>IFERROR(Tableau1[[#This Row],[Marketing €/m²]]*Tableau1[[#This Row],[Surface GLA]],)</f>
        <v>0</v>
      </c>
      <c r="AB43" s="6" t="s">
        <v>105</v>
      </c>
      <c r="AC43" s="12">
        <f>IFERROR(Tableau1[[#This Row],[Loyer annuel]]+Tableau1[[#This Row],[Charges annuelles]]+Tableau1[[#This Row],[Taxe foncière]]+Tableau1[[#This Row],[Marketing]],"")</f>
        <v>135360</v>
      </c>
      <c r="AD43" s="6" t="s">
        <v>105</v>
      </c>
      <c r="AE43" s="6" t="s">
        <v>105</v>
      </c>
      <c r="AF43" s="6" t="s">
        <v>105</v>
      </c>
      <c r="AG43" s="6" t="s">
        <v>389</v>
      </c>
      <c r="AH43" s="10" t="s">
        <v>77</v>
      </c>
      <c r="AI43" s="4" t="s">
        <v>396</v>
      </c>
      <c r="AJ43" s="4" t="s">
        <v>459</v>
      </c>
      <c r="AK43" s="5" t="s">
        <v>464</v>
      </c>
      <c r="AL43" s="5" t="s">
        <v>394</v>
      </c>
      <c r="AM43" s="11" t="s">
        <v>453</v>
      </c>
      <c r="AN43" s="11" t="s">
        <v>454</v>
      </c>
      <c r="AO43" s="33" t="s">
        <v>658</v>
      </c>
      <c r="AP43" s="34"/>
      <c r="AQ43" s="5" t="s">
        <v>77</v>
      </c>
      <c r="AR43" s="5" t="s">
        <v>29</v>
      </c>
      <c r="AS43" s="7" t="s">
        <v>18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124</v>
      </c>
      <c r="E44" s="26">
        <v>78310</v>
      </c>
      <c r="F44" s="40" t="s">
        <v>92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69</v>
      </c>
      <c r="I44" s="6" t="s">
        <v>48</v>
      </c>
      <c r="J44" s="6" t="s">
        <v>51</v>
      </c>
      <c r="K44" s="12" t="s">
        <v>105</v>
      </c>
      <c r="L44" s="12" t="s">
        <v>105</v>
      </c>
      <c r="M44" s="38" t="s">
        <v>344</v>
      </c>
      <c r="N44" s="36">
        <v>237</v>
      </c>
      <c r="O44" s="12" t="s">
        <v>346</v>
      </c>
      <c r="P44" s="36">
        <v>221</v>
      </c>
      <c r="Q44" s="12" t="s">
        <v>347</v>
      </c>
      <c r="R44" s="12">
        <f>Tableau1[[#This Row],[Loyer €/m²]]*Tableau1[[#This Row],[Surface GLA]]</f>
        <v>47400</v>
      </c>
      <c r="S44" s="6">
        <f>IFERROR(Tableau1[[#This Row],[Loyer annuel]]/12,"")</f>
        <v>3950</v>
      </c>
      <c r="T44" s="6">
        <v>200</v>
      </c>
      <c r="U44" s="6" t="s">
        <v>105</v>
      </c>
      <c r="V44" s="6">
        <f>Tableau1[[#This Row],[Charges €/m²]]*Tableau1[[#This Row],[Surface GLA]]</f>
        <v>8295</v>
      </c>
      <c r="W44" s="6">
        <f>IFERROR(Tableau1[[#This Row],[Charges annuelles]]/12,"")</f>
        <v>691.25</v>
      </c>
      <c r="X44" s="6">
        <v>35</v>
      </c>
      <c r="Y44" s="12">
        <f>IFERROR(Tableau1[[#This Row],[Taxe foncière €/m²]]*Tableau1[[#This Row],[Surface GLA]],)</f>
        <v>0</v>
      </c>
      <c r="Z44" s="6" t="s">
        <v>105</v>
      </c>
      <c r="AA44" s="12">
        <f>IFERROR(Tableau1[[#This Row],[Marketing €/m²]]*Tableau1[[#This Row],[Surface GLA]],)</f>
        <v>0</v>
      </c>
      <c r="AB44" s="6" t="s">
        <v>105</v>
      </c>
      <c r="AC44" s="12">
        <f>IFERROR(Tableau1[[#This Row],[Loyer annuel]]+Tableau1[[#This Row],[Charges annuelles]]+Tableau1[[#This Row],[Taxe foncière]]+Tableau1[[#This Row],[Marketing]],"")</f>
        <v>55695</v>
      </c>
      <c r="AD44" s="6" t="s">
        <v>105</v>
      </c>
      <c r="AE44" s="6" t="s">
        <v>105</v>
      </c>
      <c r="AF44" s="6" t="s">
        <v>105</v>
      </c>
      <c r="AG44" s="6" t="s">
        <v>389</v>
      </c>
      <c r="AH44" s="10" t="s">
        <v>77</v>
      </c>
      <c r="AI44" s="4" t="s">
        <v>396</v>
      </c>
      <c r="AJ44" s="4" t="s">
        <v>459</v>
      </c>
      <c r="AK44" s="5" t="s">
        <v>464</v>
      </c>
      <c r="AL44" s="5" t="s">
        <v>394</v>
      </c>
      <c r="AM44" s="11" t="s">
        <v>457</v>
      </c>
      <c r="AN44" s="11" t="s">
        <v>458</v>
      </c>
      <c r="AO44" s="33" t="s">
        <v>659</v>
      </c>
      <c r="AP44" s="34"/>
      <c r="AQ44" s="5" t="s">
        <v>77</v>
      </c>
      <c r="AR44" s="5" t="s">
        <v>29</v>
      </c>
      <c r="AS44" s="7" t="s">
        <v>18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124</v>
      </c>
      <c r="E45" s="26">
        <v>78310</v>
      </c>
      <c r="F45" s="40" t="s">
        <v>92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69</v>
      </c>
      <c r="I45" s="6" t="s">
        <v>48</v>
      </c>
      <c r="J45" s="6" t="s">
        <v>51</v>
      </c>
      <c r="K45" s="12" t="s">
        <v>105</v>
      </c>
      <c r="L45" s="12" t="s">
        <v>105</v>
      </c>
      <c r="M45" s="38" t="s">
        <v>345</v>
      </c>
      <c r="N45" s="36">
        <v>236</v>
      </c>
      <c r="O45" s="12" t="s">
        <v>348</v>
      </c>
      <c r="P45" s="36">
        <v>218</v>
      </c>
      <c r="Q45" s="12" t="s">
        <v>349</v>
      </c>
      <c r="R45" s="12">
        <f>Tableau1[[#This Row],[Loyer €/m²]]*Tableau1[[#This Row],[Surface GLA]]</f>
        <v>47200</v>
      </c>
      <c r="S45" s="6">
        <f>IFERROR(Tableau1[[#This Row],[Loyer annuel]]/12,"")</f>
        <v>3933.3333333333335</v>
      </c>
      <c r="T45" s="6">
        <v>200</v>
      </c>
      <c r="U45" s="6" t="s">
        <v>105</v>
      </c>
      <c r="V45" s="6">
        <f>Tableau1[[#This Row],[Charges €/m²]]*Tableau1[[#This Row],[Surface GLA]]</f>
        <v>8260</v>
      </c>
      <c r="W45" s="6">
        <f>IFERROR(Tableau1[[#This Row],[Charges annuelles]]/12,"")</f>
        <v>688.33333333333337</v>
      </c>
      <c r="X45" s="6">
        <v>35</v>
      </c>
      <c r="Y45" s="12">
        <f>IFERROR(Tableau1[[#This Row],[Taxe foncière €/m²]]*Tableau1[[#This Row],[Surface GLA]],)</f>
        <v>0</v>
      </c>
      <c r="Z45" s="6" t="s">
        <v>105</v>
      </c>
      <c r="AA45" s="12">
        <f>IFERROR(Tableau1[[#This Row],[Marketing €/m²]]*Tableau1[[#This Row],[Surface GLA]],)</f>
        <v>0</v>
      </c>
      <c r="AB45" s="6" t="s">
        <v>105</v>
      </c>
      <c r="AC45" s="12">
        <f>IFERROR(Tableau1[[#This Row],[Loyer annuel]]+Tableau1[[#This Row],[Charges annuelles]]+Tableau1[[#This Row],[Taxe foncière]]+Tableau1[[#This Row],[Marketing]],"")</f>
        <v>55460</v>
      </c>
      <c r="AD45" s="6" t="s">
        <v>105</v>
      </c>
      <c r="AE45" s="6" t="s">
        <v>105</v>
      </c>
      <c r="AF45" s="6" t="s">
        <v>105</v>
      </c>
      <c r="AG45" s="6" t="s">
        <v>389</v>
      </c>
      <c r="AH45" s="10" t="s">
        <v>77</v>
      </c>
      <c r="AI45" s="4" t="s">
        <v>396</v>
      </c>
      <c r="AJ45" s="4" t="s">
        <v>459</v>
      </c>
      <c r="AK45" s="5" t="s">
        <v>464</v>
      </c>
      <c r="AL45" s="5" t="s">
        <v>394</v>
      </c>
      <c r="AM45" s="11" t="s">
        <v>455</v>
      </c>
      <c r="AN45" s="11" t="s">
        <v>456</v>
      </c>
      <c r="AO45" s="33" t="s">
        <v>660</v>
      </c>
      <c r="AP45" s="34"/>
      <c r="AQ45" s="11" t="s">
        <v>54</v>
      </c>
      <c r="AR45" s="5" t="s">
        <v>29</v>
      </c>
      <c r="AS45" s="7" t="s">
        <v>18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Grand Est</v>
      </c>
      <c r="B46" s="4" t="str">
        <f>VLOOKUP(Tableau1[[#This Row],[N° Département]],Feuil1!$C$6:$E$106,2)</f>
        <v>Moselle</v>
      </c>
      <c r="C46" s="4">
        <f>LEFT(Tableau1[[#This Row],[Code Postal]],2)*1</f>
        <v>57</v>
      </c>
      <c r="D46" s="4" t="s">
        <v>117</v>
      </c>
      <c r="E46" s="26">
        <v>57000</v>
      </c>
      <c r="F46" s="40" t="s">
        <v>93</v>
      </c>
      <c r="G46" s="5" t="str">
        <f>Tableau1[[#This Row],[Rue]]&amp;CHAR(10)&amp;Tableau1[[#This Row],[Code Postal]]&amp;" - "&amp;Tableau1[[#This Row],[Ville]]</f>
        <v>60 Rue Serpenoise
57000 - Metz</v>
      </c>
      <c r="H46" s="15" t="s">
        <v>25</v>
      </c>
      <c r="I46" s="6" t="s">
        <v>46</v>
      </c>
      <c r="J46" s="6" t="s">
        <v>45</v>
      </c>
      <c r="K46" s="12" t="s">
        <v>105</v>
      </c>
      <c r="L46" s="12" t="s">
        <v>105</v>
      </c>
      <c r="M46" s="37" t="s">
        <v>105</v>
      </c>
      <c r="N46" s="35">
        <v>370</v>
      </c>
      <c r="O46" s="4" t="s">
        <v>268</v>
      </c>
      <c r="P46" s="36" t="s">
        <v>105</v>
      </c>
      <c r="Q46" s="6" t="s">
        <v>105</v>
      </c>
      <c r="R46" s="12">
        <f>Tableau1[[#This Row],[Loyer €/m²]]*Tableau1[[#This Row],[Surface GLA]]</f>
        <v>74000</v>
      </c>
      <c r="S46" s="6">
        <f>IFERROR(Tableau1[[#This Row],[Loyer annuel]]/12,"")</f>
        <v>6166.666666666667</v>
      </c>
      <c r="T46" s="6">
        <v>200</v>
      </c>
      <c r="U46" s="6" t="s">
        <v>105</v>
      </c>
      <c r="V46" s="6">
        <f>Tableau1[[#This Row],[Charges €/m²]]*Tableau1[[#This Row],[Surface GLA]]</f>
        <v>22200</v>
      </c>
      <c r="W46" s="6">
        <f>IFERROR(Tableau1[[#This Row],[Charges annuelles]]/12,"")</f>
        <v>1850</v>
      </c>
      <c r="X46" s="6">
        <v>60</v>
      </c>
      <c r="Y46" s="6">
        <f>IFERROR(Tableau1[[#This Row],[Taxe foncière €/m²]]*Tableau1[[#This Row],[Surface GLA]],)</f>
        <v>0</v>
      </c>
      <c r="Z46" s="6" t="s">
        <v>105</v>
      </c>
      <c r="AA46" s="6">
        <f>IFERROR(Tableau1[[#This Row],[Marketing €/m²]]*Tableau1[[#This Row],[Surface GLA]],)</f>
        <v>0</v>
      </c>
      <c r="AB46" s="6" t="s">
        <v>105</v>
      </c>
      <c r="AC46" s="6">
        <f>IFERROR(Tableau1[[#This Row],[Loyer annuel]]+Tableau1[[#This Row],[Charges annuelles]]+Tableau1[[#This Row],[Taxe foncière]]+Tableau1[[#This Row],[Marketing]],"")</f>
        <v>96200</v>
      </c>
      <c r="AD46" s="6" t="s">
        <v>105</v>
      </c>
      <c r="AE46" s="6" t="s">
        <v>105</v>
      </c>
      <c r="AF46" s="6" t="s">
        <v>105</v>
      </c>
      <c r="AG46" s="6" t="s">
        <v>389</v>
      </c>
      <c r="AH46" s="10" t="s">
        <v>54</v>
      </c>
      <c r="AI46" s="4" t="s">
        <v>395</v>
      </c>
      <c r="AJ46" s="4" t="s">
        <v>467</v>
      </c>
      <c r="AK46" s="5" t="s">
        <v>465</v>
      </c>
      <c r="AL46" s="5" t="s">
        <v>394</v>
      </c>
      <c r="AM46" s="5" t="s">
        <v>460</v>
      </c>
      <c r="AN46" s="5" t="s">
        <v>461</v>
      </c>
      <c r="AO46" s="33" t="s">
        <v>661</v>
      </c>
      <c r="AP46" s="33"/>
      <c r="AQ46" s="5" t="s">
        <v>77</v>
      </c>
      <c r="AR46" s="5" t="s">
        <v>26</v>
      </c>
      <c r="AS46" s="7" t="s">
        <v>18</v>
      </c>
      <c r="AT46" s="8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117</v>
      </c>
      <c r="E47" s="26">
        <v>57000</v>
      </c>
      <c r="F47" s="40" t="s">
        <v>93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46</v>
      </c>
      <c r="J47" s="6" t="s">
        <v>45</v>
      </c>
      <c r="K47" s="12" t="s">
        <v>105</v>
      </c>
      <c r="L47" s="12" t="s">
        <v>105</v>
      </c>
      <c r="M47" s="37" t="s">
        <v>105</v>
      </c>
      <c r="N47" s="35">
        <v>486</v>
      </c>
      <c r="O47" s="10" t="s">
        <v>269</v>
      </c>
      <c r="P47" s="36" t="s">
        <v>105</v>
      </c>
      <c r="Q47" s="6" t="s">
        <v>105</v>
      </c>
      <c r="R47" s="12">
        <f>Tableau1[[#This Row],[Loyer €/m²]]*Tableau1[[#This Row],[Surface GLA]]</f>
        <v>97200</v>
      </c>
      <c r="S47" s="6">
        <f>IFERROR(Tableau1[[#This Row],[Loyer annuel]]/12,"")</f>
        <v>8100</v>
      </c>
      <c r="T47" s="12">
        <v>200</v>
      </c>
      <c r="U47" s="6" t="s">
        <v>105</v>
      </c>
      <c r="V47" s="6">
        <f>Tableau1[[#This Row],[Charges €/m²]]*Tableau1[[#This Row],[Surface GLA]]</f>
        <v>29646</v>
      </c>
      <c r="W47" s="6">
        <f>IFERROR(Tableau1[[#This Row],[Charges annuelles]]/12,"")</f>
        <v>2470.5</v>
      </c>
      <c r="X47" s="12">
        <v>61</v>
      </c>
      <c r="Y47" s="12">
        <f>IFERROR(Tableau1[[#This Row],[Taxe foncière €/m²]]*Tableau1[[#This Row],[Surface GLA]],)</f>
        <v>0</v>
      </c>
      <c r="Z47" s="6" t="s">
        <v>105</v>
      </c>
      <c r="AA47" s="6">
        <f>IFERROR(Tableau1[[#This Row],[Marketing €/m²]]*Tableau1[[#This Row],[Surface GLA]],)</f>
        <v>0</v>
      </c>
      <c r="AB47" s="6" t="s">
        <v>105</v>
      </c>
      <c r="AC47" s="6">
        <f>IFERROR(Tableau1[[#This Row],[Loyer annuel]]+Tableau1[[#This Row],[Charges annuelles]]+Tableau1[[#This Row],[Taxe foncière]]+Tableau1[[#This Row],[Marketing]],"")</f>
        <v>126846</v>
      </c>
      <c r="AD47" s="6" t="s">
        <v>105</v>
      </c>
      <c r="AE47" s="6" t="s">
        <v>105</v>
      </c>
      <c r="AF47" s="6" t="s">
        <v>105</v>
      </c>
      <c r="AG47" s="6" t="s">
        <v>389</v>
      </c>
      <c r="AH47" s="10" t="s">
        <v>54</v>
      </c>
      <c r="AI47" s="4" t="s">
        <v>395</v>
      </c>
      <c r="AJ47" s="4" t="s">
        <v>467</v>
      </c>
      <c r="AK47" s="11" t="s">
        <v>466</v>
      </c>
      <c r="AL47" s="5" t="s">
        <v>394</v>
      </c>
      <c r="AM47" s="11" t="s">
        <v>462</v>
      </c>
      <c r="AN47" s="11" t="s">
        <v>463</v>
      </c>
      <c r="AO47" s="33" t="s">
        <v>662</v>
      </c>
      <c r="AP47" s="33"/>
      <c r="AQ47" s="5" t="s">
        <v>77</v>
      </c>
      <c r="AR47" s="11" t="s">
        <v>27</v>
      </c>
      <c r="AS47" s="7" t="s">
        <v>18</v>
      </c>
      <c r="AT47" s="14"/>
      <c r="AU47" s="1"/>
      <c r="AV47" s="1"/>
      <c r="AW47" s="1"/>
      <c r="BD47" s="1"/>
    </row>
    <row r="48" spans="1:56" ht="25.5">
      <c r="A48" s="10" t="str">
        <f>VLOOKUP(Tableau1[[#This Row],[N° Département]],Feuil1!$C$6:$E$106,3)</f>
        <v>Ile-de-France</v>
      </c>
      <c r="B48" s="4" t="str">
        <f>VLOOKUP(Tableau1[[#This Row],[N° Département]],Feuil1!$C$6:$E$106,2)</f>
        <v>Paris</v>
      </c>
      <c r="C48" s="10">
        <f>LEFT(Tableau1[[#This Row],[Code Postal]],2)*1</f>
        <v>75</v>
      </c>
      <c r="D48" s="10" t="s">
        <v>125</v>
      </c>
      <c r="E48" s="27">
        <v>75008</v>
      </c>
      <c r="F48" s="40" t="s">
        <v>94</v>
      </c>
      <c r="G48" s="5" t="str">
        <f>Tableau1[[#This Row],[Rue]]&amp;CHAR(10)&amp;Tableau1[[#This Row],[Code Postal]]&amp;" - "&amp;Tableau1[[#This Row],[Ville]]</f>
        <v>32 Rue Marbeuf
75008 - Paris</v>
      </c>
      <c r="H48" s="15" t="s">
        <v>57</v>
      </c>
      <c r="I48" s="12" t="s">
        <v>46</v>
      </c>
      <c r="J48" s="12" t="s">
        <v>45</v>
      </c>
      <c r="K48" s="12" t="s">
        <v>105</v>
      </c>
      <c r="L48" s="12" t="s">
        <v>105</v>
      </c>
      <c r="M48" s="37" t="s">
        <v>105</v>
      </c>
      <c r="N48" s="35">
        <v>681</v>
      </c>
      <c r="O48" s="10" t="s">
        <v>270</v>
      </c>
      <c r="P48" s="36" t="s">
        <v>105</v>
      </c>
      <c r="Q48" s="6" t="s">
        <v>105</v>
      </c>
      <c r="R48" s="12">
        <f>Tableau1[[#This Row],[Loyer €/m²]]*Tableau1[[#This Row],[Surface GLA]]</f>
        <v>681000</v>
      </c>
      <c r="S48" s="6">
        <f>IFERROR(Tableau1[[#This Row],[Loyer annuel]]/12,"")</f>
        <v>56750</v>
      </c>
      <c r="T48" s="12">
        <v>1000</v>
      </c>
      <c r="U48" s="6" t="s">
        <v>105</v>
      </c>
      <c r="V48" s="6">
        <f>Tableau1[[#This Row],[Charges €/m²]]*Tableau1[[#This Row],[Surface GLA]]</f>
        <v>64695</v>
      </c>
      <c r="W48" s="12">
        <f>Tableau1[[#This Row],[Charges annuelles]]/12</f>
        <v>5391.25</v>
      </c>
      <c r="X48" s="12">
        <v>95</v>
      </c>
      <c r="Y48" s="12">
        <f>IFERROR(Tableau1[[#This Row],[Taxe foncière €/m²]]*Tableau1[[#This Row],[Surface GLA]],)</f>
        <v>26559</v>
      </c>
      <c r="Z48" s="6">
        <v>39</v>
      </c>
      <c r="AA48" s="6">
        <f>IFERROR(Tableau1[[#This Row],[Marketing €/m²]]*Tableau1[[#This Row],[Surface GLA]],)</f>
        <v>0</v>
      </c>
      <c r="AB48" s="6" t="s">
        <v>105</v>
      </c>
      <c r="AC48" s="6">
        <f>IFERROR(Tableau1[[#This Row],[Loyer annuel]]+Tableau1[[#This Row],[Charges annuelles]]+Tableau1[[#This Row],[Taxe foncière]]+Tableau1[[#This Row],[Marketing]],"")</f>
        <v>772254</v>
      </c>
      <c r="AD48" s="6" t="s">
        <v>105</v>
      </c>
      <c r="AE48" s="6" t="s">
        <v>105</v>
      </c>
      <c r="AF48" s="6" t="s">
        <v>105</v>
      </c>
      <c r="AG48" s="6" t="s">
        <v>444</v>
      </c>
      <c r="AH48" s="10" t="s">
        <v>54</v>
      </c>
      <c r="AI48" s="4" t="s">
        <v>105</v>
      </c>
      <c r="AJ48" s="4" t="s">
        <v>468</v>
      </c>
      <c r="AK48" s="11" t="s">
        <v>469</v>
      </c>
      <c r="AL48" s="5" t="s">
        <v>394</v>
      </c>
      <c r="AM48" s="11" t="s">
        <v>281</v>
      </c>
      <c r="AN48" s="11" t="s">
        <v>282</v>
      </c>
      <c r="AO48" s="33" t="s">
        <v>663</v>
      </c>
      <c r="AP48" s="33"/>
      <c r="AQ48" s="5" t="s">
        <v>77</v>
      </c>
      <c r="AR48" s="11" t="s">
        <v>416</v>
      </c>
      <c r="AS48" s="13" t="s">
        <v>31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132</v>
      </c>
      <c r="E49" s="27">
        <v>75008</v>
      </c>
      <c r="F49" s="40" t="s">
        <v>94</v>
      </c>
      <c r="G49" s="5" t="str">
        <f>Tableau1[[#This Row],[Rue]]&amp;CHAR(10)&amp;Tableau1[[#This Row],[Code Postal]]&amp;" - "&amp;Tableau1[[#This Row],[Ville]]</f>
        <v>18 - 20 Rue Treilhard
75008 - Paris</v>
      </c>
      <c r="H49" s="15" t="s">
        <v>67</v>
      </c>
      <c r="I49" s="12" t="s">
        <v>46</v>
      </c>
      <c r="J49" s="12" t="s">
        <v>45</v>
      </c>
      <c r="K49" s="12" t="s">
        <v>105</v>
      </c>
      <c r="L49" s="12" t="s">
        <v>105</v>
      </c>
      <c r="M49" s="37" t="s">
        <v>105</v>
      </c>
      <c r="N49" s="36">
        <v>672</v>
      </c>
      <c r="O49" s="6" t="s">
        <v>68</v>
      </c>
      <c r="P49" s="36" t="s">
        <v>105</v>
      </c>
      <c r="Q49" s="6" t="s">
        <v>105</v>
      </c>
      <c r="R49" s="12">
        <f>Tableau1[[#This Row],[Loyer €/m²]]*Tableau1[[#This Row],[Surface GLA]]</f>
        <v>201600</v>
      </c>
      <c r="S49" s="6">
        <f>IFERROR(Tableau1[[#This Row],[Loyer annuel]]/12,"")</f>
        <v>16800</v>
      </c>
      <c r="T49" s="12">
        <v>300</v>
      </c>
      <c r="U49" s="6" t="s">
        <v>105</v>
      </c>
      <c r="V49" s="12" t="s">
        <v>470</v>
      </c>
      <c r="W49" s="12" t="s">
        <v>470</v>
      </c>
      <c r="X49" s="12" t="s">
        <v>470</v>
      </c>
      <c r="Y49" s="12" t="s">
        <v>470</v>
      </c>
      <c r="Z49" s="6" t="s">
        <v>470</v>
      </c>
      <c r="AA49" s="6">
        <f>IFERROR(Tableau1[[#This Row],[Marketing €/m²]]*Tableau1[[#This Row],[Surface GLA]],)</f>
        <v>0</v>
      </c>
      <c r="AB49" s="6" t="s">
        <v>105</v>
      </c>
      <c r="AC49" s="6" t="str">
        <f>IFERROR(Tableau1[[#This Row],[Loyer annuel]]+Tableau1[[#This Row],[Charges annuelles]]+Tableau1[[#This Row],[Taxe foncière]]+Tableau1[[#This Row],[Marketing]],"")</f>
        <v/>
      </c>
      <c r="AD49" s="6" t="s">
        <v>105</v>
      </c>
      <c r="AE49" s="6" t="s">
        <v>105</v>
      </c>
      <c r="AF49" s="6" t="s">
        <v>105</v>
      </c>
      <c r="AG49" s="6" t="s">
        <v>389</v>
      </c>
      <c r="AH49" s="10" t="s">
        <v>77</v>
      </c>
      <c r="AI49" s="4" t="s">
        <v>396</v>
      </c>
      <c r="AJ49" s="4" t="s">
        <v>471</v>
      </c>
      <c r="AK49" s="11" t="s">
        <v>472</v>
      </c>
      <c r="AL49" s="5" t="s">
        <v>394</v>
      </c>
      <c r="AM49" s="11" t="s">
        <v>284</v>
      </c>
      <c r="AN49" s="11" t="s">
        <v>283</v>
      </c>
      <c r="AO49" s="33" t="s">
        <v>331</v>
      </c>
      <c r="AP49" s="33"/>
      <c r="AQ49" s="5" t="s">
        <v>77</v>
      </c>
      <c r="AR49" s="11" t="s">
        <v>72</v>
      </c>
      <c r="AS49" s="13" t="s">
        <v>31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133</v>
      </c>
      <c r="E50" s="27">
        <v>75009</v>
      </c>
      <c r="F50" s="40" t="s">
        <v>94</v>
      </c>
      <c r="G50" s="5" t="str">
        <f>Tableau1[[#This Row],[Rue]]&amp;CHAR(10)&amp;Tableau1[[#This Row],[Code Postal]]&amp;" - "&amp;Tableau1[[#This Row],[Ville]]</f>
        <v>1 Rue de Caumartin
75009 - Paris</v>
      </c>
      <c r="H50" s="15" t="s">
        <v>287</v>
      </c>
      <c r="I50" s="12" t="s">
        <v>46</v>
      </c>
      <c r="J50" s="12" t="s">
        <v>45</v>
      </c>
      <c r="K50" s="12" t="s">
        <v>105</v>
      </c>
      <c r="L50" s="12" t="s">
        <v>105</v>
      </c>
      <c r="M50" s="37" t="s">
        <v>105</v>
      </c>
      <c r="N50" s="35">
        <v>115</v>
      </c>
      <c r="O50" s="10" t="s">
        <v>271</v>
      </c>
      <c r="P50" s="36" t="s">
        <v>105</v>
      </c>
      <c r="Q50" s="6" t="s">
        <v>105</v>
      </c>
      <c r="R50" s="12">
        <f>Tableau1[[#This Row],[Loyer €/m²]]*Tableau1[[#This Row],[Surface GLA]]</f>
        <v>115000</v>
      </c>
      <c r="S50" s="6">
        <f>IFERROR(Tableau1[[#This Row],[Loyer annuel]]/12,"")</f>
        <v>9583.3333333333339</v>
      </c>
      <c r="T50" s="12">
        <v>1000</v>
      </c>
      <c r="U50" s="6" t="s">
        <v>105</v>
      </c>
      <c r="V50" s="6">
        <f>Tableau1[[#This Row],[Charges €/m²]]*Tableau1[[#This Row],[Surface GLA]]</f>
        <v>11615</v>
      </c>
      <c r="W50" s="12">
        <f>Tableau1[[#This Row],[Charges annuelles]]/12</f>
        <v>967.91666666666663</v>
      </c>
      <c r="X50" s="12">
        <v>101</v>
      </c>
      <c r="Y50" s="12">
        <f>IFERROR(Tableau1[[#This Row],[Taxe foncière €/m²]]*Tableau1[[#This Row],[Surface GLA]],)</f>
        <v>3910</v>
      </c>
      <c r="Z50" s="6">
        <v>34</v>
      </c>
      <c r="AA50" s="6">
        <f>IFERROR(Tableau1[[#This Row],[Marketing €/m²]]*Tableau1[[#This Row],[Surface GLA]],)</f>
        <v>0</v>
      </c>
      <c r="AB50" s="6" t="s">
        <v>105</v>
      </c>
      <c r="AC50" s="6">
        <f>IFERROR(Tableau1[[#This Row],[Loyer annuel]]+Tableau1[[#This Row],[Charges annuelles]]+Tableau1[[#This Row],[Taxe foncière]]+Tableau1[[#This Row],[Marketing]],"")</f>
        <v>130525</v>
      </c>
      <c r="AD50" s="6" t="s">
        <v>105</v>
      </c>
      <c r="AE50" s="6" t="s">
        <v>105</v>
      </c>
      <c r="AF50" s="6" t="s">
        <v>105</v>
      </c>
      <c r="AG50" s="6" t="s">
        <v>389</v>
      </c>
      <c r="AH50" s="10" t="s">
        <v>54</v>
      </c>
      <c r="AI50" s="4" t="s">
        <v>105</v>
      </c>
      <c r="AJ50" s="4" t="s">
        <v>105</v>
      </c>
      <c r="AK50" s="11" t="s">
        <v>59</v>
      </c>
      <c r="AL50" s="5" t="s">
        <v>394</v>
      </c>
      <c r="AM50" s="11" t="s">
        <v>285</v>
      </c>
      <c r="AN50" s="11" t="s">
        <v>286</v>
      </c>
      <c r="AO50" s="33" t="s">
        <v>664</v>
      </c>
      <c r="AP50" s="33"/>
      <c r="AQ50" s="5" t="s">
        <v>54</v>
      </c>
      <c r="AR50" s="11" t="s">
        <v>58</v>
      </c>
      <c r="AS50" s="13" t="s">
        <v>31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118</v>
      </c>
      <c r="E51" s="27">
        <v>75010</v>
      </c>
      <c r="F51" s="40" t="s">
        <v>94</v>
      </c>
      <c r="G51" s="5" t="str">
        <f>Tableau1[[#This Row],[Rue]]&amp;CHAR(10)&amp;Tableau1[[#This Row],[Code Postal]]&amp;" - "&amp;Tableau1[[#This Row],[Ville]]</f>
        <v>204 Quai de Jemmapes
75010 - Paris</v>
      </c>
      <c r="H51" s="15" t="s">
        <v>61</v>
      </c>
      <c r="I51" s="12" t="s">
        <v>46</v>
      </c>
      <c r="J51" s="12" t="s">
        <v>45</v>
      </c>
      <c r="K51" s="12" t="s">
        <v>105</v>
      </c>
      <c r="L51" s="12" t="s">
        <v>105</v>
      </c>
      <c r="M51" s="37" t="s">
        <v>105</v>
      </c>
      <c r="N51" s="35">
        <v>189</v>
      </c>
      <c r="O51" s="10" t="s">
        <v>272</v>
      </c>
      <c r="P51" s="36" t="s">
        <v>105</v>
      </c>
      <c r="Q51" s="6" t="s">
        <v>105</v>
      </c>
      <c r="R51" s="12">
        <f>Tableau1[[#This Row],[Loyer €/m²]]*Tableau1[[#This Row],[Surface GLA]]</f>
        <v>75600</v>
      </c>
      <c r="S51" s="6">
        <f>IFERROR(Tableau1[[#This Row],[Loyer annuel]]/12,"")</f>
        <v>6300</v>
      </c>
      <c r="T51" s="12">
        <v>400</v>
      </c>
      <c r="U51" s="6" t="s">
        <v>105</v>
      </c>
      <c r="V51" s="6">
        <f>Tableau1[[#This Row],[Charges €/m²]]*Tableau1[[#This Row],[Surface GLA]]</f>
        <v>11718</v>
      </c>
      <c r="W51" s="12">
        <f>Tableau1[[#This Row],[Charges annuelles]]/12</f>
        <v>976.5</v>
      </c>
      <c r="X51" s="12">
        <v>62</v>
      </c>
      <c r="Y51" s="12">
        <f>IFERROR(Tableau1[[#This Row],[Taxe foncière €/m²]]*Tableau1[[#This Row],[Surface GLA]],)</f>
        <v>1890</v>
      </c>
      <c r="Z51" s="6">
        <v>10</v>
      </c>
      <c r="AA51" s="6">
        <f>IFERROR(Tableau1[[#This Row],[Marketing €/m²]]*Tableau1[[#This Row],[Surface GLA]],)</f>
        <v>0</v>
      </c>
      <c r="AB51" s="6" t="s">
        <v>105</v>
      </c>
      <c r="AC51" s="6">
        <f>IFERROR(Tableau1[[#This Row],[Loyer annuel]]+Tableau1[[#This Row],[Charges annuelles]]+Tableau1[[#This Row],[Taxe foncière]]+Tableau1[[#This Row],[Marketing]],"")</f>
        <v>89208</v>
      </c>
      <c r="AD51" s="6" t="s">
        <v>105</v>
      </c>
      <c r="AE51" s="6" t="s">
        <v>105</v>
      </c>
      <c r="AF51" s="6" t="s">
        <v>105</v>
      </c>
      <c r="AG51" s="6" t="s">
        <v>389</v>
      </c>
      <c r="AH51" s="10" t="s">
        <v>54</v>
      </c>
      <c r="AI51" s="4" t="s">
        <v>395</v>
      </c>
      <c r="AJ51" s="4" t="s">
        <v>474</v>
      </c>
      <c r="AK51" s="11" t="s">
        <v>475</v>
      </c>
      <c r="AL51" s="5" t="s">
        <v>394</v>
      </c>
      <c r="AM51" s="11" t="s">
        <v>289</v>
      </c>
      <c r="AN51" s="11" t="s">
        <v>288</v>
      </c>
      <c r="AO51" s="33" t="s">
        <v>665</v>
      </c>
      <c r="AP51" s="33"/>
      <c r="AQ51" s="5" t="s">
        <v>77</v>
      </c>
      <c r="AR51" s="11" t="s">
        <v>473</v>
      </c>
      <c r="AS51" s="13" t="s">
        <v>31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126</v>
      </c>
      <c r="E52" s="27">
        <v>75012</v>
      </c>
      <c r="F52" s="40" t="s">
        <v>94</v>
      </c>
      <c r="G52" s="5" t="str">
        <f>Tableau1[[#This Row],[Rue]]&amp;CHAR(10)&amp;Tableau1[[#This Row],[Code Postal]]&amp;" - "&amp;Tableau1[[#This Row],[Ville]]</f>
        <v>9 Avenue Ledru Rollin
75012 - Paris</v>
      </c>
      <c r="H52" s="15" t="s">
        <v>64</v>
      </c>
      <c r="I52" s="12" t="s">
        <v>46</v>
      </c>
      <c r="J52" s="12" t="s">
        <v>45</v>
      </c>
      <c r="K52" s="12" t="s">
        <v>105</v>
      </c>
      <c r="L52" s="12" t="s">
        <v>105</v>
      </c>
      <c r="M52" s="37" t="s">
        <v>105</v>
      </c>
      <c r="N52" s="35">
        <v>177</v>
      </c>
      <c r="O52" s="10" t="s">
        <v>273</v>
      </c>
      <c r="P52" s="36" t="s">
        <v>105</v>
      </c>
      <c r="Q52" s="6" t="s">
        <v>105</v>
      </c>
      <c r="R52" s="12">
        <f>Tableau1[[#This Row],[Loyer €/m²]]*Tableau1[[#This Row],[Surface GLA]]</f>
        <v>97350</v>
      </c>
      <c r="S52" s="6">
        <f>IFERROR(Tableau1[[#This Row],[Loyer annuel]]/12,"")</f>
        <v>8112.5</v>
      </c>
      <c r="T52" s="12">
        <v>550</v>
      </c>
      <c r="U52" s="6" t="s">
        <v>105</v>
      </c>
      <c r="V52" s="6">
        <f>Tableau1[[#This Row],[Charges €/m²]]*Tableau1[[#This Row],[Surface GLA]]</f>
        <v>7257</v>
      </c>
      <c r="W52" s="12">
        <f>Tableau1[[#This Row],[Charges annuelles]]/12</f>
        <v>604.75</v>
      </c>
      <c r="X52" s="12">
        <v>41</v>
      </c>
      <c r="Y52" s="12">
        <f>IFERROR(Tableau1[[#This Row],[Taxe foncière €/m²]]*Tableau1[[#This Row],[Surface GLA]],)</f>
        <v>4248</v>
      </c>
      <c r="Z52" s="6">
        <v>24</v>
      </c>
      <c r="AA52" s="6">
        <f>IFERROR(Tableau1[[#This Row],[Marketing €/m²]]*Tableau1[[#This Row],[Surface GLA]],)</f>
        <v>0</v>
      </c>
      <c r="AB52" s="6" t="s">
        <v>105</v>
      </c>
      <c r="AC52" s="6">
        <f>IFERROR(Tableau1[[#This Row],[Loyer annuel]]+Tableau1[[#This Row],[Charges annuelles]]+Tableau1[[#This Row],[Taxe foncière]]+Tableau1[[#This Row],[Marketing]],"")</f>
        <v>108855</v>
      </c>
      <c r="AD52" s="6" t="s">
        <v>105</v>
      </c>
      <c r="AE52" s="6" t="s">
        <v>105</v>
      </c>
      <c r="AF52" s="6" t="s">
        <v>105</v>
      </c>
      <c r="AG52" s="6" t="s">
        <v>389</v>
      </c>
      <c r="AH52" s="10" t="s">
        <v>54</v>
      </c>
      <c r="AI52" s="4" t="s">
        <v>395</v>
      </c>
      <c r="AJ52" s="4" t="s">
        <v>476</v>
      </c>
      <c r="AK52" s="11" t="s">
        <v>65</v>
      </c>
      <c r="AL52" s="5" t="s">
        <v>394</v>
      </c>
      <c r="AM52" s="11" t="s">
        <v>290</v>
      </c>
      <c r="AN52" s="11" t="s">
        <v>291</v>
      </c>
      <c r="AO52" s="33" t="s">
        <v>666</v>
      </c>
      <c r="AP52" s="33"/>
      <c r="AQ52" s="5" t="s">
        <v>77</v>
      </c>
      <c r="AR52" s="11" t="s">
        <v>66</v>
      </c>
      <c r="AS52" s="13" t="s">
        <v>31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127</v>
      </c>
      <c r="E53" s="27">
        <v>75012</v>
      </c>
      <c r="F53" s="40" t="s">
        <v>94</v>
      </c>
      <c r="G53" s="5" t="str">
        <f>Tableau1[[#This Row],[Rue]]&amp;CHAR(10)&amp;Tableau1[[#This Row],[Code Postal]]&amp;" - "&amp;Tableau1[[#This Row],[Ville]]</f>
        <v>25 Avenue de Saint-Mandé
75012 - Paris</v>
      </c>
      <c r="H53" s="15" t="s">
        <v>30</v>
      </c>
      <c r="I53" s="6" t="s">
        <v>46</v>
      </c>
      <c r="J53" s="6" t="s">
        <v>45</v>
      </c>
      <c r="K53" s="12" t="s">
        <v>105</v>
      </c>
      <c r="L53" s="12" t="s">
        <v>105</v>
      </c>
      <c r="M53" s="37" t="s">
        <v>105</v>
      </c>
      <c r="N53" s="36">
        <v>85</v>
      </c>
      <c r="O53" s="6" t="s">
        <v>105</v>
      </c>
      <c r="P53" s="36" t="s">
        <v>105</v>
      </c>
      <c r="Q53" s="6" t="s">
        <v>105</v>
      </c>
      <c r="R53" s="12">
        <f>Tableau1[[#This Row],[Loyer €/m²]]*Tableau1[[#This Row],[Surface GLA]]</f>
        <v>59500</v>
      </c>
      <c r="S53" s="6">
        <f>IFERROR(Tableau1[[#This Row],[Loyer annuel]]/12,"")</f>
        <v>4958.333333333333</v>
      </c>
      <c r="T53" s="12">
        <v>700</v>
      </c>
      <c r="U53" s="6" t="s">
        <v>105</v>
      </c>
      <c r="V53" s="6">
        <f>Tableau1[[#This Row],[Charges €/m²]]*Tableau1[[#This Row],[Surface GLA]]</f>
        <v>6205</v>
      </c>
      <c r="W53" s="6">
        <f>IFERROR(Tableau1[[#This Row],[Charges annuelles]]/12,"")</f>
        <v>517.08333333333337</v>
      </c>
      <c r="X53" s="12">
        <v>73</v>
      </c>
      <c r="Y53" s="12">
        <f>IFERROR(Tableau1[[#This Row],[Taxe foncière €/m²]]*Tableau1[[#This Row],[Surface GLA]],)</f>
        <v>1785</v>
      </c>
      <c r="Z53" s="6">
        <v>21</v>
      </c>
      <c r="AA53" s="6">
        <f>IFERROR(Tableau1[[#This Row],[Marketing €/m²]]*Tableau1[[#This Row],[Surface GLA]],)</f>
        <v>0</v>
      </c>
      <c r="AB53" s="6" t="s">
        <v>105</v>
      </c>
      <c r="AC53" s="6">
        <f>IFERROR(Tableau1[[#This Row],[Loyer annuel]]+Tableau1[[#This Row],[Charges annuelles]]+Tableau1[[#This Row],[Taxe foncière]]+Tableau1[[#This Row],[Marketing]],"")</f>
        <v>67490</v>
      </c>
      <c r="AD53" s="6" t="s">
        <v>105</v>
      </c>
      <c r="AE53" s="6" t="s">
        <v>105</v>
      </c>
      <c r="AF53" s="6" t="s">
        <v>105</v>
      </c>
      <c r="AG53" s="6" t="s">
        <v>389</v>
      </c>
      <c r="AH53" s="10" t="s">
        <v>415</v>
      </c>
      <c r="AI53" s="4" t="s">
        <v>396</v>
      </c>
      <c r="AJ53" s="4" t="s">
        <v>477</v>
      </c>
      <c r="AK53" s="11" t="s">
        <v>53</v>
      </c>
      <c r="AL53" s="5" t="s">
        <v>394</v>
      </c>
      <c r="AM53" s="11" t="s">
        <v>292</v>
      </c>
      <c r="AN53" s="11" t="s">
        <v>293</v>
      </c>
      <c r="AO53" s="33" t="s">
        <v>667</v>
      </c>
      <c r="AP53" s="33"/>
      <c r="AQ53" s="5" t="s">
        <v>77</v>
      </c>
      <c r="AR53" s="11" t="s">
        <v>32</v>
      </c>
      <c r="AS53" s="13" t="s">
        <v>31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128</v>
      </c>
      <c r="E54" s="27">
        <v>75016</v>
      </c>
      <c r="F54" s="40" t="s">
        <v>94</v>
      </c>
      <c r="G54" s="5" t="str">
        <f>Tableau1[[#This Row],[Rue]]&amp;CHAR(10)&amp;Tableau1[[#This Row],[Code Postal]]&amp;" - "&amp;Tableau1[[#This Row],[Ville]]</f>
        <v>16 Avenue Mozart
75016 - Paris</v>
      </c>
      <c r="H54" s="15" t="s">
        <v>294</v>
      </c>
      <c r="I54" s="12" t="s">
        <v>46</v>
      </c>
      <c r="J54" s="12" t="s">
        <v>45</v>
      </c>
      <c r="K54" s="12" t="s">
        <v>105</v>
      </c>
      <c r="L54" s="12" t="s">
        <v>105</v>
      </c>
      <c r="M54" s="37" t="s">
        <v>105</v>
      </c>
      <c r="N54" s="35">
        <v>26</v>
      </c>
      <c r="O54" s="10" t="s">
        <v>274</v>
      </c>
      <c r="P54" s="36" t="s">
        <v>105</v>
      </c>
      <c r="Q54" s="6" t="s">
        <v>105</v>
      </c>
      <c r="R54" s="12">
        <f>Tableau1[[#This Row],[Loyer €/m²]]*Tableau1[[#This Row],[Surface GLA]]</f>
        <v>39000</v>
      </c>
      <c r="S54" s="6">
        <f>IFERROR(Tableau1[[#This Row],[Loyer annuel]]/12,"")</f>
        <v>3250</v>
      </c>
      <c r="T54" s="12">
        <v>1500</v>
      </c>
      <c r="U54" s="6" t="s">
        <v>105</v>
      </c>
      <c r="V54" s="6">
        <f>Tableau1[[#This Row],[Charges €/m²]]*Tableau1[[#This Row],[Surface GLA]]</f>
        <v>1300</v>
      </c>
      <c r="W54" s="12">
        <f>Tableau1[[#This Row],[Charges annuelles]]/12</f>
        <v>108.33333333333333</v>
      </c>
      <c r="X54" s="12">
        <v>50</v>
      </c>
      <c r="Y54" s="12">
        <f>IFERROR(Tableau1[[#This Row],[Taxe foncière €/m²]]*Tableau1[[#This Row],[Surface GLA]],)</f>
        <v>0</v>
      </c>
      <c r="Z54" s="6" t="s">
        <v>105</v>
      </c>
      <c r="AA54" s="6">
        <f>IFERROR(Tableau1[[#This Row],[Marketing €/m²]]*Tableau1[[#This Row],[Surface GLA]],)</f>
        <v>0</v>
      </c>
      <c r="AB54" s="6" t="s">
        <v>105</v>
      </c>
      <c r="AC54" s="6">
        <f>IFERROR(Tableau1[[#This Row],[Loyer annuel]]+Tableau1[[#This Row],[Charges annuelles]]+Tableau1[[#This Row],[Taxe foncière]]+Tableau1[[#This Row],[Marketing]],"")</f>
        <v>40300</v>
      </c>
      <c r="AD54" s="6" t="s">
        <v>105</v>
      </c>
      <c r="AE54" s="6" t="s">
        <v>105</v>
      </c>
      <c r="AF54" s="6" t="s">
        <v>105</v>
      </c>
      <c r="AG54" s="6" t="s">
        <v>389</v>
      </c>
      <c r="AH54" s="10" t="s">
        <v>54</v>
      </c>
      <c r="AI54" s="4" t="s">
        <v>395</v>
      </c>
      <c r="AJ54" s="4" t="s">
        <v>478</v>
      </c>
      <c r="AK54" s="11" t="s">
        <v>74</v>
      </c>
      <c r="AL54" s="5" t="s">
        <v>394</v>
      </c>
      <c r="AM54" s="11" t="s">
        <v>295</v>
      </c>
      <c r="AN54" s="11" t="s">
        <v>296</v>
      </c>
      <c r="AO54" s="33" t="s">
        <v>668</v>
      </c>
      <c r="AP54" s="33"/>
      <c r="AQ54" s="5" t="s">
        <v>77</v>
      </c>
      <c r="AR54" s="11" t="s">
        <v>73</v>
      </c>
      <c r="AS54" s="13" t="s">
        <v>70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119</v>
      </c>
      <c r="E55" s="27">
        <v>75016</v>
      </c>
      <c r="F55" s="40" t="s">
        <v>94</v>
      </c>
      <c r="G55" s="5" t="str">
        <f>Tableau1[[#This Row],[Rue]]&amp;CHAR(10)&amp;Tableau1[[#This Row],[Code Postal]]&amp;" - "&amp;Tableau1[[#This Row],[Ville]]</f>
        <v>14 Rue de Rémusat
75016 - Paris</v>
      </c>
      <c r="H55" s="15" t="s">
        <v>297</v>
      </c>
      <c r="I55" s="12" t="s">
        <v>46</v>
      </c>
      <c r="J55" s="12" t="s">
        <v>45</v>
      </c>
      <c r="K55" s="12" t="s">
        <v>105</v>
      </c>
      <c r="L55" s="12" t="s">
        <v>105</v>
      </c>
      <c r="M55" s="37" t="s">
        <v>105</v>
      </c>
      <c r="N55" s="35">
        <v>87</v>
      </c>
      <c r="O55" s="10" t="s">
        <v>60</v>
      </c>
      <c r="P55" s="36" t="s">
        <v>105</v>
      </c>
      <c r="Q55" s="6" t="s">
        <v>105</v>
      </c>
      <c r="R55" s="12">
        <f>Tableau1[[#This Row],[Loyer €/m²]]*Tableau1[[#This Row],[Surface GLA]]</f>
        <v>47850</v>
      </c>
      <c r="S55" s="6">
        <f>IFERROR(Tableau1[[#This Row],[Loyer annuel]]/12,"")</f>
        <v>3987.5</v>
      </c>
      <c r="T55" s="12">
        <v>550</v>
      </c>
      <c r="U55" s="6" t="s">
        <v>105</v>
      </c>
      <c r="V55" s="6">
        <f>Tableau1[[#This Row],[Charges €/m²]]*Tableau1[[#This Row],[Surface GLA]]</f>
        <v>2697</v>
      </c>
      <c r="W55" s="12">
        <f>Tableau1[[#This Row],[Charges annuelles]]/12</f>
        <v>224.75</v>
      </c>
      <c r="X55" s="12">
        <v>31</v>
      </c>
      <c r="Y55" s="12">
        <f>IFERROR(Tableau1[[#This Row],[Taxe foncière €/m²]]*Tableau1[[#This Row],[Surface GLA]],)</f>
        <v>1479</v>
      </c>
      <c r="Z55" s="6">
        <v>17</v>
      </c>
      <c r="AA55" s="6">
        <f>IFERROR(Tableau1[[#This Row],[Marketing €/m²]]*Tableau1[[#This Row],[Surface GLA]],)</f>
        <v>0</v>
      </c>
      <c r="AB55" s="6" t="s">
        <v>105</v>
      </c>
      <c r="AC55" s="6">
        <f>IFERROR(Tableau1[[#This Row],[Loyer annuel]]+Tableau1[[#This Row],[Charges annuelles]]+Tableau1[[#This Row],[Taxe foncière]]+Tableau1[[#This Row],[Marketing]],"")</f>
        <v>52026</v>
      </c>
      <c r="AD55" s="6" t="s">
        <v>105</v>
      </c>
      <c r="AE55" s="6" t="s">
        <v>105</v>
      </c>
      <c r="AF55" s="6" t="s">
        <v>105</v>
      </c>
      <c r="AG55" s="6" t="s">
        <v>389</v>
      </c>
      <c r="AH55" s="10" t="s">
        <v>54</v>
      </c>
      <c r="AI55" s="4" t="s">
        <v>395</v>
      </c>
      <c r="AJ55" s="4" t="s">
        <v>479</v>
      </c>
      <c r="AK55" s="11" t="s">
        <v>63</v>
      </c>
      <c r="AL55" s="5" t="s">
        <v>394</v>
      </c>
      <c r="AM55" s="11" t="s">
        <v>298</v>
      </c>
      <c r="AN55" s="11" t="s">
        <v>299</v>
      </c>
      <c r="AO55" s="33" t="s">
        <v>669</v>
      </c>
      <c r="AP55" s="33"/>
      <c r="AQ55" s="5" t="s">
        <v>77</v>
      </c>
      <c r="AR55" s="11" t="s">
        <v>62</v>
      </c>
      <c r="AS55" s="13" t="s">
        <v>31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Hauts-de-Seine</v>
      </c>
      <c r="C56" s="10">
        <f>LEFT(Tableau1[[#This Row],[Code Postal]],2)*1</f>
        <v>92</v>
      </c>
      <c r="D56" s="10" t="s">
        <v>134</v>
      </c>
      <c r="E56" s="27">
        <v>92100</v>
      </c>
      <c r="F56" s="40" t="s">
        <v>95</v>
      </c>
      <c r="G56" s="5" t="str">
        <f>Tableau1[[#This Row],[Rue]]&amp;CHAR(10)&amp;Tableau1[[#This Row],[Code Postal]]&amp;" - "&amp;Tableau1[[#This Row],[Ville]]</f>
        <v>Passage Châteaudun
92100 - Boulogne-Billancourt</v>
      </c>
      <c r="H56" s="15" t="s">
        <v>41</v>
      </c>
      <c r="I56" s="6" t="s">
        <v>46</v>
      </c>
      <c r="J56" s="6" t="s">
        <v>45</v>
      </c>
      <c r="K56" s="12" t="s">
        <v>105</v>
      </c>
      <c r="L56" s="12" t="s">
        <v>105</v>
      </c>
      <c r="M56" s="37" t="s">
        <v>350</v>
      </c>
      <c r="N56" s="36">
        <v>110</v>
      </c>
      <c r="O56" s="6" t="s">
        <v>105</v>
      </c>
      <c r="P56" s="36" t="s">
        <v>105</v>
      </c>
      <c r="Q56" s="6" t="s">
        <v>105</v>
      </c>
      <c r="R56" s="12">
        <f>Tableau1[[#This Row],[Loyer €/m²]]*Tableau1[[#This Row],[Surface GLA]]</f>
        <v>60500</v>
      </c>
      <c r="S56" s="6">
        <f>IFERROR(Tableau1[[#This Row],[Loyer annuel]]/12,"")</f>
        <v>5041.666666666667</v>
      </c>
      <c r="T56" s="12">
        <v>550</v>
      </c>
      <c r="U56" s="6" t="s">
        <v>105</v>
      </c>
      <c r="V56" s="6">
        <f>Tableau1[[#This Row],[Charges €/m²]]*Tableau1[[#This Row],[Surface GLA]]</f>
        <v>770</v>
      </c>
      <c r="W56" s="12">
        <f>Tableau1[[#This Row],[Charges annuelles]]/12</f>
        <v>64.166666666666671</v>
      </c>
      <c r="X56" s="12">
        <v>7</v>
      </c>
      <c r="Y56" s="12">
        <f>IFERROR(Tableau1[[#This Row],[Taxe foncière €/m²]]*Tableau1[[#This Row],[Surface GLA]],)</f>
        <v>1430</v>
      </c>
      <c r="Z56" s="6">
        <v>13</v>
      </c>
      <c r="AA56" s="6">
        <f>IFERROR(Tableau1[[#This Row],[Marketing €/m²]]*Tableau1[[#This Row],[Surface GLA]],)</f>
        <v>0</v>
      </c>
      <c r="AB56" s="6" t="s">
        <v>105</v>
      </c>
      <c r="AC56" s="6">
        <f>IFERROR(Tableau1[[#This Row],[Loyer annuel]]+Tableau1[[#This Row],[Charges annuelles]]+Tableau1[[#This Row],[Taxe foncière]]+Tableau1[[#This Row],[Marketing]],"")</f>
        <v>62700</v>
      </c>
      <c r="AD56" s="6" t="s">
        <v>105</v>
      </c>
      <c r="AE56" s="6" t="s">
        <v>105</v>
      </c>
      <c r="AF56" s="6" t="s">
        <v>105</v>
      </c>
      <c r="AG56" s="6" t="s">
        <v>444</v>
      </c>
      <c r="AH56" s="10" t="s">
        <v>415</v>
      </c>
      <c r="AI56" s="4" t="s">
        <v>396</v>
      </c>
      <c r="AJ56" s="4" t="s">
        <v>105</v>
      </c>
      <c r="AK56" s="5" t="s">
        <v>480</v>
      </c>
      <c r="AL56" s="5" t="s">
        <v>394</v>
      </c>
      <c r="AM56" s="5" t="s">
        <v>481</v>
      </c>
      <c r="AN56" s="5" t="s">
        <v>482</v>
      </c>
      <c r="AO56" s="33" t="s">
        <v>670</v>
      </c>
      <c r="AP56" s="33"/>
      <c r="AQ56" s="5" t="s">
        <v>77</v>
      </c>
      <c r="AR56" s="11" t="s">
        <v>416</v>
      </c>
      <c r="AS56" s="13" t="s">
        <v>38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134</v>
      </c>
      <c r="E57" s="27">
        <v>92100</v>
      </c>
      <c r="F57" s="40" t="s">
        <v>95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41</v>
      </c>
      <c r="I57" s="6" t="s">
        <v>46</v>
      </c>
      <c r="J57" s="6" t="s">
        <v>45</v>
      </c>
      <c r="K57" s="12" t="s">
        <v>105</v>
      </c>
      <c r="L57" s="12" t="s">
        <v>105</v>
      </c>
      <c r="M57" s="38" t="s">
        <v>351</v>
      </c>
      <c r="N57" s="36">
        <v>66</v>
      </c>
      <c r="O57" s="12"/>
      <c r="P57" s="10"/>
      <c r="Q57" s="12"/>
      <c r="R57" s="12">
        <f>Tableau1[[#This Row],[Loyer €/m²]]*Tableau1[[#This Row],[Surface GLA]]</f>
        <v>29700</v>
      </c>
      <c r="S57" s="6">
        <f>IFERROR(Tableau1[[#This Row],[Loyer annuel]]/12,"")</f>
        <v>2475</v>
      </c>
      <c r="T57" s="12">
        <v>450</v>
      </c>
      <c r="U57" s="6" t="s">
        <v>105</v>
      </c>
      <c r="V57" s="6">
        <f>Tableau1[[#This Row],[Charges €/m²]]*Tableau1[[#This Row],[Surface GLA]]</f>
        <v>462</v>
      </c>
      <c r="W57" s="12">
        <f>Tableau1[[#This Row],[Charges annuelles]]/12</f>
        <v>38.5</v>
      </c>
      <c r="X57" s="12">
        <v>7</v>
      </c>
      <c r="Y57" s="12">
        <f>IFERROR(Tableau1[[#This Row],[Taxe foncière €/m²]]*Tableau1[[#This Row],[Surface GLA]],)</f>
        <v>858</v>
      </c>
      <c r="Z57" s="6">
        <v>13</v>
      </c>
      <c r="AA57" s="12">
        <f>IFERROR(Tableau1[[#This Row],[Marketing €/m²]]*Tableau1[[#This Row],[Surface GLA]],)</f>
        <v>0</v>
      </c>
      <c r="AB57" s="6" t="s">
        <v>105</v>
      </c>
      <c r="AC57" s="12">
        <f>IFERROR(Tableau1[[#This Row],[Loyer annuel]]+Tableau1[[#This Row],[Charges annuelles]]+Tableau1[[#This Row],[Taxe foncière]]+Tableau1[[#This Row],[Marketing]],"")</f>
        <v>31020</v>
      </c>
      <c r="AD57" s="6" t="s">
        <v>105</v>
      </c>
      <c r="AE57" s="6" t="s">
        <v>105</v>
      </c>
      <c r="AF57" s="6" t="s">
        <v>105</v>
      </c>
      <c r="AG57" s="6" t="s">
        <v>444</v>
      </c>
      <c r="AH57" s="10" t="s">
        <v>415</v>
      </c>
      <c r="AI57" s="4" t="s">
        <v>396</v>
      </c>
      <c r="AJ57" s="4" t="s">
        <v>105</v>
      </c>
      <c r="AK57" s="5" t="s">
        <v>480</v>
      </c>
      <c r="AL57" s="5" t="s">
        <v>394</v>
      </c>
      <c r="AM57" s="11" t="s">
        <v>484</v>
      </c>
      <c r="AN57" s="11" t="s">
        <v>483</v>
      </c>
      <c r="AO57" s="33" t="s">
        <v>671</v>
      </c>
      <c r="AP57" s="34"/>
      <c r="AQ57" s="5" t="s">
        <v>77</v>
      </c>
      <c r="AR57" s="11" t="s">
        <v>416</v>
      </c>
      <c r="AS57" s="13" t="s">
        <v>38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134</v>
      </c>
      <c r="E58" s="27">
        <v>92100</v>
      </c>
      <c r="F58" s="40" t="s">
        <v>95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41</v>
      </c>
      <c r="I58" s="6" t="s">
        <v>46</v>
      </c>
      <c r="J58" s="6" t="s">
        <v>45</v>
      </c>
      <c r="K58" s="12" t="s">
        <v>105</v>
      </c>
      <c r="L58" s="12" t="s">
        <v>105</v>
      </c>
      <c r="M58" s="38" t="s">
        <v>352</v>
      </c>
      <c r="N58" s="36">
        <v>79</v>
      </c>
      <c r="O58" s="12"/>
      <c r="P58" s="10"/>
      <c r="Q58" s="12"/>
      <c r="R58" s="12">
        <f>Tableau1[[#This Row],[Loyer €/m²]]*Tableau1[[#This Row],[Surface GLA]]</f>
        <v>35550</v>
      </c>
      <c r="S58" s="6">
        <f>IFERROR(Tableau1[[#This Row],[Loyer annuel]]/12,"")</f>
        <v>2962.5</v>
      </c>
      <c r="T58" s="12">
        <v>450</v>
      </c>
      <c r="U58" s="6" t="s">
        <v>105</v>
      </c>
      <c r="V58" s="6">
        <f>Tableau1[[#This Row],[Charges €/m²]]*Tableau1[[#This Row],[Surface GLA]]</f>
        <v>553</v>
      </c>
      <c r="W58" s="12">
        <f>Tableau1[[#This Row],[Charges annuelles]]/12</f>
        <v>46.083333333333336</v>
      </c>
      <c r="X58" s="12">
        <v>7</v>
      </c>
      <c r="Y58" s="12">
        <f>IFERROR(Tableau1[[#This Row],[Taxe foncière €/m²]]*Tableau1[[#This Row],[Surface GLA]],)</f>
        <v>1027</v>
      </c>
      <c r="Z58" s="6">
        <v>13</v>
      </c>
      <c r="AA58" s="12">
        <f>IFERROR(Tableau1[[#This Row],[Marketing €/m²]]*Tableau1[[#This Row],[Surface GLA]],)</f>
        <v>0</v>
      </c>
      <c r="AB58" s="6" t="s">
        <v>105</v>
      </c>
      <c r="AC58" s="12">
        <f>IFERROR(Tableau1[[#This Row],[Loyer annuel]]+Tableau1[[#This Row],[Charges annuelles]]+Tableau1[[#This Row],[Taxe foncière]]+Tableau1[[#This Row],[Marketing]],"")</f>
        <v>37130</v>
      </c>
      <c r="AD58" s="6" t="s">
        <v>105</v>
      </c>
      <c r="AE58" s="6" t="s">
        <v>105</v>
      </c>
      <c r="AF58" s="6" t="s">
        <v>105</v>
      </c>
      <c r="AG58" s="6" t="s">
        <v>444</v>
      </c>
      <c r="AH58" s="10" t="s">
        <v>415</v>
      </c>
      <c r="AI58" s="4" t="s">
        <v>396</v>
      </c>
      <c r="AJ58" s="4" t="s">
        <v>105</v>
      </c>
      <c r="AK58" s="5" t="s">
        <v>480</v>
      </c>
      <c r="AL58" s="5" t="s">
        <v>394</v>
      </c>
      <c r="AM58" s="11" t="s">
        <v>485</v>
      </c>
      <c r="AN58" s="11" t="s">
        <v>486</v>
      </c>
      <c r="AO58" s="33" t="s">
        <v>672</v>
      </c>
      <c r="AP58" s="34"/>
      <c r="AQ58" s="5" t="s">
        <v>77</v>
      </c>
      <c r="AR58" s="11" t="s">
        <v>416</v>
      </c>
      <c r="AS58" s="13" t="s">
        <v>38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134</v>
      </c>
      <c r="E59" s="27">
        <v>92100</v>
      </c>
      <c r="F59" s="40" t="s">
        <v>95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41</v>
      </c>
      <c r="I59" s="6" t="s">
        <v>46</v>
      </c>
      <c r="J59" s="6" t="s">
        <v>45</v>
      </c>
      <c r="K59" s="12" t="s">
        <v>105</v>
      </c>
      <c r="L59" s="12" t="s">
        <v>105</v>
      </c>
      <c r="M59" s="38" t="s">
        <v>353</v>
      </c>
      <c r="N59" s="36">
        <v>47</v>
      </c>
      <c r="O59" s="12"/>
      <c r="P59" s="10"/>
      <c r="Q59" s="12"/>
      <c r="R59" s="12">
        <f>Tableau1[[#This Row],[Loyer €/m²]]*Tableau1[[#This Row],[Surface GLA]]</f>
        <v>25850</v>
      </c>
      <c r="S59" s="6">
        <f>IFERROR(Tableau1[[#This Row],[Loyer annuel]]/12,"")</f>
        <v>2154.1666666666665</v>
      </c>
      <c r="T59" s="12">
        <v>550</v>
      </c>
      <c r="U59" s="6" t="s">
        <v>105</v>
      </c>
      <c r="V59" s="6">
        <f>Tableau1[[#This Row],[Charges €/m²]]*Tableau1[[#This Row],[Surface GLA]]</f>
        <v>329</v>
      </c>
      <c r="W59" s="12">
        <f>Tableau1[[#This Row],[Charges annuelles]]/12</f>
        <v>27.416666666666668</v>
      </c>
      <c r="X59" s="12">
        <v>7</v>
      </c>
      <c r="Y59" s="12">
        <f>IFERROR(Tableau1[[#This Row],[Taxe foncière €/m²]]*Tableau1[[#This Row],[Surface GLA]],)</f>
        <v>611</v>
      </c>
      <c r="Z59" s="6">
        <v>13</v>
      </c>
      <c r="AA59" s="12">
        <f>IFERROR(Tableau1[[#This Row],[Marketing €/m²]]*Tableau1[[#This Row],[Surface GLA]],)</f>
        <v>0</v>
      </c>
      <c r="AB59" s="6" t="s">
        <v>105</v>
      </c>
      <c r="AC59" s="12">
        <f>IFERROR(Tableau1[[#This Row],[Loyer annuel]]+Tableau1[[#This Row],[Charges annuelles]]+Tableau1[[#This Row],[Taxe foncière]]+Tableau1[[#This Row],[Marketing]],"")</f>
        <v>26790</v>
      </c>
      <c r="AD59" s="6" t="s">
        <v>105</v>
      </c>
      <c r="AE59" s="6" t="s">
        <v>105</v>
      </c>
      <c r="AF59" s="6" t="s">
        <v>105</v>
      </c>
      <c r="AG59" s="6" t="s">
        <v>444</v>
      </c>
      <c r="AH59" s="10" t="s">
        <v>415</v>
      </c>
      <c r="AI59" s="4" t="s">
        <v>396</v>
      </c>
      <c r="AJ59" s="4" t="s">
        <v>105</v>
      </c>
      <c r="AK59" s="5" t="s">
        <v>480</v>
      </c>
      <c r="AL59" s="5" t="s">
        <v>394</v>
      </c>
      <c r="AM59" s="11" t="s">
        <v>487</v>
      </c>
      <c r="AN59" s="11" t="s">
        <v>488</v>
      </c>
      <c r="AO59" s="33" t="s">
        <v>673</v>
      </c>
      <c r="AP59" s="34"/>
      <c r="AQ59" s="5" t="s">
        <v>77</v>
      </c>
      <c r="AR59" s="11" t="s">
        <v>416</v>
      </c>
      <c r="AS59" s="13" t="s">
        <v>38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134</v>
      </c>
      <c r="E60" s="27">
        <v>92100</v>
      </c>
      <c r="F60" s="40" t="s">
        <v>95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41</v>
      </c>
      <c r="I60" s="6" t="s">
        <v>46</v>
      </c>
      <c r="J60" s="6" t="s">
        <v>45</v>
      </c>
      <c r="K60" s="12" t="s">
        <v>105</v>
      </c>
      <c r="L60" s="12" t="s">
        <v>105</v>
      </c>
      <c r="M60" s="38" t="s">
        <v>354</v>
      </c>
      <c r="N60" s="36">
        <v>60</v>
      </c>
      <c r="O60" s="12"/>
      <c r="P60" s="10"/>
      <c r="Q60" s="12"/>
      <c r="R60" s="12">
        <f>Tableau1[[#This Row],[Loyer €/m²]]*Tableau1[[#This Row],[Surface GLA]]</f>
        <v>33000</v>
      </c>
      <c r="S60" s="6">
        <f>IFERROR(Tableau1[[#This Row],[Loyer annuel]]/12,"")</f>
        <v>2750</v>
      </c>
      <c r="T60" s="12">
        <v>550</v>
      </c>
      <c r="U60" s="6" t="s">
        <v>105</v>
      </c>
      <c r="V60" s="6">
        <f>Tableau1[[#This Row],[Charges €/m²]]*Tableau1[[#This Row],[Surface GLA]]</f>
        <v>420</v>
      </c>
      <c r="W60" s="12">
        <f>Tableau1[[#This Row],[Charges annuelles]]/12</f>
        <v>35</v>
      </c>
      <c r="X60" s="12">
        <v>7</v>
      </c>
      <c r="Y60" s="12">
        <f>IFERROR(Tableau1[[#This Row],[Taxe foncière €/m²]]*Tableau1[[#This Row],[Surface GLA]],)</f>
        <v>780</v>
      </c>
      <c r="Z60" s="6">
        <v>13</v>
      </c>
      <c r="AA60" s="12">
        <f>IFERROR(Tableau1[[#This Row],[Marketing €/m²]]*Tableau1[[#This Row],[Surface GLA]],)</f>
        <v>0</v>
      </c>
      <c r="AB60" s="6" t="s">
        <v>105</v>
      </c>
      <c r="AC60" s="12">
        <f>IFERROR(Tableau1[[#This Row],[Loyer annuel]]+Tableau1[[#This Row],[Charges annuelles]]+Tableau1[[#This Row],[Taxe foncière]]+Tableau1[[#This Row],[Marketing]],"")</f>
        <v>34200</v>
      </c>
      <c r="AD60" s="6" t="s">
        <v>105</v>
      </c>
      <c r="AE60" s="6" t="s">
        <v>105</v>
      </c>
      <c r="AF60" s="6" t="s">
        <v>105</v>
      </c>
      <c r="AG60" s="6" t="s">
        <v>444</v>
      </c>
      <c r="AH60" s="10" t="s">
        <v>415</v>
      </c>
      <c r="AI60" s="4" t="s">
        <v>396</v>
      </c>
      <c r="AJ60" s="4" t="s">
        <v>105</v>
      </c>
      <c r="AK60" s="5" t="s">
        <v>480</v>
      </c>
      <c r="AL60" s="5" t="s">
        <v>394</v>
      </c>
      <c r="AM60" s="11" t="s">
        <v>489</v>
      </c>
      <c r="AN60" s="11" t="s">
        <v>490</v>
      </c>
      <c r="AO60" s="33" t="s">
        <v>674</v>
      </c>
      <c r="AP60" s="34"/>
      <c r="AQ60" s="5" t="s">
        <v>77</v>
      </c>
      <c r="AR60" s="11" t="s">
        <v>416</v>
      </c>
      <c r="AS60" s="13" t="s">
        <v>38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134</v>
      </c>
      <c r="E61" s="27">
        <v>92100</v>
      </c>
      <c r="F61" s="40" t="s">
        <v>95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41</v>
      </c>
      <c r="I61" s="6" t="s">
        <v>46</v>
      </c>
      <c r="J61" s="6" t="s">
        <v>45</v>
      </c>
      <c r="K61" s="12" t="s">
        <v>105</v>
      </c>
      <c r="L61" s="12" t="s">
        <v>105</v>
      </c>
      <c r="M61" s="38" t="s">
        <v>355</v>
      </c>
      <c r="N61" s="36">
        <v>81</v>
      </c>
      <c r="O61" s="12"/>
      <c r="P61" s="10"/>
      <c r="Q61" s="12"/>
      <c r="R61" s="12">
        <f>Tableau1[[#This Row],[Loyer €/m²]]*Tableau1[[#This Row],[Surface GLA]]</f>
        <v>44550</v>
      </c>
      <c r="S61" s="6">
        <f>IFERROR(Tableau1[[#This Row],[Loyer annuel]]/12,"")</f>
        <v>3712.5</v>
      </c>
      <c r="T61" s="12">
        <v>550</v>
      </c>
      <c r="U61" s="6" t="s">
        <v>105</v>
      </c>
      <c r="V61" s="6">
        <f>Tableau1[[#This Row],[Charges €/m²]]*Tableau1[[#This Row],[Surface GLA]]</f>
        <v>567</v>
      </c>
      <c r="W61" s="12">
        <f>Tableau1[[#This Row],[Charges annuelles]]/12</f>
        <v>47.25</v>
      </c>
      <c r="X61" s="12">
        <v>7</v>
      </c>
      <c r="Y61" s="12">
        <f>IFERROR(Tableau1[[#This Row],[Taxe foncière €/m²]]*Tableau1[[#This Row],[Surface GLA]],)</f>
        <v>1053</v>
      </c>
      <c r="Z61" s="6">
        <v>13</v>
      </c>
      <c r="AA61" s="12">
        <f>IFERROR(Tableau1[[#This Row],[Marketing €/m²]]*Tableau1[[#This Row],[Surface GLA]],)</f>
        <v>0</v>
      </c>
      <c r="AB61" s="6" t="s">
        <v>105</v>
      </c>
      <c r="AC61" s="12">
        <f>IFERROR(Tableau1[[#This Row],[Loyer annuel]]+Tableau1[[#This Row],[Charges annuelles]]+Tableau1[[#This Row],[Taxe foncière]]+Tableau1[[#This Row],[Marketing]],"")</f>
        <v>46170</v>
      </c>
      <c r="AD61" s="6" t="s">
        <v>105</v>
      </c>
      <c r="AE61" s="6" t="s">
        <v>105</v>
      </c>
      <c r="AF61" s="6" t="s">
        <v>105</v>
      </c>
      <c r="AG61" s="6" t="s">
        <v>444</v>
      </c>
      <c r="AH61" s="10" t="s">
        <v>415</v>
      </c>
      <c r="AI61" s="4" t="s">
        <v>396</v>
      </c>
      <c r="AJ61" s="4" t="s">
        <v>105</v>
      </c>
      <c r="AK61" s="5" t="s">
        <v>480</v>
      </c>
      <c r="AL61" s="5" t="s">
        <v>394</v>
      </c>
      <c r="AM61" s="11" t="s">
        <v>491</v>
      </c>
      <c r="AN61" s="11" t="s">
        <v>492</v>
      </c>
      <c r="AO61" s="33" t="s">
        <v>675</v>
      </c>
      <c r="AP61" s="34"/>
      <c r="AQ61" s="5" t="s">
        <v>77</v>
      </c>
      <c r="AR61" s="11" t="s">
        <v>416</v>
      </c>
      <c r="AS61" s="13" t="s">
        <v>38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134</v>
      </c>
      <c r="E62" s="27">
        <v>92100</v>
      </c>
      <c r="F62" s="40" t="s">
        <v>95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41</v>
      </c>
      <c r="I62" s="6" t="s">
        <v>46</v>
      </c>
      <c r="J62" s="6" t="s">
        <v>45</v>
      </c>
      <c r="K62" s="12" t="s">
        <v>105</v>
      </c>
      <c r="L62" s="12" t="s">
        <v>105</v>
      </c>
      <c r="M62" s="38" t="s">
        <v>356</v>
      </c>
      <c r="N62" s="36">
        <v>45</v>
      </c>
      <c r="O62" s="12"/>
      <c r="P62" s="10"/>
      <c r="Q62" s="12"/>
      <c r="R62" s="12">
        <f>Tableau1[[#This Row],[Loyer €/m²]]*Tableau1[[#This Row],[Surface GLA]]</f>
        <v>24750</v>
      </c>
      <c r="S62" s="6">
        <f>IFERROR(Tableau1[[#This Row],[Loyer annuel]]/12,"")</f>
        <v>2062.5</v>
      </c>
      <c r="T62" s="12">
        <v>550</v>
      </c>
      <c r="U62" s="6" t="s">
        <v>105</v>
      </c>
      <c r="V62" s="6">
        <f>Tableau1[[#This Row],[Charges €/m²]]*Tableau1[[#This Row],[Surface GLA]]</f>
        <v>315</v>
      </c>
      <c r="W62" s="12">
        <f>Tableau1[[#This Row],[Charges annuelles]]/12</f>
        <v>26.25</v>
      </c>
      <c r="X62" s="12">
        <v>7</v>
      </c>
      <c r="Y62" s="12">
        <f>IFERROR(Tableau1[[#This Row],[Taxe foncière €/m²]]*Tableau1[[#This Row],[Surface GLA]],)</f>
        <v>585</v>
      </c>
      <c r="Z62" s="6">
        <v>13</v>
      </c>
      <c r="AA62" s="12">
        <f>IFERROR(Tableau1[[#This Row],[Marketing €/m²]]*Tableau1[[#This Row],[Surface GLA]],)</f>
        <v>0</v>
      </c>
      <c r="AB62" s="6" t="s">
        <v>105</v>
      </c>
      <c r="AC62" s="12">
        <f>IFERROR(Tableau1[[#This Row],[Loyer annuel]]+Tableau1[[#This Row],[Charges annuelles]]+Tableau1[[#This Row],[Taxe foncière]]+Tableau1[[#This Row],[Marketing]],"")</f>
        <v>25650</v>
      </c>
      <c r="AD62" s="6" t="s">
        <v>105</v>
      </c>
      <c r="AE62" s="6" t="s">
        <v>105</v>
      </c>
      <c r="AF62" s="6" t="s">
        <v>105</v>
      </c>
      <c r="AG62" s="6" t="s">
        <v>444</v>
      </c>
      <c r="AH62" s="10" t="s">
        <v>415</v>
      </c>
      <c r="AI62" s="4" t="s">
        <v>396</v>
      </c>
      <c r="AJ62" s="4" t="s">
        <v>105</v>
      </c>
      <c r="AK62" s="5" t="s">
        <v>480</v>
      </c>
      <c r="AL62" s="5" t="s">
        <v>394</v>
      </c>
      <c r="AM62" s="11" t="s">
        <v>493</v>
      </c>
      <c r="AN62" s="11" t="s">
        <v>494</v>
      </c>
      <c r="AO62" s="33" t="s">
        <v>676</v>
      </c>
      <c r="AP62" s="34"/>
      <c r="AQ62" s="5" t="s">
        <v>77</v>
      </c>
      <c r="AR62" s="11" t="s">
        <v>416</v>
      </c>
      <c r="AS62" s="13" t="s">
        <v>38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134</v>
      </c>
      <c r="E63" s="27">
        <v>92100</v>
      </c>
      <c r="F63" s="40" t="s">
        <v>95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41</v>
      </c>
      <c r="I63" s="6" t="s">
        <v>46</v>
      </c>
      <c r="J63" s="6" t="s">
        <v>45</v>
      </c>
      <c r="K63" s="12" t="s">
        <v>105</v>
      </c>
      <c r="L63" s="12" t="s">
        <v>105</v>
      </c>
      <c r="M63" s="38" t="s">
        <v>357</v>
      </c>
      <c r="N63" s="36">
        <v>73</v>
      </c>
      <c r="O63" s="12"/>
      <c r="P63" s="10"/>
      <c r="Q63" s="12"/>
      <c r="R63" s="12">
        <f>Tableau1[[#This Row],[Loyer €/m²]]*Tableau1[[#This Row],[Surface GLA]]</f>
        <v>32850</v>
      </c>
      <c r="S63" s="6">
        <f>IFERROR(Tableau1[[#This Row],[Loyer annuel]]/12,"")</f>
        <v>2737.5</v>
      </c>
      <c r="T63" s="12">
        <v>450</v>
      </c>
      <c r="U63" s="6" t="s">
        <v>105</v>
      </c>
      <c r="V63" s="6">
        <f>Tableau1[[#This Row],[Charges €/m²]]*Tableau1[[#This Row],[Surface GLA]]</f>
        <v>511</v>
      </c>
      <c r="W63" s="12">
        <f>Tableau1[[#This Row],[Charges annuelles]]/12</f>
        <v>42.583333333333336</v>
      </c>
      <c r="X63" s="12">
        <v>7</v>
      </c>
      <c r="Y63" s="12">
        <f>IFERROR(Tableau1[[#This Row],[Taxe foncière €/m²]]*Tableau1[[#This Row],[Surface GLA]],)</f>
        <v>949</v>
      </c>
      <c r="Z63" s="6">
        <v>13</v>
      </c>
      <c r="AA63" s="12">
        <f>IFERROR(Tableau1[[#This Row],[Marketing €/m²]]*Tableau1[[#This Row],[Surface GLA]],)</f>
        <v>0</v>
      </c>
      <c r="AB63" s="6" t="s">
        <v>105</v>
      </c>
      <c r="AC63" s="12">
        <f>IFERROR(Tableau1[[#This Row],[Loyer annuel]]+Tableau1[[#This Row],[Charges annuelles]]+Tableau1[[#This Row],[Taxe foncière]]+Tableau1[[#This Row],[Marketing]],"")</f>
        <v>34310</v>
      </c>
      <c r="AD63" s="6" t="s">
        <v>105</v>
      </c>
      <c r="AE63" s="6" t="s">
        <v>105</v>
      </c>
      <c r="AF63" s="6" t="s">
        <v>105</v>
      </c>
      <c r="AG63" s="6" t="s">
        <v>444</v>
      </c>
      <c r="AH63" s="10" t="s">
        <v>415</v>
      </c>
      <c r="AI63" s="4" t="s">
        <v>396</v>
      </c>
      <c r="AJ63" s="4" t="s">
        <v>105</v>
      </c>
      <c r="AK63" s="5" t="s">
        <v>480</v>
      </c>
      <c r="AL63" s="5" t="s">
        <v>394</v>
      </c>
      <c r="AM63" s="11" t="s">
        <v>495</v>
      </c>
      <c r="AN63" s="11" t="s">
        <v>496</v>
      </c>
      <c r="AO63" s="33" t="s">
        <v>677</v>
      </c>
      <c r="AP63" s="34"/>
      <c r="AQ63" s="5" t="s">
        <v>77</v>
      </c>
      <c r="AR63" s="11" t="s">
        <v>416</v>
      </c>
      <c r="AS63" s="13" t="s">
        <v>38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135</v>
      </c>
      <c r="E64" s="27">
        <v>92250</v>
      </c>
      <c r="F64" s="40" t="s">
        <v>98</v>
      </c>
      <c r="G64" s="5" t="str">
        <f>Tableau1[[#This Row],[Rue]]&amp;CHAR(10)&amp;Tableau1[[#This Row],[Code Postal]]&amp;" - "&amp;Tableau1[[#This Row],[Ville]]</f>
        <v>143 Rue des Fauvelles
92250 - La Garenne-Colombes</v>
      </c>
      <c r="H64" s="15" t="s">
        <v>33</v>
      </c>
      <c r="I64" s="6" t="s">
        <v>46</v>
      </c>
      <c r="J64" s="6" t="s">
        <v>45</v>
      </c>
      <c r="K64" s="12" t="s">
        <v>105</v>
      </c>
      <c r="L64" s="12" t="s">
        <v>105</v>
      </c>
      <c r="M64" s="37" t="s">
        <v>358</v>
      </c>
      <c r="N64" s="36">
        <v>80</v>
      </c>
      <c r="O64" s="6" t="s">
        <v>105</v>
      </c>
      <c r="P64" s="36" t="s">
        <v>105</v>
      </c>
      <c r="Q64" s="6" t="s">
        <v>105</v>
      </c>
      <c r="R64" s="12">
        <f>Tableau1[[#This Row],[Loyer €/m²]]*Tableau1[[#This Row],[Surface GLA]]</f>
        <v>36000</v>
      </c>
      <c r="S64" s="6">
        <f>IFERROR(Tableau1[[#This Row],[Loyer annuel]]/12,"")</f>
        <v>3000</v>
      </c>
      <c r="T64" s="12">
        <v>450</v>
      </c>
      <c r="U64" s="6" t="s">
        <v>105</v>
      </c>
      <c r="V64" s="6">
        <f>Tableau1[[#This Row],[Charges €/m²]]*Tableau1[[#This Row],[Surface GLA]]</f>
        <v>320</v>
      </c>
      <c r="W64" s="12">
        <f>Tableau1[[#This Row],[Charges annuelles]]/12</f>
        <v>26.666666666666668</v>
      </c>
      <c r="X64" s="12">
        <v>4</v>
      </c>
      <c r="Y64" s="12">
        <f>IFERROR(Tableau1[[#This Row],[Taxe foncière €/m²]]*Tableau1[[#This Row],[Surface GLA]],)</f>
        <v>1520</v>
      </c>
      <c r="Z64" s="6">
        <v>19</v>
      </c>
      <c r="AA64" s="6">
        <f>IFERROR(Tableau1[[#This Row],[Marketing €/m²]]*Tableau1[[#This Row],[Surface GLA]],)</f>
        <v>0</v>
      </c>
      <c r="AB64" s="6" t="s">
        <v>105</v>
      </c>
      <c r="AC64" s="12">
        <f>IFERROR(Tableau1[[#This Row],[Loyer annuel]]+Tableau1[[#This Row],[Charges annuelles]]+Tableau1[[#This Row],[Taxe foncière]]+Tableau1[[#This Row],[Marketing]],"")</f>
        <v>37840</v>
      </c>
      <c r="AD64" s="6" t="s">
        <v>105</v>
      </c>
      <c r="AE64" s="6" t="s">
        <v>105</v>
      </c>
      <c r="AF64" s="6" t="s">
        <v>105</v>
      </c>
      <c r="AG64" s="6" t="s">
        <v>444</v>
      </c>
      <c r="AH64" s="10" t="s">
        <v>54</v>
      </c>
      <c r="AI64" s="4" t="s">
        <v>395</v>
      </c>
      <c r="AJ64" s="4" t="s">
        <v>504</v>
      </c>
      <c r="AK64" s="5" t="s">
        <v>501</v>
      </c>
      <c r="AL64" s="5" t="s">
        <v>394</v>
      </c>
      <c r="AM64" s="5" t="s">
        <v>497</v>
      </c>
      <c r="AN64" s="5" t="s">
        <v>498</v>
      </c>
      <c r="AO64" s="33" t="s">
        <v>678</v>
      </c>
      <c r="AP64" s="33"/>
      <c r="AQ64" s="5" t="s">
        <v>77</v>
      </c>
      <c r="AR64" s="11" t="s">
        <v>502</v>
      </c>
      <c r="AS64" s="13" t="s">
        <v>31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135</v>
      </c>
      <c r="E65" s="27">
        <v>92250</v>
      </c>
      <c r="F65" s="40" t="s">
        <v>98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46</v>
      </c>
      <c r="J65" s="6" t="s">
        <v>45</v>
      </c>
      <c r="K65" s="12" t="s">
        <v>105</v>
      </c>
      <c r="L65" s="12" t="s">
        <v>105</v>
      </c>
      <c r="M65" s="38" t="s">
        <v>359</v>
      </c>
      <c r="N65" s="36">
        <v>110</v>
      </c>
      <c r="O65" s="12"/>
      <c r="P65" s="10"/>
      <c r="Q65" s="12"/>
      <c r="R65" s="12">
        <f>Tableau1[[#This Row],[Loyer €/m²]]*Tableau1[[#This Row],[Surface GLA]]</f>
        <v>49500</v>
      </c>
      <c r="S65" s="6">
        <f>IFERROR(Tableau1[[#This Row],[Loyer annuel]]/12,"")</f>
        <v>4125</v>
      </c>
      <c r="T65" s="12">
        <v>450</v>
      </c>
      <c r="U65" s="6" t="s">
        <v>105</v>
      </c>
      <c r="V65" s="6">
        <f>Tableau1[[#This Row],[Charges €/m²]]*Tableau1[[#This Row],[Surface GLA]]</f>
        <v>440</v>
      </c>
      <c r="W65" s="12">
        <f>Tableau1[[#This Row],[Charges annuelles]]/12</f>
        <v>36.666666666666664</v>
      </c>
      <c r="X65" s="12">
        <v>4</v>
      </c>
      <c r="Y65" s="12">
        <f>IFERROR(Tableau1[[#This Row],[Taxe foncière €/m²]]*Tableau1[[#This Row],[Surface GLA]],)</f>
        <v>2090</v>
      </c>
      <c r="Z65" s="12">
        <v>19</v>
      </c>
      <c r="AA65" s="12">
        <f>IFERROR(Tableau1[[#This Row],[Marketing €/m²]]*Tableau1[[#This Row],[Surface GLA]],)</f>
        <v>0</v>
      </c>
      <c r="AB65" s="6" t="s">
        <v>105</v>
      </c>
      <c r="AC65" s="12">
        <f>IFERROR(Tableau1[[#This Row],[Loyer annuel]]+Tableau1[[#This Row],[Charges annuelles]]+Tableau1[[#This Row],[Taxe foncière]]+Tableau1[[#This Row],[Marketing]],"")</f>
        <v>52030</v>
      </c>
      <c r="AD65" s="6" t="s">
        <v>105</v>
      </c>
      <c r="AE65" s="6" t="s">
        <v>105</v>
      </c>
      <c r="AF65" s="6" t="s">
        <v>105</v>
      </c>
      <c r="AG65" s="12" t="s">
        <v>444</v>
      </c>
      <c r="AH65" s="10" t="s">
        <v>77</v>
      </c>
      <c r="AI65" s="10" t="s">
        <v>396</v>
      </c>
      <c r="AJ65" s="4" t="s">
        <v>504</v>
      </c>
      <c r="AK65" s="5" t="s">
        <v>501</v>
      </c>
      <c r="AL65" s="5" t="s">
        <v>394</v>
      </c>
      <c r="AM65" s="11" t="s">
        <v>499</v>
      </c>
      <c r="AN65" s="11" t="s">
        <v>500</v>
      </c>
      <c r="AO65" s="33" t="s">
        <v>679</v>
      </c>
      <c r="AP65" s="34"/>
      <c r="AQ65" s="5" t="s">
        <v>77</v>
      </c>
      <c r="AR65" s="11" t="s">
        <v>503</v>
      </c>
      <c r="AS65" s="13" t="s">
        <v>31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136</v>
      </c>
      <c r="E66" s="27">
        <v>92290</v>
      </c>
      <c r="F66" s="10" t="s">
        <v>96</v>
      </c>
      <c r="G66" s="5" t="str">
        <f>Tableau1[[#This Row],[Rue]]&amp;CHAR(10)&amp;Tableau1[[#This Row],[Code Postal]]&amp;" - "&amp;Tableau1[[#This Row],[Ville]]</f>
        <v>Cours du Commerce
92290 - Châtenay-Malabry</v>
      </c>
      <c r="H66" s="15" t="s">
        <v>37</v>
      </c>
      <c r="I66" s="6" t="s">
        <v>46</v>
      </c>
      <c r="J66" s="6" t="s">
        <v>45</v>
      </c>
      <c r="K66" s="12" t="s">
        <v>105</v>
      </c>
      <c r="L66" s="12" t="s">
        <v>105</v>
      </c>
      <c r="M66" s="37" t="s">
        <v>360</v>
      </c>
      <c r="N66" s="36">
        <v>321</v>
      </c>
      <c r="O66" s="6" t="s">
        <v>105</v>
      </c>
      <c r="P66" s="36" t="s">
        <v>105</v>
      </c>
      <c r="Q66" s="6" t="s">
        <v>105</v>
      </c>
      <c r="R66" s="12">
        <f>Tableau1[[#This Row],[Loyer €/m²]]*Tableau1[[#This Row],[Surface GLA]]</f>
        <v>104325</v>
      </c>
      <c r="S66" s="6">
        <f>IFERROR(Tableau1[[#This Row],[Loyer annuel]]/12,"")</f>
        <v>8693.75</v>
      </c>
      <c r="T66" s="12">
        <v>325</v>
      </c>
      <c r="U66" s="6" t="s">
        <v>105</v>
      </c>
      <c r="V66" s="6">
        <f>Tableau1[[#This Row],[Charges €/m²]]*Tableau1[[#This Row],[Surface GLA]]</f>
        <v>9630</v>
      </c>
      <c r="W66" s="12">
        <f>Tableau1[[#This Row],[Charges annuelles]]/12</f>
        <v>802.5</v>
      </c>
      <c r="X66" s="12">
        <v>30</v>
      </c>
      <c r="Y66" s="12">
        <f>IFERROR(Tableau1[[#This Row],[Taxe foncière €/m²]]*Tableau1[[#This Row],[Surface GLA]],)</f>
        <v>0</v>
      </c>
      <c r="Z66" s="6" t="s">
        <v>105</v>
      </c>
      <c r="AA66" s="6">
        <f>IFERROR(Tableau1[[#This Row],[Marketing €/m²]]*Tableau1[[#This Row],[Surface GLA]],)</f>
        <v>0</v>
      </c>
      <c r="AB66" s="6" t="s">
        <v>105</v>
      </c>
      <c r="AC66" s="6">
        <f>IFERROR(Tableau1[[#This Row],[Loyer annuel]]+Tableau1[[#This Row],[Charges annuelles]]+Tableau1[[#This Row],[Taxe foncière]]+Tableau1[[#This Row],[Marketing]],"")</f>
        <v>113955</v>
      </c>
      <c r="AD66" s="6" t="s">
        <v>105</v>
      </c>
      <c r="AE66" s="6" t="s">
        <v>105</v>
      </c>
      <c r="AF66" s="6" t="s">
        <v>105</v>
      </c>
      <c r="AG66" s="12" t="s">
        <v>444</v>
      </c>
      <c r="AH66" s="10" t="s">
        <v>77</v>
      </c>
      <c r="AI66" s="4" t="s">
        <v>105</v>
      </c>
      <c r="AJ66" s="4" t="s">
        <v>619</v>
      </c>
      <c r="AK66" s="5" t="s">
        <v>382</v>
      </c>
      <c r="AL66" s="5" t="s">
        <v>394</v>
      </c>
      <c r="AM66" s="5" t="s">
        <v>300</v>
      </c>
      <c r="AN66" s="5" t="s">
        <v>301</v>
      </c>
      <c r="AO66" s="33" t="s">
        <v>680</v>
      </c>
      <c r="AP66" s="33"/>
      <c r="AQ66" s="5" t="s">
        <v>77</v>
      </c>
      <c r="AR66" s="11" t="s">
        <v>416</v>
      </c>
      <c r="AS66" s="13" t="s">
        <v>38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136</v>
      </c>
      <c r="E67" s="27">
        <v>92290</v>
      </c>
      <c r="F67" s="10" t="s">
        <v>96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37</v>
      </c>
      <c r="I67" s="6" t="s">
        <v>46</v>
      </c>
      <c r="J67" s="6" t="s">
        <v>45</v>
      </c>
      <c r="K67" s="12" t="s">
        <v>105</v>
      </c>
      <c r="L67" s="12" t="s">
        <v>105</v>
      </c>
      <c r="M67" s="38" t="s">
        <v>361</v>
      </c>
      <c r="N67" s="36">
        <v>159</v>
      </c>
      <c r="O67" s="12"/>
      <c r="P67" s="10"/>
      <c r="Q67" s="12"/>
      <c r="R67" s="12">
        <f>Tableau1[[#This Row],[Loyer €/m²]]*Tableau1[[#This Row],[Surface GLA]]</f>
        <v>51675</v>
      </c>
      <c r="S67" s="6">
        <f>IFERROR(Tableau1[[#This Row],[Loyer annuel]]/12,"")</f>
        <v>4306.25</v>
      </c>
      <c r="T67" s="12">
        <v>325</v>
      </c>
      <c r="U67" s="6" t="s">
        <v>105</v>
      </c>
      <c r="V67" s="6">
        <f>Tableau1[[#This Row],[Charges €/m²]]*Tableau1[[#This Row],[Surface GLA]]</f>
        <v>4770</v>
      </c>
      <c r="W67" s="12">
        <f>Tableau1[[#This Row],[Charges annuelles]]/12</f>
        <v>397.5</v>
      </c>
      <c r="X67" s="12">
        <v>30</v>
      </c>
      <c r="Y67" s="12">
        <f>IFERROR(Tableau1[[#This Row],[Taxe foncière €/m²]]*Tableau1[[#This Row],[Surface GLA]],)</f>
        <v>0</v>
      </c>
      <c r="Z67" s="12"/>
      <c r="AA67" s="12">
        <f>IFERROR(Tableau1[[#This Row],[Marketing €/m²]]*Tableau1[[#This Row],[Surface GLA]],)</f>
        <v>0</v>
      </c>
      <c r="AB67" s="6" t="s">
        <v>105</v>
      </c>
      <c r="AC67" s="12">
        <f>IFERROR(Tableau1[[#This Row],[Loyer annuel]]+Tableau1[[#This Row],[Charges annuelles]]+Tableau1[[#This Row],[Taxe foncière]]+Tableau1[[#This Row],[Marketing]],"")</f>
        <v>56445</v>
      </c>
      <c r="AD67" s="6" t="s">
        <v>105</v>
      </c>
      <c r="AE67" s="6" t="s">
        <v>105</v>
      </c>
      <c r="AF67" s="6" t="s">
        <v>105</v>
      </c>
      <c r="AG67" s="12" t="s">
        <v>444</v>
      </c>
      <c r="AH67" s="10"/>
      <c r="AI67" s="10"/>
      <c r="AJ67" s="4" t="s">
        <v>619</v>
      </c>
      <c r="AK67" s="5" t="s">
        <v>382</v>
      </c>
      <c r="AL67" s="5" t="s">
        <v>394</v>
      </c>
      <c r="AM67" s="11"/>
      <c r="AN67" s="11"/>
      <c r="AO67" s="33" t="s">
        <v>681</v>
      </c>
      <c r="AP67" s="34"/>
      <c r="AQ67" s="5" t="s">
        <v>77</v>
      </c>
      <c r="AR67" s="11" t="s">
        <v>416</v>
      </c>
      <c r="AS67" s="13" t="s">
        <v>38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136</v>
      </c>
      <c r="E68" s="27">
        <v>92290</v>
      </c>
      <c r="F68" s="10" t="s">
        <v>96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37</v>
      </c>
      <c r="I68" s="6" t="s">
        <v>46</v>
      </c>
      <c r="J68" s="6" t="s">
        <v>45</v>
      </c>
      <c r="K68" s="12" t="s">
        <v>105</v>
      </c>
      <c r="L68" s="12" t="s">
        <v>105</v>
      </c>
      <c r="M68" s="38" t="s">
        <v>362</v>
      </c>
      <c r="N68" s="36">
        <v>281</v>
      </c>
      <c r="O68" s="12"/>
      <c r="P68" s="10"/>
      <c r="Q68" s="12"/>
      <c r="R68" s="12">
        <f>Tableau1[[#This Row],[Loyer €/m²]]*Tableau1[[#This Row],[Surface GLA]]</f>
        <v>91325</v>
      </c>
      <c r="S68" s="6">
        <f>IFERROR(Tableau1[[#This Row],[Loyer annuel]]/12,"")</f>
        <v>7610.416666666667</v>
      </c>
      <c r="T68" s="12">
        <v>325</v>
      </c>
      <c r="U68" s="6" t="s">
        <v>105</v>
      </c>
      <c r="V68" s="6">
        <f>Tableau1[[#This Row],[Charges €/m²]]*Tableau1[[#This Row],[Surface GLA]]</f>
        <v>8430</v>
      </c>
      <c r="W68" s="12">
        <f>Tableau1[[#This Row],[Charges annuelles]]/12</f>
        <v>702.5</v>
      </c>
      <c r="X68" s="12">
        <v>30</v>
      </c>
      <c r="Y68" s="12">
        <f>IFERROR(Tableau1[[#This Row],[Taxe foncière €/m²]]*Tableau1[[#This Row],[Surface GLA]],)</f>
        <v>0</v>
      </c>
      <c r="Z68" s="12"/>
      <c r="AA68" s="12">
        <f>IFERROR(Tableau1[[#This Row],[Marketing €/m²]]*Tableau1[[#This Row],[Surface GLA]],)</f>
        <v>0</v>
      </c>
      <c r="AB68" s="6" t="s">
        <v>105</v>
      </c>
      <c r="AC68" s="12">
        <f>IFERROR(Tableau1[[#This Row],[Loyer annuel]]+Tableau1[[#This Row],[Charges annuelles]]+Tableau1[[#This Row],[Taxe foncière]]+Tableau1[[#This Row],[Marketing]],"")</f>
        <v>99755</v>
      </c>
      <c r="AD68" s="6" t="s">
        <v>105</v>
      </c>
      <c r="AE68" s="6" t="s">
        <v>105</v>
      </c>
      <c r="AF68" s="6" t="s">
        <v>105</v>
      </c>
      <c r="AG68" s="12" t="s">
        <v>444</v>
      </c>
      <c r="AH68" s="10"/>
      <c r="AI68" s="10"/>
      <c r="AJ68" s="4" t="s">
        <v>619</v>
      </c>
      <c r="AK68" s="5" t="s">
        <v>382</v>
      </c>
      <c r="AL68" s="5" t="s">
        <v>394</v>
      </c>
      <c r="AM68" s="11"/>
      <c r="AN68" s="11"/>
      <c r="AO68" s="33" t="s">
        <v>682</v>
      </c>
      <c r="AP68" s="34"/>
      <c r="AQ68" s="5" t="s">
        <v>77</v>
      </c>
      <c r="AR68" s="11" t="s">
        <v>416</v>
      </c>
      <c r="AS68" s="13" t="s">
        <v>38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136</v>
      </c>
      <c r="E69" s="27">
        <v>92290</v>
      </c>
      <c r="F69" s="10" t="s">
        <v>96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37</v>
      </c>
      <c r="I69" s="6" t="s">
        <v>46</v>
      </c>
      <c r="J69" s="6" t="s">
        <v>45</v>
      </c>
      <c r="K69" s="12" t="s">
        <v>105</v>
      </c>
      <c r="L69" s="12" t="s">
        <v>105</v>
      </c>
      <c r="M69" s="38" t="s">
        <v>355</v>
      </c>
      <c r="N69" s="36">
        <v>168</v>
      </c>
      <c r="O69" s="12"/>
      <c r="P69" s="10"/>
      <c r="Q69" s="12"/>
      <c r="R69" s="12">
        <f>Tableau1[[#This Row],[Loyer €/m²]]*Tableau1[[#This Row],[Surface GLA]]</f>
        <v>54600</v>
      </c>
      <c r="S69" s="6">
        <f>IFERROR(Tableau1[[#This Row],[Loyer annuel]]/12,"")</f>
        <v>4550</v>
      </c>
      <c r="T69" s="12">
        <v>325</v>
      </c>
      <c r="U69" s="6" t="s">
        <v>105</v>
      </c>
      <c r="V69" s="6">
        <f>Tableau1[[#This Row],[Charges €/m²]]*Tableau1[[#This Row],[Surface GLA]]</f>
        <v>5040</v>
      </c>
      <c r="W69" s="12">
        <f>Tableau1[[#This Row],[Charges annuelles]]/12</f>
        <v>420</v>
      </c>
      <c r="X69" s="12">
        <v>30</v>
      </c>
      <c r="Y69" s="12">
        <f>IFERROR(Tableau1[[#This Row],[Taxe foncière €/m²]]*Tableau1[[#This Row],[Surface GLA]],)</f>
        <v>0</v>
      </c>
      <c r="Z69" s="12"/>
      <c r="AA69" s="12">
        <f>IFERROR(Tableau1[[#This Row],[Marketing €/m²]]*Tableau1[[#This Row],[Surface GLA]],)</f>
        <v>0</v>
      </c>
      <c r="AB69" s="6" t="s">
        <v>105</v>
      </c>
      <c r="AC69" s="12">
        <f>IFERROR(Tableau1[[#This Row],[Loyer annuel]]+Tableau1[[#This Row],[Charges annuelles]]+Tableau1[[#This Row],[Taxe foncière]]+Tableau1[[#This Row],[Marketing]],"")</f>
        <v>59640</v>
      </c>
      <c r="AD69" s="6" t="s">
        <v>105</v>
      </c>
      <c r="AE69" s="6" t="s">
        <v>105</v>
      </c>
      <c r="AF69" s="6" t="s">
        <v>105</v>
      </c>
      <c r="AG69" s="12" t="s">
        <v>444</v>
      </c>
      <c r="AH69" s="10"/>
      <c r="AI69" s="10"/>
      <c r="AJ69" s="4" t="s">
        <v>619</v>
      </c>
      <c r="AK69" s="5" t="s">
        <v>382</v>
      </c>
      <c r="AL69" s="5" t="s">
        <v>394</v>
      </c>
      <c r="AM69" s="11"/>
      <c r="AN69" s="11"/>
      <c r="AO69" s="33" t="s">
        <v>683</v>
      </c>
      <c r="AP69" s="34"/>
      <c r="AQ69" s="5" t="s">
        <v>77</v>
      </c>
      <c r="AR69" s="11" t="s">
        <v>416</v>
      </c>
      <c r="AS69" s="13" t="s">
        <v>38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136</v>
      </c>
      <c r="E70" s="27">
        <v>92290</v>
      </c>
      <c r="F70" s="10" t="s">
        <v>96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37</v>
      </c>
      <c r="I70" s="6" t="s">
        <v>46</v>
      </c>
      <c r="J70" s="6" t="s">
        <v>45</v>
      </c>
      <c r="K70" s="12" t="s">
        <v>105</v>
      </c>
      <c r="L70" s="12" t="s">
        <v>105</v>
      </c>
      <c r="M70" s="38" t="s">
        <v>363</v>
      </c>
      <c r="N70" s="36">
        <v>228</v>
      </c>
      <c r="O70" s="12"/>
      <c r="P70" s="10"/>
      <c r="Q70" s="12"/>
      <c r="R70" s="12">
        <f>Tableau1[[#This Row],[Loyer €/m²]]*Tableau1[[#This Row],[Surface GLA]]</f>
        <v>74100</v>
      </c>
      <c r="S70" s="6">
        <f>IFERROR(Tableau1[[#This Row],[Loyer annuel]]/12,"")</f>
        <v>6175</v>
      </c>
      <c r="T70" s="12">
        <v>325</v>
      </c>
      <c r="U70" s="6" t="s">
        <v>105</v>
      </c>
      <c r="V70" s="6">
        <f>Tableau1[[#This Row],[Charges €/m²]]*Tableau1[[#This Row],[Surface GLA]]</f>
        <v>6840</v>
      </c>
      <c r="W70" s="12">
        <f>Tableau1[[#This Row],[Charges annuelles]]/12</f>
        <v>570</v>
      </c>
      <c r="X70" s="12">
        <v>30</v>
      </c>
      <c r="Y70" s="12">
        <f>IFERROR(Tableau1[[#This Row],[Taxe foncière €/m²]]*Tableau1[[#This Row],[Surface GLA]],)</f>
        <v>0</v>
      </c>
      <c r="Z70" s="12"/>
      <c r="AA70" s="12">
        <f>IFERROR(Tableau1[[#This Row],[Marketing €/m²]]*Tableau1[[#This Row],[Surface GLA]],)</f>
        <v>0</v>
      </c>
      <c r="AB70" s="6" t="s">
        <v>105</v>
      </c>
      <c r="AC70" s="12">
        <f>IFERROR(Tableau1[[#This Row],[Loyer annuel]]+Tableau1[[#This Row],[Charges annuelles]]+Tableau1[[#This Row],[Taxe foncière]]+Tableau1[[#This Row],[Marketing]],"")</f>
        <v>80940</v>
      </c>
      <c r="AD70" s="6" t="s">
        <v>105</v>
      </c>
      <c r="AE70" s="6" t="s">
        <v>105</v>
      </c>
      <c r="AF70" s="6" t="s">
        <v>105</v>
      </c>
      <c r="AG70" s="12" t="s">
        <v>444</v>
      </c>
      <c r="AH70" s="10"/>
      <c r="AI70" s="10"/>
      <c r="AJ70" s="4" t="s">
        <v>619</v>
      </c>
      <c r="AK70" s="5" t="s">
        <v>382</v>
      </c>
      <c r="AL70" s="5" t="s">
        <v>394</v>
      </c>
      <c r="AM70" s="11"/>
      <c r="AN70" s="11"/>
      <c r="AO70" s="33" t="s">
        <v>684</v>
      </c>
      <c r="AP70" s="34"/>
      <c r="AQ70" s="5" t="s">
        <v>77</v>
      </c>
      <c r="AR70" s="11" t="s">
        <v>416</v>
      </c>
      <c r="AS70" s="13" t="s">
        <v>38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136</v>
      </c>
      <c r="E71" s="27">
        <v>92290</v>
      </c>
      <c r="F71" s="10" t="s">
        <v>96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37</v>
      </c>
      <c r="I71" s="6" t="s">
        <v>46</v>
      </c>
      <c r="J71" s="6" t="s">
        <v>45</v>
      </c>
      <c r="K71" s="12" t="s">
        <v>105</v>
      </c>
      <c r="L71" s="12" t="s">
        <v>105</v>
      </c>
      <c r="M71" s="38" t="s">
        <v>364</v>
      </c>
      <c r="N71" s="36">
        <v>133</v>
      </c>
      <c r="O71" s="12"/>
      <c r="P71" s="10"/>
      <c r="Q71" s="12"/>
      <c r="R71" s="12">
        <f>Tableau1[[#This Row],[Loyer €/m²]]*Tableau1[[#This Row],[Surface GLA]]</f>
        <v>43225</v>
      </c>
      <c r="S71" s="6">
        <f>IFERROR(Tableau1[[#This Row],[Loyer annuel]]/12,"")</f>
        <v>3602.0833333333335</v>
      </c>
      <c r="T71" s="12">
        <v>325</v>
      </c>
      <c r="U71" s="6" t="s">
        <v>105</v>
      </c>
      <c r="V71" s="6">
        <f>Tableau1[[#This Row],[Charges €/m²]]*Tableau1[[#This Row],[Surface GLA]]</f>
        <v>3990</v>
      </c>
      <c r="W71" s="12">
        <f>Tableau1[[#This Row],[Charges annuelles]]/12</f>
        <v>332.5</v>
      </c>
      <c r="X71" s="12">
        <v>30</v>
      </c>
      <c r="Y71" s="12">
        <f>IFERROR(Tableau1[[#This Row],[Taxe foncière €/m²]]*Tableau1[[#This Row],[Surface GLA]],)</f>
        <v>0</v>
      </c>
      <c r="Z71" s="12"/>
      <c r="AA71" s="12">
        <f>IFERROR(Tableau1[[#This Row],[Marketing €/m²]]*Tableau1[[#This Row],[Surface GLA]],)</f>
        <v>0</v>
      </c>
      <c r="AB71" s="6" t="s">
        <v>105</v>
      </c>
      <c r="AC71" s="12">
        <f>IFERROR(Tableau1[[#This Row],[Loyer annuel]]+Tableau1[[#This Row],[Charges annuelles]]+Tableau1[[#This Row],[Taxe foncière]]+Tableau1[[#This Row],[Marketing]],"")</f>
        <v>47215</v>
      </c>
      <c r="AD71" s="6" t="s">
        <v>105</v>
      </c>
      <c r="AE71" s="6" t="s">
        <v>105</v>
      </c>
      <c r="AF71" s="6" t="s">
        <v>105</v>
      </c>
      <c r="AG71" s="12" t="s">
        <v>444</v>
      </c>
      <c r="AH71" s="10"/>
      <c r="AI71" s="10"/>
      <c r="AJ71" s="4" t="s">
        <v>619</v>
      </c>
      <c r="AK71" s="5" t="s">
        <v>382</v>
      </c>
      <c r="AL71" s="5" t="s">
        <v>394</v>
      </c>
      <c r="AM71" s="11"/>
      <c r="AN71" s="11"/>
      <c r="AO71" s="33" t="s">
        <v>685</v>
      </c>
      <c r="AP71" s="34"/>
      <c r="AQ71" s="5" t="s">
        <v>77</v>
      </c>
      <c r="AR71" s="11" t="s">
        <v>416</v>
      </c>
      <c r="AS71" s="13" t="s">
        <v>38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136</v>
      </c>
      <c r="E72" s="27">
        <v>92290</v>
      </c>
      <c r="F72" s="10" t="s">
        <v>96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37</v>
      </c>
      <c r="I72" s="6" t="s">
        <v>46</v>
      </c>
      <c r="J72" s="6" t="s">
        <v>45</v>
      </c>
      <c r="K72" s="12" t="s">
        <v>105</v>
      </c>
      <c r="L72" s="12" t="s">
        <v>105</v>
      </c>
      <c r="M72" s="38" t="s">
        <v>365</v>
      </c>
      <c r="N72" s="36">
        <v>341</v>
      </c>
      <c r="O72" s="12"/>
      <c r="P72" s="10"/>
      <c r="Q72" s="12"/>
      <c r="R72" s="12">
        <f>Tableau1[[#This Row],[Loyer €/m²]]*Tableau1[[#This Row],[Surface GLA]]</f>
        <v>119350</v>
      </c>
      <c r="S72" s="6">
        <f>IFERROR(Tableau1[[#This Row],[Loyer annuel]]/12,"")</f>
        <v>9945.8333333333339</v>
      </c>
      <c r="T72" s="12">
        <v>350</v>
      </c>
      <c r="U72" s="6" t="s">
        <v>105</v>
      </c>
      <c r="V72" s="6">
        <f>Tableau1[[#This Row],[Charges €/m²]]*Tableau1[[#This Row],[Surface GLA]]</f>
        <v>10230</v>
      </c>
      <c r="W72" s="12">
        <f>Tableau1[[#This Row],[Charges annuelles]]/12</f>
        <v>852.5</v>
      </c>
      <c r="X72" s="12">
        <v>30</v>
      </c>
      <c r="Y72" s="12">
        <f>IFERROR(Tableau1[[#This Row],[Taxe foncière €/m²]]*Tableau1[[#This Row],[Surface GLA]],)</f>
        <v>0</v>
      </c>
      <c r="Z72" s="12"/>
      <c r="AA72" s="12">
        <f>IFERROR(Tableau1[[#This Row],[Marketing €/m²]]*Tableau1[[#This Row],[Surface GLA]],)</f>
        <v>0</v>
      </c>
      <c r="AB72" s="6" t="s">
        <v>105</v>
      </c>
      <c r="AC72" s="12">
        <f>IFERROR(Tableau1[[#This Row],[Loyer annuel]]+Tableau1[[#This Row],[Charges annuelles]]+Tableau1[[#This Row],[Taxe foncière]]+Tableau1[[#This Row],[Marketing]],"")</f>
        <v>129580</v>
      </c>
      <c r="AD72" s="6" t="s">
        <v>105</v>
      </c>
      <c r="AE72" s="6" t="s">
        <v>105</v>
      </c>
      <c r="AF72" s="6" t="s">
        <v>105</v>
      </c>
      <c r="AG72" s="12" t="s">
        <v>444</v>
      </c>
      <c r="AH72" s="10"/>
      <c r="AI72" s="10"/>
      <c r="AJ72" s="4" t="s">
        <v>619</v>
      </c>
      <c r="AK72" s="5" t="s">
        <v>382</v>
      </c>
      <c r="AL72" s="5" t="s">
        <v>394</v>
      </c>
      <c r="AM72" s="11"/>
      <c r="AN72" s="11"/>
      <c r="AO72" s="33" t="s">
        <v>686</v>
      </c>
      <c r="AP72" s="34"/>
      <c r="AQ72" s="5" t="s">
        <v>77</v>
      </c>
      <c r="AR72" s="11" t="s">
        <v>416</v>
      </c>
      <c r="AS72" s="13" t="s">
        <v>38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136</v>
      </c>
      <c r="E73" s="27">
        <v>92290</v>
      </c>
      <c r="F73" s="10" t="s">
        <v>96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37</v>
      </c>
      <c r="I73" s="6" t="s">
        <v>46</v>
      </c>
      <c r="J73" s="6" t="s">
        <v>45</v>
      </c>
      <c r="K73" s="12" t="s">
        <v>105</v>
      </c>
      <c r="L73" s="12" t="s">
        <v>105</v>
      </c>
      <c r="M73" s="38" t="s">
        <v>366</v>
      </c>
      <c r="N73" s="36">
        <v>444</v>
      </c>
      <c r="O73" s="12"/>
      <c r="P73" s="10"/>
      <c r="Q73" s="12"/>
      <c r="R73" s="12">
        <f>Tableau1[[#This Row],[Loyer €/m²]]*Tableau1[[#This Row],[Surface GLA]]</f>
        <v>155400</v>
      </c>
      <c r="S73" s="6">
        <f>IFERROR(Tableau1[[#This Row],[Loyer annuel]]/12,"")</f>
        <v>12950</v>
      </c>
      <c r="T73" s="12">
        <v>350</v>
      </c>
      <c r="U73" s="6" t="s">
        <v>105</v>
      </c>
      <c r="V73" s="6">
        <f>Tableau1[[#This Row],[Charges €/m²]]*Tableau1[[#This Row],[Surface GLA]]</f>
        <v>13320</v>
      </c>
      <c r="W73" s="12">
        <f>Tableau1[[#This Row],[Charges annuelles]]/12</f>
        <v>1110</v>
      </c>
      <c r="X73" s="12">
        <v>30</v>
      </c>
      <c r="Y73" s="12">
        <f>IFERROR(Tableau1[[#This Row],[Taxe foncière €/m²]]*Tableau1[[#This Row],[Surface GLA]],)</f>
        <v>0</v>
      </c>
      <c r="Z73" s="12"/>
      <c r="AA73" s="12">
        <f>IFERROR(Tableau1[[#This Row],[Marketing €/m²]]*Tableau1[[#This Row],[Surface GLA]],)</f>
        <v>0</v>
      </c>
      <c r="AB73" s="6" t="s">
        <v>105</v>
      </c>
      <c r="AC73" s="12">
        <f>IFERROR(Tableau1[[#This Row],[Loyer annuel]]+Tableau1[[#This Row],[Charges annuelles]]+Tableau1[[#This Row],[Taxe foncière]]+Tableau1[[#This Row],[Marketing]],"")</f>
        <v>168720</v>
      </c>
      <c r="AD73" s="6" t="s">
        <v>105</v>
      </c>
      <c r="AE73" s="6" t="s">
        <v>105</v>
      </c>
      <c r="AF73" s="6" t="s">
        <v>105</v>
      </c>
      <c r="AG73" s="12" t="s">
        <v>444</v>
      </c>
      <c r="AH73" s="10"/>
      <c r="AI73" s="10"/>
      <c r="AJ73" s="4" t="s">
        <v>619</v>
      </c>
      <c r="AK73" s="5" t="s">
        <v>382</v>
      </c>
      <c r="AL73" s="5" t="s">
        <v>394</v>
      </c>
      <c r="AM73" s="11"/>
      <c r="AN73" s="11"/>
      <c r="AO73" s="33" t="s">
        <v>687</v>
      </c>
      <c r="AP73" s="34"/>
      <c r="AQ73" s="5" t="s">
        <v>77</v>
      </c>
      <c r="AR73" s="11" t="s">
        <v>416</v>
      </c>
      <c r="AS73" s="13" t="s">
        <v>38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136</v>
      </c>
      <c r="E74" s="27">
        <v>92290</v>
      </c>
      <c r="F74" s="10" t="s">
        <v>96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37</v>
      </c>
      <c r="I74" s="6" t="s">
        <v>46</v>
      </c>
      <c r="J74" s="6" t="s">
        <v>45</v>
      </c>
      <c r="K74" s="12" t="s">
        <v>105</v>
      </c>
      <c r="L74" s="12" t="s">
        <v>105</v>
      </c>
      <c r="M74" s="38" t="s">
        <v>367</v>
      </c>
      <c r="N74" s="36">
        <v>206</v>
      </c>
      <c r="O74" s="12"/>
      <c r="P74" s="10"/>
      <c r="Q74" s="12"/>
      <c r="R74" s="12">
        <f>Tableau1[[#This Row],[Loyer €/m²]]*Tableau1[[#This Row],[Surface GLA]]</f>
        <v>72100</v>
      </c>
      <c r="S74" s="6">
        <f>IFERROR(Tableau1[[#This Row],[Loyer annuel]]/12,"")</f>
        <v>6008.333333333333</v>
      </c>
      <c r="T74" s="12">
        <v>350</v>
      </c>
      <c r="U74" s="6" t="s">
        <v>105</v>
      </c>
      <c r="V74" s="6">
        <f>Tableau1[[#This Row],[Charges €/m²]]*Tableau1[[#This Row],[Surface GLA]]</f>
        <v>6180</v>
      </c>
      <c r="W74" s="12">
        <f>Tableau1[[#This Row],[Charges annuelles]]/12</f>
        <v>515</v>
      </c>
      <c r="X74" s="12">
        <v>30</v>
      </c>
      <c r="Y74" s="12">
        <f>IFERROR(Tableau1[[#This Row],[Taxe foncière €/m²]]*Tableau1[[#This Row],[Surface GLA]],)</f>
        <v>0</v>
      </c>
      <c r="Z74" s="12"/>
      <c r="AA74" s="12">
        <f>IFERROR(Tableau1[[#This Row],[Marketing €/m²]]*Tableau1[[#This Row],[Surface GLA]],)</f>
        <v>0</v>
      </c>
      <c r="AB74" s="6" t="s">
        <v>105</v>
      </c>
      <c r="AC74" s="12">
        <f>IFERROR(Tableau1[[#This Row],[Loyer annuel]]+Tableau1[[#This Row],[Charges annuelles]]+Tableau1[[#This Row],[Taxe foncière]]+Tableau1[[#This Row],[Marketing]],"")</f>
        <v>78280</v>
      </c>
      <c r="AD74" s="6" t="s">
        <v>105</v>
      </c>
      <c r="AE74" s="6" t="s">
        <v>105</v>
      </c>
      <c r="AF74" s="6" t="s">
        <v>105</v>
      </c>
      <c r="AG74" s="12" t="s">
        <v>444</v>
      </c>
      <c r="AH74" s="10"/>
      <c r="AI74" s="10"/>
      <c r="AJ74" s="4" t="s">
        <v>619</v>
      </c>
      <c r="AK74" s="5" t="s">
        <v>382</v>
      </c>
      <c r="AL74" s="5" t="s">
        <v>394</v>
      </c>
      <c r="AM74" s="11"/>
      <c r="AN74" s="11"/>
      <c r="AO74" s="33" t="s">
        <v>688</v>
      </c>
      <c r="AP74" s="34"/>
      <c r="AQ74" s="5" t="s">
        <v>77</v>
      </c>
      <c r="AR74" s="11" t="s">
        <v>416</v>
      </c>
      <c r="AS74" s="13" t="s">
        <v>38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136</v>
      </c>
      <c r="E75" s="27">
        <v>92290</v>
      </c>
      <c r="F75" s="10" t="s">
        <v>96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37</v>
      </c>
      <c r="I75" s="6" t="s">
        <v>46</v>
      </c>
      <c r="J75" s="6" t="s">
        <v>45</v>
      </c>
      <c r="K75" s="12" t="s">
        <v>105</v>
      </c>
      <c r="L75" s="12" t="s">
        <v>105</v>
      </c>
      <c r="M75" s="38" t="s">
        <v>368</v>
      </c>
      <c r="N75" s="36">
        <v>231</v>
      </c>
      <c r="O75" s="12"/>
      <c r="P75" s="10"/>
      <c r="Q75" s="12"/>
      <c r="R75" s="12">
        <f>Tableau1[[#This Row],[Loyer €/m²]]*Tableau1[[#This Row],[Surface GLA]]</f>
        <v>92400</v>
      </c>
      <c r="S75" s="6">
        <f>IFERROR(Tableau1[[#This Row],[Loyer annuel]]/12,"")</f>
        <v>7700</v>
      </c>
      <c r="T75" s="12">
        <v>400</v>
      </c>
      <c r="U75" s="6" t="s">
        <v>105</v>
      </c>
      <c r="V75" s="6">
        <f>Tableau1[[#This Row],[Charges €/m²]]*Tableau1[[#This Row],[Surface GLA]]</f>
        <v>6930</v>
      </c>
      <c r="W75" s="12">
        <f>Tableau1[[#This Row],[Charges annuelles]]/12</f>
        <v>577.5</v>
      </c>
      <c r="X75" s="12">
        <v>30</v>
      </c>
      <c r="Y75" s="12">
        <f>IFERROR(Tableau1[[#This Row],[Taxe foncière €/m²]]*Tableau1[[#This Row],[Surface GLA]],)</f>
        <v>0</v>
      </c>
      <c r="Z75" s="12"/>
      <c r="AA75" s="12">
        <f>IFERROR(Tableau1[[#This Row],[Marketing €/m²]]*Tableau1[[#This Row],[Surface GLA]],)</f>
        <v>0</v>
      </c>
      <c r="AB75" s="6" t="s">
        <v>105</v>
      </c>
      <c r="AC75" s="12">
        <f>IFERROR(Tableau1[[#This Row],[Loyer annuel]]+Tableau1[[#This Row],[Charges annuelles]]+Tableau1[[#This Row],[Taxe foncière]]+Tableau1[[#This Row],[Marketing]],"")</f>
        <v>99330</v>
      </c>
      <c r="AD75" s="6" t="s">
        <v>105</v>
      </c>
      <c r="AE75" s="6" t="s">
        <v>105</v>
      </c>
      <c r="AF75" s="6" t="s">
        <v>105</v>
      </c>
      <c r="AG75" s="12" t="s">
        <v>444</v>
      </c>
      <c r="AH75" s="10"/>
      <c r="AI75" s="10"/>
      <c r="AJ75" s="4" t="s">
        <v>619</v>
      </c>
      <c r="AK75" s="5" t="s">
        <v>382</v>
      </c>
      <c r="AL75" s="5" t="s">
        <v>394</v>
      </c>
      <c r="AM75" s="11"/>
      <c r="AN75" s="11"/>
      <c r="AO75" s="33" t="s">
        <v>689</v>
      </c>
      <c r="AP75" s="34"/>
      <c r="AQ75" s="5" t="s">
        <v>77</v>
      </c>
      <c r="AR75" s="11" t="s">
        <v>416</v>
      </c>
      <c r="AS75" s="13" t="s">
        <v>38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136</v>
      </c>
      <c r="E76" s="27">
        <v>92290</v>
      </c>
      <c r="F76" s="10" t="s">
        <v>96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37</v>
      </c>
      <c r="I76" s="6" t="s">
        <v>46</v>
      </c>
      <c r="J76" s="6" t="s">
        <v>45</v>
      </c>
      <c r="K76" s="12" t="s">
        <v>105</v>
      </c>
      <c r="L76" s="12" t="s">
        <v>105</v>
      </c>
      <c r="M76" s="38" t="s">
        <v>369</v>
      </c>
      <c r="N76" s="36">
        <v>235</v>
      </c>
      <c r="O76" s="12"/>
      <c r="P76" s="10"/>
      <c r="Q76" s="12"/>
      <c r="R76" s="12">
        <f>Tableau1[[#This Row],[Loyer €/m²]]*Tableau1[[#This Row],[Surface GLA]]</f>
        <v>82250</v>
      </c>
      <c r="S76" s="6">
        <f>IFERROR(Tableau1[[#This Row],[Loyer annuel]]/12,"")</f>
        <v>6854.166666666667</v>
      </c>
      <c r="T76" s="12">
        <v>350</v>
      </c>
      <c r="U76" s="6" t="s">
        <v>105</v>
      </c>
      <c r="V76" s="6">
        <f>Tableau1[[#This Row],[Charges €/m²]]*Tableau1[[#This Row],[Surface GLA]]</f>
        <v>7050</v>
      </c>
      <c r="W76" s="12">
        <f>Tableau1[[#This Row],[Charges annuelles]]/12</f>
        <v>587.5</v>
      </c>
      <c r="X76" s="12">
        <v>30</v>
      </c>
      <c r="Y76" s="12">
        <f>IFERROR(Tableau1[[#This Row],[Taxe foncière €/m²]]*Tableau1[[#This Row],[Surface GLA]],)</f>
        <v>0</v>
      </c>
      <c r="Z76" s="12"/>
      <c r="AA76" s="12">
        <f>IFERROR(Tableau1[[#This Row],[Marketing €/m²]]*Tableau1[[#This Row],[Surface GLA]],)</f>
        <v>0</v>
      </c>
      <c r="AB76" s="6" t="s">
        <v>105</v>
      </c>
      <c r="AC76" s="12">
        <f>IFERROR(Tableau1[[#This Row],[Loyer annuel]]+Tableau1[[#This Row],[Charges annuelles]]+Tableau1[[#This Row],[Taxe foncière]]+Tableau1[[#This Row],[Marketing]],"")</f>
        <v>89300</v>
      </c>
      <c r="AD76" s="6" t="s">
        <v>105</v>
      </c>
      <c r="AE76" s="6" t="s">
        <v>105</v>
      </c>
      <c r="AF76" s="6" t="s">
        <v>105</v>
      </c>
      <c r="AG76" s="12" t="s">
        <v>444</v>
      </c>
      <c r="AH76" s="10"/>
      <c r="AI76" s="10"/>
      <c r="AJ76" s="4" t="s">
        <v>619</v>
      </c>
      <c r="AK76" s="5" t="s">
        <v>382</v>
      </c>
      <c r="AL76" s="5" t="s">
        <v>394</v>
      </c>
      <c r="AM76" s="11"/>
      <c r="AN76" s="11"/>
      <c r="AO76" s="33" t="s">
        <v>690</v>
      </c>
      <c r="AP76" s="34"/>
      <c r="AQ76" s="5" t="s">
        <v>77</v>
      </c>
      <c r="AR76" s="11" t="s">
        <v>416</v>
      </c>
      <c r="AS76" s="13" t="s">
        <v>38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136</v>
      </c>
      <c r="E77" s="27">
        <v>92290</v>
      </c>
      <c r="F77" s="10" t="s">
        <v>96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37</v>
      </c>
      <c r="I77" s="6" t="s">
        <v>46</v>
      </c>
      <c r="J77" s="6" t="s">
        <v>45</v>
      </c>
      <c r="K77" s="12" t="s">
        <v>105</v>
      </c>
      <c r="L77" s="12" t="s">
        <v>105</v>
      </c>
      <c r="M77" s="38" t="s">
        <v>370</v>
      </c>
      <c r="N77" s="36">
        <v>333</v>
      </c>
      <c r="O77" s="12"/>
      <c r="P77" s="10"/>
      <c r="Q77" s="12"/>
      <c r="R77" s="12">
        <f>Tableau1[[#This Row],[Loyer €/m²]]*Tableau1[[#This Row],[Surface GLA]]</f>
        <v>108225</v>
      </c>
      <c r="S77" s="6">
        <f>IFERROR(Tableau1[[#This Row],[Loyer annuel]]/12,"")</f>
        <v>9018.75</v>
      </c>
      <c r="T77" s="12">
        <v>325</v>
      </c>
      <c r="U77" s="6" t="s">
        <v>105</v>
      </c>
      <c r="V77" s="6">
        <f>Tableau1[[#This Row],[Charges €/m²]]*Tableau1[[#This Row],[Surface GLA]]</f>
        <v>9990</v>
      </c>
      <c r="W77" s="12">
        <f>Tableau1[[#This Row],[Charges annuelles]]/12</f>
        <v>832.5</v>
      </c>
      <c r="X77" s="12">
        <v>30</v>
      </c>
      <c r="Y77" s="12">
        <f>IFERROR(Tableau1[[#This Row],[Taxe foncière €/m²]]*Tableau1[[#This Row],[Surface GLA]],)</f>
        <v>0</v>
      </c>
      <c r="Z77" s="12"/>
      <c r="AA77" s="12">
        <f>IFERROR(Tableau1[[#This Row],[Marketing €/m²]]*Tableau1[[#This Row],[Surface GLA]],)</f>
        <v>0</v>
      </c>
      <c r="AB77" s="6" t="s">
        <v>105</v>
      </c>
      <c r="AC77" s="12">
        <f>IFERROR(Tableau1[[#This Row],[Loyer annuel]]+Tableau1[[#This Row],[Charges annuelles]]+Tableau1[[#This Row],[Taxe foncière]]+Tableau1[[#This Row],[Marketing]],"")</f>
        <v>118215</v>
      </c>
      <c r="AD77" s="6" t="s">
        <v>105</v>
      </c>
      <c r="AE77" s="6" t="s">
        <v>105</v>
      </c>
      <c r="AF77" s="6" t="s">
        <v>105</v>
      </c>
      <c r="AG77" s="12" t="s">
        <v>444</v>
      </c>
      <c r="AH77" s="10"/>
      <c r="AI77" s="10"/>
      <c r="AJ77" s="4" t="s">
        <v>619</v>
      </c>
      <c r="AK77" s="5" t="s">
        <v>382</v>
      </c>
      <c r="AL77" s="5" t="s">
        <v>394</v>
      </c>
      <c r="AM77" s="11"/>
      <c r="AN77" s="11"/>
      <c r="AO77" s="33" t="s">
        <v>691</v>
      </c>
      <c r="AP77" s="34"/>
      <c r="AQ77" s="5" t="s">
        <v>77</v>
      </c>
      <c r="AR77" s="11" t="s">
        <v>416</v>
      </c>
      <c r="AS77" s="13" t="s">
        <v>38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136</v>
      </c>
      <c r="E78" s="27">
        <v>92290</v>
      </c>
      <c r="F78" s="10" t="s">
        <v>96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37</v>
      </c>
      <c r="I78" s="6" t="s">
        <v>46</v>
      </c>
      <c r="J78" s="6" t="s">
        <v>45</v>
      </c>
      <c r="K78" s="12" t="s">
        <v>105</v>
      </c>
      <c r="L78" s="12" t="s">
        <v>105</v>
      </c>
      <c r="M78" s="38" t="s">
        <v>371</v>
      </c>
      <c r="N78" s="36">
        <v>177</v>
      </c>
      <c r="O78" s="12"/>
      <c r="P78" s="10"/>
      <c r="Q78" s="12"/>
      <c r="R78" s="12">
        <f>Tableau1[[#This Row],[Loyer €/m²]]*Tableau1[[#This Row],[Surface GLA]]</f>
        <v>61950</v>
      </c>
      <c r="S78" s="6">
        <f>IFERROR(Tableau1[[#This Row],[Loyer annuel]]/12,"")</f>
        <v>5162.5</v>
      </c>
      <c r="T78" s="12">
        <v>350</v>
      </c>
      <c r="U78" s="6" t="s">
        <v>105</v>
      </c>
      <c r="V78" s="6">
        <f>Tableau1[[#This Row],[Charges €/m²]]*Tableau1[[#This Row],[Surface GLA]]</f>
        <v>5310</v>
      </c>
      <c r="W78" s="12">
        <f>Tableau1[[#This Row],[Charges annuelles]]/12</f>
        <v>442.5</v>
      </c>
      <c r="X78" s="12">
        <v>30</v>
      </c>
      <c r="Y78" s="12">
        <f>IFERROR(Tableau1[[#This Row],[Taxe foncière €/m²]]*Tableau1[[#This Row],[Surface GLA]],)</f>
        <v>0</v>
      </c>
      <c r="Z78" s="12"/>
      <c r="AA78" s="12">
        <f>IFERROR(Tableau1[[#This Row],[Marketing €/m²]]*Tableau1[[#This Row],[Surface GLA]],)</f>
        <v>0</v>
      </c>
      <c r="AB78" s="6" t="s">
        <v>105</v>
      </c>
      <c r="AC78" s="12">
        <f>IFERROR(Tableau1[[#This Row],[Loyer annuel]]+Tableau1[[#This Row],[Charges annuelles]]+Tableau1[[#This Row],[Taxe foncière]]+Tableau1[[#This Row],[Marketing]],"")</f>
        <v>67260</v>
      </c>
      <c r="AD78" s="6" t="s">
        <v>105</v>
      </c>
      <c r="AE78" s="6" t="s">
        <v>105</v>
      </c>
      <c r="AF78" s="6" t="s">
        <v>105</v>
      </c>
      <c r="AG78" s="12" t="s">
        <v>444</v>
      </c>
      <c r="AH78" s="10"/>
      <c r="AI78" s="10"/>
      <c r="AJ78" s="4" t="s">
        <v>619</v>
      </c>
      <c r="AK78" s="5" t="s">
        <v>382</v>
      </c>
      <c r="AL78" s="5" t="s">
        <v>394</v>
      </c>
      <c r="AM78" s="11"/>
      <c r="AN78" s="11"/>
      <c r="AO78" s="33" t="s">
        <v>692</v>
      </c>
      <c r="AP78" s="34"/>
      <c r="AQ78" s="5" t="s">
        <v>77</v>
      </c>
      <c r="AR78" s="11" t="s">
        <v>416</v>
      </c>
      <c r="AS78" s="13" t="s">
        <v>38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136</v>
      </c>
      <c r="E79" s="27">
        <v>92290</v>
      </c>
      <c r="F79" s="10" t="s">
        <v>96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37</v>
      </c>
      <c r="I79" s="6" t="s">
        <v>46</v>
      </c>
      <c r="J79" s="6" t="s">
        <v>45</v>
      </c>
      <c r="K79" s="12" t="s">
        <v>105</v>
      </c>
      <c r="L79" s="12" t="s">
        <v>105</v>
      </c>
      <c r="M79" s="38" t="s">
        <v>372</v>
      </c>
      <c r="N79" s="36">
        <v>99</v>
      </c>
      <c r="O79" s="12"/>
      <c r="P79" s="10"/>
      <c r="Q79" s="12"/>
      <c r="R79" s="12">
        <f>Tableau1[[#This Row],[Loyer €/m²]]*Tableau1[[#This Row],[Surface GLA]]</f>
        <v>34650</v>
      </c>
      <c r="S79" s="6">
        <f>IFERROR(Tableau1[[#This Row],[Loyer annuel]]/12,"")</f>
        <v>2887.5</v>
      </c>
      <c r="T79" s="12">
        <v>350</v>
      </c>
      <c r="U79" s="6" t="s">
        <v>105</v>
      </c>
      <c r="V79" s="6">
        <f>Tableau1[[#This Row],[Charges €/m²]]*Tableau1[[#This Row],[Surface GLA]]</f>
        <v>2970</v>
      </c>
      <c r="W79" s="12">
        <f>Tableau1[[#This Row],[Charges annuelles]]/12</f>
        <v>247.5</v>
      </c>
      <c r="X79" s="12">
        <v>30</v>
      </c>
      <c r="Y79" s="12">
        <f>IFERROR(Tableau1[[#This Row],[Taxe foncière €/m²]]*Tableau1[[#This Row],[Surface GLA]],)</f>
        <v>0</v>
      </c>
      <c r="Z79" s="12"/>
      <c r="AA79" s="12">
        <f>IFERROR(Tableau1[[#This Row],[Marketing €/m²]]*Tableau1[[#This Row],[Surface GLA]],)</f>
        <v>0</v>
      </c>
      <c r="AB79" s="6" t="s">
        <v>105</v>
      </c>
      <c r="AC79" s="12">
        <f>IFERROR(Tableau1[[#This Row],[Loyer annuel]]+Tableau1[[#This Row],[Charges annuelles]]+Tableau1[[#This Row],[Taxe foncière]]+Tableau1[[#This Row],[Marketing]],"")</f>
        <v>37620</v>
      </c>
      <c r="AD79" s="6" t="s">
        <v>105</v>
      </c>
      <c r="AE79" s="6" t="s">
        <v>105</v>
      </c>
      <c r="AF79" s="6" t="s">
        <v>105</v>
      </c>
      <c r="AG79" s="12" t="s">
        <v>444</v>
      </c>
      <c r="AH79" s="10"/>
      <c r="AI79" s="10"/>
      <c r="AJ79" s="4" t="s">
        <v>619</v>
      </c>
      <c r="AK79" s="5" t="s">
        <v>382</v>
      </c>
      <c r="AL79" s="5" t="s">
        <v>394</v>
      </c>
      <c r="AM79" s="11"/>
      <c r="AN79" s="11"/>
      <c r="AO79" s="33" t="s">
        <v>693</v>
      </c>
      <c r="AP79" s="34"/>
      <c r="AQ79" s="5" t="s">
        <v>77</v>
      </c>
      <c r="AR79" s="11" t="s">
        <v>416</v>
      </c>
      <c r="AS79" s="13" t="s">
        <v>38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136</v>
      </c>
      <c r="E80" s="27">
        <v>92290</v>
      </c>
      <c r="F80" s="10" t="s">
        <v>96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37</v>
      </c>
      <c r="I80" s="6" t="s">
        <v>46</v>
      </c>
      <c r="J80" s="6" t="s">
        <v>45</v>
      </c>
      <c r="K80" s="12" t="s">
        <v>105</v>
      </c>
      <c r="L80" s="12" t="s">
        <v>105</v>
      </c>
      <c r="M80" s="38" t="s">
        <v>373</v>
      </c>
      <c r="N80" s="36">
        <v>169</v>
      </c>
      <c r="O80" s="12"/>
      <c r="P80" s="10"/>
      <c r="Q80" s="12"/>
      <c r="R80" s="12">
        <f>Tableau1[[#This Row],[Loyer €/m²]]*Tableau1[[#This Row],[Surface GLA]]</f>
        <v>54925</v>
      </c>
      <c r="S80" s="6">
        <f>IFERROR(Tableau1[[#This Row],[Loyer annuel]]/12,"")</f>
        <v>4577.083333333333</v>
      </c>
      <c r="T80" s="12">
        <v>325</v>
      </c>
      <c r="U80" s="6" t="s">
        <v>105</v>
      </c>
      <c r="V80" s="6">
        <f>Tableau1[[#This Row],[Charges €/m²]]*Tableau1[[#This Row],[Surface GLA]]</f>
        <v>5070</v>
      </c>
      <c r="W80" s="12">
        <f>Tableau1[[#This Row],[Charges annuelles]]/12</f>
        <v>422.5</v>
      </c>
      <c r="X80" s="12">
        <v>30</v>
      </c>
      <c r="Y80" s="12">
        <f>IFERROR(Tableau1[[#This Row],[Taxe foncière €/m²]]*Tableau1[[#This Row],[Surface GLA]],)</f>
        <v>0</v>
      </c>
      <c r="Z80" s="12"/>
      <c r="AA80" s="12">
        <f>IFERROR(Tableau1[[#This Row],[Marketing €/m²]]*Tableau1[[#This Row],[Surface GLA]],)</f>
        <v>0</v>
      </c>
      <c r="AB80" s="6" t="s">
        <v>105</v>
      </c>
      <c r="AC80" s="12">
        <f>IFERROR(Tableau1[[#This Row],[Loyer annuel]]+Tableau1[[#This Row],[Charges annuelles]]+Tableau1[[#This Row],[Taxe foncière]]+Tableau1[[#This Row],[Marketing]],"")</f>
        <v>59995</v>
      </c>
      <c r="AD80" s="6" t="s">
        <v>105</v>
      </c>
      <c r="AE80" s="6" t="s">
        <v>105</v>
      </c>
      <c r="AF80" s="6" t="s">
        <v>105</v>
      </c>
      <c r="AG80" s="12" t="s">
        <v>444</v>
      </c>
      <c r="AH80" s="10"/>
      <c r="AI80" s="10"/>
      <c r="AJ80" s="4" t="s">
        <v>619</v>
      </c>
      <c r="AK80" s="5" t="s">
        <v>382</v>
      </c>
      <c r="AL80" s="5" t="s">
        <v>394</v>
      </c>
      <c r="AM80" s="11"/>
      <c r="AN80" s="11"/>
      <c r="AO80" s="33" t="s">
        <v>694</v>
      </c>
      <c r="AP80" s="34"/>
      <c r="AQ80" s="5" t="s">
        <v>77</v>
      </c>
      <c r="AR80" s="11" t="s">
        <v>416</v>
      </c>
      <c r="AS80" s="13" t="s">
        <v>38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136</v>
      </c>
      <c r="E81" s="27">
        <v>92290</v>
      </c>
      <c r="F81" s="10" t="s">
        <v>96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37</v>
      </c>
      <c r="I81" s="6" t="s">
        <v>46</v>
      </c>
      <c r="J81" s="6" t="s">
        <v>45</v>
      </c>
      <c r="K81" s="12" t="s">
        <v>105</v>
      </c>
      <c r="L81" s="12" t="s">
        <v>105</v>
      </c>
      <c r="M81" s="38" t="s">
        <v>374</v>
      </c>
      <c r="N81" s="36">
        <v>196</v>
      </c>
      <c r="O81" s="12"/>
      <c r="P81" s="10"/>
      <c r="Q81" s="12"/>
      <c r="R81" s="12">
        <f>Tableau1[[#This Row],[Loyer €/m²]]*Tableau1[[#This Row],[Surface GLA]]</f>
        <v>68600</v>
      </c>
      <c r="S81" s="6">
        <f>IFERROR(Tableau1[[#This Row],[Loyer annuel]]/12,"")</f>
        <v>5716.666666666667</v>
      </c>
      <c r="T81" s="12">
        <v>350</v>
      </c>
      <c r="U81" s="6" t="s">
        <v>105</v>
      </c>
      <c r="V81" s="6">
        <f>Tableau1[[#This Row],[Charges €/m²]]*Tableau1[[#This Row],[Surface GLA]]</f>
        <v>5880</v>
      </c>
      <c r="W81" s="12">
        <f>Tableau1[[#This Row],[Charges annuelles]]/12</f>
        <v>490</v>
      </c>
      <c r="X81" s="12">
        <v>30</v>
      </c>
      <c r="Y81" s="12">
        <f>IFERROR(Tableau1[[#This Row],[Taxe foncière €/m²]]*Tableau1[[#This Row],[Surface GLA]],)</f>
        <v>0</v>
      </c>
      <c r="Z81" s="12"/>
      <c r="AA81" s="12">
        <f>IFERROR(Tableau1[[#This Row],[Marketing €/m²]]*Tableau1[[#This Row],[Surface GLA]],)</f>
        <v>0</v>
      </c>
      <c r="AB81" s="6" t="s">
        <v>105</v>
      </c>
      <c r="AC81" s="12">
        <f>IFERROR(Tableau1[[#This Row],[Loyer annuel]]+Tableau1[[#This Row],[Charges annuelles]]+Tableau1[[#This Row],[Taxe foncière]]+Tableau1[[#This Row],[Marketing]],"")</f>
        <v>74480</v>
      </c>
      <c r="AD81" s="6" t="s">
        <v>105</v>
      </c>
      <c r="AE81" s="6" t="s">
        <v>105</v>
      </c>
      <c r="AF81" s="6" t="s">
        <v>105</v>
      </c>
      <c r="AG81" s="12" t="s">
        <v>444</v>
      </c>
      <c r="AH81" s="10"/>
      <c r="AI81" s="10"/>
      <c r="AJ81" s="4" t="s">
        <v>619</v>
      </c>
      <c r="AK81" s="5" t="s">
        <v>382</v>
      </c>
      <c r="AL81" s="5" t="s">
        <v>394</v>
      </c>
      <c r="AM81" s="11"/>
      <c r="AN81" s="11"/>
      <c r="AO81" s="33" t="s">
        <v>695</v>
      </c>
      <c r="AP81" s="34"/>
      <c r="AQ81" s="5" t="s">
        <v>77</v>
      </c>
      <c r="AR81" s="11" t="s">
        <v>416</v>
      </c>
      <c r="AS81" s="13" t="s">
        <v>38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136</v>
      </c>
      <c r="E82" s="27">
        <v>92290</v>
      </c>
      <c r="F82" s="10" t="s">
        <v>96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37</v>
      </c>
      <c r="I82" s="6" t="s">
        <v>46</v>
      </c>
      <c r="J82" s="6" t="s">
        <v>45</v>
      </c>
      <c r="K82" s="12" t="s">
        <v>105</v>
      </c>
      <c r="L82" s="12" t="s">
        <v>105</v>
      </c>
      <c r="M82" s="38" t="s">
        <v>375</v>
      </c>
      <c r="N82" s="36">
        <v>195</v>
      </c>
      <c r="O82" s="12"/>
      <c r="P82" s="10"/>
      <c r="Q82" s="12"/>
      <c r="R82" s="12">
        <f>Tableau1[[#This Row],[Loyer €/m²]]*Tableau1[[#This Row],[Surface GLA]]</f>
        <v>68250</v>
      </c>
      <c r="S82" s="6">
        <f>IFERROR(Tableau1[[#This Row],[Loyer annuel]]/12,"")</f>
        <v>5687.5</v>
      </c>
      <c r="T82" s="12">
        <v>350</v>
      </c>
      <c r="U82" s="6" t="s">
        <v>105</v>
      </c>
      <c r="V82" s="6">
        <f>Tableau1[[#This Row],[Charges €/m²]]*Tableau1[[#This Row],[Surface GLA]]</f>
        <v>5850</v>
      </c>
      <c r="W82" s="12">
        <f>Tableau1[[#This Row],[Charges annuelles]]/12</f>
        <v>487.5</v>
      </c>
      <c r="X82" s="12">
        <v>30</v>
      </c>
      <c r="Y82" s="12">
        <f>IFERROR(Tableau1[[#This Row],[Taxe foncière €/m²]]*Tableau1[[#This Row],[Surface GLA]],)</f>
        <v>0</v>
      </c>
      <c r="Z82" s="12"/>
      <c r="AA82" s="12">
        <f>IFERROR(Tableau1[[#This Row],[Marketing €/m²]]*Tableau1[[#This Row],[Surface GLA]],)</f>
        <v>0</v>
      </c>
      <c r="AB82" s="6" t="s">
        <v>105</v>
      </c>
      <c r="AC82" s="12">
        <f>IFERROR(Tableau1[[#This Row],[Loyer annuel]]+Tableau1[[#This Row],[Charges annuelles]]+Tableau1[[#This Row],[Taxe foncière]]+Tableau1[[#This Row],[Marketing]],"")</f>
        <v>74100</v>
      </c>
      <c r="AD82" s="6" t="s">
        <v>105</v>
      </c>
      <c r="AE82" s="6" t="s">
        <v>105</v>
      </c>
      <c r="AF82" s="6" t="s">
        <v>105</v>
      </c>
      <c r="AG82" s="12" t="s">
        <v>444</v>
      </c>
      <c r="AH82" s="10"/>
      <c r="AI82" s="10"/>
      <c r="AJ82" s="4" t="s">
        <v>619</v>
      </c>
      <c r="AK82" s="5" t="s">
        <v>382</v>
      </c>
      <c r="AL82" s="5" t="s">
        <v>394</v>
      </c>
      <c r="AM82" s="11"/>
      <c r="AN82" s="11"/>
      <c r="AO82" s="33" t="s">
        <v>696</v>
      </c>
      <c r="AP82" s="34"/>
      <c r="AQ82" s="5" t="s">
        <v>77</v>
      </c>
      <c r="AR82" s="11" t="s">
        <v>416</v>
      </c>
      <c r="AS82" s="13" t="s">
        <v>38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136</v>
      </c>
      <c r="E83" s="27">
        <v>92290</v>
      </c>
      <c r="F83" s="10" t="s">
        <v>96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37</v>
      </c>
      <c r="I83" s="6" t="s">
        <v>46</v>
      </c>
      <c r="J83" s="6" t="s">
        <v>45</v>
      </c>
      <c r="K83" s="12" t="s">
        <v>105</v>
      </c>
      <c r="L83" s="12" t="s">
        <v>105</v>
      </c>
      <c r="M83" s="38" t="s">
        <v>376</v>
      </c>
      <c r="N83" s="36">
        <v>181</v>
      </c>
      <c r="O83" s="12"/>
      <c r="P83" s="10"/>
      <c r="Q83" s="12"/>
      <c r="R83" s="12">
        <f>Tableau1[[#This Row],[Loyer €/m²]]*Tableau1[[#This Row],[Surface GLA]]</f>
        <v>63350</v>
      </c>
      <c r="S83" s="6">
        <f>IFERROR(Tableau1[[#This Row],[Loyer annuel]]/12,"")</f>
        <v>5279.166666666667</v>
      </c>
      <c r="T83" s="12">
        <v>350</v>
      </c>
      <c r="U83" s="6" t="s">
        <v>105</v>
      </c>
      <c r="V83" s="6">
        <f>Tableau1[[#This Row],[Charges €/m²]]*Tableau1[[#This Row],[Surface GLA]]</f>
        <v>5430</v>
      </c>
      <c r="W83" s="12">
        <f>Tableau1[[#This Row],[Charges annuelles]]/12</f>
        <v>452.5</v>
      </c>
      <c r="X83" s="12">
        <v>30</v>
      </c>
      <c r="Y83" s="12">
        <f>IFERROR(Tableau1[[#This Row],[Taxe foncière €/m²]]*Tableau1[[#This Row],[Surface GLA]],)</f>
        <v>0</v>
      </c>
      <c r="Z83" s="12"/>
      <c r="AA83" s="12">
        <f>IFERROR(Tableau1[[#This Row],[Marketing €/m²]]*Tableau1[[#This Row],[Surface GLA]],)</f>
        <v>0</v>
      </c>
      <c r="AB83" s="6" t="s">
        <v>105</v>
      </c>
      <c r="AC83" s="12">
        <f>IFERROR(Tableau1[[#This Row],[Loyer annuel]]+Tableau1[[#This Row],[Charges annuelles]]+Tableau1[[#This Row],[Taxe foncière]]+Tableau1[[#This Row],[Marketing]],"")</f>
        <v>68780</v>
      </c>
      <c r="AD83" s="6" t="s">
        <v>105</v>
      </c>
      <c r="AE83" s="6" t="s">
        <v>105</v>
      </c>
      <c r="AF83" s="6" t="s">
        <v>105</v>
      </c>
      <c r="AG83" s="12" t="s">
        <v>444</v>
      </c>
      <c r="AH83" s="10"/>
      <c r="AI83" s="10"/>
      <c r="AJ83" s="4" t="s">
        <v>619</v>
      </c>
      <c r="AK83" s="5" t="s">
        <v>382</v>
      </c>
      <c r="AL83" s="5" t="s">
        <v>394</v>
      </c>
      <c r="AM83" s="11"/>
      <c r="AN83" s="11"/>
      <c r="AO83" s="33" t="s">
        <v>697</v>
      </c>
      <c r="AP83" s="34"/>
      <c r="AQ83" s="5" t="s">
        <v>77</v>
      </c>
      <c r="AR83" s="11" t="s">
        <v>416</v>
      </c>
      <c r="AS83" s="13" t="s">
        <v>38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136</v>
      </c>
      <c r="E84" s="27">
        <v>92290</v>
      </c>
      <c r="F84" s="10" t="s">
        <v>96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37</v>
      </c>
      <c r="I84" s="6" t="s">
        <v>46</v>
      </c>
      <c r="J84" s="6" t="s">
        <v>45</v>
      </c>
      <c r="K84" s="12" t="s">
        <v>105</v>
      </c>
      <c r="L84" s="12" t="s">
        <v>105</v>
      </c>
      <c r="M84" s="38" t="s">
        <v>377</v>
      </c>
      <c r="N84" s="36">
        <v>277</v>
      </c>
      <c r="O84" s="12"/>
      <c r="P84" s="10"/>
      <c r="Q84" s="12"/>
      <c r="R84" s="12">
        <f>Tableau1[[#This Row],[Loyer €/m²]]*Tableau1[[#This Row],[Surface GLA]]</f>
        <v>96950</v>
      </c>
      <c r="S84" s="6">
        <f>IFERROR(Tableau1[[#This Row],[Loyer annuel]]/12,"")</f>
        <v>8079.166666666667</v>
      </c>
      <c r="T84" s="12">
        <v>350</v>
      </c>
      <c r="U84" s="6" t="s">
        <v>105</v>
      </c>
      <c r="V84" s="6">
        <f>Tableau1[[#This Row],[Charges €/m²]]*Tableau1[[#This Row],[Surface GLA]]</f>
        <v>8310</v>
      </c>
      <c r="W84" s="12">
        <f>Tableau1[[#This Row],[Charges annuelles]]/12</f>
        <v>692.5</v>
      </c>
      <c r="X84" s="12">
        <v>30</v>
      </c>
      <c r="Y84" s="12">
        <f>IFERROR(Tableau1[[#This Row],[Taxe foncière €/m²]]*Tableau1[[#This Row],[Surface GLA]],)</f>
        <v>0</v>
      </c>
      <c r="Z84" s="12"/>
      <c r="AA84" s="12">
        <f>IFERROR(Tableau1[[#This Row],[Marketing €/m²]]*Tableau1[[#This Row],[Surface GLA]],)</f>
        <v>0</v>
      </c>
      <c r="AB84" s="6" t="s">
        <v>105</v>
      </c>
      <c r="AC84" s="12">
        <f>IFERROR(Tableau1[[#This Row],[Loyer annuel]]+Tableau1[[#This Row],[Charges annuelles]]+Tableau1[[#This Row],[Taxe foncière]]+Tableau1[[#This Row],[Marketing]],"")</f>
        <v>105260</v>
      </c>
      <c r="AD84" s="6" t="s">
        <v>105</v>
      </c>
      <c r="AE84" s="6" t="s">
        <v>105</v>
      </c>
      <c r="AF84" s="6" t="s">
        <v>105</v>
      </c>
      <c r="AG84" s="12" t="s">
        <v>444</v>
      </c>
      <c r="AH84" s="10"/>
      <c r="AI84" s="10"/>
      <c r="AJ84" s="4" t="s">
        <v>619</v>
      </c>
      <c r="AK84" s="5" t="s">
        <v>382</v>
      </c>
      <c r="AL84" s="5" t="s">
        <v>394</v>
      </c>
      <c r="AM84" s="11"/>
      <c r="AN84" s="11"/>
      <c r="AO84" s="33" t="s">
        <v>698</v>
      </c>
      <c r="AP84" s="34"/>
      <c r="AQ84" s="5" t="s">
        <v>77</v>
      </c>
      <c r="AR84" s="11" t="s">
        <v>416</v>
      </c>
      <c r="AS84" s="13" t="s">
        <v>38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136</v>
      </c>
      <c r="E85" s="27">
        <v>92290</v>
      </c>
      <c r="F85" s="10" t="s">
        <v>96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37</v>
      </c>
      <c r="I85" s="6" t="s">
        <v>46</v>
      </c>
      <c r="J85" s="6" t="s">
        <v>45</v>
      </c>
      <c r="K85" s="12" t="s">
        <v>105</v>
      </c>
      <c r="L85" s="12" t="s">
        <v>105</v>
      </c>
      <c r="M85" s="38" t="s">
        <v>378</v>
      </c>
      <c r="N85" s="36">
        <v>142</v>
      </c>
      <c r="O85" s="12"/>
      <c r="P85" s="10"/>
      <c r="Q85" s="12"/>
      <c r="R85" s="12">
        <f>Tableau1[[#This Row],[Loyer €/m²]]*Tableau1[[#This Row],[Surface GLA]]</f>
        <v>46150</v>
      </c>
      <c r="S85" s="6">
        <f>IFERROR(Tableau1[[#This Row],[Loyer annuel]]/12,"")</f>
        <v>3845.8333333333335</v>
      </c>
      <c r="T85" s="12">
        <v>325</v>
      </c>
      <c r="U85" s="6" t="s">
        <v>105</v>
      </c>
      <c r="V85" s="6">
        <f>Tableau1[[#This Row],[Charges €/m²]]*Tableau1[[#This Row],[Surface GLA]]</f>
        <v>4260</v>
      </c>
      <c r="W85" s="12">
        <f>Tableau1[[#This Row],[Charges annuelles]]/12</f>
        <v>355</v>
      </c>
      <c r="X85" s="12">
        <v>30</v>
      </c>
      <c r="Y85" s="12">
        <f>IFERROR(Tableau1[[#This Row],[Taxe foncière €/m²]]*Tableau1[[#This Row],[Surface GLA]],)</f>
        <v>0</v>
      </c>
      <c r="Z85" s="12"/>
      <c r="AA85" s="12">
        <f>IFERROR(Tableau1[[#This Row],[Marketing €/m²]]*Tableau1[[#This Row],[Surface GLA]],)</f>
        <v>0</v>
      </c>
      <c r="AB85" s="6" t="s">
        <v>105</v>
      </c>
      <c r="AC85" s="12">
        <f>IFERROR(Tableau1[[#This Row],[Loyer annuel]]+Tableau1[[#This Row],[Charges annuelles]]+Tableau1[[#This Row],[Taxe foncière]]+Tableau1[[#This Row],[Marketing]],"")</f>
        <v>50410</v>
      </c>
      <c r="AD85" s="6" t="s">
        <v>105</v>
      </c>
      <c r="AE85" s="6" t="s">
        <v>105</v>
      </c>
      <c r="AF85" s="6" t="s">
        <v>105</v>
      </c>
      <c r="AG85" s="12" t="s">
        <v>444</v>
      </c>
      <c r="AH85" s="10"/>
      <c r="AI85" s="10"/>
      <c r="AJ85" s="4" t="s">
        <v>619</v>
      </c>
      <c r="AK85" s="5" t="s">
        <v>382</v>
      </c>
      <c r="AL85" s="5" t="s">
        <v>394</v>
      </c>
      <c r="AM85" s="11"/>
      <c r="AN85" s="11"/>
      <c r="AO85" s="33" t="s">
        <v>699</v>
      </c>
      <c r="AP85" s="34"/>
      <c r="AQ85" s="5" t="s">
        <v>77</v>
      </c>
      <c r="AR85" s="11" t="s">
        <v>416</v>
      </c>
      <c r="AS85" s="13" t="s">
        <v>38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136</v>
      </c>
      <c r="E86" s="27">
        <v>92290</v>
      </c>
      <c r="F86" s="10" t="s">
        <v>96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37</v>
      </c>
      <c r="I86" s="6" t="s">
        <v>46</v>
      </c>
      <c r="J86" s="6" t="s">
        <v>45</v>
      </c>
      <c r="K86" s="12" t="s">
        <v>105</v>
      </c>
      <c r="L86" s="12" t="s">
        <v>105</v>
      </c>
      <c r="M86" s="38" t="s">
        <v>379</v>
      </c>
      <c r="N86" s="36">
        <v>114</v>
      </c>
      <c r="O86" s="12"/>
      <c r="P86" s="10"/>
      <c r="Q86" s="12"/>
      <c r="R86" s="12">
        <f>Tableau1[[#This Row],[Loyer €/m²]]*Tableau1[[#This Row],[Surface GLA]]</f>
        <v>37050</v>
      </c>
      <c r="S86" s="6">
        <f>IFERROR(Tableau1[[#This Row],[Loyer annuel]]/12,"")</f>
        <v>3087.5</v>
      </c>
      <c r="T86" s="12">
        <v>325</v>
      </c>
      <c r="U86" s="6" t="s">
        <v>105</v>
      </c>
      <c r="V86" s="6">
        <f>Tableau1[[#This Row],[Charges €/m²]]*Tableau1[[#This Row],[Surface GLA]]</f>
        <v>3420</v>
      </c>
      <c r="W86" s="12">
        <f>Tableau1[[#This Row],[Charges annuelles]]/12</f>
        <v>285</v>
      </c>
      <c r="X86" s="12">
        <v>30</v>
      </c>
      <c r="Y86" s="12">
        <f>IFERROR(Tableau1[[#This Row],[Taxe foncière €/m²]]*Tableau1[[#This Row],[Surface GLA]],)</f>
        <v>0</v>
      </c>
      <c r="Z86" s="12"/>
      <c r="AA86" s="12">
        <f>IFERROR(Tableau1[[#This Row],[Marketing €/m²]]*Tableau1[[#This Row],[Surface GLA]],)</f>
        <v>0</v>
      </c>
      <c r="AB86" s="6" t="s">
        <v>105</v>
      </c>
      <c r="AC86" s="12">
        <f>IFERROR(Tableau1[[#This Row],[Loyer annuel]]+Tableau1[[#This Row],[Charges annuelles]]+Tableau1[[#This Row],[Taxe foncière]]+Tableau1[[#This Row],[Marketing]],"")</f>
        <v>40470</v>
      </c>
      <c r="AD86" s="6" t="s">
        <v>105</v>
      </c>
      <c r="AE86" s="6" t="s">
        <v>105</v>
      </c>
      <c r="AF86" s="6" t="s">
        <v>105</v>
      </c>
      <c r="AG86" s="12" t="s">
        <v>444</v>
      </c>
      <c r="AH86" s="10"/>
      <c r="AI86" s="10"/>
      <c r="AJ86" s="4" t="s">
        <v>619</v>
      </c>
      <c r="AK86" s="5" t="s">
        <v>382</v>
      </c>
      <c r="AL86" s="5" t="s">
        <v>394</v>
      </c>
      <c r="AM86" s="11"/>
      <c r="AN86" s="11"/>
      <c r="AO86" s="33" t="s">
        <v>700</v>
      </c>
      <c r="AP86" s="34"/>
      <c r="AQ86" s="5" t="s">
        <v>77</v>
      </c>
      <c r="AR86" s="11" t="s">
        <v>416</v>
      </c>
      <c r="AS86" s="13" t="s">
        <v>38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136</v>
      </c>
      <c r="E87" s="27">
        <v>92290</v>
      </c>
      <c r="F87" s="10" t="s">
        <v>96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37</v>
      </c>
      <c r="I87" s="6" t="s">
        <v>46</v>
      </c>
      <c r="J87" s="6" t="s">
        <v>45</v>
      </c>
      <c r="K87" s="12" t="s">
        <v>105</v>
      </c>
      <c r="L87" s="12" t="s">
        <v>105</v>
      </c>
      <c r="M87" s="38" t="s">
        <v>380</v>
      </c>
      <c r="N87" s="36">
        <v>167</v>
      </c>
      <c r="O87" s="12"/>
      <c r="P87" s="10"/>
      <c r="Q87" s="12"/>
      <c r="R87" s="12">
        <f>Tableau1[[#This Row],[Loyer €/m²]]*Tableau1[[#This Row],[Surface GLA]]</f>
        <v>54275</v>
      </c>
      <c r="S87" s="6">
        <f>IFERROR(Tableau1[[#This Row],[Loyer annuel]]/12,"")</f>
        <v>4522.916666666667</v>
      </c>
      <c r="T87" s="12">
        <v>325</v>
      </c>
      <c r="U87" s="6" t="s">
        <v>105</v>
      </c>
      <c r="V87" s="6">
        <f>Tableau1[[#This Row],[Charges €/m²]]*Tableau1[[#This Row],[Surface GLA]]</f>
        <v>5010</v>
      </c>
      <c r="W87" s="12">
        <f>Tableau1[[#This Row],[Charges annuelles]]/12</f>
        <v>417.5</v>
      </c>
      <c r="X87" s="12">
        <v>30</v>
      </c>
      <c r="Y87" s="12">
        <f>IFERROR(Tableau1[[#This Row],[Taxe foncière €/m²]]*Tableau1[[#This Row],[Surface GLA]],)</f>
        <v>0</v>
      </c>
      <c r="Z87" s="12"/>
      <c r="AA87" s="12">
        <f>IFERROR(Tableau1[[#This Row],[Marketing €/m²]]*Tableau1[[#This Row],[Surface GLA]],)</f>
        <v>0</v>
      </c>
      <c r="AB87" s="6" t="s">
        <v>105</v>
      </c>
      <c r="AC87" s="12">
        <f>IFERROR(Tableau1[[#This Row],[Loyer annuel]]+Tableau1[[#This Row],[Charges annuelles]]+Tableau1[[#This Row],[Taxe foncière]]+Tableau1[[#This Row],[Marketing]],"")</f>
        <v>59285</v>
      </c>
      <c r="AD87" s="6" t="s">
        <v>105</v>
      </c>
      <c r="AE87" s="6" t="s">
        <v>105</v>
      </c>
      <c r="AF87" s="6" t="s">
        <v>105</v>
      </c>
      <c r="AG87" s="12" t="s">
        <v>444</v>
      </c>
      <c r="AH87" s="10"/>
      <c r="AI87" s="10"/>
      <c r="AJ87" s="4" t="s">
        <v>619</v>
      </c>
      <c r="AK87" s="5" t="s">
        <v>382</v>
      </c>
      <c r="AL87" s="5" t="s">
        <v>394</v>
      </c>
      <c r="AM87" s="11"/>
      <c r="AN87" s="11"/>
      <c r="AO87" s="33" t="s">
        <v>701</v>
      </c>
      <c r="AP87" s="34"/>
      <c r="AQ87" s="5" t="s">
        <v>77</v>
      </c>
      <c r="AR87" s="11" t="s">
        <v>416</v>
      </c>
      <c r="AS87" s="13" t="s">
        <v>38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136</v>
      </c>
      <c r="E88" s="27">
        <v>92290</v>
      </c>
      <c r="F88" s="10" t="s">
        <v>96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37</v>
      </c>
      <c r="I88" s="6" t="s">
        <v>46</v>
      </c>
      <c r="J88" s="6" t="s">
        <v>45</v>
      </c>
      <c r="K88" s="12" t="s">
        <v>105</v>
      </c>
      <c r="L88" s="12" t="s">
        <v>105</v>
      </c>
      <c r="M88" s="38" t="s">
        <v>381</v>
      </c>
      <c r="N88" s="36">
        <v>88</v>
      </c>
      <c r="O88" s="12"/>
      <c r="P88" s="10"/>
      <c r="Q88" s="12"/>
      <c r="R88" s="12">
        <f>Tableau1[[#This Row],[Loyer €/m²]]*Tableau1[[#This Row],[Surface GLA]]</f>
        <v>28600</v>
      </c>
      <c r="S88" s="6">
        <f>IFERROR(Tableau1[[#This Row],[Loyer annuel]]/12,"")</f>
        <v>2383.3333333333335</v>
      </c>
      <c r="T88" s="12">
        <v>325</v>
      </c>
      <c r="U88" s="6" t="s">
        <v>105</v>
      </c>
      <c r="V88" s="6">
        <f>Tableau1[[#This Row],[Charges €/m²]]*Tableau1[[#This Row],[Surface GLA]]</f>
        <v>2640</v>
      </c>
      <c r="W88" s="12">
        <f>Tableau1[[#This Row],[Charges annuelles]]/12</f>
        <v>220</v>
      </c>
      <c r="X88" s="12">
        <v>30</v>
      </c>
      <c r="Y88" s="12">
        <f>IFERROR(Tableau1[[#This Row],[Taxe foncière €/m²]]*Tableau1[[#This Row],[Surface GLA]],)</f>
        <v>0</v>
      </c>
      <c r="Z88" s="12"/>
      <c r="AA88" s="12">
        <f>IFERROR(Tableau1[[#This Row],[Marketing €/m²]]*Tableau1[[#This Row],[Surface GLA]],)</f>
        <v>0</v>
      </c>
      <c r="AB88" s="6" t="s">
        <v>105</v>
      </c>
      <c r="AC88" s="12">
        <f>IFERROR(Tableau1[[#This Row],[Loyer annuel]]+Tableau1[[#This Row],[Charges annuelles]]+Tableau1[[#This Row],[Taxe foncière]]+Tableau1[[#This Row],[Marketing]],"")</f>
        <v>31240</v>
      </c>
      <c r="AD88" s="6" t="s">
        <v>105</v>
      </c>
      <c r="AE88" s="6" t="s">
        <v>105</v>
      </c>
      <c r="AF88" s="6" t="s">
        <v>105</v>
      </c>
      <c r="AG88" s="12" t="s">
        <v>444</v>
      </c>
      <c r="AH88" s="10"/>
      <c r="AI88" s="10"/>
      <c r="AJ88" s="4" t="s">
        <v>619</v>
      </c>
      <c r="AK88" s="5" t="s">
        <v>382</v>
      </c>
      <c r="AL88" s="5" t="s">
        <v>394</v>
      </c>
      <c r="AM88" s="11"/>
      <c r="AN88" s="11"/>
      <c r="AO88" s="33" t="s">
        <v>702</v>
      </c>
      <c r="AP88" s="34"/>
      <c r="AQ88" s="5" t="s">
        <v>77</v>
      </c>
      <c r="AR88" s="11" t="s">
        <v>416</v>
      </c>
      <c r="AS88" s="13" t="s">
        <v>38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137</v>
      </c>
      <c r="E89" s="27">
        <v>92410</v>
      </c>
      <c r="F89" s="40" t="s">
        <v>97</v>
      </c>
      <c r="G89" s="5" t="str">
        <f>Tableau1[[#This Row],[Rue]]&amp;CHAR(10)&amp;Tableau1[[#This Row],[Code Postal]]&amp;" - "&amp;Tableau1[[#This Row],[Ville]]</f>
        <v>30 Rue de la Ronce
92410 - Ville-d'Avray</v>
      </c>
      <c r="H89" s="15" t="s">
        <v>34</v>
      </c>
      <c r="I89" s="6" t="s">
        <v>46</v>
      </c>
      <c r="J89" s="6" t="s">
        <v>45</v>
      </c>
      <c r="K89" s="12" t="s">
        <v>105</v>
      </c>
      <c r="L89" s="12" t="s">
        <v>105</v>
      </c>
      <c r="M89" s="37" t="s">
        <v>358</v>
      </c>
      <c r="N89" s="36">
        <v>372</v>
      </c>
      <c r="O89" s="6" t="s">
        <v>105</v>
      </c>
      <c r="P89" s="36" t="s">
        <v>105</v>
      </c>
      <c r="Q89" s="6" t="s">
        <v>105</v>
      </c>
      <c r="R89" s="12">
        <f>Tableau1[[#This Row],[Loyer €/m²]]*Tableau1[[#This Row],[Surface GLA]]</f>
        <v>93000</v>
      </c>
      <c r="S89" s="6">
        <f>IFERROR(Tableau1[[#This Row],[Loyer annuel]]/12,"")</f>
        <v>7750</v>
      </c>
      <c r="T89" s="12">
        <v>250</v>
      </c>
      <c r="U89" s="6" t="s">
        <v>105</v>
      </c>
      <c r="V89" s="6">
        <f>Tableau1[[#This Row],[Charges €/m²]]*Tableau1[[#This Row],[Surface GLA]]</f>
        <v>3720</v>
      </c>
      <c r="W89" s="12">
        <f>Tableau1[[#This Row],[Charges annuelles]]/12</f>
        <v>310</v>
      </c>
      <c r="X89" s="12">
        <v>10</v>
      </c>
      <c r="Y89" s="12">
        <f>IFERROR(Tableau1[[#This Row],[Taxe foncière €/m²]]*Tableau1[[#This Row],[Surface GLA]],)</f>
        <v>5952</v>
      </c>
      <c r="Z89" s="6">
        <v>16</v>
      </c>
      <c r="AA89" s="6">
        <f>IFERROR(Tableau1[[#This Row],[Marketing €/m²]]*Tableau1[[#This Row],[Surface GLA]],)</f>
        <v>0</v>
      </c>
      <c r="AB89" s="6" t="s">
        <v>105</v>
      </c>
      <c r="AC89" s="6">
        <f>IFERROR(Tableau1[[#This Row],[Loyer annuel]]+Tableau1[[#This Row],[Charges annuelles]]+Tableau1[[#This Row],[Taxe foncière]]+Tableau1[[#This Row],[Marketing]],"")</f>
        <v>102672</v>
      </c>
      <c r="AD89" s="6" t="s">
        <v>105</v>
      </c>
      <c r="AE89" s="6" t="s">
        <v>105</v>
      </c>
      <c r="AF89" s="6" t="s">
        <v>105</v>
      </c>
      <c r="AG89" s="6" t="s">
        <v>444</v>
      </c>
      <c r="AH89" s="10" t="s">
        <v>77</v>
      </c>
      <c r="AI89" s="4" t="s">
        <v>396</v>
      </c>
      <c r="AJ89" s="4" t="s">
        <v>519</v>
      </c>
      <c r="AK89" s="5" t="s">
        <v>520</v>
      </c>
      <c r="AL89" s="5" t="s">
        <v>394</v>
      </c>
      <c r="AM89" s="5" t="s">
        <v>505</v>
      </c>
      <c r="AN89" s="5" t="s">
        <v>506</v>
      </c>
      <c r="AO89" s="33" t="s">
        <v>703</v>
      </c>
      <c r="AP89" s="33"/>
      <c r="AQ89" s="5" t="s">
        <v>77</v>
      </c>
      <c r="AR89" s="11" t="s">
        <v>521</v>
      </c>
      <c r="AS89" s="13" t="s">
        <v>31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137</v>
      </c>
      <c r="E90" s="27">
        <v>92410</v>
      </c>
      <c r="F90" s="40" t="s">
        <v>97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46</v>
      </c>
      <c r="J90" s="6" t="s">
        <v>45</v>
      </c>
      <c r="K90" s="12" t="s">
        <v>105</v>
      </c>
      <c r="L90" s="12" t="s">
        <v>105</v>
      </c>
      <c r="M90" s="38" t="s">
        <v>359</v>
      </c>
      <c r="N90" s="36">
        <v>106</v>
      </c>
      <c r="O90" s="6" t="s">
        <v>105</v>
      </c>
      <c r="P90" s="36" t="s">
        <v>105</v>
      </c>
      <c r="Q90" s="6" t="s">
        <v>105</v>
      </c>
      <c r="R90" s="12">
        <f>Tableau1[[#This Row],[Loyer €/m²]]*Tableau1[[#This Row],[Surface GLA]]</f>
        <v>37100</v>
      </c>
      <c r="S90" s="6">
        <f>IFERROR(Tableau1[[#This Row],[Loyer annuel]]/12,"")</f>
        <v>3091.6666666666665</v>
      </c>
      <c r="T90" s="12">
        <v>350</v>
      </c>
      <c r="U90" s="6" t="s">
        <v>105</v>
      </c>
      <c r="V90" s="6">
        <f>Tableau1[[#This Row],[Charges €/m²]]*Tableau1[[#This Row],[Surface GLA]]</f>
        <v>1060</v>
      </c>
      <c r="W90" s="12">
        <f>Tableau1[[#This Row],[Charges annuelles]]/12</f>
        <v>88.333333333333329</v>
      </c>
      <c r="X90" s="12">
        <v>10</v>
      </c>
      <c r="Y90" s="12">
        <f>IFERROR(Tableau1[[#This Row],[Taxe foncière €/m²]]*Tableau1[[#This Row],[Surface GLA]],)</f>
        <v>1696</v>
      </c>
      <c r="Z90" s="6">
        <v>16</v>
      </c>
      <c r="AA90" s="12">
        <f>IFERROR(Tableau1[[#This Row],[Marketing €/m²]]*Tableau1[[#This Row],[Surface GLA]],)</f>
        <v>0</v>
      </c>
      <c r="AB90" s="6" t="s">
        <v>105</v>
      </c>
      <c r="AC90" s="12">
        <f>IFERROR(Tableau1[[#This Row],[Loyer annuel]]+Tableau1[[#This Row],[Charges annuelles]]+Tableau1[[#This Row],[Taxe foncière]]+Tableau1[[#This Row],[Marketing]],"")</f>
        <v>39856</v>
      </c>
      <c r="AD90" s="6" t="s">
        <v>105</v>
      </c>
      <c r="AE90" s="6" t="s">
        <v>105</v>
      </c>
      <c r="AF90" s="6" t="s">
        <v>105</v>
      </c>
      <c r="AG90" s="6" t="s">
        <v>444</v>
      </c>
      <c r="AH90" s="10" t="s">
        <v>54</v>
      </c>
      <c r="AI90" s="10" t="s">
        <v>395</v>
      </c>
      <c r="AJ90" s="4" t="s">
        <v>519</v>
      </c>
      <c r="AK90" s="5" t="s">
        <v>520</v>
      </c>
      <c r="AL90" s="5" t="s">
        <v>394</v>
      </c>
      <c r="AM90" s="11" t="s">
        <v>507</v>
      </c>
      <c r="AN90" s="11" t="s">
        <v>508</v>
      </c>
      <c r="AO90" s="33" t="s">
        <v>704</v>
      </c>
      <c r="AP90" s="34"/>
      <c r="AQ90" s="5" t="s">
        <v>77</v>
      </c>
      <c r="AR90" s="11" t="s">
        <v>522</v>
      </c>
      <c r="AS90" s="13" t="s">
        <v>31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137</v>
      </c>
      <c r="E91" s="27">
        <v>92410</v>
      </c>
      <c r="F91" s="40" t="s">
        <v>97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46</v>
      </c>
      <c r="J91" s="6" t="s">
        <v>45</v>
      </c>
      <c r="K91" s="12" t="s">
        <v>105</v>
      </c>
      <c r="L91" s="12" t="s">
        <v>105</v>
      </c>
      <c r="M91" s="38" t="s">
        <v>383</v>
      </c>
      <c r="N91" s="36">
        <v>108</v>
      </c>
      <c r="O91" s="6" t="s">
        <v>105</v>
      </c>
      <c r="P91" s="36" t="s">
        <v>105</v>
      </c>
      <c r="Q91" s="6" t="s">
        <v>105</v>
      </c>
      <c r="R91" s="12">
        <f>Tableau1[[#This Row],[Loyer €/m²]]*Tableau1[[#This Row],[Surface GLA]]</f>
        <v>37800</v>
      </c>
      <c r="S91" s="6">
        <f>IFERROR(Tableau1[[#This Row],[Loyer annuel]]/12,"")</f>
        <v>3150</v>
      </c>
      <c r="T91" s="12">
        <v>350</v>
      </c>
      <c r="U91" s="6" t="s">
        <v>105</v>
      </c>
      <c r="V91" s="6">
        <f>Tableau1[[#This Row],[Charges €/m²]]*Tableau1[[#This Row],[Surface GLA]]</f>
        <v>1080</v>
      </c>
      <c r="W91" s="12">
        <f>Tableau1[[#This Row],[Charges annuelles]]/12</f>
        <v>90</v>
      </c>
      <c r="X91" s="12">
        <v>10</v>
      </c>
      <c r="Y91" s="12">
        <f>IFERROR(Tableau1[[#This Row],[Taxe foncière €/m²]]*Tableau1[[#This Row],[Surface GLA]],)</f>
        <v>1728</v>
      </c>
      <c r="Z91" s="6">
        <v>16</v>
      </c>
      <c r="AA91" s="12">
        <f>IFERROR(Tableau1[[#This Row],[Marketing €/m²]]*Tableau1[[#This Row],[Surface GLA]],)</f>
        <v>0</v>
      </c>
      <c r="AB91" s="6" t="s">
        <v>105</v>
      </c>
      <c r="AC91" s="12">
        <f>IFERROR(Tableau1[[#This Row],[Loyer annuel]]+Tableau1[[#This Row],[Charges annuelles]]+Tableau1[[#This Row],[Taxe foncière]]+Tableau1[[#This Row],[Marketing]],"")</f>
        <v>40608</v>
      </c>
      <c r="AD91" s="6" t="s">
        <v>105</v>
      </c>
      <c r="AE91" s="6" t="s">
        <v>105</v>
      </c>
      <c r="AF91" s="6" t="s">
        <v>105</v>
      </c>
      <c r="AG91" s="6" t="s">
        <v>444</v>
      </c>
      <c r="AH91" s="10" t="s">
        <v>54</v>
      </c>
      <c r="AI91" s="10" t="s">
        <v>395</v>
      </c>
      <c r="AJ91" s="4" t="s">
        <v>519</v>
      </c>
      <c r="AK91" s="5" t="s">
        <v>520</v>
      </c>
      <c r="AL91" s="5" t="s">
        <v>394</v>
      </c>
      <c r="AM91" s="11" t="s">
        <v>509</v>
      </c>
      <c r="AN91" s="11" t="s">
        <v>510</v>
      </c>
      <c r="AO91" s="33" t="s">
        <v>705</v>
      </c>
      <c r="AP91" s="34"/>
      <c r="AQ91" s="5" t="s">
        <v>77</v>
      </c>
      <c r="AR91" s="11" t="s">
        <v>523</v>
      </c>
      <c r="AS91" s="13" t="s">
        <v>31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137</v>
      </c>
      <c r="E92" s="27">
        <v>92410</v>
      </c>
      <c r="F92" s="40" t="s">
        <v>97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46</v>
      </c>
      <c r="J92" s="6" t="s">
        <v>45</v>
      </c>
      <c r="K92" s="12" t="s">
        <v>105</v>
      </c>
      <c r="L92" s="12" t="s">
        <v>105</v>
      </c>
      <c r="M92" s="38" t="s">
        <v>384</v>
      </c>
      <c r="N92" s="36">
        <v>424</v>
      </c>
      <c r="O92" s="6" t="s">
        <v>105</v>
      </c>
      <c r="P92" s="36" t="s">
        <v>105</v>
      </c>
      <c r="Q92" s="6" t="s">
        <v>105</v>
      </c>
      <c r="R92" s="12">
        <f>Tableau1[[#This Row],[Loyer €/m²]]*Tableau1[[#This Row],[Surface GLA]]</f>
        <v>106000</v>
      </c>
      <c r="S92" s="6">
        <f>IFERROR(Tableau1[[#This Row],[Loyer annuel]]/12,"")</f>
        <v>8833.3333333333339</v>
      </c>
      <c r="T92" s="12">
        <v>250</v>
      </c>
      <c r="U92" s="6" t="s">
        <v>105</v>
      </c>
      <c r="V92" s="6">
        <f>Tableau1[[#This Row],[Charges €/m²]]*Tableau1[[#This Row],[Surface GLA]]</f>
        <v>4240</v>
      </c>
      <c r="W92" s="12">
        <f>Tableau1[[#This Row],[Charges annuelles]]/12</f>
        <v>353.33333333333331</v>
      </c>
      <c r="X92" s="12">
        <v>10</v>
      </c>
      <c r="Y92" s="12">
        <f>IFERROR(Tableau1[[#This Row],[Taxe foncière €/m²]]*Tableau1[[#This Row],[Surface GLA]],)</f>
        <v>6784</v>
      </c>
      <c r="Z92" s="6">
        <v>16</v>
      </c>
      <c r="AA92" s="12">
        <f>IFERROR(Tableau1[[#This Row],[Marketing €/m²]]*Tableau1[[#This Row],[Surface GLA]],)</f>
        <v>0</v>
      </c>
      <c r="AB92" s="6" t="s">
        <v>105</v>
      </c>
      <c r="AC92" s="12">
        <f>IFERROR(Tableau1[[#This Row],[Loyer annuel]]+Tableau1[[#This Row],[Charges annuelles]]+Tableau1[[#This Row],[Taxe foncière]]+Tableau1[[#This Row],[Marketing]],"")</f>
        <v>117024</v>
      </c>
      <c r="AD92" s="6" t="s">
        <v>105</v>
      </c>
      <c r="AE92" s="6" t="s">
        <v>105</v>
      </c>
      <c r="AF92" s="6" t="s">
        <v>105</v>
      </c>
      <c r="AG92" s="6" t="s">
        <v>444</v>
      </c>
      <c r="AH92" s="10" t="s">
        <v>54</v>
      </c>
      <c r="AI92" s="10" t="s">
        <v>395</v>
      </c>
      <c r="AJ92" s="4" t="s">
        <v>519</v>
      </c>
      <c r="AK92" s="5" t="s">
        <v>520</v>
      </c>
      <c r="AL92" s="5" t="s">
        <v>394</v>
      </c>
      <c r="AM92" s="11" t="s">
        <v>511</v>
      </c>
      <c r="AN92" s="11" t="s">
        <v>512</v>
      </c>
      <c r="AO92" s="33" t="s">
        <v>706</v>
      </c>
      <c r="AP92" s="34"/>
      <c r="AQ92" s="5" t="s">
        <v>77</v>
      </c>
      <c r="AR92" s="11" t="s">
        <v>524</v>
      </c>
      <c r="AS92" s="13" t="s">
        <v>31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137</v>
      </c>
      <c r="E93" s="27">
        <v>92410</v>
      </c>
      <c r="F93" s="40" t="s">
        <v>97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46</v>
      </c>
      <c r="J93" s="6" t="s">
        <v>45</v>
      </c>
      <c r="K93" s="12" t="s">
        <v>105</v>
      </c>
      <c r="L93" s="12" t="s">
        <v>105</v>
      </c>
      <c r="M93" s="38" t="s">
        <v>385</v>
      </c>
      <c r="N93" s="36">
        <v>258</v>
      </c>
      <c r="O93" s="6" t="s">
        <v>105</v>
      </c>
      <c r="P93" s="36" t="s">
        <v>105</v>
      </c>
      <c r="Q93" s="6" t="s">
        <v>105</v>
      </c>
      <c r="R93" s="12">
        <f>Tableau1[[#This Row],[Loyer €/m²]]*Tableau1[[#This Row],[Surface GLA]]</f>
        <v>70950</v>
      </c>
      <c r="S93" s="6">
        <f>IFERROR(Tableau1[[#This Row],[Loyer annuel]]/12,"")</f>
        <v>5912.5</v>
      </c>
      <c r="T93" s="12">
        <v>275</v>
      </c>
      <c r="U93" s="6" t="s">
        <v>105</v>
      </c>
      <c r="V93" s="6">
        <f>Tableau1[[#This Row],[Charges €/m²]]*Tableau1[[#This Row],[Surface GLA]]</f>
        <v>2580</v>
      </c>
      <c r="W93" s="12">
        <f>Tableau1[[#This Row],[Charges annuelles]]/12</f>
        <v>215</v>
      </c>
      <c r="X93" s="12">
        <v>10</v>
      </c>
      <c r="Y93" s="12">
        <f>IFERROR(Tableau1[[#This Row],[Taxe foncière €/m²]]*Tableau1[[#This Row],[Surface GLA]],)</f>
        <v>4128</v>
      </c>
      <c r="Z93" s="6">
        <v>16</v>
      </c>
      <c r="AA93" s="12">
        <f>IFERROR(Tableau1[[#This Row],[Marketing €/m²]]*Tableau1[[#This Row],[Surface GLA]],)</f>
        <v>0</v>
      </c>
      <c r="AB93" s="6" t="s">
        <v>105</v>
      </c>
      <c r="AC93" s="12">
        <f>IFERROR(Tableau1[[#This Row],[Loyer annuel]]+Tableau1[[#This Row],[Charges annuelles]]+Tableau1[[#This Row],[Taxe foncière]]+Tableau1[[#This Row],[Marketing]],"")</f>
        <v>77658</v>
      </c>
      <c r="AD93" s="6" t="s">
        <v>105</v>
      </c>
      <c r="AE93" s="6" t="s">
        <v>105</v>
      </c>
      <c r="AF93" s="6" t="s">
        <v>105</v>
      </c>
      <c r="AG93" s="6" t="s">
        <v>444</v>
      </c>
      <c r="AH93" s="10" t="s">
        <v>54</v>
      </c>
      <c r="AI93" s="10" t="s">
        <v>395</v>
      </c>
      <c r="AJ93" s="4" t="s">
        <v>519</v>
      </c>
      <c r="AK93" s="5" t="s">
        <v>520</v>
      </c>
      <c r="AL93" s="5" t="s">
        <v>394</v>
      </c>
      <c r="AM93" s="11" t="s">
        <v>513</v>
      </c>
      <c r="AN93" s="11" t="s">
        <v>514</v>
      </c>
      <c r="AO93" s="33" t="s">
        <v>707</v>
      </c>
      <c r="AP93" s="34"/>
      <c r="AQ93" s="5" t="s">
        <v>77</v>
      </c>
      <c r="AR93" s="11" t="s">
        <v>525</v>
      </c>
      <c r="AS93" s="13" t="s">
        <v>31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137</v>
      </c>
      <c r="E94" s="27">
        <v>92410</v>
      </c>
      <c r="F94" s="40" t="s">
        <v>97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46</v>
      </c>
      <c r="J94" s="6" t="s">
        <v>45</v>
      </c>
      <c r="K94" s="12" t="s">
        <v>105</v>
      </c>
      <c r="L94" s="12" t="s">
        <v>105</v>
      </c>
      <c r="M94" s="38" t="s">
        <v>386</v>
      </c>
      <c r="N94" s="36">
        <v>152</v>
      </c>
      <c r="O94" s="6" t="s">
        <v>105</v>
      </c>
      <c r="P94" s="36" t="s">
        <v>105</v>
      </c>
      <c r="Q94" s="6" t="s">
        <v>105</v>
      </c>
      <c r="R94" s="12">
        <f>Tableau1[[#This Row],[Loyer €/m²]]*Tableau1[[#This Row],[Surface GLA]]</f>
        <v>45600</v>
      </c>
      <c r="S94" s="6">
        <f>IFERROR(Tableau1[[#This Row],[Loyer annuel]]/12,"")</f>
        <v>3800</v>
      </c>
      <c r="T94" s="12">
        <v>300</v>
      </c>
      <c r="U94" s="6" t="s">
        <v>105</v>
      </c>
      <c r="V94" s="6">
        <f>Tableau1[[#This Row],[Charges €/m²]]*Tableau1[[#This Row],[Surface GLA]]</f>
        <v>1520</v>
      </c>
      <c r="W94" s="12">
        <f>Tableau1[[#This Row],[Charges annuelles]]/12</f>
        <v>126.66666666666667</v>
      </c>
      <c r="X94" s="12">
        <v>10</v>
      </c>
      <c r="Y94" s="12">
        <f>IFERROR(Tableau1[[#This Row],[Taxe foncière €/m²]]*Tableau1[[#This Row],[Surface GLA]],)</f>
        <v>2432</v>
      </c>
      <c r="Z94" s="6">
        <v>16</v>
      </c>
      <c r="AA94" s="12">
        <f>IFERROR(Tableau1[[#This Row],[Marketing €/m²]]*Tableau1[[#This Row],[Surface GLA]],)</f>
        <v>0</v>
      </c>
      <c r="AB94" s="6" t="s">
        <v>105</v>
      </c>
      <c r="AC94" s="12">
        <f>IFERROR(Tableau1[[#This Row],[Loyer annuel]]+Tableau1[[#This Row],[Charges annuelles]]+Tableau1[[#This Row],[Taxe foncière]]+Tableau1[[#This Row],[Marketing]],"")</f>
        <v>49552</v>
      </c>
      <c r="AD94" s="6" t="s">
        <v>105</v>
      </c>
      <c r="AE94" s="6" t="s">
        <v>105</v>
      </c>
      <c r="AF94" s="6" t="s">
        <v>105</v>
      </c>
      <c r="AG94" s="6" t="s">
        <v>444</v>
      </c>
      <c r="AH94" s="10" t="s">
        <v>54</v>
      </c>
      <c r="AI94" s="10" t="s">
        <v>395</v>
      </c>
      <c r="AJ94" s="4" t="s">
        <v>519</v>
      </c>
      <c r="AK94" s="5" t="s">
        <v>520</v>
      </c>
      <c r="AL94" s="5" t="s">
        <v>394</v>
      </c>
      <c r="AM94" s="11" t="s">
        <v>515</v>
      </c>
      <c r="AN94" s="11" t="s">
        <v>516</v>
      </c>
      <c r="AO94" s="33" t="s">
        <v>708</v>
      </c>
      <c r="AP94" s="34"/>
      <c r="AQ94" s="5" t="s">
        <v>77</v>
      </c>
      <c r="AR94" s="11" t="s">
        <v>526</v>
      </c>
      <c r="AS94" s="13" t="s">
        <v>31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137</v>
      </c>
      <c r="E95" s="27">
        <v>92410</v>
      </c>
      <c r="F95" s="40" t="s">
        <v>97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46</v>
      </c>
      <c r="J95" s="6" t="s">
        <v>45</v>
      </c>
      <c r="K95" s="12" t="s">
        <v>105</v>
      </c>
      <c r="L95" s="12" t="s">
        <v>105</v>
      </c>
      <c r="M95" s="38" t="s">
        <v>387</v>
      </c>
      <c r="N95" s="36">
        <v>105</v>
      </c>
      <c r="O95" s="6" t="s">
        <v>105</v>
      </c>
      <c r="P95" s="36" t="s">
        <v>105</v>
      </c>
      <c r="Q95" s="6" t="s">
        <v>105</v>
      </c>
      <c r="R95" s="12">
        <f>Tableau1[[#This Row],[Loyer €/m²]]*Tableau1[[#This Row],[Surface GLA]]</f>
        <v>36750</v>
      </c>
      <c r="S95" s="6">
        <f>IFERROR(Tableau1[[#This Row],[Loyer annuel]]/12,"")</f>
        <v>3062.5</v>
      </c>
      <c r="T95" s="12">
        <v>350</v>
      </c>
      <c r="U95" s="6" t="s">
        <v>105</v>
      </c>
      <c r="V95" s="6">
        <f>Tableau1[[#This Row],[Charges €/m²]]*Tableau1[[#This Row],[Surface GLA]]</f>
        <v>1050</v>
      </c>
      <c r="W95" s="12">
        <f>Tableau1[[#This Row],[Charges annuelles]]/12</f>
        <v>87.5</v>
      </c>
      <c r="X95" s="12">
        <v>10</v>
      </c>
      <c r="Y95" s="12">
        <f>IFERROR(Tableau1[[#This Row],[Taxe foncière €/m²]]*Tableau1[[#This Row],[Surface GLA]],)</f>
        <v>1680</v>
      </c>
      <c r="Z95" s="6">
        <v>16</v>
      </c>
      <c r="AA95" s="12">
        <f>IFERROR(Tableau1[[#This Row],[Marketing €/m²]]*Tableau1[[#This Row],[Surface GLA]],)</f>
        <v>0</v>
      </c>
      <c r="AB95" s="6" t="s">
        <v>105</v>
      </c>
      <c r="AC95" s="12">
        <f>IFERROR(Tableau1[[#This Row],[Loyer annuel]]+Tableau1[[#This Row],[Charges annuelles]]+Tableau1[[#This Row],[Taxe foncière]]+Tableau1[[#This Row],[Marketing]],"")</f>
        <v>39480</v>
      </c>
      <c r="AD95" s="6" t="s">
        <v>105</v>
      </c>
      <c r="AE95" s="6" t="s">
        <v>105</v>
      </c>
      <c r="AF95" s="6" t="s">
        <v>105</v>
      </c>
      <c r="AG95" s="6" t="s">
        <v>444</v>
      </c>
      <c r="AH95" s="10" t="s">
        <v>54</v>
      </c>
      <c r="AI95" s="10" t="s">
        <v>395</v>
      </c>
      <c r="AJ95" s="4" t="s">
        <v>519</v>
      </c>
      <c r="AK95" s="5" t="s">
        <v>520</v>
      </c>
      <c r="AL95" s="5" t="s">
        <v>394</v>
      </c>
      <c r="AM95" s="11" t="s">
        <v>517</v>
      </c>
      <c r="AN95" s="11" t="s">
        <v>518</v>
      </c>
      <c r="AO95" s="33" t="s">
        <v>709</v>
      </c>
      <c r="AP95" s="34"/>
      <c r="AQ95" s="5" t="s">
        <v>77</v>
      </c>
      <c r="AR95" s="11" t="s">
        <v>527</v>
      </c>
      <c r="AS95" s="13" t="s">
        <v>31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Val-D'Oise</v>
      </c>
      <c r="C96" s="10">
        <f>LEFT(Tableau1[[#This Row],[Code Postal]],2)*1</f>
        <v>95</v>
      </c>
      <c r="D96" s="10" t="s">
        <v>120</v>
      </c>
      <c r="E96" s="27">
        <v>95000</v>
      </c>
      <c r="F96" s="40" t="s">
        <v>99</v>
      </c>
      <c r="G96" s="5" t="str">
        <f>Tableau1[[#This Row],[Rue]]&amp;CHAR(10)&amp;Tableau1[[#This Row],[Code Postal]]&amp;" - "&amp;Tableau1[[#This Row],[Ville]]</f>
        <v>Rue Stéphane Charbonnier
95000 - Pontoise</v>
      </c>
      <c r="H96" s="15" t="s">
        <v>553</v>
      </c>
      <c r="I96" s="6" t="s">
        <v>46</v>
      </c>
      <c r="J96" s="6" t="s">
        <v>45</v>
      </c>
      <c r="K96" s="12" t="s">
        <v>105</v>
      </c>
      <c r="L96" s="12" t="s">
        <v>105</v>
      </c>
      <c r="M96" s="37" t="s">
        <v>528</v>
      </c>
      <c r="N96" s="36">
        <v>286</v>
      </c>
      <c r="O96" s="6" t="s">
        <v>105</v>
      </c>
      <c r="P96" s="36" t="s">
        <v>105</v>
      </c>
      <c r="Q96" s="6" t="s">
        <v>105</v>
      </c>
      <c r="R96" s="12">
        <f>Tableau1[[#This Row],[Loyer €/m²]]*Tableau1[[#This Row],[Surface GLA]]</f>
        <v>92950</v>
      </c>
      <c r="S96" s="6">
        <f>IFERROR(Tableau1[[#This Row],[Loyer annuel]]/12,"")</f>
        <v>7745.833333333333</v>
      </c>
      <c r="T96" s="12">
        <v>325</v>
      </c>
      <c r="U96" s="6" t="s">
        <v>105</v>
      </c>
      <c r="V96" s="6">
        <f>Tableau1[[#This Row],[Charges €/m²]]*Tableau1[[#This Row],[Surface GLA]]</f>
        <v>8866</v>
      </c>
      <c r="W96" s="12">
        <f>Tableau1[[#This Row],[Charges annuelles]]/12</f>
        <v>738.83333333333337</v>
      </c>
      <c r="X96" s="12">
        <v>31</v>
      </c>
      <c r="Y96" s="12">
        <f>IFERROR(Tableau1[[#This Row],[Taxe foncière €/m²]]*Tableau1[[#This Row],[Surface GLA]],)</f>
        <v>0</v>
      </c>
      <c r="Z96" s="6" t="s">
        <v>105</v>
      </c>
      <c r="AA96" s="6">
        <f>IFERROR(Tableau1[[#This Row],[Marketing €/m²]]*Tableau1[[#This Row],[Surface GLA]],)</f>
        <v>0</v>
      </c>
      <c r="AB96" s="6" t="s">
        <v>105</v>
      </c>
      <c r="AC96" s="6">
        <f>IFERROR(Tableau1[[#This Row],[Loyer annuel]]+Tableau1[[#This Row],[Charges annuelles]]+Tableau1[[#This Row],[Taxe foncière]]+Tableau1[[#This Row],[Marketing]],"")</f>
        <v>101816</v>
      </c>
      <c r="AD96" s="6" t="s">
        <v>105</v>
      </c>
      <c r="AE96" s="6" t="s">
        <v>105</v>
      </c>
      <c r="AF96" s="6" t="s">
        <v>105</v>
      </c>
      <c r="AG96" s="6" t="s">
        <v>444</v>
      </c>
      <c r="AH96" s="10" t="s">
        <v>415</v>
      </c>
      <c r="AI96" s="4" t="s">
        <v>396</v>
      </c>
      <c r="AJ96" s="4" t="s">
        <v>547</v>
      </c>
      <c r="AK96" s="5" t="s">
        <v>546</v>
      </c>
      <c r="AL96" s="5" t="s">
        <v>394</v>
      </c>
      <c r="AM96" s="5" t="s">
        <v>544</v>
      </c>
      <c r="AN96" s="5" t="s">
        <v>545</v>
      </c>
      <c r="AO96" s="33" t="s">
        <v>710</v>
      </c>
      <c r="AP96" s="33"/>
      <c r="AQ96" s="5" t="s">
        <v>77</v>
      </c>
      <c r="AR96" s="11" t="s">
        <v>533</v>
      </c>
      <c r="AS96" s="13" t="s">
        <v>38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Val-D'Oise</v>
      </c>
      <c r="C97" s="10">
        <f>LEFT(Tableau1[[#This Row],[Code Postal]],2)*1</f>
        <v>95</v>
      </c>
      <c r="D97" s="10" t="s">
        <v>120</v>
      </c>
      <c r="E97" s="27">
        <v>95000</v>
      </c>
      <c r="F97" s="40" t="s">
        <v>99</v>
      </c>
      <c r="G97" s="5" t="str">
        <f>Tableau1[[#This Row],[Rue]]&amp;CHAR(10)&amp;Tableau1[[#This Row],[Code Postal]]&amp;" - "&amp;Tableau1[[#This Row],[Ville]]</f>
        <v>Rue Stéphane Charbonnier
95000 - Pontoise</v>
      </c>
      <c r="H97" s="15" t="s">
        <v>551</v>
      </c>
      <c r="I97" s="6" t="s">
        <v>46</v>
      </c>
      <c r="J97" s="6" t="s">
        <v>45</v>
      </c>
      <c r="K97" s="12" t="s">
        <v>105</v>
      </c>
      <c r="L97" s="12" t="s">
        <v>105</v>
      </c>
      <c r="M97" s="38" t="s">
        <v>530</v>
      </c>
      <c r="N97" s="36">
        <v>84</v>
      </c>
      <c r="O97" s="6" t="s">
        <v>105</v>
      </c>
      <c r="P97" s="36" t="s">
        <v>105</v>
      </c>
      <c r="Q97" s="6" t="s">
        <v>105</v>
      </c>
      <c r="R97" s="12">
        <f>Tableau1[[#This Row],[Loyer €/m²]]*Tableau1[[#This Row],[Surface GLA]]</f>
        <v>29400</v>
      </c>
      <c r="S97" s="12">
        <f>IFERROR(Tableau1[[#This Row],[Loyer annuel]]/12,"")</f>
        <v>2450</v>
      </c>
      <c r="T97" s="12">
        <v>350</v>
      </c>
      <c r="U97" s="6" t="s">
        <v>105</v>
      </c>
      <c r="V97" s="6">
        <f>Tableau1[[#This Row],[Charges €/m²]]*Tableau1[[#This Row],[Surface GLA]]</f>
        <v>1680</v>
      </c>
      <c r="W97" s="12">
        <f>Tableau1[[#This Row],[Charges annuelles]]/12</f>
        <v>140</v>
      </c>
      <c r="X97" s="12">
        <v>20</v>
      </c>
      <c r="Y97" s="12">
        <f>IFERROR(Tableau1[[#This Row],[Taxe foncière €/m²]]*Tableau1[[#This Row],[Surface GLA]],)</f>
        <v>0</v>
      </c>
      <c r="Z97" s="6" t="s">
        <v>105</v>
      </c>
      <c r="AA97" s="12">
        <f>IFERROR(Tableau1[[#This Row],[Marketing €/m²]]*Tableau1[[#This Row],[Surface GLA]],)</f>
        <v>0</v>
      </c>
      <c r="AB97" s="6" t="s">
        <v>105</v>
      </c>
      <c r="AC97" s="12">
        <f>IFERROR(Tableau1[[#This Row],[Loyer annuel]]+Tableau1[[#This Row],[Charges annuelles]]+Tableau1[[#This Row],[Taxe foncière]]+Tableau1[[#This Row],[Marketing]],"")</f>
        <v>31080</v>
      </c>
      <c r="AD97" s="6" t="s">
        <v>105</v>
      </c>
      <c r="AE97" s="6" t="s">
        <v>105</v>
      </c>
      <c r="AF97" s="6" t="s">
        <v>105</v>
      </c>
      <c r="AG97" s="6" t="s">
        <v>444</v>
      </c>
      <c r="AH97" s="10" t="s">
        <v>415</v>
      </c>
      <c r="AI97" s="4" t="s">
        <v>396</v>
      </c>
      <c r="AJ97" s="4" t="s">
        <v>547</v>
      </c>
      <c r="AK97" s="5" t="s">
        <v>546</v>
      </c>
      <c r="AL97" s="5" t="s">
        <v>394</v>
      </c>
      <c r="AM97" s="11" t="s">
        <v>542</v>
      </c>
      <c r="AN97" s="11" t="s">
        <v>543</v>
      </c>
      <c r="AO97" s="33" t="s">
        <v>711</v>
      </c>
      <c r="AP97" s="34"/>
      <c r="AQ97" s="5" t="s">
        <v>77</v>
      </c>
      <c r="AR97" s="11" t="s">
        <v>534</v>
      </c>
      <c r="AS97" s="13" t="s">
        <v>38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120</v>
      </c>
      <c r="E98" s="27">
        <v>95000</v>
      </c>
      <c r="F98" s="40" t="s">
        <v>99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549</v>
      </c>
      <c r="I98" s="6" t="s">
        <v>46</v>
      </c>
      <c r="J98" s="6" t="s">
        <v>45</v>
      </c>
      <c r="K98" s="12" t="s">
        <v>105</v>
      </c>
      <c r="L98" s="12" t="s">
        <v>105</v>
      </c>
      <c r="M98" s="38" t="s">
        <v>529</v>
      </c>
      <c r="N98" s="36">
        <v>272</v>
      </c>
      <c r="O98" s="6" t="s">
        <v>105</v>
      </c>
      <c r="P98" s="36" t="s">
        <v>105</v>
      </c>
      <c r="Q98" s="6" t="s">
        <v>105</v>
      </c>
      <c r="R98" s="12">
        <f>Tableau1[[#This Row],[Loyer €/m²]]*Tableau1[[#This Row],[Surface GLA]]</f>
        <v>74800</v>
      </c>
      <c r="S98" s="12">
        <f>IFERROR(Tableau1[[#This Row],[Loyer annuel]]/12,"")</f>
        <v>6233.333333333333</v>
      </c>
      <c r="T98" s="12">
        <v>275</v>
      </c>
      <c r="U98" s="6" t="s">
        <v>105</v>
      </c>
      <c r="V98" s="6">
        <f>Tableau1[[#This Row],[Charges €/m²]]*Tableau1[[#This Row],[Surface GLA]]</f>
        <v>5440</v>
      </c>
      <c r="W98" s="12">
        <f>Tableau1[[#This Row],[Charges annuelles]]/12</f>
        <v>453.33333333333331</v>
      </c>
      <c r="X98" s="12">
        <v>20</v>
      </c>
      <c r="Y98" s="12">
        <f>IFERROR(Tableau1[[#This Row],[Taxe foncière €/m²]]*Tableau1[[#This Row],[Surface GLA]],)</f>
        <v>0</v>
      </c>
      <c r="Z98" s="6" t="s">
        <v>105</v>
      </c>
      <c r="AA98" s="12">
        <f>IFERROR(Tableau1[[#This Row],[Marketing €/m²]]*Tableau1[[#This Row],[Surface GLA]],)</f>
        <v>0</v>
      </c>
      <c r="AB98" s="6" t="s">
        <v>105</v>
      </c>
      <c r="AC98" s="12">
        <f>IFERROR(Tableau1[[#This Row],[Loyer annuel]]+Tableau1[[#This Row],[Charges annuelles]]+Tableau1[[#This Row],[Taxe foncière]]+Tableau1[[#This Row],[Marketing]],"")</f>
        <v>80240</v>
      </c>
      <c r="AD98" s="6" t="s">
        <v>105</v>
      </c>
      <c r="AE98" s="6" t="s">
        <v>105</v>
      </c>
      <c r="AF98" s="6" t="s">
        <v>105</v>
      </c>
      <c r="AG98" s="6" t="s">
        <v>444</v>
      </c>
      <c r="AH98" s="10" t="s">
        <v>415</v>
      </c>
      <c r="AI98" s="4" t="s">
        <v>396</v>
      </c>
      <c r="AJ98" s="4" t="s">
        <v>547</v>
      </c>
      <c r="AK98" s="5" t="s">
        <v>548</v>
      </c>
      <c r="AL98" s="5" t="s">
        <v>394</v>
      </c>
      <c r="AM98" s="11" t="s">
        <v>536</v>
      </c>
      <c r="AN98" s="11" t="s">
        <v>537</v>
      </c>
      <c r="AO98" s="33" t="s">
        <v>712</v>
      </c>
      <c r="AP98" s="34"/>
      <c r="AQ98" s="5" t="s">
        <v>77</v>
      </c>
      <c r="AR98" s="11" t="s">
        <v>535</v>
      </c>
      <c r="AS98" s="13" t="s">
        <v>38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120</v>
      </c>
      <c r="E99" s="27">
        <v>95000</v>
      </c>
      <c r="F99" s="40" t="s">
        <v>99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550</v>
      </c>
      <c r="I99" s="6" t="s">
        <v>46</v>
      </c>
      <c r="J99" s="6" t="s">
        <v>45</v>
      </c>
      <c r="K99" s="12" t="s">
        <v>105</v>
      </c>
      <c r="L99" s="12" t="s">
        <v>105</v>
      </c>
      <c r="M99" s="38" t="s">
        <v>531</v>
      </c>
      <c r="N99" s="36">
        <v>162</v>
      </c>
      <c r="O99" s="6" t="s">
        <v>105</v>
      </c>
      <c r="P99" s="36" t="s">
        <v>105</v>
      </c>
      <c r="Q99" s="6" t="s">
        <v>105</v>
      </c>
      <c r="R99" s="12">
        <f>Tableau1[[#This Row],[Loyer €/m²]]*Tableau1[[#This Row],[Surface GLA]]</f>
        <v>52650</v>
      </c>
      <c r="S99" s="12">
        <f>IFERROR(Tableau1[[#This Row],[Loyer annuel]]/12,"")</f>
        <v>4387.5</v>
      </c>
      <c r="T99" s="12">
        <v>325</v>
      </c>
      <c r="U99" s="6" t="s">
        <v>105</v>
      </c>
      <c r="V99" s="6">
        <f>Tableau1[[#This Row],[Charges €/m²]]*Tableau1[[#This Row],[Surface GLA]]</f>
        <v>8910</v>
      </c>
      <c r="W99" s="12">
        <f>Tableau1[[#This Row],[Charges annuelles]]/12</f>
        <v>742.5</v>
      </c>
      <c r="X99" s="12">
        <v>55</v>
      </c>
      <c r="Y99" s="12">
        <f>IFERROR(Tableau1[[#This Row],[Taxe foncière €/m²]]*Tableau1[[#This Row],[Surface GLA]],)</f>
        <v>0</v>
      </c>
      <c r="Z99" s="6" t="s">
        <v>105</v>
      </c>
      <c r="AA99" s="12">
        <f>IFERROR(Tableau1[[#This Row],[Marketing €/m²]]*Tableau1[[#This Row],[Surface GLA]],)</f>
        <v>0</v>
      </c>
      <c r="AB99" s="6" t="s">
        <v>105</v>
      </c>
      <c r="AC99" s="12">
        <f>IFERROR(Tableau1[[#This Row],[Loyer annuel]]+Tableau1[[#This Row],[Charges annuelles]]+Tableau1[[#This Row],[Taxe foncière]]+Tableau1[[#This Row],[Marketing]],"")</f>
        <v>61560</v>
      </c>
      <c r="AD99" s="6" t="s">
        <v>105</v>
      </c>
      <c r="AE99" s="6" t="s">
        <v>105</v>
      </c>
      <c r="AF99" s="6" t="s">
        <v>105</v>
      </c>
      <c r="AG99" s="6" t="s">
        <v>444</v>
      </c>
      <c r="AH99" s="10" t="s">
        <v>415</v>
      </c>
      <c r="AI99" s="4" t="s">
        <v>396</v>
      </c>
      <c r="AJ99" s="4" t="s">
        <v>547</v>
      </c>
      <c r="AK99" s="5" t="s">
        <v>546</v>
      </c>
      <c r="AL99" s="5" t="s">
        <v>394</v>
      </c>
      <c r="AM99" s="11" t="s">
        <v>538</v>
      </c>
      <c r="AN99" s="11" t="s">
        <v>539</v>
      </c>
      <c r="AO99" s="33" t="s">
        <v>713</v>
      </c>
      <c r="AP99" s="34"/>
      <c r="AQ99" s="5" t="s">
        <v>77</v>
      </c>
      <c r="AR99" s="11" t="s">
        <v>533</v>
      </c>
      <c r="AS99" s="13" t="s">
        <v>38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120</v>
      </c>
      <c r="E100" s="27">
        <v>95000</v>
      </c>
      <c r="F100" s="40" t="s">
        <v>99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552</v>
      </c>
      <c r="I100" s="6" t="s">
        <v>46</v>
      </c>
      <c r="J100" s="6" t="s">
        <v>45</v>
      </c>
      <c r="K100" s="12" t="s">
        <v>105</v>
      </c>
      <c r="L100" s="12" t="s">
        <v>105</v>
      </c>
      <c r="M100" s="38" t="s">
        <v>532</v>
      </c>
      <c r="N100" s="36">
        <v>271</v>
      </c>
      <c r="O100" s="6" t="s">
        <v>105</v>
      </c>
      <c r="P100" s="36" t="s">
        <v>105</v>
      </c>
      <c r="Q100" s="6" t="s">
        <v>105</v>
      </c>
      <c r="R100" s="12">
        <f>Tableau1[[#This Row],[Loyer €/m²]]*Tableau1[[#This Row],[Surface GLA]]</f>
        <v>88075</v>
      </c>
      <c r="S100" s="12">
        <f>IFERROR(Tableau1[[#This Row],[Loyer annuel]]/12,"")</f>
        <v>7339.583333333333</v>
      </c>
      <c r="T100" s="12">
        <v>325</v>
      </c>
      <c r="U100" s="6" t="s">
        <v>105</v>
      </c>
      <c r="V100" s="6">
        <f>Tableau1[[#This Row],[Charges €/m²]]*Tableau1[[#This Row],[Surface GLA]]</f>
        <v>5420</v>
      </c>
      <c r="W100" s="12">
        <f>Tableau1[[#This Row],[Charges annuelles]]/12</f>
        <v>451.66666666666669</v>
      </c>
      <c r="X100" s="12">
        <v>20</v>
      </c>
      <c r="Y100" s="12">
        <f>IFERROR(Tableau1[[#This Row],[Taxe foncière €/m²]]*Tableau1[[#This Row],[Surface GLA]],)</f>
        <v>0</v>
      </c>
      <c r="Z100" s="6" t="s">
        <v>105</v>
      </c>
      <c r="AA100" s="12">
        <f>IFERROR(Tableau1[[#This Row],[Marketing €/m²]]*Tableau1[[#This Row],[Surface GLA]],)</f>
        <v>0</v>
      </c>
      <c r="AB100" s="6" t="s">
        <v>105</v>
      </c>
      <c r="AC100" s="12">
        <f>IFERROR(Tableau1[[#This Row],[Loyer annuel]]+Tableau1[[#This Row],[Charges annuelles]]+Tableau1[[#This Row],[Taxe foncière]]+Tableau1[[#This Row],[Marketing]],"")</f>
        <v>93495</v>
      </c>
      <c r="AD100" s="6" t="s">
        <v>105</v>
      </c>
      <c r="AE100" s="6" t="s">
        <v>105</v>
      </c>
      <c r="AF100" s="6" t="s">
        <v>105</v>
      </c>
      <c r="AG100" s="6" t="s">
        <v>444</v>
      </c>
      <c r="AH100" s="10" t="s">
        <v>415</v>
      </c>
      <c r="AI100" s="4" t="s">
        <v>396</v>
      </c>
      <c r="AJ100" s="4" t="s">
        <v>547</v>
      </c>
      <c r="AK100" s="5" t="s">
        <v>546</v>
      </c>
      <c r="AL100" s="5" t="s">
        <v>394</v>
      </c>
      <c r="AM100" s="11" t="s">
        <v>540</v>
      </c>
      <c r="AN100" s="11" t="s">
        <v>541</v>
      </c>
      <c r="AO100" s="33" t="s">
        <v>714</v>
      </c>
      <c r="AP100" s="34"/>
      <c r="AQ100" s="5" t="s">
        <v>77</v>
      </c>
      <c r="AR100" s="11" t="s">
        <v>533</v>
      </c>
      <c r="AS100" s="13" t="s">
        <v>38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Occitanie</v>
      </c>
      <c r="B101" s="4" t="str">
        <f>VLOOKUP(Tableau1[[#This Row],[N° Département]],Feuil1!$C$6:$E$106,2)</f>
        <v>Hérault</v>
      </c>
      <c r="C101" s="10">
        <f>LEFT(Tableau1[[#This Row],[Code Postal]],2)*1</f>
        <v>34</v>
      </c>
      <c r="D101" s="4" t="s">
        <v>138</v>
      </c>
      <c r="E101" s="26">
        <v>34470</v>
      </c>
      <c r="F101" s="40" t="s">
        <v>100</v>
      </c>
      <c r="G101" s="5" t="str">
        <f>Tableau1[[#This Row],[Rue]]&amp;CHAR(10)&amp;Tableau1[[#This Row],[Code Postal]]&amp;" - "&amp;Tableau1[[#This Row],[Ville]]</f>
        <v>C.C. Auchan Avenue Georges Frêche
34470 - Pérols</v>
      </c>
      <c r="H101" s="15" t="s">
        <v>71</v>
      </c>
      <c r="I101" s="6" t="s">
        <v>48</v>
      </c>
      <c r="J101" s="6" t="s">
        <v>52</v>
      </c>
      <c r="K101" s="12" t="s">
        <v>105</v>
      </c>
      <c r="L101" s="12" t="s">
        <v>105</v>
      </c>
      <c r="M101" s="37" t="s">
        <v>554</v>
      </c>
      <c r="N101" s="36">
        <v>144</v>
      </c>
      <c r="O101" s="6" t="s">
        <v>105</v>
      </c>
      <c r="P101" s="36" t="s">
        <v>105</v>
      </c>
      <c r="Q101" s="6" t="s">
        <v>105</v>
      </c>
      <c r="R101" s="12">
        <f>Tableau1[[#This Row],[Loyer €/m²]]*Tableau1[[#This Row],[Surface GLA]]</f>
        <v>28800</v>
      </c>
      <c r="S101" s="6">
        <f>IFERROR(Tableau1[[#This Row],[Loyer annuel]]/12,"")</f>
        <v>2400</v>
      </c>
      <c r="T101" s="12">
        <v>200</v>
      </c>
      <c r="U101" s="6" t="s">
        <v>105</v>
      </c>
      <c r="V101" s="6">
        <f>Tableau1[[#This Row],[Charges €/m²]]*Tableau1[[#This Row],[Surface GLA]]</f>
        <v>17280</v>
      </c>
      <c r="W101" s="12">
        <f>Tableau1[[#This Row],[Charges annuelles]]/12</f>
        <v>1440</v>
      </c>
      <c r="X101" s="12">
        <v>120</v>
      </c>
      <c r="Y101" s="12">
        <f>IFERROR(Tableau1[[#This Row],[Taxe foncière €/m²]]*Tableau1[[#This Row],[Surface GLA]],)</f>
        <v>0</v>
      </c>
      <c r="Z101" s="6" t="s">
        <v>105</v>
      </c>
      <c r="AA101" s="6">
        <f>IFERROR(Tableau1[[#This Row],[Marketing €/m²]]*Tableau1[[#This Row],[Surface GLA]],)</f>
        <v>0</v>
      </c>
      <c r="AB101" s="6" t="s">
        <v>105</v>
      </c>
      <c r="AC101" s="6">
        <f>IFERROR(Tableau1[[#This Row],[Loyer annuel]]+Tableau1[[#This Row],[Charges annuelles]]+Tableau1[[#This Row],[Taxe foncière]]+Tableau1[[#This Row],[Marketing]],"")</f>
        <v>46080</v>
      </c>
      <c r="AD101" s="6" t="s">
        <v>105</v>
      </c>
      <c r="AE101" s="6" t="s">
        <v>105</v>
      </c>
      <c r="AF101" s="6" t="s">
        <v>105</v>
      </c>
      <c r="AG101" s="6" t="s">
        <v>389</v>
      </c>
      <c r="AH101" s="10" t="s">
        <v>415</v>
      </c>
      <c r="AI101" s="10" t="s">
        <v>396</v>
      </c>
      <c r="AJ101" s="4" t="s">
        <v>592</v>
      </c>
      <c r="AK101" s="11" t="s">
        <v>593</v>
      </c>
      <c r="AL101" s="5" t="s">
        <v>394</v>
      </c>
      <c r="AM101" s="11" t="s">
        <v>564</v>
      </c>
      <c r="AN101" s="11" t="s">
        <v>565</v>
      </c>
      <c r="AO101" s="33" t="s">
        <v>715</v>
      </c>
      <c r="AP101" s="33"/>
      <c r="AQ101" s="5" t="s">
        <v>77</v>
      </c>
      <c r="AR101" s="11" t="s">
        <v>28</v>
      </c>
      <c r="AS101" s="7" t="s">
        <v>18</v>
      </c>
      <c r="AT101" s="16"/>
      <c r="AU101" s="1"/>
      <c r="AV101" s="1"/>
      <c r="AW101" s="1"/>
      <c r="BD101" s="1"/>
    </row>
    <row r="102" spans="1:56" ht="25.5">
      <c r="A102" s="41" t="str">
        <f>VLOOKUP(Tableau1[[#This Row],[N° Département]],Feuil1!$C$6:$E$106,3)</f>
        <v>Occitanie</v>
      </c>
      <c r="B102" s="41" t="str">
        <f>VLOOKUP(Tableau1[[#This Row],[N° Département]],Feuil1!$C$6:$E$106,2)</f>
        <v>Hérault</v>
      </c>
      <c r="C102" s="41">
        <f>LEFT(Tableau1[[#This Row],[Code Postal]],2)*1</f>
        <v>34</v>
      </c>
      <c r="D102" s="10" t="s">
        <v>138</v>
      </c>
      <c r="E102" s="10">
        <v>34470</v>
      </c>
      <c r="F102" s="40" t="s">
        <v>100</v>
      </c>
      <c r="G102" s="41" t="str">
        <f>Tableau1[[#This Row],[Rue]]&amp;CHAR(10)&amp;Tableau1[[#This Row],[Code Postal]]&amp;" - "&amp;Tableau1[[#This Row],[Ville]]</f>
        <v>C.C. Auchan Avenue Georges Frêche
34470 - Pérols</v>
      </c>
      <c r="H102" s="15" t="s">
        <v>71</v>
      </c>
      <c r="I102" s="12" t="s">
        <v>48</v>
      </c>
      <c r="J102" s="12" t="s">
        <v>52</v>
      </c>
      <c r="K102" s="12" t="s">
        <v>105</v>
      </c>
      <c r="L102" s="12" t="s">
        <v>105</v>
      </c>
      <c r="M102" s="38" t="s">
        <v>555</v>
      </c>
      <c r="N102" s="36">
        <v>133</v>
      </c>
      <c r="O102" s="6" t="s">
        <v>105</v>
      </c>
      <c r="P102" s="36" t="s">
        <v>105</v>
      </c>
      <c r="Q102" s="6" t="s">
        <v>105</v>
      </c>
      <c r="R102" s="12">
        <f>Tableau1[[#This Row],[Loyer €/m²]]*Tableau1[[#This Row],[Surface GLA]]</f>
        <v>39900</v>
      </c>
      <c r="S102" s="12">
        <f>IFERROR(Tableau1[[#This Row],[Loyer annuel]]/12,"")</f>
        <v>3325</v>
      </c>
      <c r="T102" s="12">
        <v>300</v>
      </c>
      <c r="U102" s="6" t="s">
        <v>105</v>
      </c>
      <c r="V102" s="6">
        <f>Tableau1[[#This Row],[Charges €/m²]]*Tableau1[[#This Row],[Surface GLA]]</f>
        <v>15960</v>
      </c>
      <c r="W102" s="12">
        <f>Tableau1[[#This Row],[Charges annuelles]]/12</f>
        <v>1330</v>
      </c>
      <c r="X102" s="12">
        <v>120</v>
      </c>
      <c r="Y102" s="12">
        <f>IFERROR(Tableau1[[#This Row],[Taxe foncière €/m²]]*Tableau1[[#This Row],[Surface GLA]],)</f>
        <v>0</v>
      </c>
      <c r="Z102" s="6" t="s">
        <v>105</v>
      </c>
      <c r="AA102" s="12">
        <f>IFERROR(Tableau1[[#This Row],[Marketing €/m²]]*Tableau1[[#This Row],[Surface GLA]],)</f>
        <v>0</v>
      </c>
      <c r="AB102" s="6" t="s">
        <v>105</v>
      </c>
      <c r="AC102" s="12">
        <f>IFERROR(Tableau1[[#This Row],[Loyer annuel]]+Tableau1[[#This Row],[Charges annuelles]]+Tableau1[[#This Row],[Taxe foncière]]+Tableau1[[#This Row],[Marketing]],"")</f>
        <v>55860</v>
      </c>
      <c r="AD102" s="6" t="s">
        <v>105</v>
      </c>
      <c r="AE102" s="6" t="s">
        <v>105</v>
      </c>
      <c r="AF102" s="6" t="s">
        <v>105</v>
      </c>
      <c r="AG102" s="6" t="s">
        <v>389</v>
      </c>
      <c r="AH102" s="10" t="s">
        <v>54</v>
      </c>
      <c r="AI102" s="10" t="s">
        <v>395</v>
      </c>
      <c r="AJ102" s="4" t="s">
        <v>592</v>
      </c>
      <c r="AK102" s="11" t="s">
        <v>593</v>
      </c>
      <c r="AL102" s="5" t="s">
        <v>394</v>
      </c>
      <c r="AM102" s="11" t="s">
        <v>566</v>
      </c>
      <c r="AN102" s="11" t="s">
        <v>567</v>
      </c>
      <c r="AO102" s="33" t="s">
        <v>716</v>
      </c>
      <c r="AP102" s="34"/>
      <c r="AQ102" s="5" t="s">
        <v>77</v>
      </c>
      <c r="AR102" s="11" t="s">
        <v>28</v>
      </c>
      <c r="AS102" s="7" t="s">
        <v>18</v>
      </c>
      <c r="AT102" s="14"/>
      <c r="AX102" s="10"/>
      <c r="AY102" s="10"/>
      <c r="AZ102" s="11"/>
      <c r="BA102" s="11"/>
      <c r="BB102" s="13"/>
      <c r="BC102" s="16"/>
    </row>
    <row r="103" spans="1:56" ht="25.5">
      <c r="A103" s="41" t="str">
        <f>VLOOKUP(Tableau1[[#This Row],[N° Département]],Feuil1!$C$6:$E$106,3)</f>
        <v>Occitanie</v>
      </c>
      <c r="B103" s="41" t="str">
        <f>VLOOKUP(Tableau1[[#This Row],[N° Département]],Feuil1!$C$6:$E$106,2)</f>
        <v>Hérault</v>
      </c>
      <c r="C103" s="41">
        <f>LEFT(Tableau1[[#This Row],[Code Postal]],2)*1</f>
        <v>34</v>
      </c>
      <c r="D103" s="10" t="s">
        <v>138</v>
      </c>
      <c r="E103" s="10">
        <v>34470</v>
      </c>
      <c r="F103" s="40" t="s">
        <v>100</v>
      </c>
      <c r="G103" s="41" t="str">
        <f>Tableau1[[#This Row],[Rue]]&amp;CHAR(10)&amp;Tableau1[[#This Row],[Code Postal]]&amp;" - "&amp;Tableau1[[#This Row],[Ville]]</f>
        <v>C.C. Auchan Avenue Georges Frêche
34470 - Pérols</v>
      </c>
      <c r="H103" s="15" t="s">
        <v>71</v>
      </c>
      <c r="I103" s="12" t="s">
        <v>48</v>
      </c>
      <c r="J103" s="12" t="s">
        <v>52</v>
      </c>
      <c r="K103" s="12" t="s">
        <v>105</v>
      </c>
      <c r="L103" s="12" t="s">
        <v>105</v>
      </c>
      <c r="M103" s="38" t="s">
        <v>556</v>
      </c>
      <c r="N103" s="36">
        <v>114</v>
      </c>
      <c r="O103" s="6" t="s">
        <v>105</v>
      </c>
      <c r="P103" s="36" t="s">
        <v>105</v>
      </c>
      <c r="Q103" s="6" t="s">
        <v>105</v>
      </c>
      <c r="R103" s="12">
        <f>Tableau1[[#This Row],[Loyer €/m²]]*Tableau1[[#This Row],[Surface GLA]]</f>
        <v>34200</v>
      </c>
      <c r="S103" s="12">
        <f>IFERROR(Tableau1[[#This Row],[Loyer annuel]]/12,"")</f>
        <v>2850</v>
      </c>
      <c r="T103" s="12">
        <v>300</v>
      </c>
      <c r="U103" s="6" t="s">
        <v>105</v>
      </c>
      <c r="V103" s="6">
        <f>Tableau1[[#This Row],[Charges €/m²]]*Tableau1[[#This Row],[Surface GLA]]</f>
        <v>13680</v>
      </c>
      <c r="W103" s="12">
        <f>Tableau1[[#This Row],[Charges annuelles]]/12</f>
        <v>1140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105</v>
      </c>
      <c r="AA103" s="12">
        <f>IFERROR(Tableau1[[#This Row],[Marketing €/m²]]*Tableau1[[#This Row],[Surface GLA]],)</f>
        <v>0</v>
      </c>
      <c r="AB103" s="6" t="s">
        <v>105</v>
      </c>
      <c r="AC103" s="12">
        <f>IFERROR(Tableau1[[#This Row],[Loyer annuel]]+Tableau1[[#This Row],[Charges annuelles]]+Tableau1[[#This Row],[Taxe foncière]]+Tableau1[[#This Row],[Marketing]],"")</f>
        <v>47880</v>
      </c>
      <c r="AD103" s="6" t="s">
        <v>105</v>
      </c>
      <c r="AE103" s="6" t="s">
        <v>105</v>
      </c>
      <c r="AF103" s="6" t="s">
        <v>105</v>
      </c>
      <c r="AG103" s="6" t="s">
        <v>389</v>
      </c>
      <c r="AH103" s="10" t="s">
        <v>54</v>
      </c>
      <c r="AI103" s="10" t="s">
        <v>395</v>
      </c>
      <c r="AJ103" s="4" t="s">
        <v>592</v>
      </c>
      <c r="AK103" s="11" t="s">
        <v>593</v>
      </c>
      <c r="AL103" s="5" t="s">
        <v>394</v>
      </c>
      <c r="AM103" s="11" t="s">
        <v>568</v>
      </c>
      <c r="AN103" s="11" t="s">
        <v>569</v>
      </c>
      <c r="AO103" s="33" t="s">
        <v>717</v>
      </c>
      <c r="AP103" s="34"/>
      <c r="AQ103" s="5" t="s">
        <v>77</v>
      </c>
      <c r="AR103" s="11" t="s">
        <v>28</v>
      </c>
      <c r="AS103" s="7" t="s">
        <v>18</v>
      </c>
      <c r="AT103" s="14"/>
    </row>
    <row r="104" spans="1:56" ht="25.5">
      <c r="A104" s="41" t="str">
        <f>VLOOKUP(Tableau1[[#This Row],[N° Département]],Feuil1!$C$6:$E$106,3)</f>
        <v>Occitanie</v>
      </c>
      <c r="B104" s="41" t="str">
        <f>VLOOKUP(Tableau1[[#This Row],[N° Département]],Feuil1!$C$6:$E$106,2)</f>
        <v>Hérault</v>
      </c>
      <c r="C104" s="41">
        <f>LEFT(Tableau1[[#This Row],[Code Postal]],2)*1</f>
        <v>34</v>
      </c>
      <c r="D104" s="10" t="s">
        <v>138</v>
      </c>
      <c r="E104" s="10">
        <v>34470</v>
      </c>
      <c r="F104" s="40" t="s">
        <v>100</v>
      </c>
      <c r="G104" s="41" t="str">
        <f>Tableau1[[#This Row],[Rue]]&amp;CHAR(10)&amp;Tableau1[[#This Row],[Code Postal]]&amp;" - "&amp;Tableau1[[#This Row],[Ville]]</f>
        <v>C.C. Auchan Avenue Georges Frêche
34470 - Pérols</v>
      </c>
      <c r="H104" s="15" t="s">
        <v>71</v>
      </c>
      <c r="I104" s="12" t="s">
        <v>48</v>
      </c>
      <c r="J104" s="12" t="s">
        <v>52</v>
      </c>
      <c r="K104" s="12" t="s">
        <v>105</v>
      </c>
      <c r="L104" s="12" t="s">
        <v>105</v>
      </c>
      <c r="M104" s="38"/>
      <c r="N104" s="36">
        <v>36</v>
      </c>
      <c r="O104" s="6" t="s">
        <v>105</v>
      </c>
      <c r="P104" s="36" t="s">
        <v>105</v>
      </c>
      <c r="Q104" s="6" t="s">
        <v>105</v>
      </c>
      <c r="R104" s="12">
        <f>Tableau1[[#This Row],[Loyer €/m²]]*Tableau1[[#This Row],[Surface GLA]]</f>
        <v>14400</v>
      </c>
      <c r="S104" s="12">
        <f>IFERROR(Tableau1[[#This Row],[Loyer annuel]]/12,"")</f>
        <v>1200</v>
      </c>
      <c r="T104" s="12">
        <v>400</v>
      </c>
      <c r="U104" s="6" t="s">
        <v>105</v>
      </c>
      <c r="V104" s="6">
        <f>Tableau1[[#This Row],[Charges €/m²]]*Tableau1[[#This Row],[Surface GLA]]</f>
        <v>4320</v>
      </c>
      <c r="W104" s="12">
        <f>Tableau1[[#This Row],[Charges annuelles]]/12</f>
        <v>360</v>
      </c>
      <c r="X104" s="12">
        <v>120</v>
      </c>
      <c r="Y104" s="12">
        <f>IFERROR(Tableau1[[#This Row],[Taxe foncière €/m²]]*Tableau1[[#This Row],[Surface GLA]],)</f>
        <v>0</v>
      </c>
      <c r="Z104" s="6" t="s">
        <v>105</v>
      </c>
      <c r="AA104" s="12">
        <f>IFERROR(Tableau1[[#This Row],[Marketing €/m²]]*Tableau1[[#This Row],[Surface GLA]],)</f>
        <v>0</v>
      </c>
      <c r="AB104" s="6" t="s">
        <v>105</v>
      </c>
      <c r="AC104" s="12">
        <f>IFERROR(Tableau1[[#This Row],[Loyer annuel]]+Tableau1[[#This Row],[Charges annuelles]]+Tableau1[[#This Row],[Taxe foncière]]+Tableau1[[#This Row],[Marketing]],"")</f>
        <v>18720</v>
      </c>
      <c r="AD104" s="6" t="s">
        <v>105</v>
      </c>
      <c r="AE104" s="6" t="s">
        <v>105</v>
      </c>
      <c r="AF104" s="6" t="s">
        <v>105</v>
      </c>
      <c r="AG104" s="6" t="s">
        <v>389</v>
      </c>
      <c r="AH104" s="10" t="s">
        <v>54</v>
      </c>
      <c r="AI104" s="10" t="s">
        <v>395</v>
      </c>
      <c r="AJ104" s="4" t="s">
        <v>592</v>
      </c>
      <c r="AK104" s="11" t="s">
        <v>593</v>
      </c>
      <c r="AL104" s="5" t="s">
        <v>394</v>
      </c>
      <c r="AM104" s="11" t="s">
        <v>570</v>
      </c>
      <c r="AN104" s="11" t="s">
        <v>571</v>
      </c>
      <c r="AO104" s="33" t="s">
        <v>718</v>
      </c>
      <c r="AP104" s="34"/>
      <c r="AQ104" s="5" t="s">
        <v>77</v>
      </c>
      <c r="AR104" s="11" t="s">
        <v>28</v>
      </c>
      <c r="AS104" s="7" t="s">
        <v>18</v>
      </c>
      <c r="AT104" s="14"/>
    </row>
    <row r="105" spans="1:56" ht="25.5">
      <c r="A105" s="41" t="str">
        <f>VLOOKUP(Tableau1[[#This Row],[N° Département]],Feuil1!$C$6:$E$106,3)</f>
        <v>Occitanie</v>
      </c>
      <c r="B105" s="41" t="str">
        <f>VLOOKUP(Tableau1[[#This Row],[N° Département]],Feuil1!$C$6:$E$106,2)</f>
        <v>Hérault</v>
      </c>
      <c r="C105" s="41">
        <f>LEFT(Tableau1[[#This Row],[Code Postal]],2)*1</f>
        <v>34</v>
      </c>
      <c r="D105" s="10" t="s">
        <v>138</v>
      </c>
      <c r="E105" s="10">
        <v>34470</v>
      </c>
      <c r="F105" s="40" t="s">
        <v>100</v>
      </c>
      <c r="G105" s="41" t="str">
        <f>Tableau1[[#This Row],[Rue]]&amp;CHAR(10)&amp;Tableau1[[#This Row],[Code Postal]]&amp;" - "&amp;Tableau1[[#This Row],[Ville]]</f>
        <v>C.C. Auchan Avenue Georges Frêche
34470 - Pérols</v>
      </c>
      <c r="H105" s="15" t="s">
        <v>71</v>
      </c>
      <c r="I105" s="12" t="s">
        <v>48</v>
      </c>
      <c r="J105" s="12" t="s">
        <v>52</v>
      </c>
      <c r="K105" s="12" t="s">
        <v>105</v>
      </c>
      <c r="L105" s="12" t="s">
        <v>105</v>
      </c>
      <c r="M105" s="38" t="s">
        <v>557</v>
      </c>
      <c r="N105" s="36">
        <v>60</v>
      </c>
      <c r="O105" s="6" t="s">
        <v>105</v>
      </c>
      <c r="P105" s="36" t="s">
        <v>105</v>
      </c>
      <c r="Q105" s="6" t="s">
        <v>105</v>
      </c>
      <c r="R105" s="12">
        <f>Tableau1[[#This Row],[Loyer €/m²]]*Tableau1[[#This Row],[Surface GLA]]</f>
        <v>24000</v>
      </c>
      <c r="S105" s="12">
        <f>IFERROR(Tableau1[[#This Row],[Loyer annuel]]/12,"")</f>
        <v>2000</v>
      </c>
      <c r="T105" s="12">
        <v>400</v>
      </c>
      <c r="U105" s="6" t="s">
        <v>105</v>
      </c>
      <c r="V105" s="6">
        <f>Tableau1[[#This Row],[Charges €/m²]]*Tableau1[[#This Row],[Surface GLA]]</f>
        <v>7200</v>
      </c>
      <c r="W105" s="12">
        <f>Tableau1[[#This Row],[Charges annuelles]]/12</f>
        <v>600</v>
      </c>
      <c r="X105" s="12">
        <v>120</v>
      </c>
      <c r="Y105" s="12">
        <f>IFERROR(Tableau1[[#This Row],[Taxe foncière €/m²]]*Tableau1[[#This Row],[Surface GLA]],)</f>
        <v>0</v>
      </c>
      <c r="Z105" s="6" t="s">
        <v>105</v>
      </c>
      <c r="AA105" s="12">
        <f>IFERROR(Tableau1[[#This Row],[Marketing €/m²]]*Tableau1[[#This Row],[Surface GLA]],)</f>
        <v>0</v>
      </c>
      <c r="AB105" s="6" t="s">
        <v>105</v>
      </c>
      <c r="AC105" s="12">
        <f>IFERROR(Tableau1[[#This Row],[Loyer annuel]]+Tableau1[[#This Row],[Charges annuelles]]+Tableau1[[#This Row],[Taxe foncière]]+Tableau1[[#This Row],[Marketing]],"")</f>
        <v>31200</v>
      </c>
      <c r="AD105" s="6" t="s">
        <v>105</v>
      </c>
      <c r="AE105" s="6" t="s">
        <v>105</v>
      </c>
      <c r="AF105" s="6" t="s">
        <v>105</v>
      </c>
      <c r="AG105" s="6" t="s">
        <v>389</v>
      </c>
      <c r="AH105" s="10" t="s">
        <v>54</v>
      </c>
      <c r="AI105" s="10" t="s">
        <v>395</v>
      </c>
      <c r="AJ105" s="4" t="s">
        <v>592</v>
      </c>
      <c r="AK105" s="11" t="s">
        <v>593</v>
      </c>
      <c r="AL105" s="5" t="s">
        <v>394</v>
      </c>
      <c r="AM105" s="11" t="s">
        <v>572</v>
      </c>
      <c r="AN105" s="11" t="s">
        <v>573</v>
      </c>
      <c r="AO105" s="33" t="s">
        <v>719</v>
      </c>
      <c r="AP105" s="34"/>
      <c r="AQ105" s="5" t="s">
        <v>77</v>
      </c>
      <c r="AR105" s="11" t="s">
        <v>28</v>
      </c>
      <c r="AS105" s="7" t="s">
        <v>18</v>
      </c>
      <c r="AT105" s="14"/>
    </row>
    <row r="106" spans="1:56" ht="25.5">
      <c r="A106" s="41" t="str">
        <f>VLOOKUP(Tableau1[[#This Row],[N° Département]],Feuil1!$C$6:$E$106,3)</f>
        <v>Occitanie</v>
      </c>
      <c r="B106" s="41" t="str">
        <f>VLOOKUP(Tableau1[[#This Row],[N° Département]],Feuil1!$C$6:$E$106,2)</f>
        <v>Hérault</v>
      </c>
      <c r="C106" s="41">
        <f>LEFT(Tableau1[[#This Row],[Code Postal]],2)*1</f>
        <v>34</v>
      </c>
      <c r="D106" s="10" t="s">
        <v>138</v>
      </c>
      <c r="E106" s="10">
        <v>34470</v>
      </c>
      <c r="F106" s="40" t="s">
        <v>100</v>
      </c>
      <c r="G106" s="41" t="str">
        <f>Tableau1[[#This Row],[Rue]]&amp;CHAR(10)&amp;Tableau1[[#This Row],[Code Postal]]&amp;" - "&amp;Tableau1[[#This Row],[Ville]]</f>
        <v>C.C. Auchan Avenue Georges Frêche
34470 - Pérols</v>
      </c>
      <c r="H106" s="15" t="s">
        <v>71</v>
      </c>
      <c r="I106" s="12" t="s">
        <v>48</v>
      </c>
      <c r="J106" s="12" t="s">
        <v>52</v>
      </c>
      <c r="K106" s="12" t="s">
        <v>105</v>
      </c>
      <c r="L106" s="12" t="s">
        <v>105</v>
      </c>
      <c r="M106" s="38" t="s">
        <v>558</v>
      </c>
      <c r="N106" s="36">
        <v>60</v>
      </c>
      <c r="O106" s="6" t="s">
        <v>105</v>
      </c>
      <c r="P106" s="36" t="s">
        <v>105</v>
      </c>
      <c r="Q106" s="6" t="s">
        <v>105</v>
      </c>
      <c r="R106" s="12">
        <f>Tableau1[[#This Row],[Loyer €/m²]]*Tableau1[[#This Row],[Surface GLA]]</f>
        <v>24000</v>
      </c>
      <c r="S106" s="12">
        <f>IFERROR(Tableau1[[#This Row],[Loyer annuel]]/12,"")</f>
        <v>2000</v>
      </c>
      <c r="T106" s="12">
        <v>400</v>
      </c>
      <c r="U106" s="6" t="s">
        <v>105</v>
      </c>
      <c r="V106" s="6">
        <f>Tableau1[[#This Row],[Charges €/m²]]*Tableau1[[#This Row],[Surface GLA]]</f>
        <v>7200</v>
      </c>
      <c r="W106" s="12">
        <f>Tableau1[[#This Row],[Charges annuelles]]/12</f>
        <v>600</v>
      </c>
      <c r="X106" s="12">
        <v>120</v>
      </c>
      <c r="Y106" s="12">
        <f>IFERROR(Tableau1[[#This Row],[Taxe foncière €/m²]]*Tableau1[[#This Row],[Surface GLA]],)</f>
        <v>0</v>
      </c>
      <c r="Z106" s="6" t="s">
        <v>105</v>
      </c>
      <c r="AA106" s="12">
        <f>IFERROR(Tableau1[[#This Row],[Marketing €/m²]]*Tableau1[[#This Row],[Surface GLA]],)</f>
        <v>0</v>
      </c>
      <c r="AB106" s="6" t="s">
        <v>105</v>
      </c>
      <c r="AC106" s="12">
        <f>IFERROR(Tableau1[[#This Row],[Loyer annuel]]+Tableau1[[#This Row],[Charges annuelles]]+Tableau1[[#This Row],[Taxe foncière]]+Tableau1[[#This Row],[Marketing]],"")</f>
        <v>31200</v>
      </c>
      <c r="AD106" s="6" t="s">
        <v>105</v>
      </c>
      <c r="AE106" s="6" t="s">
        <v>105</v>
      </c>
      <c r="AF106" s="6" t="s">
        <v>105</v>
      </c>
      <c r="AG106" s="6" t="s">
        <v>389</v>
      </c>
      <c r="AH106" s="10" t="s">
        <v>54</v>
      </c>
      <c r="AI106" s="10" t="s">
        <v>395</v>
      </c>
      <c r="AJ106" s="4" t="s">
        <v>592</v>
      </c>
      <c r="AK106" s="11" t="s">
        <v>593</v>
      </c>
      <c r="AL106" s="5" t="s">
        <v>394</v>
      </c>
      <c r="AM106" s="11" t="s">
        <v>574</v>
      </c>
      <c r="AN106" s="11" t="s">
        <v>575</v>
      </c>
      <c r="AO106" s="33" t="s">
        <v>720</v>
      </c>
      <c r="AP106" s="34"/>
      <c r="AQ106" s="5" t="s">
        <v>77</v>
      </c>
      <c r="AR106" s="11" t="s">
        <v>28</v>
      </c>
      <c r="AS106" s="7" t="s">
        <v>18</v>
      </c>
      <c r="AT106" s="14"/>
    </row>
    <row r="107" spans="1:56" ht="25.5">
      <c r="A107" s="41" t="str">
        <f>VLOOKUP(Tableau1[[#This Row],[N° Département]],Feuil1!$C$6:$E$106,3)</f>
        <v>Occitanie</v>
      </c>
      <c r="B107" s="41" t="str">
        <f>VLOOKUP(Tableau1[[#This Row],[N° Département]],Feuil1!$C$6:$E$106,2)</f>
        <v>Hérault</v>
      </c>
      <c r="C107" s="41">
        <f>LEFT(Tableau1[[#This Row],[Code Postal]],2)*1</f>
        <v>34</v>
      </c>
      <c r="D107" s="10" t="s">
        <v>138</v>
      </c>
      <c r="E107" s="10">
        <v>34470</v>
      </c>
      <c r="F107" s="40" t="s">
        <v>100</v>
      </c>
      <c r="G107" s="41" t="str">
        <f>Tableau1[[#This Row],[Rue]]&amp;CHAR(10)&amp;Tableau1[[#This Row],[Code Postal]]&amp;" - "&amp;Tableau1[[#This Row],[Ville]]</f>
        <v>C.C. Auchan Avenue Georges Frêche
34470 - Pérols</v>
      </c>
      <c r="H107" s="15" t="s">
        <v>71</v>
      </c>
      <c r="I107" s="12" t="s">
        <v>48</v>
      </c>
      <c r="J107" s="12" t="s">
        <v>52</v>
      </c>
      <c r="K107" s="12" t="s">
        <v>105</v>
      </c>
      <c r="L107" s="12" t="s">
        <v>105</v>
      </c>
      <c r="M107" s="38" t="s">
        <v>559</v>
      </c>
      <c r="N107" s="36">
        <v>96</v>
      </c>
      <c r="O107" s="6" t="s">
        <v>105</v>
      </c>
      <c r="P107" s="36" t="s">
        <v>105</v>
      </c>
      <c r="Q107" s="6" t="s">
        <v>105</v>
      </c>
      <c r="R107" s="12">
        <f>Tableau1[[#This Row],[Loyer €/m²]]*Tableau1[[#This Row],[Surface GLA]]</f>
        <v>38400</v>
      </c>
      <c r="S107" s="12">
        <f>IFERROR(Tableau1[[#This Row],[Loyer annuel]]/12,"")</f>
        <v>3200</v>
      </c>
      <c r="T107" s="12">
        <v>400</v>
      </c>
      <c r="U107" s="6" t="s">
        <v>105</v>
      </c>
      <c r="V107" s="6">
        <f>Tableau1[[#This Row],[Charges €/m²]]*Tableau1[[#This Row],[Surface GLA]]</f>
        <v>11520</v>
      </c>
      <c r="W107" s="12">
        <f>Tableau1[[#This Row],[Charges annuelles]]/12</f>
        <v>960</v>
      </c>
      <c r="X107" s="12">
        <v>120</v>
      </c>
      <c r="Y107" s="12">
        <f>IFERROR(Tableau1[[#This Row],[Taxe foncière €/m²]]*Tableau1[[#This Row],[Surface GLA]],)</f>
        <v>0</v>
      </c>
      <c r="Z107" s="6" t="s">
        <v>105</v>
      </c>
      <c r="AA107" s="12">
        <f>IFERROR(Tableau1[[#This Row],[Marketing €/m²]]*Tableau1[[#This Row],[Surface GLA]],)</f>
        <v>0</v>
      </c>
      <c r="AB107" s="6" t="s">
        <v>105</v>
      </c>
      <c r="AC107" s="12">
        <f>IFERROR(Tableau1[[#This Row],[Loyer annuel]]+Tableau1[[#This Row],[Charges annuelles]]+Tableau1[[#This Row],[Taxe foncière]]+Tableau1[[#This Row],[Marketing]],"")</f>
        <v>49920</v>
      </c>
      <c r="AD107" s="6" t="s">
        <v>105</v>
      </c>
      <c r="AE107" s="6" t="s">
        <v>105</v>
      </c>
      <c r="AF107" s="6" t="s">
        <v>105</v>
      </c>
      <c r="AG107" s="6" t="s">
        <v>389</v>
      </c>
      <c r="AH107" s="10" t="s">
        <v>54</v>
      </c>
      <c r="AI107" s="10" t="s">
        <v>395</v>
      </c>
      <c r="AJ107" s="4" t="s">
        <v>592</v>
      </c>
      <c r="AK107" s="11" t="s">
        <v>593</v>
      </c>
      <c r="AL107" s="5" t="s">
        <v>394</v>
      </c>
      <c r="AM107" s="11" t="s">
        <v>576</v>
      </c>
      <c r="AN107" s="11" t="s">
        <v>577</v>
      </c>
      <c r="AO107" s="33" t="s">
        <v>721</v>
      </c>
      <c r="AP107" s="34"/>
      <c r="AQ107" s="5" t="s">
        <v>77</v>
      </c>
      <c r="AR107" s="11" t="s">
        <v>28</v>
      </c>
      <c r="AS107" s="7" t="s">
        <v>18</v>
      </c>
      <c r="AT107" s="14"/>
    </row>
    <row r="108" spans="1:56" ht="25.5">
      <c r="A108" s="41" t="str">
        <f>VLOOKUP(Tableau1[[#This Row],[N° Département]],Feuil1!$C$6:$E$106,3)</f>
        <v>Occitanie</v>
      </c>
      <c r="B108" s="41" t="str">
        <f>VLOOKUP(Tableau1[[#This Row],[N° Département]],Feuil1!$C$6:$E$106,2)</f>
        <v>Hérault</v>
      </c>
      <c r="C108" s="41">
        <f>LEFT(Tableau1[[#This Row],[Code Postal]],2)*1</f>
        <v>34</v>
      </c>
      <c r="D108" s="10" t="s">
        <v>138</v>
      </c>
      <c r="E108" s="10">
        <v>34470</v>
      </c>
      <c r="F108" s="40" t="s">
        <v>100</v>
      </c>
      <c r="G108" s="41" t="str">
        <f>Tableau1[[#This Row],[Rue]]&amp;CHAR(10)&amp;Tableau1[[#This Row],[Code Postal]]&amp;" - "&amp;Tableau1[[#This Row],[Ville]]</f>
        <v>C.C. Auchan Avenue Georges Frêche
34470 - Pérols</v>
      </c>
      <c r="H108" s="15" t="s">
        <v>71</v>
      </c>
      <c r="I108" s="12" t="s">
        <v>48</v>
      </c>
      <c r="J108" s="12" t="s">
        <v>52</v>
      </c>
      <c r="K108" s="12" t="s">
        <v>105</v>
      </c>
      <c r="L108" s="12" t="s">
        <v>105</v>
      </c>
      <c r="M108" s="38" t="s">
        <v>358</v>
      </c>
      <c r="N108" s="36">
        <v>265</v>
      </c>
      <c r="O108" s="6" t="s">
        <v>105</v>
      </c>
      <c r="P108" s="36" t="s">
        <v>105</v>
      </c>
      <c r="Q108" s="6" t="s">
        <v>105</v>
      </c>
      <c r="R108" s="12">
        <f>Tableau1[[#This Row],[Loyer €/m²]]*Tableau1[[#This Row],[Surface GLA]]</f>
        <v>53000</v>
      </c>
      <c r="S108" s="12">
        <f>IFERROR(Tableau1[[#This Row],[Loyer annuel]]/12,"")</f>
        <v>4416.666666666667</v>
      </c>
      <c r="T108" s="12">
        <v>200</v>
      </c>
      <c r="U108" s="6" t="s">
        <v>105</v>
      </c>
      <c r="V108" s="6">
        <f>Tableau1[[#This Row],[Charges €/m²]]*Tableau1[[#This Row],[Surface GLA]]</f>
        <v>31800</v>
      </c>
      <c r="W108" s="12">
        <f>Tableau1[[#This Row],[Charges annuelles]]/12</f>
        <v>2650</v>
      </c>
      <c r="X108" s="12">
        <v>120</v>
      </c>
      <c r="Y108" s="12">
        <f>IFERROR(Tableau1[[#This Row],[Taxe foncière €/m²]]*Tableau1[[#This Row],[Surface GLA]],)</f>
        <v>0</v>
      </c>
      <c r="Z108" s="6" t="s">
        <v>105</v>
      </c>
      <c r="AA108" s="12">
        <f>IFERROR(Tableau1[[#This Row],[Marketing €/m²]]*Tableau1[[#This Row],[Surface GLA]],)</f>
        <v>0</v>
      </c>
      <c r="AB108" s="6" t="s">
        <v>105</v>
      </c>
      <c r="AC108" s="12">
        <f>IFERROR(Tableau1[[#This Row],[Loyer annuel]]+Tableau1[[#This Row],[Charges annuelles]]+Tableau1[[#This Row],[Taxe foncière]]+Tableau1[[#This Row],[Marketing]],"")</f>
        <v>84800</v>
      </c>
      <c r="AD108" s="6" t="s">
        <v>105</v>
      </c>
      <c r="AE108" s="6" t="s">
        <v>105</v>
      </c>
      <c r="AF108" s="6" t="s">
        <v>105</v>
      </c>
      <c r="AG108" s="6" t="s">
        <v>389</v>
      </c>
      <c r="AH108" s="10" t="s">
        <v>54</v>
      </c>
      <c r="AI108" s="10" t="s">
        <v>395</v>
      </c>
      <c r="AJ108" s="4" t="s">
        <v>592</v>
      </c>
      <c r="AK108" s="11" t="s">
        <v>593</v>
      </c>
      <c r="AL108" s="5" t="s">
        <v>394</v>
      </c>
      <c r="AM108" s="11" t="s">
        <v>578</v>
      </c>
      <c r="AN108" s="11" t="s">
        <v>579</v>
      </c>
      <c r="AO108" s="33" t="s">
        <v>722</v>
      </c>
      <c r="AP108" s="34"/>
      <c r="AQ108" s="5" t="s">
        <v>77</v>
      </c>
      <c r="AR108" s="11" t="s">
        <v>28</v>
      </c>
      <c r="AS108" s="7" t="s">
        <v>18</v>
      </c>
      <c r="AT108" s="14"/>
    </row>
    <row r="109" spans="1:56" ht="25.5">
      <c r="A109" s="41" t="str">
        <f>VLOOKUP(Tableau1[[#This Row],[N° Département]],Feuil1!$C$6:$E$106,3)</f>
        <v>Occitanie</v>
      </c>
      <c r="B109" s="41" t="str">
        <f>VLOOKUP(Tableau1[[#This Row],[N° Département]],Feuil1!$C$6:$E$106,2)</f>
        <v>Hérault</v>
      </c>
      <c r="C109" s="41">
        <f>LEFT(Tableau1[[#This Row],[Code Postal]],2)*1</f>
        <v>34</v>
      </c>
      <c r="D109" s="10" t="s">
        <v>138</v>
      </c>
      <c r="E109" s="10">
        <v>34470</v>
      </c>
      <c r="F109" s="40" t="s">
        <v>100</v>
      </c>
      <c r="G109" s="41" t="str">
        <f>Tableau1[[#This Row],[Rue]]&amp;CHAR(10)&amp;Tableau1[[#This Row],[Code Postal]]&amp;" - "&amp;Tableau1[[#This Row],[Ville]]</f>
        <v>C.C. Auchan Avenue Georges Frêche
34470 - Pérols</v>
      </c>
      <c r="H109" s="15" t="s">
        <v>71</v>
      </c>
      <c r="I109" s="12" t="s">
        <v>48</v>
      </c>
      <c r="J109" s="12" t="s">
        <v>52</v>
      </c>
      <c r="K109" s="12" t="s">
        <v>105</v>
      </c>
      <c r="L109" s="12" t="s">
        <v>105</v>
      </c>
      <c r="M109" s="38" t="s">
        <v>359</v>
      </c>
      <c r="N109" s="36">
        <v>63</v>
      </c>
      <c r="O109" s="6" t="s">
        <v>105</v>
      </c>
      <c r="P109" s="36" t="s">
        <v>105</v>
      </c>
      <c r="Q109" s="6" t="s">
        <v>105</v>
      </c>
      <c r="R109" s="12">
        <f>Tableau1[[#This Row],[Loyer €/m²]]*Tableau1[[#This Row],[Surface GLA]]</f>
        <v>25200</v>
      </c>
      <c r="S109" s="12">
        <f>IFERROR(Tableau1[[#This Row],[Loyer annuel]]/12,"")</f>
        <v>2100</v>
      </c>
      <c r="T109" s="12">
        <v>400</v>
      </c>
      <c r="U109" s="6" t="s">
        <v>105</v>
      </c>
      <c r="V109" s="6">
        <f>Tableau1[[#This Row],[Charges €/m²]]*Tableau1[[#This Row],[Surface GLA]]</f>
        <v>7560</v>
      </c>
      <c r="W109" s="12">
        <f>Tableau1[[#This Row],[Charges annuelles]]/12</f>
        <v>630</v>
      </c>
      <c r="X109" s="12">
        <v>120</v>
      </c>
      <c r="Y109" s="12">
        <f>IFERROR(Tableau1[[#This Row],[Taxe foncière €/m²]]*Tableau1[[#This Row],[Surface GLA]],)</f>
        <v>0</v>
      </c>
      <c r="Z109" s="6" t="s">
        <v>105</v>
      </c>
      <c r="AA109" s="12">
        <f>IFERROR(Tableau1[[#This Row],[Marketing €/m²]]*Tableau1[[#This Row],[Surface GLA]],)</f>
        <v>0</v>
      </c>
      <c r="AB109" s="6" t="s">
        <v>105</v>
      </c>
      <c r="AC109" s="12">
        <f>IFERROR(Tableau1[[#This Row],[Loyer annuel]]+Tableau1[[#This Row],[Charges annuelles]]+Tableau1[[#This Row],[Taxe foncière]]+Tableau1[[#This Row],[Marketing]],"")</f>
        <v>32760</v>
      </c>
      <c r="AD109" s="6" t="s">
        <v>105</v>
      </c>
      <c r="AE109" s="6" t="s">
        <v>105</v>
      </c>
      <c r="AF109" s="6" t="s">
        <v>105</v>
      </c>
      <c r="AG109" s="6" t="s">
        <v>389</v>
      </c>
      <c r="AH109" s="10" t="s">
        <v>54</v>
      </c>
      <c r="AI109" s="10" t="s">
        <v>395</v>
      </c>
      <c r="AJ109" s="4" t="s">
        <v>592</v>
      </c>
      <c r="AK109" s="11" t="s">
        <v>593</v>
      </c>
      <c r="AL109" s="5" t="s">
        <v>394</v>
      </c>
      <c r="AM109" s="11" t="s">
        <v>580</v>
      </c>
      <c r="AN109" s="11" t="s">
        <v>581</v>
      </c>
      <c r="AO109" s="33" t="s">
        <v>723</v>
      </c>
      <c r="AP109" s="34"/>
      <c r="AQ109" s="5" t="s">
        <v>77</v>
      </c>
      <c r="AR109" s="11" t="s">
        <v>28</v>
      </c>
      <c r="AS109" s="7" t="s">
        <v>18</v>
      </c>
      <c r="AT109" s="14"/>
    </row>
    <row r="110" spans="1:56" ht="25.5">
      <c r="A110" s="41" t="str">
        <f>VLOOKUP(Tableau1[[#This Row],[N° Département]],Feuil1!$C$6:$E$106,3)</f>
        <v>Occitanie</v>
      </c>
      <c r="B110" s="41" t="str">
        <f>VLOOKUP(Tableau1[[#This Row],[N° Département]],Feuil1!$C$6:$E$106,2)</f>
        <v>Hérault</v>
      </c>
      <c r="C110" s="41">
        <f>LEFT(Tableau1[[#This Row],[Code Postal]],2)*1</f>
        <v>34</v>
      </c>
      <c r="D110" s="10" t="s">
        <v>138</v>
      </c>
      <c r="E110" s="10">
        <v>34470</v>
      </c>
      <c r="F110" s="40" t="s">
        <v>100</v>
      </c>
      <c r="G110" s="41" t="str">
        <f>Tableau1[[#This Row],[Rue]]&amp;CHAR(10)&amp;Tableau1[[#This Row],[Code Postal]]&amp;" - "&amp;Tableau1[[#This Row],[Ville]]</f>
        <v>C.C. Auchan Avenue Georges Frêche
34470 - Pérols</v>
      </c>
      <c r="H110" s="15" t="s">
        <v>71</v>
      </c>
      <c r="I110" s="12" t="s">
        <v>48</v>
      </c>
      <c r="J110" s="12" t="s">
        <v>52</v>
      </c>
      <c r="K110" s="12" t="s">
        <v>105</v>
      </c>
      <c r="L110" s="12" t="s">
        <v>105</v>
      </c>
      <c r="M110" s="38" t="s">
        <v>385</v>
      </c>
      <c r="N110" s="36">
        <v>120</v>
      </c>
      <c r="O110" s="6" t="s">
        <v>105</v>
      </c>
      <c r="P110" s="36" t="s">
        <v>105</v>
      </c>
      <c r="Q110" s="6" t="s">
        <v>105</v>
      </c>
      <c r="R110" s="12">
        <f>Tableau1[[#This Row],[Loyer €/m²]]*Tableau1[[#This Row],[Surface GLA]]</f>
        <v>36000</v>
      </c>
      <c r="S110" s="12">
        <f>IFERROR(Tableau1[[#This Row],[Loyer annuel]]/12,"")</f>
        <v>3000</v>
      </c>
      <c r="T110" s="12">
        <v>300</v>
      </c>
      <c r="U110" s="6" t="s">
        <v>105</v>
      </c>
      <c r="V110" s="6">
        <f>Tableau1[[#This Row],[Charges €/m²]]*Tableau1[[#This Row],[Surface GLA]]</f>
        <v>14400</v>
      </c>
      <c r="W110" s="12">
        <f>Tableau1[[#This Row],[Charges annuelles]]/12</f>
        <v>1200</v>
      </c>
      <c r="X110" s="12">
        <v>120</v>
      </c>
      <c r="Y110" s="12">
        <f>IFERROR(Tableau1[[#This Row],[Taxe foncière €/m²]]*Tableau1[[#This Row],[Surface GLA]],)</f>
        <v>0</v>
      </c>
      <c r="Z110" s="6" t="s">
        <v>105</v>
      </c>
      <c r="AA110" s="12">
        <f>IFERROR(Tableau1[[#This Row],[Marketing €/m²]]*Tableau1[[#This Row],[Surface GLA]],)</f>
        <v>0</v>
      </c>
      <c r="AB110" s="6" t="s">
        <v>105</v>
      </c>
      <c r="AC110" s="12">
        <f>IFERROR(Tableau1[[#This Row],[Loyer annuel]]+Tableau1[[#This Row],[Charges annuelles]]+Tableau1[[#This Row],[Taxe foncière]]+Tableau1[[#This Row],[Marketing]],"")</f>
        <v>50400</v>
      </c>
      <c r="AD110" s="6" t="s">
        <v>105</v>
      </c>
      <c r="AE110" s="6" t="s">
        <v>105</v>
      </c>
      <c r="AF110" s="6" t="s">
        <v>105</v>
      </c>
      <c r="AG110" s="6" t="s">
        <v>389</v>
      </c>
      <c r="AH110" s="10" t="s">
        <v>54</v>
      </c>
      <c r="AI110" s="10" t="s">
        <v>395</v>
      </c>
      <c r="AJ110" s="4" t="s">
        <v>592</v>
      </c>
      <c r="AK110" s="11" t="s">
        <v>593</v>
      </c>
      <c r="AL110" s="5" t="s">
        <v>394</v>
      </c>
      <c r="AM110" s="11" t="s">
        <v>582</v>
      </c>
      <c r="AN110" s="11" t="s">
        <v>583</v>
      </c>
      <c r="AO110" s="33" t="s">
        <v>724</v>
      </c>
      <c r="AP110" s="34"/>
      <c r="AQ110" s="5" t="s">
        <v>77</v>
      </c>
      <c r="AR110" s="11" t="s">
        <v>28</v>
      </c>
      <c r="AS110" s="7" t="s">
        <v>18</v>
      </c>
      <c r="AT110" s="14"/>
      <c r="AW110" s="1"/>
      <c r="BC110"/>
      <c r="BD110" s="1"/>
    </row>
    <row r="111" spans="1:56" ht="25.5">
      <c r="A111" s="41" t="str">
        <f>VLOOKUP(Tableau1[[#This Row],[N° Département]],Feuil1!$C$6:$E$106,3)</f>
        <v>Occitanie</v>
      </c>
      <c r="B111" s="41" t="str">
        <f>VLOOKUP(Tableau1[[#This Row],[N° Département]],Feuil1!$C$6:$E$106,2)</f>
        <v>Hérault</v>
      </c>
      <c r="C111" s="41">
        <f>LEFT(Tableau1[[#This Row],[Code Postal]],2)*1</f>
        <v>34</v>
      </c>
      <c r="D111" s="10" t="s">
        <v>138</v>
      </c>
      <c r="E111" s="10">
        <v>34470</v>
      </c>
      <c r="F111" s="40" t="s">
        <v>100</v>
      </c>
      <c r="G111" s="41" t="str">
        <f>Tableau1[[#This Row],[Rue]]&amp;CHAR(10)&amp;Tableau1[[#This Row],[Code Postal]]&amp;" - "&amp;Tableau1[[#This Row],[Ville]]</f>
        <v>C.C. Auchan Avenue Georges Frêche
34470 - Pérols</v>
      </c>
      <c r="H111" s="15" t="s">
        <v>71</v>
      </c>
      <c r="I111" s="12" t="s">
        <v>48</v>
      </c>
      <c r="J111" s="12" t="s">
        <v>52</v>
      </c>
      <c r="K111" s="12" t="s">
        <v>105</v>
      </c>
      <c r="L111" s="12" t="s">
        <v>105</v>
      </c>
      <c r="M111" s="38" t="s">
        <v>560</v>
      </c>
      <c r="N111" s="36">
        <v>176</v>
      </c>
      <c r="O111" s="6" t="s">
        <v>105</v>
      </c>
      <c r="P111" s="36" t="s">
        <v>105</v>
      </c>
      <c r="Q111" s="6" t="s">
        <v>105</v>
      </c>
      <c r="R111" s="12">
        <f>Tableau1[[#This Row],[Loyer €/m²]]*Tableau1[[#This Row],[Surface GLA]]</f>
        <v>52800</v>
      </c>
      <c r="S111" s="12">
        <f>IFERROR(Tableau1[[#This Row],[Loyer annuel]]/12,"")</f>
        <v>4400</v>
      </c>
      <c r="T111" s="12">
        <v>300</v>
      </c>
      <c r="U111" s="6" t="s">
        <v>105</v>
      </c>
      <c r="V111" s="6">
        <f>Tableau1[[#This Row],[Charges €/m²]]*Tableau1[[#This Row],[Surface GLA]]</f>
        <v>21120</v>
      </c>
      <c r="W111" s="12">
        <f>Tableau1[[#This Row],[Charges annuelles]]/12</f>
        <v>1760</v>
      </c>
      <c r="X111" s="12">
        <v>120</v>
      </c>
      <c r="Y111" s="12">
        <f>IFERROR(Tableau1[[#This Row],[Taxe foncière €/m²]]*Tableau1[[#This Row],[Surface GLA]],)</f>
        <v>0</v>
      </c>
      <c r="Z111" s="6" t="s">
        <v>105</v>
      </c>
      <c r="AA111" s="12">
        <f>IFERROR(Tableau1[[#This Row],[Marketing €/m²]]*Tableau1[[#This Row],[Surface GLA]],)</f>
        <v>0</v>
      </c>
      <c r="AB111" s="6" t="s">
        <v>105</v>
      </c>
      <c r="AC111" s="12">
        <f>IFERROR(Tableau1[[#This Row],[Loyer annuel]]+Tableau1[[#This Row],[Charges annuelles]]+Tableau1[[#This Row],[Taxe foncière]]+Tableau1[[#This Row],[Marketing]],"")</f>
        <v>73920</v>
      </c>
      <c r="AD111" s="6" t="s">
        <v>105</v>
      </c>
      <c r="AE111" s="6" t="s">
        <v>105</v>
      </c>
      <c r="AF111" s="6" t="s">
        <v>105</v>
      </c>
      <c r="AG111" s="6" t="s">
        <v>389</v>
      </c>
      <c r="AH111" s="10" t="s">
        <v>54</v>
      </c>
      <c r="AI111" s="10" t="s">
        <v>395</v>
      </c>
      <c r="AJ111" s="4" t="s">
        <v>592</v>
      </c>
      <c r="AK111" s="11" t="s">
        <v>593</v>
      </c>
      <c r="AL111" s="5" t="s">
        <v>394</v>
      </c>
      <c r="AM111" s="11" t="s">
        <v>584</v>
      </c>
      <c r="AN111" s="11" t="s">
        <v>585</v>
      </c>
      <c r="AO111" s="33" t="s">
        <v>725</v>
      </c>
      <c r="AP111" s="34"/>
      <c r="AQ111" s="5" t="s">
        <v>77</v>
      </c>
      <c r="AR111" s="11" t="s">
        <v>28</v>
      </c>
      <c r="AS111" s="7" t="s">
        <v>18</v>
      </c>
      <c r="AT111" s="14"/>
      <c r="AW111" s="1"/>
      <c r="BC111"/>
      <c r="BD111" s="1"/>
    </row>
    <row r="112" spans="1:56" ht="25.5">
      <c r="A112" s="41" t="str">
        <f>VLOOKUP(Tableau1[[#This Row],[N° Département]],Feuil1!$C$6:$E$106,3)</f>
        <v>Occitanie</v>
      </c>
      <c r="B112" s="41" t="str">
        <f>VLOOKUP(Tableau1[[#This Row],[N° Département]],Feuil1!$C$6:$E$106,2)</f>
        <v>Hérault</v>
      </c>
      <c r="C112" s="41">
        <f>LEFT(Tableau1[[#This Row],[Code Postal]],2)*1</f>
        <v>34</v>
      </c>
      <c r="D112" s="10" t="s">
        <v>138</v>
      </c>
      <c r="E112" s="10">
        <v>34470</v>
      </c>
      <c r="F112" s="40" t="s">
        <v>100</v>
      </c>
      <c r="G112" s="41" t="str">
        <f>Tableau1[[#This Row],[Rue]]&amp;CHAR(10)&amp;Tableau1[[#This Row],[Code Postal]]&amp;" - "&amp;Tableau1[[#This Row],[Ville]]</f>
        <v>C.C. Auchan Avenue Georges Frêche
34470 - Pérols</v>
      </c>
      <c r="H112" s="15" t="s">
        <v>71</v>
      </c>
      <c r="I112" s="12" t="s">
        <v>48</v>
      </c>
      <c r="J112" s="12" t="s">
        <v>52</v>
      </c>
      <c r="K112" s="12" t="s">
        <v>105</v>
      </c>
      <c r="L112" s="12" t="s">
        <v>105</v>
      </c>
      <c r="M112" s="38" t="s">
        <v>561</v>
      </c>
      <c r="N112" s="36">
        <v>86</v>
      </c>
      <c r="O112" s="6" t="s">
        <v>105</v>
      </c>
      <c r="P112" s="36" t="s">
        <v>105</v>
      </c>
      <c r="Q112" s="6" t="s">
        <v>105</v>
      </c>
      <c r="R112" s="12">
        <f>Tableau1[[#This Row],[Loyer €/m²]]*Tableau1[[#This Row],[Surface GLA]]</f>
        <v>34400</v>
      </c>
      <c r="S112" s="12">
        <f>IFERROR(Tableau1[[#This Row],[Loyer annuel]]/12,"")</f>
        <v>2866.6666666666665</v>
      </c>
      <c r="T112" s="12">
        <v>400</v>
      </c>
      <c r="U112" s="6" t="s">
        <v>105</v>
      </c>
      <c r="V112" s="6">
        <f>Tableau1[[#This Row],[Charges €/m²]]*Tableau1[[#This Row],[Surface GLA]]</f>
        <v>10320</v>
      </c>
      <c r="W112" s="12">
        <f>Tableau1[[#This Row],[Charges annuelles]]/12</f>
        <v>860</v>
      </c>
      <c r="X112" s="12">
        <v>120</v>
      </c>
      <c r="Y112" s="12">
        <f>IFERROR(Tableau1[[#This Row],[Taxe foncière €/m²]]*Tableau1[[#This Row],[Surface GLA]],)</f>
        <v>0</v>
      </c>
      <c r="Z112" s="6" t="s">
        <v>105</v>
      </c>
      <c r="AA112" s="12">
        <f>IFERROR(Tableau1[[#This Row],[Marketing €/m²]]*Tableau1[[#This Row],[Surface GLA]],)</f>
        <v>0</v>
      </c>
      <c r="AB112" s="6" t="s">
        <v>105</v>
      </c>
      <c r="AC112" s="12">
        <f>IFERROR(Tableau1[[#This Row],[Loyer annuel]]+Tableau1[[#This Row],[Charges annuelles]]+Tableau1[[#This Row],[Taxe foncière]]+Tableau1[[#This Row],[Marketing]],"")</f>
        <v>44720</v>
      </c>
      <c r="AD112" s="6" t="s">
        <v>105</v>
      </c>
      <c r="AE112" s="6" t="s">
        <v>105</v>
      </c>
      <c r="AF112" s="6" t="s">
        <v>105</v>
      </c>
      <c r="AG112" s="6" t="s">
        <v>389</v>
      </c>
      <c r="AH112" s="10" t="s">
        <v>415</v>
      </c>
      <c r="AI112" s="10" t="s">
        <v>396</v>
      </c>
      <c r="AJ112" s="4" t="s">
        <v>592</v>
      </c>
      <c r="AK112" s="11" t="s">
        <v>593</v>
      </c>
      <c r="AL112" s="5" t="s">
        <v>394</v>
      </c>
      <c r="AM112" s="11" t="s">
        <v>586</v>
      </c>
      <c r="AN112" s="11" t="s">
        <v>587</v>
      </c>
      <c r="AO112" s="33" t="s">
        <v>726</v>
      </c>
      <c r="AP112" s="34"/>
      <c r="AQ112" s="5" t="s">
        <v>77</v>
      </c>
      <c r="AR112" s="11" t="s">
        <v>28</v>
      </c>
      <c r="AS112" s="7" t="s">
        <v>18</v>
      </c>
      <c r="AT112" s="14"/>
      <c r="AW112" s="1"/>
      <c r="BC112"/>
      <c r="BD112" s="1"/>
    </row>
    <row r="113" spans="1:56" ht="25.5">
      <c r="A113" s="41" t="str">
        <f>VLOOKUP(Tableau1[[#This Row],[N° Département]],Feuil1!$C$6:$E$106,3)</f>
        <v>Occitanie</v>
      </c>
      <c r="B113" s="41" t="str">
        <f>VLOOKUP(Tableau1[[#This Row],[N° Département]],Feuil1!$C$6:$E$106,2)</f>
        <v>Hérault</v>
      </c>
      <c r="C113" s="41">
        <f>LEFT(Tableau1[[#This Row],[Code Postal]],2)*1</f>
        <v>34</v>
      </c>
      <c r="D113" s="10" t="s">
        <v>138</v>
      </c>
      <c r="E113" s="10">
        <v>34470</v>
      </c>
      <c r="F113" s="40" t="s">
        <v>100</v>
      </c>
      <c r="G113" s="41" t="str">
        <f>Tableau1[[#This Row],[Rue]]&amp;CHAR(10)&amp;Tableau1[[#This Row],[Code Postal]]&amp;" - "&amp;Tableau1[[#This Row],[Ville]]</f>
        <v>C.C. Auchan Avenue Georges Frêche
34470 - Pérols</v>
      </c>
      <c r="H113" s="15" t="s">
        <v>71</v>
      </c>
      <c r="I113" s="12" t="s">
        <v>48</v>
      </c>
      <c r="J113" s="12" t="s">
        <v>52</v>
      </c>
      <c r="K113" s="12" t="s">
        <v>105</v>
      </c>
      <c r="L113" s="12" t="s">
        <v>105</v>
      </c>
      <c r="M113" s="38" t="s">
        <v>562</v>
      </c>
      <c r="N113" s="36">
        <v>86</v>
      </c>
      <c r="O113" s="6" t="s">
        <v>105</v>
      </c>
      <c r="P113" s="36" t="s">
        <v>105</v>
      </c>
      <c r="Q113" s="6" t="s">
        <v>105</v>
      </c>
      <c r="R113" s="12">
        <f>Tableau1[[#This Row],[Loyer €/m²]]*Tableau1[[#This Row],[Surface GLA]]</f>
        <v>34400</v>
      </c>
      <c r="S113" s="12">
        <f>IFERROR(Tableau1[[#This Row],[Loyer annuel]]/12,"")</f>
        <v>2866.6666666666665</v>
      </c>
      <c r="T113" s="12">
        <v>400</v>
      </c>
      <c r="U113" s="6" t="s">
        <v>105</v>
      </c>
      <c r="V113" s="6">
        <f>Tableau1[[#This Row],[Charges €/m²]]*Tableau1[[#This Row],[Surface GLA]]</f>
        <v>10320</v>
      </c>
      <c r="W113" s="12">
        <f>Tableau1[[#This Row],[Charges annuelles]]/12</f>
        <v>860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105</v>
      </c>
      <c r="AA113" s="12">
        <f>IFERROR(Tableau1[[#This Row],[Marketing €/m²]]*Tableau1[[#This Row],[Surface GLA]],)</f>
        <v>0</v>
      </c>
      <c r="AB113" s="6" t="s">
        <v>105</v>
      </c>
      <c r="AC113" s="12">
        <f>IFERROR(Tableau1[[#This Row],[Loyer annuel]]+Tableau1[[#This Row],[Charges annuelles]]+Tableau1[[#This Row],[Taxe foncière]]+Tableau1[[#This Row],[Marketing]],"")</f>
        <v>44720</v>
      </c>
      <c r="AD113" s="6" t="s">
        <v>105</v>
      </c>
      <c r="AE113" s="6" t="s">
        <v>105</v>
      </c>
      <c r="AF113" s="6" t="s">
        <v>105</v>
      </c>
      <c r="AG113" s="6" t="s">
        <v>389</v>
      </c>
      <c r="AH113" s="10" t="s">
        <v>415</v>
      </c>
      <c r="AI113" s="10" t="s">
        <v>396</v>
      </c>
      <c r="AJ113" s="4" t="s">
        <v>592</v>
      </c>
      <c r="AK113" s="11" t="s">
        <v>593</v>
      </c>
      <c r="AL113" s="5" t="s">
        <v>394</v>
      </c>
      <c r="AM113" s="11" t="s">
        <v>588</v>
      </c>
      <c r="AN113" s="11" t="s">
        <v>589</v>
      </c>
      <c r="AO113" s="33" t="s">
        <v>727</v>
      </c>
      <c r="AP113" s="34"/>
      <c r="AQ113" s="5" t="s">
        <v>77</v>
      </c>
      <c r="AR113" s="11" t="s">
        <v>28</v>
      </c>
      <c r="AS113" s="7" t="s">
        <v>18</v>
      </c>
      <c r="AT113" s="14"/>
      <c r="AW113" s="1"/>
      <c r="BC113"/>
      <c r="BD113" s="1"/>
    </row>
    <row r="114" spans="1:56" ht="25.5">
      <c r="A114" s="41" t="str">
        <f>VLOOKUP(Tableau1[[#This Row],[N° Département]],Feuil1!$C$6:$E$106,3)</f>
        <v>Occitanie</v>
      </c>
      <c r="B114" s="41" t="str">
        <f>VLOOKUP(Tableau1[[#This Row],[N° Département]],Feuil1!$C$6:$E$106,2)</f>
        <v>Hérault</v>
      </c>
      <c r="C114" s="41">
        <f>LEFT(Tableau1[[#This Row],[Code Postal]],2)*1</f>
        <v>34</v>
      </c>
      <c r="D114" s="10" t="s">
        <v>138</v>
      </c>
      <c r="E114" s="10">
        <v>34470</v>
      </c>
      <c r="F114" s="40" t="s">
        <v>100</v>
      </c>
      <c r="G114" s="41" t="str">
        <f>Tableau1[[#This Row],[Rue]]&amp;CHAR(10)&amp;Tableau1[[#This Row],[Code Postal]]&amp;" - "&amp;Tableau1[[#This Row],[Ville]]</f>
        <v>C.C. Auchan Avenue Georges Frêche
34470 - Pérols</v>
      </c>
      <c r="H114" s="15" t="s">
        <v>71</v>
      </c>
      <c r="I114" s="12" t="s">
        <v>48</v>
      </c>
      <c r="J114" s="12" t="s">
        <v>52</v>
      </c>
      <c r="K114" s="12" t="s">
        <v>105</v>
      </c>
      <c r="L114" s="12" t="s">
        <v>105</v>
      </c>
      <c r="M114" s="38" t="s">
        <v>563</v>
      </c>
      <c r="N114" s="36">
        <v>90</v>
      </c>
      <c r="O114" s="6" t="s">
        <v>105</v>
      </c>
      <c r="P114" s="36" t="s">
        <v>105</v>
      </c>
      <c r="Q114" s="6" t="s">
        <v>105</v>
      </c>
      <c r="R114" s="12">
        <f>Tableau1[[#This Row],[Loyer €/m²]]*Tableau1[[#This Row],[Surface GLA]]</f>
        <v>36000</v>
      </c>
      <c r="S114" s="12">
        <f>IFERROR(Tableau1[[#This Row],[Loyer annuel]]/12,"")</f>
        <v>3000</v>
      </c>
      <c r="T114" s="12">
        <v>400</v>
      </c>
      <c r="U114" s="6" t="s">
        <v>105</v>
      </c>
      <c r="V114" s="6">
        <f>Tableau1[[#This Row],[Charges €/m²]]*Tableau1[[#This Row],[Surface GLA]]</f>
        <v>10800</v>
      </c>
      <c r="W114" s="12">
        <f>Tableau1[[#This Row],[Charges annuelles]]/12</f>
        <v>900</v>
      </c>
      <c r="X114" s="12">
        <v>120</v>
      </c>
      <c r="Y114" s="12">
        <f>IFERROR(Tableau1[[#This Row],[Taxe foncière €/m²]]*Tableau1[[#This Row],[Surface GLA]],)</f>
        <v>0</v>
      </c>
      <c r="Z114" s="6" t="s">
        <v>105</v>
      </c>
      <c r="AA114" s="12">
        <f>IFERROR(Tableau1[[#This Row],[Marketing €/m²]]*Tableau1[[#This Row],[Surface GLA]],)</f>
        <v>0</v>
      </c>
      <c r="AB114" s="6" t="s">
        <v>105</v>
      </c>
      <c r="AC114" s="12">
        <f>IFERROR(Tableau1[[#This Row],[Loyer annuel]]+Tableau1[[#This Row],[Charges annuelles]]+Tableau1[[#This Row],[Taxe foncière]]+Tableau1[[#This Row],[Marketing]],"")</f>
        <v>46800</v>
      </c>
      <c r="AD114" s="6" t="s">
        <v>105</v>
      </c>
      <c r="AE114" s="6" t="s">
        <v>105</v>
      </c>
      <c r="AF114" s="6" t="s">
        <v>105</v>
      </c>
      <c r="AG114" s="6" t="s">
        <v>389</v>
      </c>
      <c r="AH114" s="10" t="s">
        <v>415</v>
      </c>
      <c r="AI114" s="10" t="s">
        <v>396</v>
      </c>
      <c r="AJ114" s="4" t="s">
        <v>592</v>
      </c>
      <c r="AK114" s="11" t="s">
        <v>593</v>
      </c>
      <c r="AL114" s="5" t="s">
        <v>394</v>
      </c>
      <c r="AM114" s="11" t="s">
        <v>590</v>
      </c>
      <c r="AN114" s="11" t="s">
        <v>591</v>
      </c>
      <c r="AO114" s="33" t="s">
        <v>728</v>
      </c>
      <c r="AP114" s="34"/>
      <c r="AQ114" s="5" t="s">
        <v>77</v>
      </c>
      <c r="AR114" s="11" t="s">
        <v>28</v>
      </c>
      <c r="AS114" s="7" t="s">
        <v>18</v>
      </c>
      <c r="AT114" s="14"/>
      <c r="AW114" s="1"/>
      <c r="BC114"/>
      <c r="BD114" s="1"/>
    </row>
    <row r="115" spans="1:56">
      <c r="D115" s="25"/>
      <c r="E115" s="25"/>
      <c r="F115" s="25"/>
      <c r="K115"/>
      <c r="L115" s="1"/>
      <c r="V115"/>
      <c r="X115" s="1"/>
      <c r="Y115" s="1"/>
      <c r="AF115" s="1"/>
      <c r="AG115" s="1"/>
      <c r="AH115"/>
      <c r="AI115" s="1"/>
      <c r="AT115"/>
      <c r="AW115" s="1"/>
      <c r="BC115"/>
      <c r="BD115" s="1"/>
    </row>
    <row r="116" spans="1:56">
      <c r="D116" s="25"/>
      <c r="E116" s="25"/>
      <c r="F116" s="25"/>
      <c r="K116"/>
      <c r="L116" s="1"/>
      <c r="V116"/>
      <c r="X116" s="1"/>
      <c r="Y116" s="1"/>
      <c r="AF116" s="1"/>
      <c r="AG116" s="1"/>
      <c r="AH116"/>
      <c r="AI116" s="1"/>
      <c r="AT116"/>
      <c r="AW116" s="1"/>
      <c r="BC116"/>
      <c r="BD116" s="1"/>
    </row>
    <row r="117" spans="1:56">
      <c r="D117" s="25"/>
      <c r="E117" s="25"/>
      <c r="F117" s="25"/>
      <c r="K117"/>
      <c r="L117" s="1"/>
      <c r="V117"/>
      <c r="X117" s="1"/>
      <c r="Y117" s="1"/>
      <c r="AF117" s="1"/>
      <c r="AG117" s="1"/>
      <c r="AH117"/>
      <c r="AI117" s="1"/>
      <c r="AT117"/>
      <c r="AW117" s="1"/>
      <c r="BC117"/>
      <c r="BD117" s="1"/>
    </row>
    <row r="118" spans="1:56">
      <c r="D118" s="25"/>
      <c r="E118" s="25"/>
      <c r="F118" s="25"/>
      <c r="K118"/>
      <c r="L118" s="1"/>
      <c r="V118"/>
      <c r="X118" s="1"/>
      <c r="Y118" s="1"/>
      <c r="AF118" s="1"/>
      <c r="AG118" s="1"/>
      <c r="AH118"/>
      <c r="AI118" s="1"/>
      <c r="AT118"/>
      <c r="AW118" s="1"/>
      <c r="BC118"/>
      <c r="BD118" s="1"/>
    </row>
    <row r="119" spans="1:56">
      <c r="D119" s="25"/>
      <c r="E119" s="25"/>
      <c r="F119" s="25"/>
      <c r="K119"/>
      <c r="L119" s="1"/>
      <c r="V119"/>
      <c r="X119" s="1"/>
      <c r="Y119" s="1"/>
      <c r="AF119" s="1"/>
      <c r="AG119" s="1"/>
      <c r="AH119"/>
      <c r="AI119" s="1"/>
      <c r="AT119"/>
      <c r="AW119" s="1"/>
      <c r="BC119"/>
      <c r="BD119" s="1"/>
    </row>
    <row r="120" spans="1:56">
      <c r="D120" s="25"/>
      <c r="E120" s="25"/>
      <c r="F120" s="25"/>
      <c r="K120"/>
      <c r="L120" s="1"/>
      <c r="V120"/>
      <c r="X120" s="1"/>
      <c r="Y120" s="1"/>
      <c r="AF120" s="1"/>
      <c r="AG120" s="1"/>
      <c r="AH120"/>
      <c r="AI120" s="1"/>
      <c r="AT120"/>
      <c r="AW120" s="1"/>
      <c r="BC120"/>
      <c r="BD120" s="1"/>
    </row>
    <row r="121" spans="1:56">
      <c r="D121" s="25"/>
      <c r="E121" s="25"/>
      <c r="F121" s="25"/>
      <c r="K121"/>
      <c r="L121" s="1"/>
      <c r="V121"/>
      <c r="X121" s="1"/>
      <c r="Y121" s="1"/>
      <c r="AF121" s="1"/>
      <c r="AG121" s="1"/>
      <c r="AH121"/>
      <c r="AI121" s="1"/>
      <c r="AT121"/>
      <c r="AW121" s="1"/>
      <c r="BC121"/>
      <c r="BD121" s="1"/>
    </row>
    <row r="122" spans="1:56">
      <c r="D122" s="25"/>
      <c r="E122" s="25"/>
      <c r="F122" s="25"/>
      <c r="K122"/>
      <c r="L122" s="1"/>
      <c r="V122"/>
      <c r="X122" s="1"/>
      <c r="Y122" s="1"/>
      <c r="AF122" s="1"/>
      <c r="AG122" s="1"/>
      <c r="AH122"/>
      <c r="AI122" s="1"/>
      <c r="AT122"/>
      <c r="AW122" s="1"/>
      <c r="BC122"/>
      <c r="BD122" s="1"/>
    </row>
    <row r="123" spans="1:56">
      <c r="K123"/>
      <c r="L123" s="1"/>
      <c r="V123"/>
      <c r="X123" s="1"/>
      <c r="Y123" s="1"/>
      <c r="AF123" s="1"/>
      <c r="AG123" s="1"/>
      <c r="AH123"/>
      <c r="AI123" s="1"/>
      <c r="AT123"/>
      <c r="AW123" s="1"/>
      <c r="BC123"/>
      <c r="BD123" s="1"/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0" r:id="rId4" xr:uid="{29C67202-ED42-417B-BB3C-178F881968AE}"/>
    <hyperlink ref="H46" r:id="rId5" xr:uid="{7907AC58-6548-4B09-B6E9-3C0E9FAD730F}"/>
    <hyperlink ref="H5" r:id="rId6" xr:uid="{C63DEED2-C78C-4977-963D-FE5233E145E3}"/>
    <hyperlink ref="H47" r:id="rId7" xr:uid="{681AECBA-0F83-4E1D-A1D3-9E317A033B0C}"/>
    <hyperlink ref="H53" r:id="rId8" xr:uid="{1522CEC9-B716-43D1-B4D2-7EDC7B29FAA2}"/>
    <hyperlink ref="H64" r:id="rId9" xr:uid="{B4658778-E2B8-4746-AFF9-C6D475BF7B3C}"/>
    <hyperlink ref="H89" r:id="rId10" xr:uid="{84F53B3E-0269-4221-937E-809B7FFF5921}"/>
    <hyperlink ref="H39" r:id="rId11" xr:uid="{A30387D9-03F1-42B0-9A63-51582677874F}"/>
    <hyperlink ref="H56" r:id="rId12" xr:uid="{F286610A-13F7-4549-B1BB-C9277FAC09DA}"/>
    <hyperlink ref="H66" r:id="rId13" xr:uid="{6489742E-6CB7-4B2D-9BD5-BCE583DA02E1}"/>
    <hyperlink ref="H101" r:id="rId14" xr:uid="{824D5FB0-BFE1-4BA8-97C3-CDB2631ADD8E}"/>
    <hyperlink ref="H31" r:id="rId15" xr:uid="{82681F26-76E5-47ED-BE60-56D53DBAB160}"/>
    <hyperlink ref="H48" r:id="rId16" xr:uid="{85341D4C-8FE9-4F0D-BD3D-CD952268444D}"/>
    <hyperlink ref="H50" r:id="rId17" xr:uid="{B7F2B0BA-1DF5-499B-ADDF-A27F6468EBB3}"/>
    <hyperlink ref="H51" r:id="rId18" xr:uid="{7CB92180-45AB-4B57-BDBB-7AC67F29B668}"/>
    <hyperlink ref="H52" r:id="rId19" xr:uid="{8304414E-0B5C-4D5A-8539-E67F32B13039}"/>
    <hyperlink ref="H49" r:id="rId20" xr:uid="{890573CC-8625-42AA-9B54-79AE3F466D56}"/>
    <hyperlink ref="H6" r:id="rId21" xr:uid="{42F5695A-0B34-4F82-8607-286FB54CDEFF}"/>
    <hyperlink ref="H19" r:id="rId22" xr:uid="{D03EB5C5-D4CD-426E-960B-50DCDC5A7DA5}"/>
    <hyperlink ref="H7" r:id="rId23" display="https://maps.app.goo.gl/yRNFdK1p6sWPThzm7" xr:uid="{ECC8966A-52E9-45E9-A408-8E7BF90F30D8}"/>
    <hyperlink ref="H8" r:id="rId24" display="https://maps.app.goo.gl/yRNFdK1p6sWPThzm7" xr:uid="{C28528FE-D60F-452C-A360-7B3EEEAB7D0E}"/>
    <hyperlink ref="H9" r:id="rId25" display="https://maps.app.goo.gl/yRNFdK1p6sWPThzm7" xr:uid="{B95C36B0-2B3B-4CFD-8C7F-6C3F5F5C3CA0}"/>
    <hyperlink ref="H10" r:id="rId26" display="https://maps.app.goo.gl/yRNFdK1p6sWPThzm7" xr:uid="{4E50E9DF-73A0-4F5D-B50C-2181A7A45129}"/>
    <hyperlink ref="H11" r:id="rId27" display="https://maps.app.goo.gl/yRNFdK1p6sWPThzm7" xr:uid="{01A21FA4-BA15-431F-8DF9-613A8F8F6A63}"/>
    <hyperlink ref="H12" r:id="rId28" display="https://maps.app.goo.gl/yRNFdK1p6sWPThzm7" xr:uid="{412707B0-14B7-421B-B814-41A8D4EEF7CB}"/>
    <hyperlink ref="H13" r:id="rId29" display="https://maps.app.goo.gl/yRNFdK1p6sWPThzm7" xr:uid="{CDEF46C4-9AE2-4DA4-92FB-FE4CA91CBE49}"/>
    <hyperlink ref="H14" r:id="rId30" display="https://maps.app.goo.gl/yRNFdK1p6sWPThzm7" xr:uid="{33BA5EDE-2485-472A-A4F6-7CC295F1314D}"/>
    <hyperlink ref="H15" r:id="rId31" display="https://maps.app.goo.gl/yRNFdK1p6sWPThzm7" xr:uid="{5D955F80-678B-4FDE-9330-A85B43E075FF}"/>
    <hyperlink ref="H16" r:id="rId32" display="https://maps.app.goo.gl/yRNFdK1p6sWPThzm7" xr:uid="{4255EA11-9B93-49AB-BFEF-4BC55C1B4B86}"/>
    <hyperlink ref="H17" r:id="rId33" display="https://maps.app.goo.gl/yRNFdK1p6sWPThzm7" xr:uid="{A2907146-F8E3-4BAC-9B37-D3407971AB19}"/>
    <hyperlink ref="H18" r:id="rId34" display="https://maps.app.goo.gl/yRNFdK1p6sWPThzm7" xr:uid="{C36353CB-1BEF-4360-9A84-694F3CD8286A}"/>
    <hyperlink ref="H20" r:id="rId35" xr:uid="{3C65EEFB-30EA-43E0-8844-627F6A3A8BE1}"/>
    <hyperlink ref="H21" r:id="rId36" xr:uid="{F16AEAC9-4C3F-4428-9608-74224DB3FC6C}"/>
    <hyperlink ref="H22" r:id="rId37" xr:uid="{77671DCE-5A0D-4336-B81C-A77B8DE908F9}"/>
    <hyperlink ref="H23" r:id="rId38" xr:uid="{FE86FCC7-50A3-4612-B1AB-9001F6C17875}"/>
    <hyperlink ref="H24" r:id="rId39" xr:uid="{274588F6-03ED-4EDB-9D10-ABD5D84E5747}"/>
    <hyperlink ref="H25" r:id="rId40" xr:uid="{CCD25EC4-C816-4E6D-986E-EFE584FE2B27}"/>
    <hyperlink ref="H26" r:id="rId41" xr:uid="{CEF20BC0-0901-4DCC-B44A-5C986E4222F5}"/>
    <hyperlink ref="H27" r:id="rId42" xr:uid="{B469AFBD-8FB4-46A4-9F7E-2456BB90012E}"/>
    <hyperlink ref="H28" r:id="rId43" xr:uid="{158C5304-B985-44C3-8C76-5D663CEE68DD}"/>
    <hyperlink ref="H29" r:id="rId44" xr:uid="{A67FD7D7-3E6A-4307-91CB-71AD0301FC16}"/>
    <hyperlink ref="H30" r:id="rId45" xr:uid="{7C1B45BB-B131-4B3B-BB0F-60FE27093549}"/>
    <hyperlink ref="H32" r:id="rId46" xr:uid="{82250E71-A89D-43E9-9C31-05DF3ACC0140}"/>
    <hyperlink ref="H33" r:id="rId47" xr:uid="{EB417570-7288-4848-ACAA-C6AD3AD14EA8}"/>
    <hyperlink ref="H34" r:id="rId48" xr:uid="{6AFF0330-3C7D-4B35-A95C-20C19DDDEBD1}"/>
    <hyperlink ref="H35" r:id="rId49" xr:uid="{06A967BC-6091-4015-BC55-92BB58B153F4}"/>
    <hyperlink ref="H36" r:id="rId50" xr:uid="{41C2498A-FB43-4B65-BD81-2C5D75E50581}"/>
    <hyperlink ref="H37" r:id="rId51" xr:uid="{A832C356-D78E-4ED7-96FC-DD5F799FAC17}"/>
    <hyperlink ref="H38" r:id="rId52" xr:uid="{ABBB35B4-B177-43B5-95FC-9B01E81DAD25}"/>
    <hyperlink ref="H41" r:id="rId53" xr:uid="{0B06EA8A-6A40-4707-BFBE-F2819E8E8960}"/>
    <hyperlink ref="H42" r:id="rId54" xr:uid="{55736F9E-86E6-4C28-9CBC-7CAA0A1A6D5D}"/>
    <hyperlink ref="H43" r:id="rId55" xr:uid="{3B65D258-37D0-44BA-9F88-39F4248AC586}"/>
    <hyperlink ref="H44" r:id="rId56" xr:uid="{B82388A1-9FAC-4567-8150-32501444D9B9}"/>
    <hyperlink ref="H45" r:id="rId57" xr:uid="{386F3AEB-394F-4F21-88D5-7D22D4B69340}"/>
    <hyperlink ref="H57" r:id="rId58" xr:uid="{494E2701-2339-47CF-8EB5-D93C85C38F68}"/>
    <hyperlink ref="H58" r:id="rId59" xr:uid="{56A23CE2-06BE-426E-A7AC-791B4FCBF447}"/>
    <hyperlink ref="H59" r:id="rId60" xr:uid="{0DD08474-37DF-467F-9F3F-8C8300F601A2}"/>
    <hyperlink ref="H60" r:id="rId61" xr:uid="{65EA1E42-720F-4B48-8519-123AD718D39C}"/>
    <hyperlink ref="H61" r:id="rId62" xr:uid="{28EA12BE-1DF7-4C7E-8090-88CF1D8FBBDC}"/>
    <hyperlink ref="H62" r:id="rId63" xr:uid="{1F80D65D-3532-4854-BD44-E501F72D2163}"/>
    <hyperlink ref="H63" r:id="rId64" xr:uid="{D535FC11-C176-497E-BF60-73255DB13894}"/>
    <hyperlink ref="H65" r:id="rId65" xr:uid="{FF990D47-C98D-4294-A3A3-7FEE790B1BEB}"/>
    <hyperlink ref="H67" r:id="rId66" xr:uid="{3164CD8B-4D49-4B46-8D7E-641EB14A28AA}"/>
    <hyperlink ref="H68" r:id="rId67" xr:uid="{3CA2F6AE-D51D-4D23-BD19-43E8A33544E2}"/>
    <hyperlink ref="H69" r:id="rId68" xr:uid="{68DE4CD2-5031-473B-9931-B98E9ACC6057}"/>
    <hyperlink ref="H70" r:id="rId69" xr:uid="{201AED88-1043-4888-BF9B-05BBF3AA3A33}"/>
    <hyperlink ref="H71" r:id="rId70" xr:uid="{63834394-D1BA-4414-8B6C-D3FD204E6B02}"/>
    <hyperlink ref="H72" r:id="rId71" xr:uid="{95CE5CFE-4E0A-4EE1-B843-B96F9DD6B058}"/>
    <hyperlink ref="H73" r:id="rId72" xr:uid="{F0010B60-E39C-44B7-9D31-DAA9A176153B}"/>
    <hyperlink ref="H74" r:id="rId73" xr:uid="{868E0785-EE28-47C9-AA54-9A9D823A6B64}"/>
    <hyperlink ref="H75" r:id="rId74" xr:uid="{730732B3-3929-4CB4-9115-D254856D892B}"/>
    <hyperlink ref="H76" r:id="rId75" xr:uid="{AB495857-272C-4BBF-8B94-A81413121F0E}"/>
    <hyperlink ref="H77" r:id="rId76" xr:uid="{7DC9338B-AFEA-4026-969F-AD49D3196594}"/>
    <hyperlink ref="H78" r:id="rId77" xr:uid="{715958BE-C030-41CC-9CB8-46F92AFAD0BD}"/>
    <hyperlink ref="H79" r:id="rId78" xr:uid="{154B63FB-C6AD-46F0-A21A-4A5FFEA6B76F}"/>
    <hyperlink ref="H80" r:id="rId79" xr:uid="{44FD399C-CBF9-496E-B223-28BD72F8EE73}"/>
    <hyperlink ref="H81" r:id="rId80" xr:uid="{5A32B48F-0225-40EE-B378-B82592B910AD}"/>
    <hyperlink ref="H82" r:id="rId81" xr:uid="{F1FC6A5C-1EC1-4E3F-80D9-2BB951F9E7C5}"/>
    <hyperlink ref="H83" r:id="rId82" xr:uid="{7F7A9712-8BD1-47E9-B539-D5F409D8A8BC}"/>
    <hyperlink ref="H84" r:id="rId83" xr:uid="{CC25B473-C2DA-4295-94F9-707658D541B4}"/>
    <hyperlink ref="H85" r:id="rId84" xr:uid="{B6E7CAF8-8839-4CF4-B498-90B9588484BF}"/>
    <hyperlink ref="H86" r:id="rId85" xr:uid="{C094682B-E2A7-4954-B5F3-9ABA12744284}"/>
    <hyperlink ref="H87" r:id="rId86" xr:uid="{CDC7DE15-415E-4BA7-A56E-5583B5EEA707}"/>
    <hyperlink ref="H88" r:id="rId87" xr:uid="{F08C70E0-9CC4-4043-804E-78970AA78B9F}"/>
    <hyperlink ref="H90" r:id="rId88" xr:uid="{7897FDF7-1515-446E-8647-187D2457287B}"/>
    <hyperlink ref="H91" r:id="rId89" xr:uid="{5F72DA5B-DCF4-4374-BE50-D36AB51A2086}"/>
    <hyperlink ref="H92" r:id="rId90" xr:uid="{411472FA-50B1-46F0-B9EA-D8EB086BA592}"/>
    <hyperlink ref="H93" r:id="rId91" xr:uid="{35731495-A8E0-4875-BB28-0CE84D224616}"/>
    <hyperlink ref="H94" r:id="rId92" xr:uid="{5D5AC90C-4EC9-4DE2-85F0-09D58FCC814C}"/>
    <hyperlink ref="H95" r:id="rId93" xr:uid="{B06ADFE1-6942-47FF-ADF0-13152FD8AE4F}"/>
    <hyperlink ref="H54" r:id="rId94" xr:uid="{D83C2E59-5E2B-4D99-B462-98B177A604B1}"/>
    <hyperlink ref="H55" r:id="rId95" xr:uid="{BEA173B9-604F-4C68-80C1-9A5A05F2EF41}"/>
    <hyperlink ref="H98" r:id="rId96" xr:uid="{5C44C030-D88E-4D20-86CB-02DE2D7B044D}"/>
    <hyperlink ref="H99" r:id="rId97" xr:uid="{B269D60E-52F3-4843-A72D-61EA63B4CDF5}"/>
    <hyperlink ref="H97" r:id="rId98" xr:uid="{A2D9AC59-64B4-4E9C-A9E7-CC95DE12A932}"/>
    <hyperlink ref="H100" r:id="rId99" xr:uid="{BEC6281A-F62A-45AB-A11D-47F0453F7267}"/>
    <hyperlink ref="H96" r:id="rId100" xr:uid="{686A0569-32A2-4F8A-972F-AB095BBA02CF}"/>
    <hyperlink ref="H102:H114" r:id="rId101" display="https://maps.app.goo.gl/jcUuEcShVcUDuB7A6" xr:uid="{D73C8CDA-4191-4A7A-B741-F9A08ED644C3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0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42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44</v>
      </c>
      <c r="D8" s="20" t="e">
        <f>VLOOKUP($D$5,Tableau1[],4,FALSE)</f>
        <v>#N/A</v>
      </c>
    </row>
    <row r="9" spans="3:7" ht="15">
      <c r="C9" s="19" t="s">
        <v>43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39</v>
      </c>
      <c r="D24" s="23" t="e">
        <f>VLOOKUP($D$5,Tableau1[],18,FALSE)</f>
        <v>#N/A</v>
      </c>
    </row>
    <row r="25" spans="3:6" ht="57" customHeight="1">
      <c r="C25" s="19" t="s">
        <v>47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8" t="s">
        <v>139</v>
      </c>
      <c r="D5" s="28" t="s">
        <v>140</v>
      </c>
      <c r="E5" s="28" t="s">
        <v>141</v>
      </c>
    </row>
    <row r="6" spans="3:13" ht="15">
      <c r="C6" s="28">
        <v>1</v>
      </c>
      <c r="D6" s="29" t="s">
        <v>142</v>
      </c>
      <c r="E6" s="29" t="s">
        <v>143</v>
      </c>
    </row>
    <row r="7" spans="3:13" ht="15">
      <c r="C7" s="28">
        <v>2</v>
      </c>
      <c r="D7" s="29" t="s">
        <v>144</v>
      </c>
      <c r="E7" s="29" t="s">
        <v>145</v>
      </c>
    </row>
    <row r="8" spans="3:13" ht="15">
      <c r="C8" s="28">
        <v>3</v>
      </c>
      <c r="D8" s="29" t="s">
        <v>146</v>
      </c>
      <c r="E8" s="29" t="s">
        <v>143</v>
      </c>
    </row>
    <row r="9" spans="3:13" ht="15">
      <c r="C9" s="28">
        <v>4</v>
      </c>
      <c r="D9" s="29" t="s">
        <v>147</v>
      </c>
      <c r="E9" s="29" t="s">
        <v>148</v>
      </c>
    </row>
    <row r="10" spans="3:13" ht="15">
      <c r="C10" s="28">
        <v>5</v>
      </c>
      <c r="D10" s="29" t="s">
        <v>149</v>
      </c>
      <c r="E10" s="29" t="s">
        <v>148</v>
      </c>
    </row>
    <row r="11" spans="3:13" ht="15">
      <c r="C11" s="28">
        <v>6</v>
      </c>
      <c r="D11" s="29" t="s">
        <v>150</v>
      </c>
      <c r="E11" s="29" t="s">
        <v>148</v>
      </c>
    </row>
    <row r="12" spans="3:13" ht="15">
      <c r="C12" s="28">
        <v>7</v>
      </c>
      <c r="D12" s="29" t="s">
        <v>151</v>
      </c>
      <c r="E12" s="29" t="s">
        <v>143</v>
      </c>
    </row>
    <row r="13" spans="3:13" ht="15">
      <c r="C13" s="28">
        <v>8</v>
      </c>
      <c r="D13" s="29" t="s">
        <v>152</v>
      </c>
      <c r="E13" s="29" t="s">
        <v>153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2">
        <v>94300</v>
      </c>
    </row>
    <row r="14" spans="3:13" ht="15">
      <c r="C14" s="28">
        <v>9</v>
      </c>
      <c r="D14" s="29" t="s">
        <v>154</v>
      </c>
      <c r="E14" s="29" t="s">
        <v>155</v>
      </c>
    </row>
    <row r="15" spans="3:13" ht="15">
      <c r="C15" s="28">
        <v>10</v>
      </c>
      <c r="D15" s="29" t="s">
        <v>156</v>
      </c>
      <c r="E15" s="29" t="s">
        <v>153</v>
      </c>
    </row>
    <row r="16" spans="3:13" ht="15">
      <c r="C16" s="28">
        <v>11</v>
      </c>
      <c r="D16" s="29" t="s">
        <v>157</v>
      </c>
      <c r="E16" s="29" t="s">
        <v>155</v>
      </c>
    </row>
    <row r="17" spans="3:5" ht="15">
      <c r="C17" s="28">
        <v>12</v>
      </c>
      <c r="D17" s="29" t="s">
        <v>158</v>
      </c>
      <c r="E17" s="29" t="s">
        <v>155</v>
      </c>
    </row>
    <row r="18" spans="3:5" ht="15">
      <c r="C18" s="28">
        <v>13</v>
      </c>
      <c r="D18" s="29" t="s">
        <v>159</v>
      </c>
      <c r="E18" s="29" t="s">
        <v>148</v>
      </c>
    </row>
    <row r="19" spans="3:5" ht="15">
      <c r="C19" s="28">
        <v>14</v>
      </c>
      <c r="D19" s="29" t="s">
        <v>160</v>
      </c>
      <c r="E19" s="29" t="s">
        <v>161</v>
      </c>
    </row>
    <row r="20" spans="3:5" ht="15">
      <c r="C20" s="28">
        <v>15</v>
      </c>
      <c r="D20" s="29" t="s">
        <v>162</v>
      </c>
      <c r="E20" s="29" t="s">
        <v>143</v>
      </c>
    </row>
    <row r="21" spans="3:5" ht="15">
      <c r="C21" s="28">
        <v>16</v>
      </c>
      <c r="D21" s="29" t="s">
        <v>163</v>
      </c>
      <c r="E21" s="29" t="s">
        <v>164</v>
      </c>
    </row>
    <row r="22" spans="3:5" ht="15">
      <c r="C22" s="28">
        <v>17</v>
      </c>
      <c r="D22" s="29" t="s">
        <v>165</v>
      </c>
      <c r="E22" s="29" t="s">
        <v>164</v>
      </c>
    </row>
    <row r="23" spans="3:5" ht="15">
      <c r="C23" s="28">
        <v>18</v>
      </c>
      <c r="D23" s="29" t="s">
        <v>166</v>
      </c>
      <c r="E23" s="29" t="s">
        <v>167</v>
      </c>
    </row>
    <row r="24" spans="3:5" ht="15">
      <c r="C24" s="28">
        <v>19</v>
      </c>
      <c r="D24" s="29" t="s">
        <v>168</v>
      </c>
      <c r="E24" s="29" t="s">
        <v>164</v>
      </c>
    </row>
    <row r="25" spans="3:5" ht="15">
      <c r="C25" s="30" t="s">
        <v>169</v>
      </c>
      <c r="D25" s="31" t="s">
        <v>170</v>
      </c>
      <c r="E25" s="31" t="s">
        <v>171</v>
      </c>
    </row>
    <row r="26" spans="3:5" ht="15">
      <c r="C26" s="30" t="s">
        <v>172</v>
      </c>
      <c r="D26" s="31" t="s">
        <v>173</v>
      </c>
      <c r="E26" s="31" t="s">
        <v>171</v>
      </c>
    </row>
    <row r="27" spans="3:5" ht="15">
      <c r="C27" s="28">
        <v>21</v>
      </c>
      <c r="D27" s="29" t="s">
        <v>174</v>
      </c>
      <c r="E27" s="29" t="s">
        <v>175</v>
      </c>
    </row>
    <row r="28" spans="3:5" ht="15">
      <c r="C28" s="28">
        <v>22</v>
      </c>
      <c r="D28" s="29" t="s">
        <v>176</v>
      </c>
      <c r="E28" s="29" t="s">
        <v>177</v>
      </c>
    </row>
    <row r="29" spans="3:5" ht="15">
      <c r="C29" s="28">
        <v>23</v>
      </c>
      <c r="D29" s="29" t="s">
        <v>178</v>
      </c>
      <c r="E29" s="29" t="s">
        <v>164</v>
      </c>
    </row>
    <row r="30" spans="3:5" ht="15">
      <c r="C30" s="28">
        <v>24</v>
      </c>
      <c r="D30" s="29" t="s">
        <v>179</v>
      </c>
      <c r="E30" s="29" t="s">
        <v>164</v>
      </c>
    </row>
    <row r="31" spans="3:5" ht="15">
      <c r="C31" s="28">
        <v>25</v>
      </c>
      <c r="D31" s="29" t="s">
        <v>180</v>
      </c>
      <c r="E31" s="29" t="s">
        <v>175</v>
      </c>
    </row>
    <row r="32" spans="3:5" ht="15">
      <c r="C32" s="28">
        <v>26</v>
      </c>
      <c r="D32" s="29" t="s">
        <v>181</v>
      </c>
      <c r="E32" s="29" t="s">
        <v>143</v>
      </c>
    </row>
    <row r="33" spans="3:5" ht="15">
      <c r="C33" s="28">
        <v>27</v>
      </c>
      <c r="D33" s="29" t="s">
        <v>182</v>
      </c>
      <c r="E33" s="29" t="s">
        <v>161</v>
      </c>
    </row>
    <row r="34" spans="3:5" ht="15">
      <c r="C34" s="28">
        <v>28</v>
      </c>
      <c r="D34" s="29" t="s">
        <v>183</v>
      </c>
      <c r="E34" s="29" t="s">
        <v>167</v>
      </c>
    </row>
    <row r="35" spans="3:5" ht="15">
      <c r="C35" s="28">
        <v>29</v>
      </c>
      <c r="D35" s="29" t="s">
        <v>184</v>
      </c>
      <c r="E35" s="29" t="s">
        <v>177</v>
      </c>
    </row>
    <row r="36" spans="3:5" ht="15">
      <c r="C36" s="28">
        <v>30</v>
      </c>
      <c r="D36" s="29" t="s">
        <v>185</v>
      </c>
      <c r="E36" s="29" t="s">
        <v>155</v>
      </c>
    </row>
    <row r="37" spans="3:5" ht="15">
      <c r="C37" s="28">
        <v>31</v>
      </c>
      <c r="D37" s="29" t="s">
        <v>186</v>
      </c>
      <c r="E37" s="29" t="s">
        <v>155</v>
      </c>
    </row>
    <row r="38" spans="3:5" ht="15">
      <c r="C38" s="28">
        <v>32</v>
      </c>
      <c r="D38" s="29" t="s">
        <v>187</v>
      </c>
      <c r="E38" s="29" t="s">
        <v>155</v>
      </c>
    </row>
    <row r="39" spans="3:5" ht="15">
      <c r="C39" s="28">
        <v>33</v>
      </c>
      <c r="D39" s="29" t="s">
        <v>188</v>
      </c>
      <c r="E39" s="29" t="s">
        <v>164</v>
      </c>
    </row>
    <row r="40" spans="3:5" ht="15">
      <c r="C40" s="28">
        <v>34</v>
      </c>
      <c r="D40" s="29" t="s">
        <v>189</v>
      </c>
      <c r="E40" s="29" t="s">
        <v>155</v>
      </c>
    </row>
    <row r="41" spans="3:5" ht="15">
      <c r="C41" s="28">
        <v>35</v>
      </c>
      <c r="D41" s="29" t="s">
        <v>190</v>
      </c>
      <c r="E41" s="29" t="s">
        <v>177</v>
      </c>
    </row>
    <row r="42" spans="3:5" ht="15">
      <c r="C42" s="28">
        <v>36</v>
      </c>
      <c r="D42" s="29" t="s">
        <v>191</v>
      </c>
      <c r="E42" s="29" t="s">
        <v>167</v>
      </c>
    </row>
    <row r="43" spans="3:5" ht="15">
      <c r="C43" s="28">
        <v>37</v>
      </c>
      <c r="D43" s="29" t="s">
        <v>192</v>
      </c>
      <c r="E43" s="29" t="s">
        <v>167</v>
      </c>
    </row>
    <row r="44" spans="3:5" ht="15">
      <c r="C44" s="28">
        <v>38</v>
      </c>
      <c r="D44" s="29" t="s">
        <v>193</v>
      </c>
      <c r="E44" s="29" t="s">
        <v>143</v>
      </c>
    </row>
    <row r="45" spans="3:5" ht="15">
      <c r="C45" s="28">
        <v>39</v>
      </c>
      <c r="D45" s="29" t="s">
        <v>194</v>
      </c>
      <c r="E45" s="29" t="s">
        <v>175</v>
      </c>
    </row>
    <row r="46" spans="3:5" ht="15">
      <c r="C46" s="28">
        <v>40</v>
      </c>
      <c r="D46" s="29" t="s">
        <v>195</v>
      </c>
      <c r="E46" s="29" t="s">
        <v>164</v>
      </c>
    </row>
    <row r="47" spans="3:5" ht="15">
      <c r="C47" s="28">
        <v>41</v>
      </c>
      <c r="D47" s="29" t="s">
        <v>196</v>
      </c>
      <c r="E47" s="29" t="s">
        <v>167</v>
      </c>
    </row>
    <row r="48" spans="3:5" ht="15">
      <c r="C48" s="28">
        <v>42</v>
      </c>
      <c r="D48" s="29" t="s">
        <v>197</v>
      </c>
      <c r="E48" s="29" t="s">
        <v>143</v>
      </c>
    </row>
    <row r="49" spans="3:5" ht="15">
      <c r="C49" s="28">
        <v>43</v>
      </c>
      <c r="D49" s="29" t="s">
        <v>198</v>
      </c>
      <c r="E49" s="29" t="s">
        <v>143</v>
      </c>
    </row>
    <row r="50" spans="3:5" ht="15">
      <c r="C50" s="28">
        <v>44</v>
      </c>
      <c r="D50" s="29" t="s">
        <v>199</v>
      </c>
      <c r="E50" s="29" t="s">
        <v>200</v>
      </c>
    </row>
    <row r="51" spans="3:5" ht="15">
      <c r="C51" s="28">
        <v>45</v>
      </c>
      <c r="D51" s="29" t="s">
        <v>201</v>
      </c>
      <c r="E51" s="29" t="s">
        <v>167</v>
      </c>
    </row>
    <row r="52" spans="3:5" ht="15">
      <c r="C52" s="28">
        <v>46</v>
      </c>
      <c r="D52" s="29" t="s">
        <v>202</v>
      </c>
      <c r="E52" s="29" t="s">
        <v>155</v>
      </c>
    </row>
    <row r="53" spans="3:5" ht="15">
      <c r="C53" s="28">
        <v>47</v>
      </c>
      <c r="D53" s="29" t="s">
        <v>203</v>
      </c>
      <c r="E53" s="29" t="s">
        <v>164</v>
      </c>
    </row>
    <row r="54" spans="3:5" ht="15">
      <c r="C54" s="28">
        <v>48</v>
      </c>
      <c r="D54" s="29" t="s">
        <v>204</v>
      </c>
      <c r="E54" s="29" t="s">
        <v>155</v>
      </c>
    </row>
    <row r="55" spans="3:5" ht="15">
      <c r="C55" s="28">
        <v>49</v>
      </c>
      <c r="D55" s="29" t="s">
        <v>205</v>
      </c>
      <c r="E55" s="29" t="s">
        <v>200</v>
      </c>
    </row>
    <row r="56" spans="3:5" ht="15">
      <c r="C56" s="28">
        <v>50</v>
      </c>
      <c r="D56" s="29" t="s">
        <v>206</v>
      </c>
      <c r="E56" s="29" t="s">
        <v>161</v>
      </c>
    </row>
    <row r="57" spans="3:5" ht="15">
      <c r="C57" s="28">
        <v>51</v>
      </c>
      <c r="D57" s="29" t="s">
        <v>207</v>
      </c>
      <c r="E57" s="29" t="s">
        <v>153</v>
      </c>
    </row>
    <row r="58" spans="3:5" ht="15">
      <c r="C58" s="28">
        <v>52</v>
      </c>
      <c r="D58" s="29" t="s">
        <v>208</v>
      </c>
      <c r="E58" s="29" t="s">
        <v>153</v>
      </c>
    </row>
    <row r="59" spans="3:5" ht="15">
      <c r="C59" s="28">
        <v>53</v>
      </c>
      <c r="D59" s="29" t="s">
        <v>209</v>
      </c>
      <c r="E59" s="29" t="s">
        <v>200</v>
      </c>
    </row>
    <row r="60" spans="3:5" ht="15">
      <c r="C60" s="28">
        <v>54</v>
      </c>
      <c r="D60" s="29" t="s">
        <v>210</v>
      </c>
      <c r="E60" s="29" t="s">
        <v>153</v>
      </c>
    </row>
    <row r="61" spans="3:5" ht="15">
      <c r="C61" s="28">
        <v>55</v>
      </c>
      <c r="D61" s="29" t="s">
        <v>211</v>
      </c>
      <c r="E61" s="29" t="s">
        <v>153</v>
      </c>
    </row>
    <row r="62" spans="3:5" ht="15">
      <c r="C62" s="28">
        <v>56</v>
      </c>
      <c r="D62" s="29" t="s">
        <v>212</v>
      </c>
      <c r="E62" s="29" t="s">
        <v>177</v>
      </c>
    </row>
    <row r="63" spans="3:5" ht="15">
      <c r="C63" s="28">
        <v>57</v>
      </c>
      <c r="D63" s="29" t="s">
        <v>213</v>
      </c>
      <c r="E63" s="29" t="s">
        <v>153</v>
      </c>
    </row>
    <row r="64" spans="3:5" ht="15">
      <c r="C64" s="28">
        <v>58</v>
      </c>
      <c r="D64" s="29" t="s">
        <v>214</v>
      </c>
      <c r="E64" s="29" t="s">
        <v>175</v>
      </c>
    </row>
    <row r="65" spans="3:5" ht="15">
      <c r="C65" s="28">
        <v>59</v>
      </c>
      <c r="D65" s="29" t="s">
        <v>215</v>
      </c>
      <c r="E65" s="29" t="s">
        <v>145</v>
      </c>
    </row>
    <row r="66" spans="3:5" ht="15">
      <c r="C66" s="28">
        <v>60</v>
      </c>
      <c r="D66" s="29" t="s">
        <v>216</v>
      </c>
      <c r="E66" s="29" t="s">
        <v>145</v>
      </c>
    </row>
    <row r="67" spans="3:5" ht="15">
      <c r="C67" s="28">
        <v>61</v>
      </c>
      <c r="D67" s="29" t="s">
        <v>217</v>
      </c>
      <c r="E67" s="29" t="s">
        <v>161</v>
      </c>
    </row>
    <row r="68" spans="3:5" ht="15">
      <c r="C68" s="28">
        <v>62</v>
      </c>
      <c r="D68" s="29" t="s">
        <v>218</v>
      </c>
      <c r="E68" s="29" t="s">
        <v>145</v>
      </c>
    </row>
    <row r="69" spans="3:5" ht="15">
      <c r="C69" s="28">
        <v>63</v>
      </c>
      <c r="D69" s="29" t="s">
        <v>219</v>
      </c>
      <c r="E69" s="29" t="s">
        <v>143</v>
      </c>
    </row>
    <row r="70" spans="3:5" ht="15">
      <c r="C70" s="28">
        <v>64</v>
      </c>
      <c r="D70" s="29" t="s">
        <v>220</v>
      </c>
      <c r="E70" s="29" t="s">
        <v>164</v>
      </c>
    </row>
    <row r="71" spans="3:5" ht="15">
      <c r="C71" s="28">
        <v>65</v>
      </c>
      <c r="D71" s="29" t="s">
        <v>221</v>
      </c>
      <c r="E71" s="29" t="s">
        <v>155</v>
      </c>
    </row>
    <row r="72" spans="3:5" ht="15">
      <c r="C72" s="28">
        <v>66</v>
      </c>
      <c r="D72" s="29" t="s">
        <v>222</v>
      </c>
      <c r="E72" s="29" t="s">
        <v>155</v>
      </c>
    </row>
    <row r="73" spans="3:5" ht="15">
      <c r="C73" s="28">
        <v>67</v>
      </c>
      <c r="D73" s="29" t="s">
        <v>223</v>
      </c>
      <c r="E73" s="29" t="s">
        <v>153</v>
      </c>
    </row>
    <row r="74" spans="3:5" ht="15">
      <c r="C74" s="28">
        <v>68</v>
      </c>
      <c r="D74" s="29" t="s">
        <v>224</v>
      </c>
      <c r="E74" s="29" t="s">
        <v>153</v>
      </c>
    </row>
    <row r="75" spans="3:5" ht="15">
      <c r="C75" s="28">
        <v>69</v>
      </c>
      <c r="D75" s="29" t="s">
        <v>225</v>
      </c>
      <c r="E75" s="29" t="s">
        <v>143</v>
      </c>
    </row>
    <row r="76" spans="3:5" ht="15">
      <c r="C76" s="28">
        <v>70</v>
      </c>
      <c r="D76" s="29" t="s">
        <v>226</v>
      </c>
      <c r="E76" s="29" t="s">
        <v>175</v>
      </c>
    </row>
    <row r="77" spans="3:5" ht="15">
      <c r="C77" s="28">
        <v>71</v>
      </c>
      <c r="D77" s="29" t="s">
        <v>227</v>
      </c>
      <c r="E77" s="29" t="s">
        <v>175</v>
      </c>
    </row>
    <row r="78" spans="3:5" ht="15">
      <c r="C78" s="28">
        <v>72</v>
      </c>
      <c r="D78" s="29" t="s">
        <v>228</v>
      </c>
      <c r="E78" s="29" t="s">
        <v>200</v>
      </c>
    </row>
    <row r="79" spans="3:5" ht="15">
      <c r="C79" s="28">
        <v>73</v>
      </c>
      <c r="D79" s="29" t="s">
        <v>229</v>
      </c>
      <c r="E79" s="29" t="s">
        <v>143</v>
      </c>
    </row>
    <row r="80" spans="3:5" ht="15">
      <c r="C80" s="28">
        <v>74</v>
      </c>
      <c r="D80" s="29" t="s">
        <v>230</v>
      </c>
      <c r="E80" s="29" t="s">
        <v>143</v>
      </c>
    </row>
    <row r="81" spans="3:5" ht="15">
      <c r="C81" s="28">
        <v>75</v>
      </c>
      <c r="D81" s="29" t="s">
        <v>94</v>
      </c>
      <c r="E81" s="29" t="s">
        <v>231</v>
      </c>
    </row>
    <row r="82" spans="3:5" ht="15">
      <c r="C82" s="28">
        <v>76</v>
      </c>
      <c r="D82" s="29" t="s">
        <v>232</v>
      </c>
      <c r="E82" s="29" t="s">
        <v>161</v>
      </c>
    </row>
    <row r="83" spans="3:5" ht="15">
      <c r="C83" s="28">
        <v>77</v>
      </c>
      <c r="D83" s="29" t="s">
        <v>233</v>
      </c>
      <c r="E83" s="29" t="s">
        <v>231</v>
      </c>
    </row>
    <row r="84" spans="3:5" ht="15">
      <c r="C84" s="28">
        <v>78</v>
      </c>
      <c r="D84" s="29" t="s">
        <v>234</v>
      </c>
      <c r="E84" s="29" t="s">
        <v>231</v>
      </c>
    </row>
    <row r="85" spans="3:5" ht="15">
      <c r="C85" s="28">
        <v>79</v>
      </c>
      <c r="D85" s="29" t="s">
        <v>235</v>
      </c>
      <c r="E85" s="29" t="s">
        <v>164</v>
      </c>
    </row>
    <row r="86" spans="3:5" ht="15">
      <c r="C86" s="28">
        <v>80</v>
      </c>
      <c r="D86" s="29" t="s">
        <v>236</v>
      </c>
      <c r="E86" s="29" t="s">
        <v>145</v>
      </c>
    </row>
    <row r="87" spans="3:5" ht="15">
      <c r="C87" s="28">
        <v>81</v>
      </c>
      <c r="D87" s="29" t="s">
        <v>237</v>
      </c>
      <c r="E87" s="29" t="s">
        <v>155</v>
      </c>
    </row>
    <row r="88" spans="3:5" ht="15">
      <c r="C88" s="28">
        <v>82</v>
      </c>
      <c r="D88" s="29" t="s">
        <v>238</v>
      </c>
      <c r="E88" s="29" t="s">
        <v>155</v>
      </c>
    </row>
    <row r="89" spans="3:5" ht="15">
      <c r="C89" s="28">
        <v>83</v>
      </c>
      <c r="D89" s="29" t="s">
        <v>239</v>
      </c>
      <c r="E89" s="29" t="s">
        <v>148</v>
      </c>
    </row>
    <row r="90" spans="3:5" ht="15">
      <c r="C90" s="28">
        <v>84</v>
      </c>
      <c r="D90" s="29" t="s">
        <v>240</v>
      </c>
      <c r="E90" s="29" t="s">
        <v>148</v>
      </c>
    </row>
    <row r="91" spans="3:5" ht="15">
      <c r="C91" s="28">
        <v>85</v>
      </c>
      <c r="D91" s="29" t="s">
        <v>241</v>
      </c>
      <c r="E91" s="29" t="s">
        <v>200</v>
      </c>
    </row>
    <row r="92" spans="3:5" ht="15">
      <c r="C92" s="28">
        <v>86</v>
      </c>
      <c r="D92" s="29" t="s">
        <v>242</v>
      </c>
      <c r="E92" s="29" t="s">
        <v>164</v>
      </c>
    </row>
    <row r="93" spans="3:5" ht="15">
      <c r="C93" s="28">
        <v>87</v>
      </c>
      <c r="D93" s="29" t="s">
        <v>243</v>
      </c>
      <c r="E93" s="29" t="s">
        <v>164</v>
      </c>
    </row>
    <row r="94" spans="3:5" ht="15">
      <c r="C94" s="28">
        <v>88</v>
      </c>
      <c r="D94" s="29" t="s">
        <v>244</v>
      </c>
      <c r="E94" s="29" t="s">
        <v>153</v>
      </c>
    </row>
    <row r="95" spans="3:5" ht="15">
      <c r="C95" s="28">
        <v>89</v>
      </c>
      <c r="D95" s="29" t="s">
        <v>245</v>
      </c>
      <c r="E95" s="29" t="s">
        <v>175</v>
      </c>
    </row>
    <row r="96" spans="3:5" ht="15">
      <c r="C96" s="28">
        <v>90</v>
      </c>
      <c r="D96" s="29" t="s">
        <v>246</v>
      </c>
      <c r="E96" s="29" t="s">
        <v>175</v>
      </c>
    </row>
    <row r="97" spans="3:5" ht="15">
      <c r="C97" s="28">
        <v>91</v>
      </c>
      <c r="D97" s="29" t="s">
        <v>247</v>
      </c>
      <c r="E97" s="29" t="s">
        <v>231</v>
      </c>
    </row>
    <row r="98" spans="3:5" ht="15">
      <c r="C98" s="28">
        <v>92</v>
      </c>
      <c r="D98" s="29" t="s">
        <v>248</v>
      </c>
      <c r="E98" s="29" t="s">
        <v>231</v>
      </c>
    </row>
    <row r="99" spans="3:5" ht="15">
      <c r="C99" s="28">
        <v>93</v>
      </c>
      <c r="D99" s="29" t="s">
        <v>249</v>
      </c>
      <c r="E99" s="29" t="s">
        <v>231</v>
      </c>
    </row>
    <row r="100" spans="3:5" ht="15">
      <c r="C100" s="28">
        <v>94</v>
      </c>
      <c r="D100" s="29" t="s">
        <v>250</v>
      </c>
      <c r="E100" s="29" t="s">
        <v>231</v>
      </c>
    </row>
    <row r="101" spans="3:5" ht="15">
      <c r="C101" s="28">
        <v>95</v>
      </c>
      <c r="D101" s="29" t="s">
        <v>251</v>
      </c>
      <c r="E101" s="29" t="s">
        <v>231</v>
      </c>
    </row>
    <row r="102" spans="3:5" ht="15">
      <c r="C102" s="28">
        <v>971</v>
      </c>
      <c r="D102" s="29" t="s">
        <v>252</v>
      </c>
      <c r="E102" s="29" t="s">
        <v>252</v>
      </c>
    </row>
    <row r="103" spans="3:5" ht="15">
      <c r="C103" s="28">
        <v>972</v>
      </c>
      <c r="D103" s="29" t="s">
        <v>253</v>
      </c>
      <c r="E103" s="29" t="s">
        <v>253</v>
      </c>
    </row>
    <row r="104" spans="3:5" ht="15">
      <c r="C104" s="28">
        <v>973</v>
      </c>
      <c r="D104" s="29" t="s">
        <v>254</v>
      </c>
      <c r="E104" s="29" t="s">
        <v>254</v>
      </c>
    </row>
    <row r="105" spans="3:5" ht="15">
      <c r="C105" s="28">
        <v>974</v>
      </c>
      <c r="D105" s="29" t="s">
        <v>255</v>
      </c>
      <c r="E105" s="29" t="s">
        <v>255</v>
      </c>
    </row>
    <row r="106" spans="3:5" ht="15">
      <c r="C106" s="28">
        <v>976</v>
      </c>
      <c r="D106" s="29" t="s">
        <v>256</v>
      </c>
      <c r="E106" s="29" t="s">
        <v>256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2025-11-20T14:58:05Z</dcterms:modified>
</cp:coreProperties>
</file>