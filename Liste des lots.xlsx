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22FD327F-2481-4CCF-A35A-9E6DC8DE6EB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86" i="2" l="1"/>
  <c r="AF387" i="2"/>
  <c r="AF388" i="2"/>
  <c r="AF389" i="2"/>
  <c r="AF390" i="2"/>
  <c r="AF391" i="2"/>
  <c r="AF392" i="2"/>
  <c r="AF393" i="2"/>
  <c r="AF394" i="2"/>
  <c r="AF395" i="2"/>
  <c r="AF396" i="2"/>
  <c r="AF397" i="2"/>
  <c r="AF398" i="2"/>
  <c r="T386" i="2"/>
  <c r="U386" i="2" s="1"/>
  <c r="T387" i="2"/>
  <c r="U387" i="2" s="1"/>
  <c r="T388" i="2"/>
  <c r="U388" i="2" s="1"/>
  <c r="T389" i="2"/>
  <c r="U389" i="2" s="1"/>
  <c r="T390" i="2"/>
  <c r="U390" i="2" s="1"/>
  <c r="T391" i="2"/>
  <c r="U391" i="2" s="1"/>
  <c r="T392" i="2"/>
  <c r="U392" i="2" s="1"/>
  <c r="T393" i="2"/>
  <c r="U393" i="2" s="1"/>
  <c r="T394" i="2"/>
  <c r="U394" i="2"/>
  <c r="T395" i="2"/>
  <c r="U395" i="2"/>
  <c r="T396" i="2"/>
  <c r="U396" i="2" s="1"/>
  <c r="T397" i="2"/>
  <c r="U397" i="2" s="1"/>
  <c r="T398" i="2"/>
  <c r="U398" i="2"/>
  <c r="X398" i="2"/>
  <c r="Y398" i="2" s="1"/>
  <c r="Y397" i="2"/>
  <c r="X397" i="2"/>
  <c r="X396" i="2"/>
  <c r="Y396" i="2" s="1"/>
  <c r="Y395" i="2"/>
  <c r="X395" i="2"/>
  <c r="X394" i="2"/>
  <c r="Y394" i="2" s="1"/>
  <c r="X393" i="2"/>
  <c r="Y393" i="2" s="1"/>
  <c r="X392" i="2"/>
  <c r="Y392" i="2" s="1"/>
  <c r="Y391" i="2"/>
  <c r="X391" i="2"/>
  <c r="X390" i="2"/>
  <c r="Y390" i="2" s="1"/>
  <c r="X389" i="2"/>
  <c r="Y389" i="2" s="1"/>
  <c r="X388" i="2"/>
  <c r="Y388" i="2" s="1"/>
  <c r="X387" i="2"/>
  <c r="Y387" i="2" s="1"/>
  <c r="X386" i="2"/>
  <c r="Y386" i="2"/>
  <c r="C387" i="2"/>
  <c r="A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AA387" i="2"/>
  <c r="AA388" i="2"/>
  <c r="AA389" i="2"/>
  <c r="AA390" i="2"/>
  <c r="AA391" i="2"/>
  <c r="AA392" i="2"/>
  <c r="AA393" i="2"/>
  <c r="AA394" i="2"/>
  <c r="AA395" i="2"/>
  <c r="AA396" i="2"/>
  <c r="AA397" i="2"/>
  <c r="AA398" i="2"/>
  <c r="AC387" i="2"/>
  <c r="AC388" i="2"/>
  <c r="AC389" i="2"/>
  <c r="AC390" i="2"/>
  <c r="AC391" i="2"/>
  <c r="AC392" i="2"/>
  <c r="AC393" i="2"/>
  <c r="AC394" i="2"/>
  <c r="AC395" i="2"/>
  <c r="AC396" i="2"/>
  <c r="AC397" i="2"/>
  <c r="AC398" i="2"/>
  <c r="G398" i="2"/>
  <c r="G397" i="2"/>
  <c r="G396" i="2"/>
  <c r="G395" i="2"/>
  <c r="G394" i="2"/>
  <c r="G393" i="2"/>
  <c r="G392" i="2"/>
  <c r="G391" i="2"/>
  <c r="G390" i="2"/>
  <c r="G389" i="2"/>
  <c r="G388" i="2"/>
  <c r="G387" i="2"/>
  <c r="C386" i="2"/>
  <c r="A386" i="2" s="1"/>
  <c r="G386" i="2"/>
  <c r="AA386" i="2"/>
  <c r="AC386" i="2"/>
  <c r="AF381" i="2"/>
  <c r="X380" i="2"/>
  <c r="Y380" i="2"/>
  <c r="X381" i="2"/>
  <c r="Y381" i="2"/>
  <c r="X382" i="2"/>
  <c r="Y382" i="2" s="1"/>
  <c r="X383" i="2"/>
  <c r="Y383" i="2" s="1"/>
  <c r="X384" i="2"/>
  <c r="Y384" i="2" s="1"/>
  <c r="X385" i="2"/>
  <c r="Y385" i="2"/>
  <c r="T380" i="2"/>
  <c r="AF380" i="2" s="1"/>
  <c r="T381" i="2"/>
  <c r="U381" i="2" s="1"/>
  <c r="T382" i="2"/>
  <c r="AF382" i="2" s="1"/>
  <c r="U382" i="2"/>
  <c r="T383" i="2"/>
  <c r="U383" i="2" s="1"/>
  <c r="T384" i="2"/>
  <c r="AF384" i="2" s="1"/>
  <c r="U384" i="2"/>
  <c r="T385" i="2"/>
  <c r="U385" i="2" s="1"/>
  <c r="G385" i="2"/>
  <c r="G384" i="2"/>
  <c r="G383" i="2"/>
  <c r="G382" i="2"/>
  <c r="G381" i="2"/>
  <c r="G380" i="2"/>
  <c r="C385" i="2"/>
  <c r="A385" i="2" s="1"/>
  <c r="AA385" i="2"/>
  <c r="AC385" i="2"/>
  <c r="C384" i="2"/>
  <c r="A384" i="2" s="1"/>
  <c r="AA384" i="2"/>
  <c r="AC384" i="2"/>
  <c r="C383" i="2"/>
  <c r="A383" i="2" s="1"/>
  <c r="AA383" i="2"/>
  <c r="AC383" i="2"/>
  <c r="C382" i="2"/>
  <c r="A382" i="2" s="1"/>
  <c r="AA382" i="2"/>
  <c r="AC382" i="2"/>
  <c r="C381" i="2"/>
  <c r="A381" i="2" s="1"/>
  <c r="AA381" i="2"/>
  <c r="AC381" i="2"/>
  <c r="C380" i="2"/>
  <c r="A380" i="2" s="1"/>
  <c r="AA380" i="2"/>
  <c r="AC380" i="2"/>
  <c r="X376" i="2"/>
  <c r="Y376" i="2" s="1"/>
  <c r="AA376" i="2"/>
  <c r="AC376" i="2"/>
  <c r="X377" i="2"/>
  <c r="Y377" i="2" s="1"/>
  <c r="AA377" i="2"/>
  <c r="AC377" i="2"/>
  <c r="X378" i="2"/>
  <c r="Y378" i="2" s="1"/>
  <c r="AA378" i="2"/>
  <c r="AC378" i="2"/>
  <c r="X379" i="2"/>
  <c r="Y379" i="2" s="1"/>
  <c r="AA379" i="2"/>
  <c r="AC379" i="2"/>
  <c r="X375" i="2"/>
  <c r="Y375" i="2" s="1"/>
  <c r="T375" i="2"/>
  <c r="U375" i="2" s="1"/>
  <c r="T376" i="2"/>
  <c r="U376" i="2" s="1"/>
  <c r="T377" i="2"/>
  <c r="U377" i="2" s="1"/>
  <c r="T378" i="2"/>
  <c r="U378" i="2" s="1"/>
  <c r="T379" i="2"/>
  <c r="U379" i="2" s="1"/>
  <c r="C376" i="2"/>
  <c r="A376" i="2" s="1"/>
  <c r="C377" i="2"/>
  <c r="A377" i="2" s="1"/>
  <c r="C378" i="2"/>
  <c r="A378" i="2" s="1"/>
  <c r="C379" i="2"/>
  <c r="A379" i="2" s="1"/>
  <c r="G379" i="2"/>
  <c r="G378" i="2"/>
  <c r="G377" i="2"/>
  <c r="G376" i="2"/>
  <c r="G375" i="2"/>
  <c r="C375" i="2"/>
  <c r="A375" i="2" s="1"/>
  <c r="AA375" i="2"/>
  <c r="AC375" i="2"/>
  <c r="AE394" i="2" l="1"/>
  <c r="AE392" i="2"/>
  <c r="AE391" i="2"/>
  <c r="AE396" i="2"/>
  <c r="AE390" i="2"/>
  <c r="AE398" i="2"/>
  <c r="AE397" i="2"/>
  <c r="AE395" i="2"/>
  <c r="AE389" i="2"/>
  <c r="AE388" i="2"/>
  <c r="AE393" i="2"/>
  <c r="AE386" i="2"/>
  <c r="AE387" i="2"/>
  <c r="B398" i="2"/>
  <c r="B397" i="2"/>
  <c r="B396" i="2"/>
  <c r="U380" i="2"/>
  <c r="AF385" i="2"/>
  <c r="B395" i="2"/>
  <c r="B394" i="2"/>
  <c r="B393" i="2"/>
  <c r="B392" i="2"/>
  <c r="B391" i="2"/>
  <c r="B390" i="2"/>
  <c r="B389" i="2"/>
  <c r="B388" i="2"/>
  <c r="B387" i="2"/>
  <c r="AF383" i="2"/>
  <c r="AE385" i="2"/>
  <c r="B386" i="2"/>
  <c r="AE381" i="2"/>
  <c r="AE384" i="2"/>
  <c r="AE382" i="2"/>
  <c r="B385" i="2"/>
  <c r="AE383" i="2"/>
  <c r="B384" i="2"/>
  <c r="AE380" i="2"/>
  <c r="B383" i="2"/>
  <c r="AF379" i="2"/>
  <c r="AF378" i="2"/>
  <c r="B382" i="2"/>
  <c r="AF377" i="2"/>
  <c r="AF376" i="2"/>
  <c r="B381" i="2"/>
  <c r="B380" i="2"/>
  <c r="AF375" i="2"/>
  <c r="AE375" i="2"/>
  <c r="AE379" i="2"/>
  <c r="AE378" i="2"/>
  <c r="AE377" i="2"/>
  <c r="AE376" i="2"/>
  <c r="B379" i="2"/>
  <c r="B377" i="2"/>
  <c r="B376" i="2"/>
  <c r="B378" i="2"/>
  <c r="B375" i="2"/>
  <c r="X374" i="2"/>
  <c r="Y374" i="2" s="1"/>
  <c r="T374" i="2"/>
  <c r="U374" i="2" s="1"/>
  <c r="G374" i="2"/>
  <c r="C374" i="2"/>
  <c r="A374" i="2" s="1"/>
  <c r="AA374" i="2"/>
  <c r="AC374"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F371" i="2" l="1"/>
  <c r="AF373" i="2"/>
  <c r="AF374" i="2"/>
  <c r="AE374" i="2"/>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<sst xmlns="http://schemas.openxmlformats.org/spreadsheetml/2006/main" count="11111" uniqueCount="2408">
  <si>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</si>
  <si>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</si>
  <si>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</si>
  <si>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</si>
  <si>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</si>
  <si>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</si>
  <si>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</si>
  <si>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</si>
  <si>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</si>
  <si>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</si>
  <si>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</si>
  <si>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</si>
  <si>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</si>
  <si>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</si>
  <si>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</si>
  <si>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</si>
  <si>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</si>
  <si>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</si>
  <si>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</si>
  <si>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</si>
  <si>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</si>
  <si>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</si>
  <si>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</si>
  <si>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</si>
  <si>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</si>
  <si>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</si>
  <si>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</si>
  <si>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</si>
  <si>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</si>
  <si>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</si>
  <si>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</si>
  <si>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</si>
  <si>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</si>
  <si>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</si>
  <si>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</si>
  <si>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</si>
  <si>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</si>
  <si>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</si>
  <si>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</si>
  <si>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</si>
  <si>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</si>
  <si>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</si>
  <si>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</si>
  <si>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</si>
  <si>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</si>
  <si>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</si>
  <si>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</si>
  <si>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</si>
  <si>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</si>
  <si>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</si>
  <si>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</si>
  <si>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</si>
  <si>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</si>
  <si>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</si>
  <si>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</si>
  <si>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</si>
  <si>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</si>
  <si>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</si>
  <si>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</si>
  <si>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</si>
  <si>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</si>
  <si>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</si>
  <si>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</si>
  <si>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</si>
  <si>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</si>
  <si>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</si>
  <si>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</si>
  <si>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</si>
  <si>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</si>
  <si>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</si>
  <si>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</si>
  <si>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</si>
  <si>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</si>
  <si>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</si>
  <si>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</si>
  <si>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</si>
  <si>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</si>
  <si>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</si>
  <si>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</si>
  <si>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</si>
  <si>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</si>
  <si>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</si>
  <si>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</si>
  <si>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</si>
  <si>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</si>
  <si>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</si>
  <si>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</si>
  <si>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</si>
  <si>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</si>
  <si>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</si>
  <si>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</si>
  <si>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</si>
  <si>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</si>
  <si>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</si>
  <si>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</si>
  <si>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</si>
  <si>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</si>
  <si>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</si>
  <si>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</si>
  <si>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</si>
  <si>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</si>
  <si>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</si>
  <si>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</si>
  <si>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</si>
  <si>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</si>
  <si>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</si>
  <si>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</si>
  <si>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</si>
  <si>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</si>
  <si>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</si>
  <si>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</si>
  <si>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</si>
  <si>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</si>
  <si>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</si>
  <si>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</si>
  <si>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</si>
  <si>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</si>
  <si>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</si>
  <si>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</si>
  <si>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</si>
  <si>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</si>
  <si>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</si>
  <si>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</si>
  <si>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</si>
  <si>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</si>
  <si>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</si>
  <si>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</si>
  <si>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</si>
  <si>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</si>
  <si>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</si>
  <si>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</si>
  <si>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</si>
  <si>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</si>
  <si>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</si>
  <si>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</si>
  <si>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</si>
  <si>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</si>
  <si>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</si>
  <si>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</si>
  <si>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</si>
  <si>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</si>
  <si>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</si>
  <si>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</si>
  <si>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</si>
  <si>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</si>
  <si>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</si>
  <si>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</si>
  <si>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</si>
  <si>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</si>
  <si>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</si>
  <si>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</si>
  <si>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</si>
  <si>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</si>
  <si>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</si>
  <si>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</si>
  <si>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</si>
  <si>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</si>
  <si>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</si>
  <si>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</si>
  <si>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</si>
  <si>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</si>
  <si>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</si>
  <si>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</si>
  <si>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</si>
  <si>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</si>
  <si>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</si>
  <si>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</si>
  <si>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</si>
  <si>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</si>
  <si>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</si>
  <si>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</si>
  <si>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</si>
  <si>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</si>
  <si>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</si>
  <si>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</si>
  <si>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</si>
  <si>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</si>
  <si>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</si>
  <si>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</si>
  <si>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</si>
  <si>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</si>
  <si>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</si>
  <si>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</si>
  <si>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</si>
  <si>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</si>
  <si>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</si>
  <si>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</si>
  <si>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</si>
  <si>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</si>
  <si>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</si>
  <si>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</si>
  <si>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</si>
  <si>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</si>
  <si>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</si>
  <si>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</si>
  <si>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</si>
  <si>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</si>
  <si>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</si>
  <si>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</si>
  <si>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</si>
  <si>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</si>
  <si>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</si>
  <si>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</si>
  <si>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</si>
  <si>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</si>
  <si>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</si>
  <si>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</si>
  <si>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</si>
  <si>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</si>
  <si>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</si>
  <si>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</si>
  <si>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</si>
  <si>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</si>
  <si>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</si>
  <si>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</si>
  <si>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</si>
  <si>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</si>
  <si>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</si>
  <si>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</si>
  <si>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</si>
  <si>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</si>
  <si>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</si>
  <si>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</si>
  <si>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</si>
  <si>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</si>
  <si>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</si>
  <si>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</si>
  <si>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</si>
  <si>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</si>
  <si>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</si>
  <si>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</si>
  <si>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</si>
  <si>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</si>
  <si>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</si>
  <si>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</si>
  <si>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</si>
  <si>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</si>
  <si>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</si>
  <si>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</si>
  <si>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</si>
  <si>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</si>
  <si>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</si>
  <si>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</si>
  <si>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</si>
  <si>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</si>
  <si>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</si>
  <si>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</si>
  <si>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</si>
  <si>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</si>
  <si>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</si>
  <si>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</si>
  <si>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</si>
  <si>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</si>
  <si>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</si>
  <si>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</si>
  <si>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</si>
  <si>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</si>
  <si>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</si>
  <si>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</si>
  <si>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</si>
  <si>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</si>
  <si>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</si>
  <si>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</si>
  <si>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</si>
  <si>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</si>
  <si>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</si>
  <si>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</si>
  <si>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</si>
  <si>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</si>
  <si>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</si>
  <si>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</si>
  <si>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</si>
  <si>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</si>
  <si>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</si>
  <si>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</si>
  <si>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</si>
  <si>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</si>
  <si>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</si>
  <si>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</si>
  <si>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</si>
  <si>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</si>
  <si>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</si>
  <si>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</si>
  <si>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</si>
  <si>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</si>
  <si>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</si>
  <si>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</si>
  <si>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</si>
  <si>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</si>
  <si>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</si>
  <si>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</si>
  <si>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</si>
  <si>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</si>
  <si>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</si>
  <si>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</si>
  <si>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</si>
  <si>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</si>
  <si>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</si>
  <si>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</si>
  <si>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</si>
  <si>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</si>
  <si>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</si>
  <si>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</si>
  <si>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</si>
  <si>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</si>
  <si>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</si>
  <si>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</si>
  <si>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</si>
  <si>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</si>
  <si>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</si>
  <si>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</si>
  <si>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</si>
  <si>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</si>
  <si>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</si>
  <si>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</si>
  <si>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</si>
  <si>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</si>
  <si>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</si>
  <si>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</si>
  <si>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</si>
  <si>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</si>
  <si>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</si>
  <si>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</si>
  <si>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</si>
  <si>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</si>
  <si>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</si>
  <si>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</si>
  <si>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</si>
  <si>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</si>
  <si>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</si>
  <si>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</si>
  <si>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</si>
  <si>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</si>
  <si>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</si>
  <si>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</si>
  <si>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</si>
  <si>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</si>
  <si>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</si>
  <si>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</si>
  <si>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</si>
  <si>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</si>
  <si>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</si>
  <si>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</si>
  <si>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</si>
  <si>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</si>
  <si>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</si>
  <si>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</si>
  <si>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</si>
  <si>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</si>
  <si>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</si>
  <si>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</si>
  <si>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</si>
  <si>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</si>
  <si>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</si>
  <si>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</si>
  <si>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</si>
  <si>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</si>
  <si>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</si>
  <si>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</si>
  <si>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</si>
  <si>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</si>
  <si>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</si>
  <si>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</si>
  <si>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</si>
  <si>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</si>
  <si>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</si>
  <si>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</si>
  <si>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</si>
  <si>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</si>
  <si>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</si>
  <si>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</si>
  <si>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</si>
  <si>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</si>
  <si>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</si>
  <si>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</si>
  <si>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</si>
  <si>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</si>
  <si>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</si>
  <si>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</si>
  <si>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</si>
  <si>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</si>
  <si>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</si>
  <si>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</si>
  <si>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</si>
  <si>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</si>
  <si>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</si>
  <si>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</si>
  <si>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</si>
  <si>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</si>
  <si>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</si>
  <si>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</si>
  <si>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</si>
  <si>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</si>
  <si>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</si>
  <si>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</si>
  <si>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</si>
  <si>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</si>
  <si>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</si>
  <si>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</si>
  <si>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</si>
  <si>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</si>
  <si>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</si>
  <si>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</si>
  <si>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</si>
  <si>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</si>
  <si>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</si>
  <si>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</si>
  <si>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</si>
  <si>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</si>
  <si>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</si>
  <si>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</si>
  <si>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</si>
  <si>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</si>
  <si>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</si>
  <si>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</si>
  <si>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</si>
  <si>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</si>
  <si>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</si>
  <si>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</si>
  <si>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</si>
  <si>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</si>
  <si>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</si>
  <si>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</si>
  <si>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</si>
  <si>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</si>
  <si>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</si>
  <si>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</si>
  <si>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</si>
  <si>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</si>
  <si>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</si>
  <si>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</si>
  <si>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</si>
  <si>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</si>
  <si>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</si>
  <si>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</si>
  <si>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</si>
  <si>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</si>
  <si>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</si>
  <si>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</si>
  <si>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</si>
  <si>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</si>
  <si>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</si>
  <si>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</si>
  <si>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</si>
  <si>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</si>
  <si>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</si>
  <si>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</si>
  <si>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</si>
  <si>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</si>
  <si>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</si>
  <si>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</si>
  <si>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</si>
  <si>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</si>
  <si>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</si>
  <si>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</si>
  <si>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</si>
  <si>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</si>
  <si>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</si>
  <si>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</si>
  <si>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</si>
  <si>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</si>
  <si>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</si>
  <si>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</si>
  <si>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</si>
  <si>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</si>
  <si>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</si>
  <si>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</si>
  <si>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</si>
  <si>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</si>
  <si>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</si>
  <si>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</si>
  <si>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</si>
  <si>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</si>
  <si>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</si>
  <si>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</si>
  <si>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</si>
  <si>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</si>
  <si>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</si>
  <si>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</si>
  <si>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</si>
  <si>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</si>
  <si>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</si>
  <si>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</si>
  <si>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</si>
  <si>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</si>
  <si>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</si>
  <si>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</si>
  <si>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</si>
  <si>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</si>
  <si>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</si>
  <si>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</si>
  <si>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</si>
  <si>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</si>
  <si>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</si>
  <si>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</si>
  <si>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</si>
  <si>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</si>
  <si>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</si>
  <si>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</si>
  <si>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</si>
  <si>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</si>
  <si>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</si>
  <si>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</si>
  <si>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</si>
  <si>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</si>
  <si>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</si>
  <si>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</si>
  <si>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</si>
  <si>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</si>
  <si>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</si>
  <si>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</si>
  <si>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</si>
  <si>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</si>
  <si>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</si>
  <si>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</si>
  <si>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</si>
  <si>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</si>
  <si>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</si>
  <si>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</si>
  <si>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</si>
  <si>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</si>
  <si>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</si>
  <si>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</si>
  <si>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</si>
  <si>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</si>
  <si>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</si>
  <si>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</si>
  <si>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</si>
  <si>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</si>
  <si>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</si>
  <si>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</si>
  <si>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</si>
  <si>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</si>
  <si>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</si>
  <si>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</si>
  <si>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</si>
  <si>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</si>
  <si>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</si>
  <si>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</si>
  <si>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</si>
  <si>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</si>
  <si>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</si>
  <si>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</si>
  <si>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</si>
  <si>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</si>
  <si>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</si>
  <si>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</si>
  <si>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</si>
  <si>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</si>
  <si>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</si>
  <si>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</si>
  <si>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</si>
  <si>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</si>
  <si>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</si>
  <si>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</si>
  <si>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</si>
  <si>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</si>
  <si>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</si>
  <si>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</si>
  <si>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</si>
  <si>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</si>
  <si>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</si>
  <si>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</si>
  <si>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</si>
  <si>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</si>
  <si>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</si>
  <si>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</si>
  <si>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</si>
  <si>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</si>
  <si>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</si>
  <si>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</si>
  <si>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</si>
  <si>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</si>
  <si>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</si>
  <si>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</si>
  <si>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</si>
  <si>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</si>
  <si>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</si>
  <si>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</si>
  <si>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</si>
  <si>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</si>
  <si>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</si>
  <si>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</si>
  <si>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</si>
  <si>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</si>
  <si>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</si>
  <si>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</si>
  <si>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</si>
  <si>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</si>
  <si>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</si>
  <si>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</si>
  <si>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</si>
  <si>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</si>
  <si>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</si>
  <si>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</si>
  <si>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</si>
  <si>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</si>
  <si>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</si>
  <si>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</si>
  <si>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</si>
  <si>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</si>
  <si>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</si>
  <si>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</si>
  <si>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</si>
  <si>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</si>
  <si>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</si>
  <si>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</si>
  <si>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</si>
  <si>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</si>
  <si>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</si>
  <si>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</si>
  <si>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</si>
  <si>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</si>
  <si>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</si>
  <si>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</si>
  <si>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</si>
  <si>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</si>
  <si>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</si>
  <si>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</si>
  <si>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</si>
  <si>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</si>
  <si>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</si>
  <si>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</si>
  <si>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</si>
  <si>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</si>
  <si>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</si>
  <si>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</si>
  <si>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</si>
  <si>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</si>
  <si>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</si>
  <si>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</si>
  <si>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</si>
  <si>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</si>
  <si>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</si>
  <si>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</si>
  <si>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</si>
  <si>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</si>
  <si>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</si>
  <si>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</si>
  <si>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</si>
  <si>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</si>
  <si>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</si>
  <si>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</si>
  <si>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</si>
  <si>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</si>
  <si>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</si>
  <si>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</si>
  <si>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</si>
  <si>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</si>
  <si>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</si>
  <si>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</si>
  <si>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</si>
  <si>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</si>
  <si>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</si>
  <si>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</si>
  <si>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</si>
  <si>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</si>
  <si>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</si>
  <si>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</si>
  <si>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</si>
  <si>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</si>
  <si>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</si>
  <si>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</si>
  <si>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</si>
  <si>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</si>
  <si>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</si>
  <si>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</si>
  <si>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</si>
  <si>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</si>
  <si>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</si>
  <si>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</si>
  <si>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</si>
  <si>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</si>
  <si>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</si>
  <si>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</si>
  <si>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</si>
  <si>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</si>
  <si>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</si>
  <si>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</si>
  <si>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</si>
  <si>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</si>
  <si>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</si>
  <si>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</si>
  <si>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</si>
  <si>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</si>
  <si>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</si>
  <si>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</si>
  <si>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</si>
  <si>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</si>
  <si>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</si>
  <si>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</si>
  <si>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</si>
  <si>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</si>
  <si>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</si>
  <si>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</si>
  <si>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</si>
  <si>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</si>
  <si>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</si>
  <si>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</si>
  <si>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</si>
  <si>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</si>
  <si>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</si>
  <si>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</si>
  <si>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</si>
  <si>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</si>
  <si>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</si>
  <si>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</si>
  <si>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</si>
  <si>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</si>
  <si>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</si>
  <si>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</si>
  <si>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</si>
  <si>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</si>
  <si>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</si>
  <si>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</si>
  <si>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</si>
  <si>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</si>
  <si>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</si>
  <si>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</si>
  <si>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</si>
  <si>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</si>
  <si>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</si>
  <si>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</si>
  <si>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</si>
  <si>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</si>
  <si>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</si>
  <si>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</si>
  <si>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</si>
  <si>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</si>
  <si>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</si>
  <si>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</si>
  <si>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</si>
  <si>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</si>
  <si>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</si>
  <si>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</si>
  <si>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</si>
  <si>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</si>
  <si>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</si>
  <si>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</si>
  <si>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</si>
  <si>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</si>
  <si>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</si>
  <si>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</si>
  <si>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</si>
  <si>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</si>
  <si>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</si>
  <si>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</si>
  <si>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</si>
  <si>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</si>
  <si>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</si>
  <si>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</si>
  <si>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</si>
  <si>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</si>
  <si>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</si>
  <si>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</si>
  <si>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</si>
  <si>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</si>
  <si>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</si>
  <si>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</si>
  <si>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</si>
  <si>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</si>
  <si>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</si>
  <si>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</si>
  <si>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</si>
  <si>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</si>
  <si>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</si>
  <si>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</si>
  <si>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</si>
  <si>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</si>
  <si>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</si>
  <si>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</si>
  <si>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</si>
  <si>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</si>
  <si>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</si>
  <si>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</si>
  <si>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</si>
  <si>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</si>
  <si>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</si>
  <si>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</si>
  <si>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</si>
  <si>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</si>
  <si>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</si>
  <si>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</si>
  <si>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</si>
  <si>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</si>
  <si>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</si>
  <si>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</si>
  <si>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</si>
  <si>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</si>
  <si>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</si>
  <si>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</si>
  <si>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</si>
  <si>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</si>
  <si>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</si>
  <si>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</si>
  <si>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</si>
  <si>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</si>
  <si>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</si>
  <si>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</si>
  <si>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</si>
  <si>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</si>
  <si>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</si>
  <si>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</si>
  <si>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</si>
  <si>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</si>
  <si>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</si>
  <si>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</si>
  <si>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</si>
  <si>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</si>
  <si>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</si>
  <si>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</si>
  <si>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</si>
  <si>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</si>
  <si>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</si>
  <si>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</si>
  <si>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</si>
  <si>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</si>
  <si>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</si>
  <si>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</si>
  <si>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</si>
  <si>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</si>
  <si>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</si>
  <si>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</si>
  <si>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</si>
  <si>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</si>
  <si>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</si>
  <si>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</si>
  <si>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</si>
  <si>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</si>
  <si>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</si>
  <si>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</si>
  <si>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</si>
  <si>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</si>
  <si>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</si>
  <si>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</si>
  <si>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</si>
  <si>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</si>
  <si>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</si>
  <si>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</si>
  <si>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</si>
  <si>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</si>
  <si>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</si>
  <si>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</si>
  <si>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</si>
  <si>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</si>
  <si>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</si>
  <si>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</si>
  <si>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</si>
  <si>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</si>
  <si>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</si>
  <si>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</si>
  <si>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</si>
  <si>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</si>
  <si>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</si>
  <si>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</si>
  <si>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</si>
  <si>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</si>
  <si>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</si>
  <si>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</si>
  <si>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</si>
  <si>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</si>
  <si>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</si>
  <si>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</si>
  <si>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</si>
  <si>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</si>
  <si>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</si>
  <si>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</si>
  <si>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</si>
  <si>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</si>
  <si>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</si>
  <si>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</si>
  <si>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</si>
  <si>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</si>
  <si>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</si>
  <si>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</si>
  <si>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</si>
  <si>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</si>
  <si>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</si>
  <si>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</si>
  <si>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</si>
  <si>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</si>
  <si>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</si>
  <si>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</si>
  <si>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</si>
  <si>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</si>
  <si>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</si>
  <si>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</si>
  <si>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</si>
  <si>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</si>
  <si>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</si>
  <si>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</si>
  <si>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</si>
  <si>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</si>
  <si>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</si>
  <si>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</si>
  <si>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</si>
  <si>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</si>
  <si>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</si>
  <si>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</si>
  <si>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</si>
  <si>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</si>
  <si>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</si>
  <si>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</si>
  <si>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</si>
  <si>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</si>
  <si>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</si>
  <si>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</si>
  <si>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</si>
  <si>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</si>
  <si>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</si>
  <si>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</si>
  <si>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</si>
  <si>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</si>
  <si>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</si>
  <si>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</si>
  <si>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</si>
  <si>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</si>
  <si>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</si>
  <si>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</si>
  <si>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</si>
  <si>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</si>
  <si>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</si>
  <si>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</si>
  <si>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</si>
  <si>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</si>
  <si>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</si>
  <si>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</si>
  <si>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</si>
  <si>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</si>
  <si>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</si>
  <si>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</si>
  <si>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</si>
  <si>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</si>
  <si>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</si>
  <si>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</si>
  <si>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</si>
  <si>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</si>
  <si>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</si>
  <si>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</si>
  <si>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</si>
  <si>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</si>
  <si>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</si>
  <si>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</si>
  <si>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</si>
  <si>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</si>
  <si>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</si>
  <si>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</si>
  <si>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</si>
  <si>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</si>
  <si>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</si>
  <si>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</si>
  <si>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</si>
  <si>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</si>
  <si>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</si>
  <si>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</si>
  <si>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</si>
  <si>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</si>
  <si>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</si>
  <si>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</si>
  <si>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</si>
  <si>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</si>
  <si>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</si>
  <si>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</si>
  <si>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</si>
  <si>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</si>
  <si>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</si>
  <si>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</si>
  <si>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</si>
  <si>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</si>
  <si>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</si>
  <si>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</si>
  <si>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</si>
  <si>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</si>
  <si>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</si>
  <si>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</si>
  <si>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</si>
  <si>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</si>
  <si>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</si>
  <si>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</si>
  <si>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</si>
  <si>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</si>
  <si>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</si>
  <si>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</si>
  <si>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</si>
  <si>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</si>
  <si>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</si>
  <si>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</si>
  <si>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</si>
  <si>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</si>
  <si>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</si>
  <si>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</si>
  <si>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</si>
  <si>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</si>
  <si>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</si>
  <si>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</si>
  <si>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</si>
  <si>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</si>
  <si>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</si>
  <si>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</si>
  <si>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</si>
  <si>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</si>
  <si>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</si>
  <si>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</si>
  <si>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</si>
  <si>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</si>
  <si>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</si>
  <si>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</si>
  <si>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</si>
  <si>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</si>
  <si>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</si>
  <si>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</si>
  <si>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</si>
  <si>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</si>
  <si>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</si>
  <si>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</si>
  <si>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</si>
  <si>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</si>
  <si>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</si>
  <si>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</si>
  <si>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</si>
  <si>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</si>
  <si>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</si>
  <si>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</si>
  <si>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</si>
  <si>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</si>
  <si>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</si>
  <si>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</si>
  <si>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</si>
  <si>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</si>
  <si>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</si>
  <si>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</si>
  <si>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</si>
  <si>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</si>
  <si>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</si>
  <si>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</si>
  <si>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</si>
  <si>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</si>
  <si>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</si>
  <si>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</si>
  <si>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</si>
  <si>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</si>
  <si>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</si>
  <si>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</si>
  <si>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</si>
  <si>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</si>
  <si>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</si>
  <si>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</si>
  <si>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</si>
  <si>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</si>
  <si>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</si>
  <si>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</si>
  <si>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</si>
  <si>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</si>
  <si>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</si>
  <si>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</si>
  <si>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</si>
  <si>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</si>
  <si>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</si>
  <si>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</si>
  <si>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</si>
  <si>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</si>
  <si>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</si>
  <si>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</si>
  <si>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</si>
  <si>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</si>
  <si>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</si>
  <si>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</si>
  <si>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</si>
  <si>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</si>
  <si>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</si>
  <si>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</si>
  <si>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</si>
  <si>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</si>
  <si>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</si>
  <si>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</si>
  <si>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</si>
  <si>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</si>
  <si>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</si>
  <si>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</si>
  <si>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</si>
  <si>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</si>
  <si>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</si>
  <si>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</si>
  <si>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</si>
  <si>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</si>
  <si>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</si>
  <si>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</si>
  <si>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</si>
  <si>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</si>
  <si>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</si>
  <si>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</si>
  <si>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</si>
  <si>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</si>
  <si>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</si>
  <si>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</si>
  <si>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</si>
  <si>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</si>
  <si>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</si>
  <si>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</si>
  <si>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</si>
  <si>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</si>
  <si>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</si>
  <si>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</si>
  <si>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</si>
  <si>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</si>
  <si>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</si>
  <si>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</si>
  <si>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</si>
  <si>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</si>
  <si>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</si>
  <si>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</si>
  <si>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</si>
  <si>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</si>
  <si>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</si>
  <si>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</si>
  <si>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</si>
  <si>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</si>
  <si>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</si>
  <si>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</si>
  <si>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</si>
  <si>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</si>
  <si>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</si>
  <si>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</si>
  <si>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</si>
  <si>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</si>
  <si>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</si>
  <si>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</si>
  <si>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</si>
  <si>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</si>
  <si>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</si>
  <si>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</si>
  <si>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</si>
  <si>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</si>
  <si>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</si>
  <si>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</si>
  <si>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</si>
  <si>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</si>
  <si>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</si>
  <si>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</si>
  <si>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</si>
  <si>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</si>
  <si>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</si>
  <si>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</si>
  <si>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</si>
  <si>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</si>
  <si>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</si>
  <si>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</si>
  <si>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</si>
  <si>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</si>
  <si>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</si>
  <si>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</si>
  <si>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</si>
  <si>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</si>
  <si>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</si>
  <si>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</si>
  <si>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</si>
  <si>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</si>
  <si>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</si>
  <si>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</si>
  <si>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</si>
  <si>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</si>
  <si>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</si>
  <si>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</si>
  <si>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</si>
  <si>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</si>
  <si>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</si>
  <si>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</si>
  <si>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</si>
  <si>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</si>
  <si>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</si>
  <si>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</si>
  <si>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</si>
  <si>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</si>
  <si>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</si>
  <si>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</si>
  <si>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</si>
  <si>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</si>
  <si>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</si>
  <si>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</si>
  <si>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</si>
  <si>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</si>
  <si>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</si>
  <si>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</si>
  <si>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</si>
  <si>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</si>
  <si>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</si>
  <si>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</si>
  <si>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</si>
  <si>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</si>
  <si>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</si>
  <si>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</si>
  <si>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</si>
  <si>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</si>
  <si>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</si>
  <si>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</si>
  <si>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</si>
  <si>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</si>
  <si>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</si>
  <si>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</si>
  <si>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</si>
  <si>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</si>
  <si>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</si>
  <si>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</si>
  <si>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</si>
  <si>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</si>
  <si>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</si>
  <si>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</si>
  <si>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</si>
  <si>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</si>
  <si>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</si>
  <si>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</si>
  <si>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</si>
  <si>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</si>
  <si>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</si>
  <si>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</si>
  <si>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</si>
  <si>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</si>
  <si>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</si>
  <si>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</si>
  <si>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</si>
  <si>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</si>
  <si>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</si>
  <si>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</si>
  <si>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</si>
  <si>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</si>
  <si>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</si>
  <si>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</si>
  <si>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</si>
  <si>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</si>
  <si>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</si>
  <si>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</si>
  <si>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</si>
  <si>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</si>
  <si>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</si>
  <si>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</si>
  <si>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</si>
  <si>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</si>
  <si>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</si>
  <si>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</si>
  <si>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</si>
  <si>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</si>
  <si>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</si>
  <si>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</si>
  <si>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</si>
  <si>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</si>
  <si>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</si>
  <si>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</si>
  <si>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</si>
  <si>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</si>
  <si>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</si>
  <si>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</si>
  <si>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</si>
  <si>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</si>
  <si>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</si>
  <si>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</si>
  <si>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</si>
  <si>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</si>
  <si>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</si>
  <si>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</si>
  <si>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</si>
  <si>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</si>
  <si>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</si>
  <si>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</si>
  <si>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</si>
  <si>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</si>
  <si>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</si>
  <si>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</si>
  <si>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</si>
  <si>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</si>
  <si>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</si>
  <si>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</si>
  <si>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</si>
  <si>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</si>
  <si>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</si>
  <si>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</si>
  <si>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</si>
  <si>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</si>
  <si>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</si>
  <si>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</si>
  <si>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</si>
  <si>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</si>
  <si>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</si>
  <si>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</si>
  <si>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</si>
  <si>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</si>
  <si>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</si>
  <si>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</si>
  <si>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</si>
  <si>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</si>
  <si>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</si>
  <si>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</si>
  <si>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</si>
  <si>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</si>
  <si>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</si>
  <si>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</si>
  <si>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</si>
  <si>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</si>
  <si>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</si>
  <si>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</si>
  <si>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</si>
  <si>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</si>
  <si>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</si>
  <si>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</si>
  <si>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</si>
  <si>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</si>
  <si>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</si>
  <si>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</si>
  <si>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</si>
  <si>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</si>
  <si>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</si>
  <si>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</si>
  <si>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</si>
  <si>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</si>
  <si>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</si>
  <si>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</si>
  <si>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</si>
  <si>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</si>
  <si>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</si>
  <si>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</si>
  <si>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</si>
  <si>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</si>
  <si>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</si>
  <si>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</si>
  <si>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</si>
  <si>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</si>
  <si>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</si>
  <si>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</si>
  <si>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</si>
  <si>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</si>
  <si>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</si>
  <si>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</si>
  <si>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</si>
  <si>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</si>
  <si>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</si>
  <si>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</si>
  <si>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</si>
  <si>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</si>
  <si>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</si>
  <si>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</si>
  <si>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</si>
  <si>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</si>
  <si>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</si>
  <si>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</si>
  <si>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</si>
  <si>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</si>
  <si>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</si>
  <si>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</si>
  <si>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</si>
  <si>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</si>
  <si>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</si>
  <si>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</si>
  <si>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</si>
  <si>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</si>
  <si>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</si>
  <si>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</si>
  <si>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</si>
  <si>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</si>
  <si>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</si>
  <si>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</si>
  <si>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</si>
  <si>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</si>
  <si>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</si>
  <si>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</si>
  <si>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</si>
  <si>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</si>
  <si>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</si>
  <si>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</si>
  <si>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</si>
  <si>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</si>
  <si>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</si>
  <si>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</si>
  <si>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</si>
  <si>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</si>
  <si>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</si>
  <si>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</si>
  <si>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</si>
  <si>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</si>
  <si>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</si>
  <si>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</si>
  <si>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</si>
  <si>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</si>
  <si>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</si>
  <si>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</si>
  <si>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</si>
  <si>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</si>
  <si>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</si>
  <si>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</si>
  <si>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</si>
  <si>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</si>
  <si>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</si>
  <si>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</si>
  <si>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</si>
  <si>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</si>
  <si>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</si>
  <si>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</si>
  <si>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</si>
  <si>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</si>
  <si>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</si>
  <si>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</si>
  <si>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</si>
  <si>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</si>
  <si>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</si>
  <si>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</si>
  <si>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</si>
  <si>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</si>
  <si>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</si>
  <si>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</si>
  <si>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</si>
  <si>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</si>
  <si>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</si>
  <si>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</si>
  <si>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</si>
  <si>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</si>
  <si>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</si>
  <si>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</si>
  <si>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</si>
  <si>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</si>
  <si>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</si>
  <si>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</si>
  <si>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</si>
  <si>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</si>
  <si>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</si>
  <si>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</si>
  <si>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</si>
  <si>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</si>
  <si>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</si>
  <si>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</si>
  <si>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</si>
  <si>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</si>
  <si>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</si>
  <si>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</si>
  <si>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</si>
  <si>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</si>
  <si>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</si>
  <si>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</si>
  <si>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</si>
  <si>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</si>
  <si>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</si>
  <si>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</si>
  <si>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</si>
  <si>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</si>
  <si>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</si>
  <si>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</si>
  <si>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</si>
  <si>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</si>
  <si>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</si>
  <si>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</si>
  <si>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</si>
  <si>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</si>
  <si>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</si>
  <si>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</si>
  <si>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</si>
  <si>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</si>
  <si>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</si>
  <si>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</si>
  <si>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</si>
  <si>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</si>
  <si>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</si>
  <si>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</si>
  <si>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</si>
  <si>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</si>
  <si>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</si>
  <si>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</si>
  <si>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</si>
  <si>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</si>
  <si>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</si>
  <si>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</si>
  <si>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</si>
  <si>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</si>
  <si>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</si>
  <si>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</si>
  <si>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</si>
  <si>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</si>
  <si>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</si>
  <si>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</si>
  <si>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</si>
  <si>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</si>
  <si>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</si>
  <si>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</si>
  <si>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</si>
  <si>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</si>
  <si>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</si>
  <si>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</si>
  <si>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</si>
  <si>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</si>
  <si>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</si>
  <si>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</si>
  <si>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</si>
  <si>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</si>
  <si>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</si>
  <si>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</si>
  <si>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</si>
  <si>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</si>
  <si>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</si>
  <si>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</si>
  <si>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</si>
  <si>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</si>
  <si>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</si>
  <si>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</si>
  <si>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</si>
  <si>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</si>
  <si>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</si>
  <si>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</si>
  <si>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</si>
  <si>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</si>
  <si>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</si>
  <si>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</si>
  <si>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</si>
  <si>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</si>
  <si>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</si>
  <si>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</si>
  <si>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</si>
  <si>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</si>
  <si>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</si>
  <si>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</si>
  <si>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</si>
  <si>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</si>
  <si>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</si>
  <si>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</si>
  <si>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</si>
  <si>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</si>
  <si>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</si>
  <si>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</si>
  <si>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</si>
  <si>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</si>
  <si>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</si>
  <si>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</si>
  <si>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</si>
  <si>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</si>
  <si>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</si>
  <si>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</si>
  <si>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</si>
  <si>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</si>
  <si>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</si>
  <si>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</si>
  <si>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</si>
  <si>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</si>
  <si>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</si>
  <si>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</si>
  <si>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</si>
  <si>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</si>
  <si>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</si>
  <si>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</si>
  <si>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</si>
  <si>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</si>
  <si>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</si>
  <si>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</si>
  <si>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</si>
  <si>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</si>
  <si>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</si>
  <si>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</si>
  <si>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</si>
  <si>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</si>
  <si>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</si>
  <si>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</si>
  <si>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</si>
  <si>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</si>
  <si>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</si>
  <si>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</si>
  <si>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</si>
  <si>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</si>
  <si>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</si>
  <si>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</si>
  <si>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</si>
  <si>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</si>
  <si>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</si>
  <si>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</si>
  <si>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</si>
  <si>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</si>
  <si>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</si>
  <si>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</si>
  <si>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</si>
  <si>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</si>
  <si>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</si>
  <si>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</si>
  <si>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</si>
  <si>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</si>
  <si>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</si>
  <si>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</si>
  <si>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</si>
  <si>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</si>
  <si>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</si>
  <si>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</si>
  <si>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</si>
  <si>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</si>
  <si>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</si>
  <si>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</si>
  <si>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</si>
  <si>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</si>
  <si>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</si>
  <si>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</si>
  <si>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</si>
  <si>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</si>
  <si>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</si>
  <si>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</si>
  <si>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</si>
  <si>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</si>
  <si>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</si>
  <si>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</si>
  <si>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</si>
  <si>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</si>
  <si>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</si>
  <si>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</si>
  <si>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</si>
  <si>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</si>
  <si>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</si>
  <si>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</si>
  <si>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</si>
  <si>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</si>
  <si>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</si>
  <si>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</si>
  <si>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</si>
  <si>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</si>
  <si>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</si>
  <si>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</si>
  <si>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</si>
  <si>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</si>
  <si>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</si>
  <si>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</si>
  <si>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</si>
  <si>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</si>
  <si>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</si>
  <si>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</si>
  <si>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</si>
  <si>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</si>
  <si>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</si>
  <si>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</si>
  <si>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</si>
  <si>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</si>
  <si>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</si>
  <si>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</si>
  <si>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</si>
  <si>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</si>
  <si>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</si>
  <si>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</si>
  <si>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</si>
  <si>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</si>
  <si>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</si>
  <si>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</si>
  <si>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</si>
  <si>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</si>
  <si>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</si>
  <si>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</si>
  <si>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</si>
  <si>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</si>
  <si>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</si>
  <si>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</si>
  <si>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</si>
  <si>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</si>
  <si>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</si>
  <si>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</si>
  <si>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</si>
  <si>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</si>
  <si>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</si>
  <si>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</si>
  <si>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</si>
  <si>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</si>
  <si>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</si>
  <si>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</si>
  <si>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</si>
  <si>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</si>
  <si>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</si>
  <si>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</si>
  <si>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</si>
  <si>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</si>
  <si>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</si>
  <si>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</si>
  <si>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</si>
  <si>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</si>
  <si>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</si>
  <si>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</si>
  <si>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</si>
  <si>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</si>
  <si>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</si>
  <si>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</si>
  <si>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</si>
  <si>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</si>
  <si>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</si>
  <si>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</si>
  <si>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</si>
  <si>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</si>
  <si>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</si>
  <si>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</si>
  <si>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</si>
  <si>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</si>
  <si>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</si>
  <si>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</si>
  <si>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</si>
  <si>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</si>
  <si>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</si>
  <si>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</si>
  <si>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</si>
  <si>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</si>
  <si>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</si>
  <si>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</si>
  <si>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</si>
  <si>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</si>
  <si>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</si>
  <si>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</si>
  <si>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</si>
  <si>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</si>
  <si>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</si>
  <si>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</si>
  <si>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</si>
  <si>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</si>
  <si>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</si>
  <si>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</si>
  <si>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</si>
  <si>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</si>
  <si>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</si>
  <si>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</si>
  <si>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</si>
  <si>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</si>
  <si>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</si>
  <si>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</si>
  <si>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</si>
  <si>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</si>
  <si>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</si>
  <si>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</si>
  <si>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</si>
  <si>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</si>
  <si>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</si>
  <si>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</si>
  <si>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</si>
  <si>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</si>
  <si>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</si>
  <si>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</si>
  <si>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</si>
  <si>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</si>
  <si>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</si>
  <si>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</si>
  <si>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</si>
  <si>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</si>
  <si>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</si>
  <si>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</si>
  <si>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</si>
  <si>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</si>
  <si>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</si>
  <si>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</si>
  <si>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</si>
  <si>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</si>
  <si>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</si>
  <si>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</si>
  <si>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</si>
  <si>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</si>
  <si>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</si>
  <si>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</si>
  <si>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</si>
  <si>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</si>
  <si>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</si>
  <si>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</si>
  <si>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</si>
  <si>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</si>
  <si>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</si>
  <si>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</si>
  <si>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</si>
  <si>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</si>
  <si>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</si>
  <si>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</si>
  <si>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</si>
  <si>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</si>
  <si>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</si>
  <si>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</si>
  <si>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</si>
  <si>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</si>
  <si>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</si>
  <si>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</si>
  <si>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</si>
  <si>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</si>
  <si>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</si>
  <si>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</si>
  <si>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</si>
  <si>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</si>
  <si>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</si>
  <si>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</si>
  <si>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</si>
  <si>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</si>
  <si>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</si>
  <si>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</si>
  <si>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</si>
  <si>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</si>
  <si>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</si>
  <si>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</si>
  <si>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</si>
  <si>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</si>
  <si>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</si>
  <si>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</si>
  <si>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</si>
  <si>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</si>
  <si>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</si>
  <si>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</si>
  <si>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</si>
  <si>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</si>
  <si>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</si>
  <si>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</si>
  <si>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</si>
  <si>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</si>
  <si>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</si>
  <si>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</si>
  <si>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</si>
  <si>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</si>
  <si>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</si>
  <si>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</si>
  <si>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</si>
  <si>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</si>
  <si>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</si>
  <si>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</si>
  <si>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</si>
  <si>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</si>
  <si>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</si>
  <si>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</si>
  <si>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</si>
  <si>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</si>
  <si>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</si>
  <si>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</si>
  <si>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</si>
  <si>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</si>
  <si>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</si>
  <si>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</si>
  <si>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</si>
  <si>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</si>
  <si>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</si>
  <si>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</si>
  <si>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</si>
  <si>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</si>
  <si>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</si>
  <si>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</si>
  <si>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</si>
  <si>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</si>
  <si>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</si>
  <si>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</si>
  <si>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</si>
  <si>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</si>
  <si>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</si>
  <si>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</si>
  <si>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</si>
  <si>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</si>
  <si>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</si>
  <si>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</si>
  <si>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</si>
  <si>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</si>
  <si>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</si>
  <si>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</si>
  <si>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</si>
  <si>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</si>
  <si>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</si>
  <si>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</si>
  <si>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</si>
  <si>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</si>
  <si>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</si>
  <si>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</si>
  <si>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</si>
  <si>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</si>
  <si>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</si>
  <si>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</si>
  <si>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</si>
  <si>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</si>
  <si>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</si>
  <si>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</si>
  <si>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</si>
  <si>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</si>
  <si>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</si>
  <si>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</si>
  <si>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</si>
  <si>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</si>
  <si>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</si>
  <si>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</si>
  <si>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</si>
  <si>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</si>
  <si>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</si>
  <si>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</si>
  <si>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</si>
  <si>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</si>
  <si>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</si>
  <si>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</si>
  <si>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</si>
  <si>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</si>
  <si>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</si>
  <si>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</si>
  <si>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</si>
  <si>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</si>
  <si>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</si>
  <si>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</si>
  <si>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</si>
  <si>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</si>
  <si>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</si>
  <si>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</si>
  <si>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</si>
  <si>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</si>
  <si>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</si>
  <si>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</si>
  <si>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</si>
  <si>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</si>
  <si>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</si>
  <si>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</si>
  <si>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</si>
  <si>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</si>
  <si>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</si>
  <si>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</si>
  <si>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</si>
  <si>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</si>
  <si>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</si>
  <si>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</si>
  <si>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</si>
  <si>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</si>
  <si>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</si>
  <si>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</si>
  <si>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</si>
  <si>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</si>
  <si>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</si>
  <si>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</si>
  <si>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</si>
  <si>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</si>
  <si>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</si>
  <si>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</si>
  <si>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</si>
  <si>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</si>
  <si>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</si>
  <si>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</si>
  <si>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</si>
  <si>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</si>
  <si>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</si>
  <si>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</si>
  <si>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</si>
  <si>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</si>
  <si>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</si>
  <si>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</si>
  <si>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</si>
  <si>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</si>
  <si>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</si>
  <si>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</si>
  <si>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</si>
  <si>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</si>
  <si>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</si>
  <si>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</si>
  <si>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</si>
  <si>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</si>
  <si>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</si>
  <si>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</si>
  <si>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</si>
  <si>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</si>
  <si>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</si>
  <si>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</si>
  <si>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</si>
  <si>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</si>
  <si>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</si>
  <si>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</si>
  <si>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</si>
  <si>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</si>
  <si>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</si>
  <si>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</si>
  <si>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</si>
  <si>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</si>
  <si>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</si>
  <si>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</si>
  <si>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</si>
  <si>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</si>
  <si>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</si>
  <si>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</si>
  <si>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</si>
  <si>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</si>
  <si>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</si>
  <si>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</si>
  <si>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</si>
  <si>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</si>
  <si>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</si>
  <si>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</si>
  <si>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</si>
  <si>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</si>
  <si>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</si>
  <si>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</si>
  <si>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</si>
  <si>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</si>
  <si>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</si>
  <si>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</si>
  <si>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</si>
  <si>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</si>
  <si>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</si>
  <si>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</si>
  <si>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</si>
  <si>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</si>
  <si>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</si>
  <si>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</si>
  <si>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</si>
  <si>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</si>
  <si>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</si>
  <si>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</si>
  <si>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</si>
  <si>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</si>
  <si>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</si>
  <si>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</si>
  <si>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</si>
  <si>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</si>
  <si>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</si>
  <si>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</si>
  <si>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</si>
  <si>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</si>
  <si>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</si>
  <si>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</si>
  <si>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</si>
  <si>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</si>
  <si>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</si>
  <si>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</si>
  <si>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</si>
  <si>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</si>
  <si>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</si>
  <si>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</si>
  <si>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</si>
  <si>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</si>
  <si>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</si>
  <si>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</si>
  <si>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</si>
  <si>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</si>
  <si>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</si>
  <si>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</si>
  <si>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</si>
  <si>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</si>
  <si>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</si>
  <si>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</si>
  <si>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</si>
  <si>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</si>
  <si>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</si>
  <si>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</si>
  <si>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</si>
  <si>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</si>
  <si>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</si>
  <si>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</si>
  <si>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</si>
  <si>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</si>
  <si>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</si>
  <si>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</si>
  <si>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</si>
  <si>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</si>
  <si>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</si>
  <si>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</si>
  <si>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</si>
  <si>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</si>
  <si>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</si>
  <si>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</si>
  <si>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</si>
  <si>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</si>
  <si>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</si>
  <si>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</si>
  <si>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</si>
  <si>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</si>
  <si>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</si>
  <si>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</si>
  <si>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</si>
  <si>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</si>
  <si>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</si>
  <si>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</si>
  <si>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</si>
  <si>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</si>
  <si>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</si>
  <si>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</si>
  <si>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</si>
  <si>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</si>
  <si>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</si>
  <si>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</si>
  <si>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</si>
  <si>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</si>
  <si>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</si>
  <si>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</si>
  <si>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</si>
  <si>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</si>
  <si>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</si>
  <si>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</si>
  <si>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</si>
  <si>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</si>
  <si>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</si>
  <si>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</si>
  <si>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</si>
  <si>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</si>
  <si>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</si>
  <si>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</si>
  <si>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</si>
  <si>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</si>
  <si>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</si>
  <si>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</si>
  <si>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</si>
  <si>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</si>
  <si>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</si>
  <si>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</si>
  <si>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</si>
  <si>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</si>
  <si>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</si>
  <si>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</si>
  <si>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</si>
  <si>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</si>
  <si>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</si>
  <si>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</si>
  <si>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</si>
  <si>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</si>
  <si>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</si>
  <si>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</si>
  <si>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</si>
  <si>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</si>
  <si>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</si>
  <si>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</si>
  <si>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</si>
  <si>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</si>
  <si>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</si>
  <si>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</si>
  <si>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</si>
  <si>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</si>
  <si>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</si>
  <si>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</si>
  <si>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</si>
  <si>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</si>
  <si>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</si>
  <si>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</si>
  <si>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</si>
  <si>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</si>
  <si>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</si>
  <si>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</si>
  <si>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</si>
  <si>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</si>
  <si>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</si>
  <si>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</si>
  <si>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</si>
  <si>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</si>
  <si>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</si>
  <si>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</si>
  <si>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</si>
  <si>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</si>
  <si>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</si>
  <si>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</si>
  <si>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</si>
  <si>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</si>
  <si>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</si>
  <si>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</si>
  <si>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</si>
  <si>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</si>
  <si>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</si>
  <si>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</si>
  <si>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</si>
  <si>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</si>
  <si>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</si>
  <si>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</si>
  <si>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</si>
  <si>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</si>
  <si>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</si>
  <si>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</si>
  <si>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</si>
  <si>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</si>
  <si>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</si>
  <si>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</si>
  <si>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</si>
  <si>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</si>
  <si>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</si>
  <si>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</si>
  <si>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</si>
  <si>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</si>
  <si>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</si>
  <si>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</si>
  <si>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</si>
  <si>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</si>
  <si>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</si>
  <si>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</si>
  <si>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</si>
  <si>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</si>
  <si>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</si>
  <si>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</si>
  <si>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</si>
  <si>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</si>
  <si>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</si>
  <si>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</si>
  <si>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</si>
  <si>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</si>
  <si>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</si>
  <si>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</si>
  <si>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</si>
  <si>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</si>
  <si>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</si>
  <si>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</si>
  <si>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</si>
  <si>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</si>
  <si>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</si>
  <si>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</si>
  <si>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</si>
  <si>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</si>
  <si>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</si>
  <si>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</si>
  <si>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</si>
  <si>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</si>
  <si>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</si>
  <si>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</si>
  <si>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</si>
  <si>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</si>
  <si>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</si>
  <si>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</si>
  <si>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</si>
  <si>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</si>
  <si>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</si>
  <si>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Auchan Beaune St-Jacques, 9 Av. du Général de Gaulle</t>
  </si>
  <si>
    <t>3 Rue de la Fabrique</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</si>
  <si>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</si>
  <si>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</si>
  <si>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</si>
  <si>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</si>
  <si>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</si>
  <si>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</si>
  <si>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</si>
  <si>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</si>
  <si>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</si>
  <si>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</si>
  <si>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</si>
  <si>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</si>
  <si>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</si>
  <si>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</si>
  <si>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</si>
  <si>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</si>
  <si>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</si>
  <si>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</si>
  <si>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</si>
  <si>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</si>
  <si>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</si>
  <si>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</si>
  <si>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</si>
  <si>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</si>
  <si>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</si>
  <si>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</si>
  <si>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</si>
  <si>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</si>
  <si>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</si>
  <si>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Carrefour , Rond-Point Kennedy</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</si>
  <si>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</si>
  <si>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</si>
  <si>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</si>
  <si>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</si>
  <si>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</si>
  <si>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</si>
  <si>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</si>
  <si>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</si>
  <si>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</si>
  <si>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</si>
  <si>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</si>
  <si>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</si>
  <si>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</si>
  <si>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</si>
  <si>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</si>
  <si>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</si>
  <si>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</si>
  <si>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</si>
  <si>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</si>
  <si>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</si>
  <si>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</si>
  <si>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Oh Village !</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</si>
  <si>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</si>
  <si>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</si>
  <si>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</si>
  <si>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</si>
  <si>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</si>
  <si>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</si>
  <si>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</si>
  <si>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</si>
  <si>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</si>
  <si>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</si>
  <si>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</si>
  <si>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</si>
  <si>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</si>
  <si>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</si>
  <si>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</si>
  <si>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</si>
  <si>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</si>
  <si>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</si>
  <si>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</si>
  <si>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</si>
  <si>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</si>
  <si>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</si>
  <si>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</si>
  <si>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</si>
  <si>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</si>
  <si>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</si>
  <si>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</si>
  <si>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</si>
  <si>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</si>
  <si>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</si>
  <si>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</si>
  <si>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</si>
  <si>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Les Champs, 1 rue Sainte-Barbe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</si>
  <si>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</si>
  <si>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</si>
  <si>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</si>
  <si>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</si>
  <si>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</si>
  <si>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</si>
  <si>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</si>
  <si>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</si>
  <si>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</si>
  <si>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</si>
  <si>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</si>
  <si>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</si>
  <si>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</si>
  <si>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</si>
  <si>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</si>
  <si>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</si>
  <si>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</si>
  <si>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</si>
  <si>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</si>
  <si>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</si>
  <si>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</si>
  <si>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La Cour des Capucins, 13 rue du Cygne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</si>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</sst>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98" totalsRowShown="0" headerRowCellStyle="Normal 2" dataCellStyle="Normal 2">
  <autoFilter ref="A1:AX398"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76" Type="http://schemas.openxmlformats.org/officeDocument/2006/relationships/hyperlink" Target="https://maps.app.goo.gl/dA2FC6rpHx88Lwda7" TargetMode="External"/><Relationship Id="rId292" Type="http://schemas.openxmlformats.org/officeDocument/2006/relationships/hyperlink" Target="https://maps.app.goo.gl/6uuVcTTEQTNeu7zA6" TargetMode="External"/><Relationship Id="rId297" Type="http://schemas.openxmlformats.org/officeDocument/2006/relationships/hyperlink" Target="https://maps.app.goo.gl/6uuVcTTEQTNeu7zA6"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table" Target="../tables/table1.xm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08"/>
  <sheetViews>
    <sheetView showZeros="0" tabSelected="1" zoomScale="80" zoomScaleNormal="80" workbookViewId="0">
      <pane xSplit="6" ySplit="1" topLeftCell="AO340" activePane="bottomRight" state="frozen"/>
      <selection pane="topRight" activeCell="G1" sqref="G1"/>
      <selection pane="bottomLeft" activeCell="A2" sqref="A2"/>
      <selection pane="bottomRight" activeCell="AP347" sqref="AP347"/>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2194</v>
      </c>
      <c r="E302" s="26">
        <v>21200</v>
      </c>
      <c r="F302" s="10" t="s">
        <v>2013</v>
      </c>
      <c r="G302" s="39" t="str">
        <f>Tableau1[[#This Row],[Rue]]&amp;CHAR(10)&amp;Tableau1[[#This Row],[Code Postal]]&amp;" - "&amp;Tableau1[[#This Row],[Ville]]</f>
        <v>Auchan 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2027</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2194</v>
      </c>
      <c r="E303" s="26">
        <v>21200</v>
      </c>
      <c r="F303" s="10" t="s">
        <v>2013</v>
      </c>
      <c r="G303" s="39" t="str">
        <f>Tableau1[[#This Row],[Rue]]&amp;CHAR(10)&amp;Tableau1[[#This Row],[Code Postal]]&amp;" - "&amp;Tableau1[[#This Row],[Ville]]</f>
        <v>Auchan 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2027</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2194</v>
      </c>
      <c r="E304" s="26">
        <v>21200</v>
      </c>
      <c r="F304" s="10" t="s">
        <v>2013</v>
      </c>
      <c r="G304" s="39" t="str">
        <f>Tableau1[[#This Row],[Rue]]&amp;CHAR(10)&amp;Tableau1[[#This Row],[Code Postal]]&amp;" - "&amp;Tableau1[[#This Row],[Ville]]</f>
        <v>Auchan 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2027</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2194</v>
      </c>
      <c r="E305" s="26">
        <v>21200</v>
      </c>
      <c r="F305" s="10" t="s">
        <v>2013</v>
      </c>
      <c r="G305" s="39" t="str">
        <f>Tableau1[[#This Row],[Rue]]&amp;CHAR(10)&amp;Tableau1[[#This Row],[Code Postal]]&amp;" - "&amp;Tableau1[[#This Row],[Ville]]</f>
        <v>Auchan 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2027</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2030</v>
      </c>
      <c r="E306" s="26">
        <v>62100</v>
      </c>
      <c r="F306" s="10" t="s">
        <v>2029</v>
      </c>
      <c r="G306" s="39" t="str">
        <f>Tableau1[[#This Row],[Rue]]&amp;CHAR(10)&amp;Tableau1[[#This Row],[Code Postal]]&amp;" - "&amp;Tableau1[[#This Row],[Ville]]</f>
        <v>Auchan 1 Av. Roger Salengro
62100 - Calais</v>
      </c>
      <c r="H306" s="15" t="s">
        <v>2028</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2046</v>
      </c>
      <c r="AN306" s="11" t="s">
        <v>1386</v>
      </c>
      <c r="AO306" s="5" t="s">
        <v>361</v>
      </c>
      <c r="AP306" s="11" t="s">
        <v>2036</v>
      </c>
      <c r="AQ306" s="11" t="s">
        <v>2037</v>
      </c>
      <c r="AR306" s="11" t="s">
        <v>2031</v>
      </c>
      <c r="AS306" s="36" t="s">
        <v>2047</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2030</v>
      </c>
      <c r="E307" s="26">
        <v>62101</v>
      </c>
      <c r="F307" s="10" t="s">
        <v>2029</v>
      </c>
      <c r="G307" s="39" t="str">
        <f>Tableau1[[#This Row],[Rue]]&amp;CHAR(10)&amp;Tableau1[[#This Row],[Code Postal]]&amp;" - "&amp;Tableau1[[#This Row],[Ville]]</f>
        <v>Auchan 1 Av. Roger Salengro
62101 - Calais</v>
      </c>
      <c r="H307" s="15" t="s">
        <v>2028</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2046</v>
      </c>
      <c r="AN307" s="11" t="s">
        <v>1386</v>
      </c>
      <c r="AO307" s="5" t="s">
        <v>361</v>
      </c>
      <c r="AP307" s="11" t="s">
        <v>2038</v>
      </c>
      <c r="AQ307" s="11" t="s">
        <v>2039</v>
      </c>
      <c r="AR307" s="11" t="s">
        <v>2032</v>
      </c>
      <c r="AS307" s="36" t="s">
        <v>2047</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2030</v>
      </c>
      <c r="E308" s="26">
        <v>62102</v>
      </c>
      <c r="F308" s="10" t="s">
        <v>2029</v>
      </c>
      <c r="G308" s="39" t="str">
        <f>Tableau1[[#This Row],[Rue]]&amp;CHAR(10)&amp;Tableau1[[#This Row],[Code Postal]]&amp;" - "&amp;Tableau1[[#This Row],[Ville]]</f>
        <v>Auchan 1 Av. Roger Salengro
62102 - Calais</v>
      </c>
      <c r="H308" s="15" t="s">
        <v>2028</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2046</v>
      </c>
      <c r="AN308" s="11" t="s">
        <v>1386</v>
      </c>
      <c r="AO308" s="5" t="s">
        <v>361</v>
      </c>
      <c r="AP308" s="11" t="s">
        <v>2040</v>
      </c>
      <c r="AQ308" s="11" t="s">
        <v>2041</v>
      </c>
      <c r="AR308" s="11" t="s">
        <v>2033</v>
      </c>
      <c r="AS308" s="36" t="s">
        <v>2047</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2030</v>
      </c>
      <c r="E309" s="26">
        <v>62103</v>
      </c>
      <c r="F309" s="10" t="s">
        <v>2029</v>
      </c>
      <c r="G309" s="39" t="str">
        <f>Tableau1[[#This Row],[Rue]]&amp;CHAR(10)&amp;Tableau1[[#This Row],[Code Postal]]&amp;" - "&amp;Tableau1[[#This Row],[Ville]]</f>
        <v>Auchan 1 Av. Roger Salengro
62103 - Calais</v>
      </c>
      <c r="H309" s="15" t="s">
        <v>2028</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2046</v>
      </c>
      <c r="AN309" s="11" t="s">
        <v>1386</v>
      </c>
      <c r="AO309" s="5" t="s">
        <v>361</v>
      </c>
      <c r="AP309" s="11" t="s">
        <v>2042</v>
      </c>
      <c r="AQ309" s="11" t="s">
        <v>2043</v>
      </c>
      <c r="AR309" s="11" t="s">
        <v>2034</v>
      </c>
      <c r="AS309" s="36" t="s">
        <v>2047</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2030</v>
      </c>
      <c r="E310" s="26">
        <v>62104</v>
      </c>
      <c r="F310" s="10" t="s">
        <v>2029</v>
      </c>
      <c r="G310" s="39" t="str">
        <f>Tableau1[[#This Row],[Rue]]&amp;CHAR(10)&amp;Tableau1[[#This Row],[Code Postal]]&amp;" - "&amp;Tableau1[[#This Row],[Ville]]</f>
        <v>Auchan 1 Av. Roger Salengro
62104 - Calais</v>
      </c>
      <c r="H310" s="15" t="s">
        <v>2028</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2046</v>
      </c>
      <c r="AN310" s="11" t="s">
        <v>1386</v>
      </c>
      <c r="AO310" s="5" t="s">
        <v>361</v>
      </c>
      <c r="AP310" s="11" t="s">
        <v>2044</v>
      </c>
      <c r="AQ310" s="11" t="s">
        <v>2045</v>
      </c>
      <c r="AR310" s="11" t="s">
        <v>2035</v>
      </c>
      <c r="AS310" s="36" t="s">
        <v>2047</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2096</v>
      </c>
      <c r="E311" s="26">
        <v>86100</v>
      </c>
      <c r="F311" s="10" t="s">
        <v>2048</v>
      </c>
      <c r="G311" s="39" t="str">
        <f>Tableau1[[#This Row],[Rue]]&amp;CHAR(10)&amp;Tableau1[[#This Row],[Code Postal]]&amp;" - "&amp;Tableau1[[#This Row],[Ville]]</f>
        <v>Auchan 26 Av. Jean Moulin
86100 - Châtellerault</v>
      </c>
      <c r="H311" s="15" t="s">
        <v>2049</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2071</v>
      </c>
      <c r="AQ311" s="11" t="s">
        <v>2072</v>
      </c>
      <c r="AR311" s="11" t="s">
        <v>2056</v>
      </c>
      <c r="AS311" s="36" t="s">
        <v>2192</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2096</v>
      </c>
      <c r="E312" s="26">
        <v>86100</v>
      </c>
      <c r="F312" s="10" t="s">
        <v>2048</v>
      </c>
      <c r="G312" s="39" t="str">
        <f>Tableau1[[#This Row],[Rue]]&amp;CHAR(10)&amp;Tableau1[[#This Row],[Code Postal]]&amp;" - "&amp;Tableau1[[#This Row],[Ville]]</f>
        <v>Auchan 26 Av. Jean Moulin
86100 - Châtellerault</v>
      </c>
      <c r="H312" s="15" t="s">
        <v>2049</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2058</v>
      </c>
      <c r="AS312" s="36" t="s">
        <v>2192</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2096</v>
      </c>
      <c r="E313" s="26">
        <v>86100</v>
      </c>
      <c r="F313" s="10" t="s">
        <v>2048</v>
      </c>
      <c r="G313" s="39" t="str">
        <f>Tableau1[[#This Row],[Rue]]&amp;CHAR(10)&amp;Tableau1[[#This Row],[Code Postal]]&amp;" - "&amp;Tableau1[[#This Row],[Ville]]</f>
        <v>Auchan 26 Av. Jean Moulin
86100 - Châtellerault</v>
      </c>
      <c r="H313" s="15" t="s">
        <v>2049</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2073</v>
      </c>
      <c r="AQ313" s="11" t="s">
        <v>2074</v>
      </c>
      <c r="AR313" s="11" t="s">
        <v>2063</v>
      </c>
      <c r="AS313" s="36" t="s">
        <v>2192</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2096</v>
      </c>
      <c r="E314" s="26">
        <v>86100</v>
      </c>
      <c r="F314" s="10" t="s">
        <v>2048</v>
      </c>
      <c r="G314" s="39" t="str">
        <f>Tableau1[[#This Row],[Rue]]&amp;CHAR(10)&amp;Tableau1[[#This Row],[Code Postal]]&amp;" - "&amp;Tableau1[[#This Row],[Ville]]</f>
        <v>Auchan 26 Av. Jean Moulin
86100 - Châtellerault</v>
      </c>
      <c r="H314" s="15" t="s">
        <v>2049</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2075</v>
      </c>
      <c r="AQ314" s="11" t="s">
        <v>2076</v>
      </c>
      <c r="AR314" s="11" t="s">
        <v>2064</v>
      </c>
      <c r="AS314" s="36" t="s">
        <v>2192</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2096</v>
      </c>
      <c r="E315" s="26">
        <v>86100</v>
      </c>
      <c r="F315" s="10" t="s">
        <v>2048</v>
      </c>
      <c r="G315" s="39" t="str">
        <f>Tableau1[[#This Row],[Rue]]&amp;CHAR(10)&amp;Tableau1[[#This Row],[Code Postal]]&amp;" - "&amp;Tableau1[[#This Row],[Ville]]</f>
        <v>Auchan 26 Av. Jean Moulin
86100 - Châtellerault</v>
      </c>
      <c r="H315" s="15" t="s">
        <v>2049</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2077</v>
      </c>
      <c r="AQ315" s="11" t="s">
        <v>2078</v>
      </c>
      <c r="AR315" s="11" t="s">
        <v>2065</v>
      </c>
      <c r="AS315" s="36" t="s">
        <v>2192</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2096</v>
      </c>
      <c r="E316" s="26">
        <v>86100</v>
      </c>
      <c r="F316" s="10" t="s">
        <v>2048</v>
      </c>
      <c r="G316" s="39" t="str">
        <f>Tableau1[[#This Row],[Rue]]&amp;CHAR(10)&amp;Tableau1[[#This Row],[Code Postal]]&amp;" - "&amp;Tableau1[[#This Row],[Ville]]</f>
        <v>Auchan 26 Av. Jean Moulin
86100 - Châtellerault</v>
      </c>
      <c r="H316" s="15" t="s">
        <v>2049</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2079</v>
      </c>
      <c r="AQ316" s="11" t="s">
        <v>2080</v>
      </c>
      <c r="AR316" s="11" t="s">
        <v>2059</v>
      </c>
      <c r="AS316" s="36" t="s">
        <v>2192</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2096</v>
      </c>
      <c r="E317" s="26">
        <v>86100</v>
      </c>
      <c r="F317" s="10" t="s">
        <v>2048</v>
      </c>
      <c r="G317" s="39" t="str">
        <f>Tableau1[[#This Row],[Rue]]&amp;CHAR(10)&amp;Tableau1[[#This Row],[Code Postal]]&amp;" - "&amp;Tableau1[[#This Row],[Ville]]</f>
        <v>Auchan 26 Av. Jean Moulin
86100 - Châtellerault</v>
      </c>
      <c r="H317" s="15" t="s">
        <v>2049</v>
      </c>
      <c r="I317" s="12" t="s">
        <v>47</v>
      </c>
      <c r="J317" s="12" t="s">
        <v>51</v>
      </c>
      <c r="K317" s="10" t="s">
        <v>98</v>
      </c>
      <c r="L317" s="10" t="s">
        <v>98</v>
      </c>
      <c r="M317" s="12" t="s">
        <v>98</v>
      </c>
      <c r="N317" s="36" t="s">
        <v>2050</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2079</v>
      </c>
      <c r="AQ317" s="11" t="s">
        <v>2081</v>
      </c>
      <c r="AR317" s="11" t="s">
        <v>2060</v>
      </c>
      <c r="AS317" s="36" t="s">
        <v>2192</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2096</v>
      </c>
      <c r="E318" s="26">
        <v>86100</v>
      </c>
      <c r="F318" s="10" t="s">
        <v>2048</v>
      </c>
      <c r="G318" s="39" t="str">
        <f>Tableau1[[#This Row],[Rue]]&amp;CHAR(10)&amp;Tableau1[[#This Row],[Code Postal]]&amp;" - "&amp;Tableau1[[#This Row],[Ville]]</f>
        <v>Auchan 26 Av. Jean Moulin
86100 - Châtellerault</v>
      </c>
      <c r="H318" s="15" t="s">
        <v>2049</v>
      </c>
      <c r="I318" s="12" t="s">
        <v>47</v>
      </c>
      <c r="J318" s="12" t="s">
        <v>51</v>
      </c>
      <c r="K318" s="10" t="s">
        <v>98</v>
      </c>
      <c r="L318" s="10" t="s">
        <v>98</v>
      </c>
      <c r="M318" s="12" t="s">
        <v>98</v>
      </c>
      <c r="N318" s="36" t="s">
        <v>2051</v>
      </c>
      <c r="O318" s="34">
        <v>199</v>
      </c>
      <c r="P318" s="12" t="s">
        <v>2054</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2082</v>
      </c>
      <c r="AQ318" s="11" t="s">
        <v>2083</v>
      </c>
      <c r="AR318" s="11" t="s">
        <v>2061</v>
      </c>
      <c r="AS318" s="36" t="s">
        <v>2192</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2096</v>
      </c>
      <c r="E319" s="26">
        <v>86100</v>
      </c>
      <c r="F319" s="10" t="s">
        <v>2048</v>
      </c>
      <c r="G319" s="39" t="str">
        <f>Tableau1[[#This Row],[Rue]]&amp;CHAR(10)&amp;Tableau1[[#This Row],[Code Postal]]&amp;" - "&amp;Tableau1[[#This Row],[Ville]]</f>
        <v>Auchan 26 Av. Jean Moulin
86100 - Châtellerault</v>
      </c>
      <c r="H319" s="15" t="s">
        <v>2049</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2084</v>
      </c>
      <c r="AQ319" s="11" t="s">
        <v>2085</v>
      </c>
      <c r="AR319" s="11" t="s">
        <v>2066</v>
      </c>
      <c r="AS319" s="36" t="s">
        <v>2192</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2096</v>
      </c>
      <c r="E320" s="26">
        <v>86100</v>
      </c>
      <c r="F320" s="10" t="s">
        <v>2048</v>
      </c>
      <c r="G320" s="39" t="str">
        <f>Tableau1[[#This Row],[Rue]]&amp;CHAR(10)&amp;Tableau1[[#This Row],[Code Postal]]&amp;" - "&amp;Tableau1[[#This Row],[Ville]]</f>
        <v>Auchan 26 Av. Jean Moulin
86100 - Châtellerault</v>
      </c>
      <c r="H320" s="15" t="s">
        <v>2049</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2086</v>
      </c>
      <c r="AQ320" s="11" t="s">
        <v>2087</v>
      </c>
      <c r="AR320" s="11" t="s">
        <v>2067</v>
      </c>
      <c r="AS320" s="36" t="s">
        <v>2192</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2096</v>
      </c>
      <c r="E321" s="26">
        <v>86100</v>
      </c>
      <c r="F321" s="10" t="s">
        <v>2048</v>
      </c>
      <c r="G321" s="39" t="str">
        <f>Tableau1[[#This Row],[Rue]]&amp;CHAR(10)&amp;Tableau1[[#This Row],[Code Postal]]&amp;" - "&amp;Tableau1[[#This Row],[Ville]]</f>
        <v>Auchan 26 Av. Jean Moulin
86100 - Châtellerault</v>
      </c>
      <c r="H321" s="15" t="s">
        <v>2049</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2088</v>
      </c>
      <c r="AQ321" s="11" t="s">
        <v>2089</v>
      </c>
      <c r="AR321" s="11" t="s">
        <v>2068</v>
      </c>
      <c r="AS321" s="36" t="s">
        <v>2192</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2096</v>
      </c>
      <c r="E322" s="26">
        <v>86100</v>
      </c>
      <c r="F322" s="10" t="s">
        <v>2048</v>
      </c>
      <c r="G322" s="39" t="str">
        <f>Tableau1[[#This Row],[Rue]]&amp;CHAR(10)&amp;Tableau1[[#This Row],[Code Postal]]&amp;" - "&amp;Tableau1[[#This Row],[Ville]]</f>
        <v>Auchan 26 Av. Jean Moulin
86100 - Châtellerault</v>
      </c>
      <c r="H322" s="15" t="s">
        <v>2049</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2090</v>
      </c>
      <c r="AQ322" s="11" t="s">
        <v>2091</v>
      </c>
      <c r="AR322" s="11" t="s">
        <v>2062</v>
      </c>
      <c r="AS322" s="36" t="s">
        <v>2192</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2096</v>
      </c>
      <c r="E323" s="26">
        <v>86100</v>
      </c>
      <c r="F323" s="10" t="s">
        <v>2048</v>
      </c>
      <c r="G323" s="39" t="str">
        <f>Tableau1[[#This Row],[Rue]]&amp;CHAR(10)&amp;Tableau1[[#This Row],[Code Postal]]&amp;" - "&amp;Tableau1[[#This Row],[Ville]]</f>
        <v>Auchan 26 Av. Jean Moulin
86100 - Châtellerault</v>
      </c>
      <c r="H323" s="15" t="s">
        <v>2049</v>
      </c>
      <c r="I323" s="12" t="s">
        <v>47</v>
      </c>
      <c r="J323" s="12" t="s">
        <v>51</v>
      </c>
      <c r="K323" s="10" t="s">
        <v>98</v>
      </c>
      <c r="L323" s="10" t="s">
        <v>98</v>
      </c>
      <c r="M323" s="12" t="s">
        <v>98</v>
      </c>
      <c r="N323" s="36" t="s">
        <v>2052</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2092</v>
      </c>
      <c r="AQ323" s="11" t="s">
        <v>2093</v>
      </c>
      <c r="AR323" s="11" t="s">
        <v>2069</v>
      </c>
      <c r="AS323" s="36" t="s">
        <v>2192</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2096</v>
      </c>
      <c r="E324" s="26">
        <v>86100</v>
      </c>
      <c r="F324" s="10" t="s">
        <v>2048</v>
      </c>
      <c r="G324" s="39" t="str">
        <f>Tableau1[[#This Row],[Rue]]&amp;CHAR(10)&amp;Tableau1[[#This Row],[Code Postal]]&amp;" - "&amp;Tableau1[[#This Row],[Ville]]</f>
        <v>Auchan 26 Av. Jean Moulin
86100 - Châtellerault</v>
      </c>
      <c r="H324" s="15" t="s">
        <v>2049</v>
      </c>
      <c r="I324" s="12" t="s">
        <v>47</v>
      </c>
      <c r="J324" s="12" t="s">
        <v>51</v>
      </c>
      <c r="K324" s="10" t="s">
        <v>98</v>
      </c>
      <c r="L324" s="10" t="s">
        <v>98</v>
      </c>
      <c r="M324" s="12" t="s">
        <v>98</v>
      </c>
      <c r="N324" s="36" t="s">
        <v>2053</v>
      </c>
      <c r="O324" s="34">
        <v>125</v>
      </c>
      <c r="P324" s="12" t="s">
        <v>2055</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2094</v>
      </c>
      <c r="AQ324" s="11" t="s">
        <v>2095</v>
      </c>
      <c r="AR324" s="11" t="s">
        <v>2070</v>
      </c>
      <c r="AS324" s="36" t="s">
        <v>2192</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2096</v>
      </c>
      <c r="E325" s="26">
        <v>86100</v>
      </c>
      <c r="F325" s="10" t="s">
        <v>2048</v>
      </c>
      <c r="G325" s="39" t="str">
        <f>Tableau1[[#This Row],[Rue]]&amp;CHAR(10)&amp;Tableau1[[#This Row],[Code Postal]]&amp;" - "&amp;Tableau1[[#This Row],[Ville]]</f>
        <v>Auchan 26 Av. Jean Moulin
86100 - Châtellerault</v>
      </c>
      <c r="H325" s="15" t="s">
        <v>2049</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2097</v>
      </c>
      <c r="AQ325" s="11" t="s">
        <v>2098</v>
      </c>
      <c r="AR325" s="11" t="s">
        <v>2099</v>
      </c>
      <c r="AS325" s="36" t="s">
        <v>2192</v>
      </c>
      <c r="AT325" s="11" t="s">
        <v>70</v>
      </c>
      <c r="AU325" s="11" t="s">
        <v>370</v>
      </c>
      <c r="AV325" s="13" t="s">
        <v>1871</v>
      </c>
      <c r="AW325" s="14"/>
      <c r="AX325" s="44"/>
    </row>
    <row r="326" spans="1:50" ht="38.25">
      <c r="A326" s="38" t="str">
        <f>VLOOKUP(Tableau1[[#This Row],[N° Département]],Feuil1!$C$6:$E$106,3)</f>
        <v>Ile-de-France</v>
      </c>
      <c r="B326" s="38" t="str">
        <f>VLOOKUP(Tableau1[[#This Row],[N° Département]],Feuil1!$C$6:$E$106,2)</f>
        <v>Seine-et-Marne</v>
      </c>
      <c r="C326" s="38">
        <f>LEFT(Tableau1[[#This Row],[Code Postal]],2)*1</f>
        <v>77</v>
      </c>
      <c r="D326" s="10" t="s">
        <v>2228</v>
      </c>
      <c r="E326" s="26">
        <v>77500</v>
      </c>
      <c r="F326" s="10" t="s">
        <v>2101</v>
      </c>
      <c r="G326" s="39" t="str">
        <f>Tableau1[[#This Row],[Rue]]&amp;CHAR(10)&amp;Tableau1[[#This Row],[Code Postal]]&amp;" - "&amp;Tableau1[[#This Row],[Ville]]</f>
        <v>Terre Ciel (Chelles 2) Avenue du Gendarme Castermant
77500 - Chelles</v>
      </c>
      <c r="H326" s="15" t="s">
        <v>2100</v>
      </c>
      <c r="I326" s="12" t="s">
        <v>47</v>
      </c>
      <c r="J326" s="12" t="s">
        <v>49</v>
      </c>
      <c r="K326" s="10" t="s">
        <v>98</v>
      </c>
      <c r="L326" s="10" t="s">
        <v>98</v>
      </c>
      <c r="M326" s="12" t="s">
        <v>98</v>
      </c>
      <c r="N326" s="36" t="s">
        <v>2102</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t="s">
        <v>2357</v>
      </c>
      <c r="AQ326" s="11" t="s">
        <v>2358</v>
      </c>
      <c r="AR326" s="11" t="s">
        <v>2125</v>
      </c>
      <c r="AS326" s="36"/>
      <c r="AT326" s="11" t="s">
        <v>70</v>
      </c>
      <c r="AU326" s="11" t="s">
        <v>370</v>
      </c>
      <c r="AV326" s="13" t="s">
        <v>1871</v>
      </c>
      <c r="AW326" s="14"/>
      <c r="AX326" s="44"/>
    </row>
    <row r="327" spans="1:50" ht="38.25">
      <c r="A327" s="38" t="str">
        <f>VLOOKUP(Tableau1[[#This Row],[N° Département]],Feuil1!$C$6:$E$106,3)</f>
        <v>Ile-de-France</v>
      </c>
      <c r="B327" s="38" t="str">
        <f>VLOOKUP(Tableau1[[#This Row],[N° Département]],Feuil1!$C$6:$E$106,2)</f>
        <v>Seine-et-Marne</v>
      </c>
      <c r="C327" s="38">
        <f>LEFT(Tableau1[[#This Row],[Code Postal]],2)*1</f>
        <v>77</v>
      </c>
      <c r="D327" s="10" t="s">
        <v>2228</v>
      </c>
      <c r="E327" s="26">
        <v>77500</v>
      </c>
      <c r="F327" s="10" t="s">
        <v>2101</v>
      </c>
      <c r="G327" s="39" t="str">
        <f>Tableau1[[#This Row],[Rue]]&amp;CHAR(10)&amp;Tableau1[[#This Row],[Code Postal]]&amp;" - "&amp;Tableau1[[#This Row],[Ville]]</f>
        <v>Terre Ciel (Chelles 2) Avenue du Gendarme Castermant
77500 - Chelles</v>
      </c>
      <c r="H327" s="15" t="s">
        <v>2100</v>
      </c>
      <c r="I327" s="12" t="s">
        <v>47</v>
      </c>
      <c r="J327" s="12" t="s">
        <v>49</v>
      </c>
      <c r="K327" s="10" t="s">
        <v>98</v>
      </c>
      <c r="L327" s="10" t="s">
        <v>98</v>
      </c>
      <c r="M327" s="12" t="s">
        <v>98</v>
      </c>
      <c r="N327" s="36" t="s">
        <v>2103</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t="s">
        <v>2359</v>
      </c>
      <c r="AQ327" s="11" t="s">
        <v>2360</v>
      </c>
      <c r="AR327" s="11" t="s">
        <v>2057</v>
      </c>
      <c r="AS327" s="36"/>
      <c r="AT327" s="11" t="s">
        <v>70</v>
      </c>
      <c r="AU327" s="11" t="s">
        <v>370</v>
      </c>
      <c r="AV327" s="13" t="s">
        <v>1871</v>
      </c>
      <c r="AW327" s="14"/>
      <c r="AX327" s="44"/>
    </row>
    <row r="328" spans="1:50" ht="38.25">
      <c r="A328" s="38" t="str">
        <f>VLOOKUP(Tableau1[[#This Row],[N° Département]],Feuil1!$C$6:$E$106,3)</f>
        <v>Ile-de-France</v>
      </c>
      <c r="B328" s="38" t="str">
        <f>VLOOKUP(Tableau1[[#This Row],[N° Département]],Feuil1!$C$6:$E$106,2)</f>
        <v>Seine-et-Marne</v>
      </c>
      <c r="C328" s="38">
        <f>LEFT(Tableau1[[#This Row],[Code Postal]],2)*1</f>
        <v>77</v>
      </c>
      <c r="D328" s="10" t="s">
        <v>2228</v>
      </c>
      <c r="E328" s="26">
        <v>77500</v>
      </c>
      <c r="F328" s="10" t="s">
        <v>2101</v>
      </c>
      <c r="G328" s="39" t="str">
        <f>Tableau1[[#This Row],[Rue]]&amp;CHAR(10)&amp;Tableau1[[#This Row],[Code Postal]]&amp;" - "&amp;Tableau1[[#This Row],[Ville]]</f>
        <v>Terre Ciel (Chelles 2) Avenue du Gendarme Castermant
77500 - Chelles</v>
      </c>
      <c r="H328" s="15" t="s">
        <v>2100</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c r="AM328" s="11"/>
      <c r="AN328" s="11" t="s">
        <v>1386</v>
      </c>
      <c r="AO328" s="5" t="s">
        <v>361</v>
      </c>
      <c r="AP328" s="11" t="s">
        <v>2361</v>
      </c>
      <c r="AQ328" s="11" t="s">
        <v>2362</v>
      </c>
      <c r="AR328" s="11" t="s">
        <v>2126</v>
      </c>
      <c r="AS328" s="36"/>
      <c r="AT328" s="11" t="s">
        <v>70</v>
      </c>
      <c r="AU328" s="11" t="s">
        <v>370</v>
      </c>
      <c r="AV328" s="13" t="s">
        <v>1871</v>
      </c>
      <c r="AW328" s="14"/>
      <c r="AX328" s="44"/>
    </row>
    <row r="329" spans="1:50" ht="38.25">
      <c r="A329" s="38" t="str">
        <f>VLOOKUP(Tableau1[[#This Row],[N° Département]],Feuil1!$C$6:$E$106,3)</f>
        <v>Ile-de-France</v>
      </c>
      <c r="B329" s="38" t="str">
        <f>VLOOKUP(Tableau1[[#This Row],[N° Département]],Feuil1!$C$6:$E$106,2)</f>
        <v>Seine-et-Marne</v>
      </c>
      <c r="C329" s="38">
        <f>LEFT(Tableau1[[#This Row],[Code Postal]],2)*1</f>
        <v>77</v>
      </c>
      <c r="D329" s="10" t="s">
        <v>2228</v>
      </c>
      <c r="E329" s="26">
        <v>77500</v>
      </c>
      <c r="F329" s="10" t="s">
        <v>2101</v>
      </c>
      <c r="G329" s="39" t="str">
        <f>Tableau1[[#This Row],[Rue]]&amp;CHAR(10)&amp;Tableau1[[#This Row],[Code Postal]]&amp;" - "&amp;Tableau1[[#This Row],[Ville]]</f>
        <v>Terre Ciel (Chelles 2) Avenue du Gendarme Castermant
77500 - Chelles</v>
      </c>
      <c r="H329" s="15" t="s">
        <v>2100</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t="s">
        <v>2363</v>
      </c>
      <c r="AQ329" s="11" t="s">
        <v>2364</v>
      </c>
      <c r="AR329" s="11" t="s">
        <v>2128</v>
      </c>
      <c r="AS329" s="36"/>
      <c r="AT329" s="11" t="s">
        <v>70</v>
      </c>
      <c r="AU329" s="11" t="s">
        <v>370</v>
      </c>
      <c r="AV329" s="13" t="s">
        <v>1871</v>
      </c>
      <c r="AW329" s="14"/>
      <c r="AX329" s="44"/>
    </row>
    <row r="330" spans="1:50" ht="38.25">
      <c r="A330" s="38" t="str">
        <f>VLOOKUP(Tableau1[[#This Row],[N° Département]],Feuil1!$C$6:$E$106,3)</f>
        <v>Ile-de-France</v>
      </c>
      <c r="B330" s="38" t="str">
        <f>VLOOKUP(Tableau1[[#This Row],[N° Département]],Feuil1!$C$6:$E$106,2)</f>
        <v>Seine-et-Marne</v>
      </c>
      <c r="C330" s="38">
        <f>LEFT(Tableau1[[#This Row],[Code Postal]],2)*1</f>
        <v>77</v>
      </c>
      <c r="D330" s="10" t="s">
        <v>2228</v>
      </c>
      <c r="E330" s="26">
        <v>77500</v>
      </c>
      <c r="F330" s="10" t="s">
        <v>2101</v>
      </c>
      <c r="G330" s="39" t="str">
        <f>Tableau1[[#This Row],[Rue]]&amp;CHAR(10)&amp;Tableau1[[#This Row],[Code Postal]]&amp;" - "&amp;Tableau1[[#This Row],[Ville]]</f>
        <v>Terre Ciel (Chelles 2) Avenue du Gendarme Castermant
77500 - Chelles</v>
      </c>
      <c r="H330" s="15" t="s">
        <v>2100</v>
      </c>
      <c r="I330" s="12" t="s">
        <v>47</v>
      </c>
      <c r="J330" s="12" t="s">
        <v>49</v>
      </c>
      <c r="K330" s="10" t="s">
        <v>98</v>
      </c>
      <c r="L330" s="10" t="s">
        <v>98</v>
      </c>
      <c r="M330" s="12" t="s">
        <v>98</v>
      </c>
      <c r="N330" s="36" t="s">
        <v>2109</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t="s">
        <v>2365</v>
      </c>
      <c r="AQ330" s="11" t="s">
        <v>2366</v>
      </c>
      <c r="AR330" s="11" t="s">
        <v>2130</v>
      </c>
      <c r="AS330" s="36"/>
      <c r="AT330" s="11" t="s">
        <v>70</v>
      </c>
      <c r="AU330" s="11" t="s">
        <v>370</v>
      </c>
      <c r="AV330" s="13" t="s">
        <v>1871</v>
      </c>
      <c r="AW330" s="14"/>
      <c r="AX330" s="44"/>
    </row>
    <row r="331" spans="1:50" ht="38.25">
      <c r="A331" s="38" t="str">
        <f>VLOOKUP(Tableau1[[#This Row],[N° Département]],Feuil1!$C$6:$E$106,3)</f>
        <v>Ile-de-France</v>
      </c>
      <c r="B331" s="38" t="str">
        <f>VLOOKUP(Tableau1[[#This Row],[N° Département]],Feuil1!$C$6:$E$106,2)</f>
        <v>Seine-et-Marne</v>
      </c>
      <c r="C331" s="38">
        <f>LEFT(Tableau1[[#This Row],[Code Postal]],2)*1</f>
        <v>77</v>
      </c>
      <c r="D331" s="10" t="s">
        <v>2228</v>
      </c>
      <c r="E331" s="26">
        <v>77500</v>
      </c>
      <c r="F331" s="10" t="s">
        <v>2101</v>
      </c>
      <c r="G331" s="39" t="str">
        <f>Tableau1[[#This Row],[Rue]]&amp;CHAR(10)&amp;Tableau1[[#This Row],[Code Postal]]&amp;" - "&amp;Tableau1[[#This Row],[Ville]]</f>
        <v>Terre Ciel (Chelles 2) Avenue du Gendarme Castermant
77500 - Chelles</v>
      </c>
      <c r="H331" s="15" t="s">
        <v>2100</v>
      </c>
      <c r="I331" s="12" t="s">
        <v>47</v>
      </c>
      <c r="J331" s="12" t="s">
        <v>49</v>
      </c>
      <c r="K331" s="10" t="s">
        <v>98</v>
      </c>
      <c r="L331" s="10" t="s">
        <v>98</v>
      </c>
      <c r="M331" s="12" t="s">
        <v>98</v>
      </c>
      <c r="N331" s="36" t="s">
        <v>2108</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t="s">
        <v>2367</v>
      </c>
      <c r="AQ331" s="11" t="s">
        <v>2368</v>
      </c>
      <c r="AR331" s="11" t="s">
        <v>2127</v>
      </c>
      <c r="AS331" s="36"/>
      <c r="AT331" s="11" t="s">
        <v>70</v>
      </c>
      <c r="AU331" s="11" t="s">
        <v>370</v>
      </c>
      <c r="AV331" s="13" t="s">
        <v>1871</v>
      </c>
      <c r="AW331" s="14"/>
      <c r="AX331" s="44"/>
    </row>
    <row r="332" spans="1:50" ht="38.25">
      <c r="A332" s="38" t="str">
        <f>VLOOKUP(Tableau1[[#This Row],[N° Département]],Feuil1!$C$6:$E$106,3)</f>
        <v>Ile-de-France</v>
      </c>
      <c r="B332" s="38" t="str">
        <f>VLOOKUP(Tableau1[[#This Row],[N° Département]],Feuil1!$C$6:$E$106,2)</f>
        <v>Seine-et-Marne</v>
      </c>
      <c r="C332" s="38">
        <f>LEFT(Tableau1[[#This Row],[Code Postal]],2)*1</f>
        <v>77</v>
      </c>
      <c r="D332" s="10" t="s">
        <v>2228</v>
      </c>
      <c r="E332" s="26">
        <v>77500</v>
      </c>
      <c r="F332" s="10" t="s">
        <v>2101</v>
      </c>
      <c r="G332" s="39" t="str">
        <f>Tableau1[[#This Row],[Rue]]&amp;CHAR(10)&amp;Tableau1[[#This Row],[Code Postal]]&amp;" - "&amp;Tableau1[[#This Row],[Ville]]</f>
        <v>Terre Ciel (Chelles 2) Avenue du Gendarme Castermant
77500 - Chelles</v>
      </c>
      <c r="H332" s="15" t="s">
        <v>2100</v>
      </c>
      <c r="I332" s="12" t="s">
        <v>47</v>
      </c>
      <c r="J332" s="12" t="s">
        <v>49</v>
      </c>
      <c r="K332" s="10" t="s">
        <v>98</v>
      </c>
      <c r="L332" s="10" t="s">
        <v>98</v>
      </c>
      <c r="M332" s="12" t="s">
        <v>98</v>
      </c>
      <c r="N332" s="36" t="s">
        <v>2107</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t="s">
        <v>2369</v>
      </c>
      <c r="AQ332" s="11" t="s">
        <v>2370</v>
      </c>
      <c r="AR332" s="11" t="s">
        <v>2129</v>
      </c>
      <c r="AS332" s="36"/>
      <c r="AT332" s="11" t="s">
        <v>70</v>
      </c>
      <c r="AU332" s="11" t="s">
        <v>370</v>
      </c>
      <c r="AV332" s="13" t="s">
        <v>1871</v>
      </c>
      <c r="AW332" s="14"/>
      <c r="AX332" s="44"/>
    </row>
    <row r="333" spans="1:50" ht="38.25">
      <c r="A333" s="38" t="str">
        <f>VLOOKUP(Tableau1[[#This Row],[N° Département]],Feuil1!$C$6:$E$106,3)</f>
        <v>Ile-de-France</v>
      </c>
      <c r="B333" s="38" t="str">
        <f>VLOOKUP(Tableau1[[#This Row],[N° Département]],Feuil1!$C$6:$E$106,2)</f>
        <v>Seine-et-Marne</v>
      </c>
      <c r="C333" s="38">
        <f>LEFT(Tableau1[[#This Row],[Code Postal]],2)*1</f>
        <v>77</v>
      </c>
      <c r="D333" s="10" t="s">
        <v>2228</v>
      </c>
      <c r="E333" s="26">
        <v>77500</v>
      </c>
      <c r="F333" s="10" t="s">
        <v>2101</v>
      </c>
      <c r="G333" s="39" t="str">
        <f>Tableau1[[#This Row],[Rue]]&amp;CHAR(10)&amp;Tableau1[[#This Row],[Code Postal]]&amp;" - "&amp;Tableau1[[#This Row],[Ville]]</f>
        <v>Terre Ciel (Chelles 2) Avenue du Gendarme Castermant
77500 - Chelles</v>
      </c>
      <c r="H333" s="15" t="s">
        <v>2100</v>
      </c>
      <c r="I333" s="12" t="s">
        <v>47</v>
      </c>
      <c r="J333" s="12" t="s">
        <v>49</v>
      </c>
      <c r="K333" s="10" t="s">
        <v>98</v>
      </c>
      <c r="L333" s="10" t="s">
        <v>98</v>
      </c>
      <c r="M333" s="12" t="s">
        <v>98</v>
      </c>
      <c r="N333" s="36" t="s">
        <v>2106</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t="s">
        <v>2371</v>
      </c>
      <c r="AQ333" s="11" t="s">
        <v>2372</v>
      </c>
      <c r="AR333" s="11" t="s">
        <v>2131</v>
      </c>
      <c r="AS333" s="36"/>
      <c r="AT333" s="11" t="s">
        <v>70</v>
      </c>
      <c r="AU333" s="11" t="s">
        <v>370</v>
      </c>
      <c r="AV333" s="13" t="s">
        <v>1871</v>
      </c>
      <c r="AW333" s="14"/>
      <c r="AX333" s="44"/>
    </row>
    <row r="334" spans="1:50" ht="38.25">
      <c r="A334" s="38" t="str">
        <f>VLOOKUP(Tableau1[[#This Row],[N° Département]],Feuil1!$C$6:$E$106,3)</f>
        <v>Ile-de-France</v>
      </c>
      <c r="B334" s="38" t="str">
        <f>VLOOKUP(Tableau1[[#This Row],[N° Département]],Feuil1!$C$6:$E$106,2)</f>
        <v>Seine-et-Marne</v>
      </c>
      <c r="C334" s="38">
        <f>LEFT(Tableau1[[#This Row],[Code Postal]],2)*1</f>
        <v>77</v>
      </c>
      <c r="D334" s="10" t="s">
        <v>2228</v>
      </c>
      <c r="E334" s="26">
        <v>77500</v>
      </c>
      <c r="F334" s="10" t="s">
        <v>2101</v>
      </c>
      <c r="G334" s="39" t="str">
        <f>Tableau1[[#This Row],[Rue]]&amp;CHAR(10)&amp;Tableau1[[#This Row],[Code Postal]]&amp;" - "&amp;Tableau1[[#This Row],[Ville]]</f>
        <v>Terre Ciel (Chelles 2) Avenue du Gendarme Castermant
77500 - Chelles</v>
      </c>
      <c r="H334" s="15" t="s">
        <v>2100</v>
      </c>
      <c r="I334" s="12" t="s">
        <v>47</v>
      </c>
      <c r="J334" s="12" t="s">
        <v>49</v>
      </c>
      <c r="K334" s="10" t="s">
        <v>98</v>
      </c>
      <c r="L334" s="10" t="s">
        <v>98</v>
      </c>
      <c r="M334" s="12" t="s">
        <v>98</v>
      </c>
      <c r="N334" s="36" t="s">
        <v>2105</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t="s">
        <v>2371</v>
      </c>
      <c r="AQ334" s="11" t="s">
        <v>2373</v>
      </c>
      <c r="AR334" s="11" t="s">
        <v>2132</v>
      </c>
      <c r="AS334" s="36"/>
      <c r="AT334" s="11" t="s">
        <v>70</v>
      </c>
      <c r="AU334" s="11" t="s">
        <v>370</v>
      </c>
      <c r="AV334" s="13" t="s">
        <v>1871</v>
      </c>
      <c r="AW334" s="14"/>
      <c r="AX334" s="44"/>
    </row>
    <row r="335" spans="1:50" ht="38.25">
      <c r="A335" s="38" t="str">
        <f>VLOOKUP(Tableau1[[#This Row],[N° Département]],Feuil1!$C$6:$E$106,3)</f>
        <v>Ile-de-France</v>
      </c>
      <c r="B335" s="38" t="str">
        <f>VLOOKUP(Tableau1[[#This Row],[N° Département]],Feuil1!$C$6:$E$106,2)</f>
        <v>Seine-et-Marne</v>
      </c>
      <c r="C335" s="38">
        <f>LEFT(Tableau1[[#This Row],[Code Postal]],2)*1</f>
        <v>77</v>
      </c>
      <c r="D335" s="10" t="s">
        <v>2228</v>
      </c>
      <c r="E335" s="26">
        <v>77500</v>
      </c>
      <c r="F335" s="10" t="s">
        <v>2101</v>
      </c>
      <c r="G335" s="39" t="str">
        <f>Tableau1[[#This Row],[Rue]]&amp;CHAR(10)&amp;Tableau1[[#This Row],[Code Postal]]&amp;" - "&amp;Tableau1[[#This Row],[Ville]]</f>
        <v>Terre Ciel (Chelles 2) Avenue du Gendarme Castermant
77500 - Chelles</v>
      </c>
      <c r="H335" s="15" t="s">
        <v>2100</v>
      </c>
      <c r="I335" s="12" t="s">
        <v>47</v>
      </c>
      <c r="J335" s="12" t="s">
        <v>49</v>
      </c>
      <c r="K335" s="10" t="s">
        <v>98</v>
      </c>
      <c r="L335" s="10" t="s">
        <v>98</v>
      </c>
      <c r="M335" s="12" t="s">
        <v>98</v>
      </c>
      <c r="N335" s="36" t="s">
        <v>2104</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t="s">
        <v>2374</v>
      </c>
      <c r="AQ335" s="11" t="s">
        <v>2375</v>
      </c>
      <c r="AR335" s="11" t="s">
        <v>2133</v>
      </c>
      <c r="AS335" s="36"/>
      <c r="AT335" s="11" t="s">
        <v>70</v>
      </c>
      <c r="AU335" s="11" t="s">
        <v>370</v>
      </c>
      <c r="AV335" s="13" t="s">
        <v>1871</v>
      </c>
      <c r="AW335" s="14"/>
      <c r="AX335" s="44"/>
    </row>
    <row r="336" spans="1:50" ht="38.25">
      <c r="A336" s="38" t="str">
        <f>VLOOKUP(Tableau1[[#This Row],[N° Département]],Feuil1!$C$6:$E$106,3)</f>
        <v>Ile-de-France</v>
      </c>
      <c r="B336" s="38" t="str">
        <f>VLOOKUP(Tableau1[[#This Row],[N° Département]],Feuil1!$C$6:$E$106,2)</f>
        <v>Seine-et-Marne</v>
      </c>
      <c r="C336" s="38">
        <f>LEFT(Tableau1[[#This Row],[Code Postal]],2)*1</f>
        <v>77</v>
      </c>
      <c r="D336" s="10" t="s">
        <v>2228</v>
      </c>
      <c r="E336" s="26">
        <v>77500</v>
      </c>
      <c r="F336" s="10" t="s">
        <v>2101</v>
      </c>
      <c r="G336" s="39" t="str">
        <f>Tableau1[[#This Row],[Rue]]&amp;CHAR(10)&amp;Tableau1[[#This Row],[Code Postal]]&amp;" - "&amp;Tableau1[[#This Row],[Ville]]</f>
        <v>Terre Ciel (Chelles 2) Avenue du Gendarme Castermant
77500 - Chelles</v>
      </c>
      <c r="H336" s="15" t="s">
        <v>2100</v>
      </c>
      <c r="I336" s="12" t="s">
        <v>47</v>
      </c>
      <c r="J336" s="12" t="s">
        <v>49</v>
      </c>
      <c r="K336" s="10" t="s">
        <v>98</v>
      </c>
      <c r="L336" s="10" t="s">
        <v>98</v>
      </c>
      <c r="M336" s="12" t="s">
        <v>98</v>
      </c>
      <c r="N336" s="36" t="s">
        <v>2110</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t="s">
        <v>2376</v>
      </c>
      <c r="AQ336" s="11" t="s">
        <v>2377</v>
      </c>
      <c r="AR336" s="11" t="s">
        <v>2134</v>
      </c>
      <c r="AS336" s="36"/>
      <c r="AT336" s="11" t="s">
        <v>70</v>
      </c>
      <c r="AU336" s="11" t="s">
        <v>370</v>
      </c>
      <c r="AV336" s="13" t="s">
        <v>1871</v>
      </c>
      <c r="AW336" s="14"/>
      <c r="AX336" s="44"/>
    </row>
    <row r="337" spans="1:50" ht="38.25">
      <c r="A337" s="38" t="str">
        <f>VLOOKUP(Tableau1[[#This Row],[N° Département]],Feuil1!$C$6:$E$106,3)</f>
        <v>Ile-de-France</v>
      </c>
      <c r="B337" s="38" t="str">
        <f>VLOOKUP(Tableau1[[#This Row],[N° Département]],Feuil1!$C$6:$E$106,2)</f>
        <v>Seine-et-Marne</v>
      </c>
      <c r="C337" s="38">
        <f>LEFT(Tableau1[[#This Row],[Code Postal]],2)*1</f>
        <v>77</v>
      </c>
      <c r="D337" s="10" t="s">
        <v>2228</v>
      </c>
      <c r="E337" s="26">
        <v>77500</v>
      </c>
      <c r="F337" s="10" t="s">
        <v>2101</v>
      </c>
      <c r="G337" s="39" t="str">
        <f>Tableau1[[#This Row],[Rue]]&amp;CHAR(10)&amp;Tableau1[[#This Row],[Code Postal]]&amp;" - "&amp;Tableau1[[#This Row],[Ville]]</f>
        <v>Terre Ciel (Chelles 2) Avenue du Gendarme Castermant
77500 - Chelles</v>
      </c>
      <c r="H337" s="15" t="s">
        <v>2100</v>
      </c>
      <c r="I337" s="12" t="s">
        <v>47</v>
      </c>
      <c r="J337" s="12" t="s">
        <v>49</v>
      </c>
      <c r="K337" s="10" t="s">
        <v>98</v>
      </c>
      <c r="L337" s="10" t="s">
        <v>98</v>
      </c>
      <c r="M337" s="12" t="s">
        <v>98</v>
      </c>
      <c r="N337" s="36" t="s">
        <v>2111</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t="s">
        <v>2378</v>
      </c>
      <c r="AQ337" s="11" t="s">
        <v>2379</v>
      </c>
      <c r="AR337" s="11" t="s">
        <v>2135</v>
      </c>
      <c r="AS337" s="36"/>
      <c r="AT337" s="11" t="s">
        <v>70</v>
      </c>
      <c r="AU337" s="11" t="s">
        <v>370</v>
      </c>
      <c r="AV337" s="13" t="s">
        <v>1871</v>
      </c>
      <c r="AW337" s="14"/>
      <c r="AX337" s="44"/>
    </row>
    <row r="338" spans="1:50" ht="38.25">
      <c r="A338" s="38" t="str">
        <f>VLOOKUP(Tableau1[[#This Row],[N° Département]],Feuil1!$C$6:$E$106,3)</f>
        <v>Ile-de-France</v>
      </c>
      <c r="B338" s="38" t="str">
        <f>VLOOKUP(Tableau1[[#This Row],[N° Département]],Feuil1!$C$6:$E$106,2)</f>
        <v>Seine-et-Marne</v>
      </c>
      <c r="C338" s="38">
        <f>LEFT(Tableau1[[#This Row],[Code Postal]],2)*1</f>
        <v>77</v>
      </c>
      <c r="D338" s="10" t="s">
        <v>2228</v>
      </c>
      <c r="E338" s="26">
        <v>77500</v>
      </c>
      <c r="F338" s="10" t="s">
        <v>2101</v>
      </c>
      <c r="G338" s="39" t="str">
        <f>Tableau1[[#This Row],[Rue]]&amp;CHAR(10)&amp;Tableau1[[#This Row],[Code Postal]]&amp;" - "&amp;Tableau1[[#This Row],[Ville]]</f>
        <v>Terre Ciel (Chelles 2) Avenue du Gendarme Castermant
77500 - Chelles</v>
      </c>
      <c r="H338" s="15" t="s">
        <v>2100</v>
      </c>
      <c r="I338" s="12" t="s">
        <v>47</v>
      </c>
      <c r="J338" s="12" t="s">
        <v>49</v>
      </c>
      <c r="K338" s="10" t="s">
        <v>98</v>
      </c>
      <c r="L338" s="10" t="s">
        <v>98</v>
      </c>
      <c r="M338" s="12" t="s">
        <v>98</v>
      </c>
      <c r="N338" s="36" t="s">
        <v>2112</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t="s">
        <v>2380</v>
      </c>
      <c r="AQ338" s="11" t="s">
        <v>2381</v>
      </c>
      <c r="AR338" s="11" t="s">
        <v>2136</v>
      </c>
      <c r="AS338" s="36"/>
      <c r="AT338" s="11" t="s">
        <v>70</v>
      </c>
      <c r="AU338" s="11" t="s">
        <v>370</v>
      </c>
      <c r="AV338" s="13" t="s">
        <v>1871</v>
      </c>
      <c r="AW338" s="14"/>
      <c r="AX338" s="44"/>
    </row>
    <row r="339" spans="1:50" ht="38.25">
      <c r="A339" s="38" t="str">
        <f>VLOOKUP(Tableau1[[#This Row],[N° Département]],Feuil1!$C$6:$E$106,3)</f>
        <v>Ile-de-France</v>
      </c>
      <c r="B339" s="38" t="str">
        <f>VLOOKUP(Tableau1[[#This Row],[N° Département]],Feuil1!$C$6:$E$106,2)</f>
        <v>Seine-et-Marne</v>
      </c>
      <c r="C339" s="38">
        <f>LEFT(Tableau1[[#This Row],[Code Postal]],2)*1</f>
        <v>77</v>
      </c>
      <c r="D339" s="10" t="s">
        <v>2228</v>
      </c>
      <c r="E339" s="26">
        <v>77500</v>
      </c>
      <c r="F339" s="10" t="s">
        <v>2101</v>
      </c>
      <c r="G339" s="39" t="str">
        <f>Tableau1[[#This Row],[Rue]]&amp;CHAR(10)&amp;Tableau1[[#This Row],[Code Postal]]&amp;" - "&amp;Tableau1[[#This Row],[Ville]]</f>
        <v>Terre Ciel (Chelles 2) Avenue du Gendarme Castermant
77500 - Chelles</v>
      </c>
      <c r="H339" s="15" t="s">
        <v>2100</v>
      </c>
      <c r="I339" s="12" t="s">
        <v>47</v>
      </c>
      <c r="J339" s="12" t="s">
        <v>49</v>
      </c>
      <c r="K339" s="10" t="s">
        <v>98</v>
      </c>
      <c r="L339" s="10" t="s">
        <v>98</v>
      </c>
      <c r="M339" s="12" t="s">
        <v>98</v>
      </c>
      <c r="N339" s="36" t="s">
        <v>2113</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t="s">
        <v>2382</v>
      </c>
      <c r="AQ339" s="11" t="s">
        <v>2383</v>
      </c>
      <c r="AR339" s="11" t="s">
        <v>2137</v>
      </c>
      <c r="AS339" s="36"/>
      <c r="AT339" s="11" t="s">
        <v>70</v>
      </c>
      <c r="AU339" s="11" t="s">
        <v>370</v>
      </c>
      <c r="AV339" s="13" t="s">
        <v>1871</v>
      </c>
      <c r="AW339" s="14"/>
      <c r="AX339" s="44"/>
    </row>
    <row r="340" spans="1:50" ht="38.25">
      <c r="A340" s="38" t="str">
        <f>VLOOKUP(Tableau1[[#This Row],[N° Département]],Feuil1!$C$6:$E$106,3)</f>
        <v>Ile-de-France</v>
      </c>
      <c r="B340" s="38" t="str">
        <f>VLOOKUP(Tableau1[[#This Row],[N° Département]],Feuil1!$C$6:$E$106,2)</f>
        <v>Seine-et-Marne</v>
      </c>
      <c r="C340" s="38">
        <f>LEFT(Tableau1[[#This Row],[Code Postal]],2)*1</f>
        <v>77</v>
      </c>
      <c r="D340" s="10" t="s">
        <v>2228</v>
      </c>
      <c r="E340" s="26">
        <v>77500</v>
      </c>
      <c r="F340" s="10" t="s">
        <v>2101</v>
      </c>
      <c r="G340" s="39" t="str">
        <f>Tableau1[[#This Row],[Rue]]&amp;CHAR(10)&amp;Tableau1[[#This Row],[Code Postal]]&amp;" - "&amp;Tableau1[[#This Row],[Ville]]</f>
        <v>Terre Ciel (Chelles 2) Avenue du Gendarme Castermant
77500 - Chelles</v>
      </c>
      <c r="H340" s="15" t="s">
        <v>2100</v>
      </c>
      <c r="I340" s="12" t="s">
        <v>47</v>
      </c>
      <c r="J340" s="12" t="s">
        <v>49</v>
      </c>
      <c r="K340" s="10" t="s">
        <v>98</v>
      </c>
      <c r="L340" s="10" t="s">
        <v>98</v>
      </c>
      <c r="M340" s="12" t="s">
        <v>98</v>
      </c>
      <c r="N340" s="36" t="s">
        <v>2114</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t="s">
        <v>2384</v>
      </c>
      <c r="AQ340" s="11" t="s">
        <v>2385</v>
      </c>
      <c r="AR340" s="11" t="s">
        <v>2138</v>
      </c>
      <c r="AS340" s="36"/>
      <c r="AT340" s="11" t="s">
        <v>70</v>
      </c>
      <c r="AU340" s="11" t="s">
        <v>370</v>
      </c>
      <c r="AV340" s="13" t="s">
        <v>1871</v>
      </c>
      <c r="AW340" s="14"/>
      <c r="AX340" s="44"/>
    </row>
    <row r="341" spans="1:50" ht="38.25">
      <c r="A341" s="38" t="str">
        <f>VLOOKUP(Tableau1[[#This Row],[N° Département]],Feuil1!$C$6:$E$106,3)</f>
        <v>Ile-de-France</v>
      </c>
      <c r="B341" s="38" t="str">
        <f>VLOOKUP(Tableau1[[#This Row],[N° Département]],Feuil1!$C$6:$E$106,2)</f>
        <v>Seine-et-Marne</v>
      </c>
      <c r="C341" s="38">
        <f>LEFT(Tableau1[[#This Row],[Code Postal]],2)*1</f>
        <v>77</v>
      </c>
      <c r="D341" s="10" t="s">
        <v>2228</v>
      </c>
      <c r="E341" s="26">
        <v>77500</v>
      </c>
      <c r="F341" s="10" t="s">
        <v>2101</v>
      </c>
      <c r="G341" s="39" t="str">
        <f>Tableau1[[#This Row],[Rue]]&amp;CHAR(10)&amp;Tableau1[[#This Row],[Code Postal]]&amp;" - "&amp;Tableau1[[#This Row],[Ville]]</f>
        <v>Terre Ciel (Chelles 2) Avenue du Gendarme Castermant
77500 - Chelles</v>
      </c>
      <c r="H341" s="15" t="s">
        <v>2100</v>
      </c>
      <c r="I341" s="12" t="s">
        <v>47</v>
      </c>
      <c r="J341" s="12" t="s">
        <v>49</v>
      </c>
      <c r="K341" s="10" t="s">
        <v>98</v>
      </c>
      <c r="L341" s="10" t="s">
        <v>98</v>
      </c>
      <c r="M341" s="12" t="s">
        <v>98</v>
      </c>
      <c r="N341" s="36" t="s">
        <v>2115</v>
      </c>
      <c r="O341" s="34">
        <v>2095</v>
      </c>
      <c r="P341" s="12" t="s">
        <v>2116</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t="s">
        <v>2382</v>
      </c>
      <c r="AQ341" s="11" t="s">
        <v>2386</v>
      </c>
      <c r="AR341" s="11" t="s">
        <v>2139</v>
      </c>
      <c r="AS341" s="36"/>
      <c r="AT341" s="11" t="s">
        <v>70</v>
      </c>
      <c r="AU341" s="11" t="s">
        <v>370</v>
      </c>
      <c r="AV341" s="13" t="s">
        <v>1871</v>
      </c>
      <c r="AW341" s="14"/>
      <c r="AX341" s="44"/>
    </row>
    <row r="342" spans="1:50" ht="38.25">
      <c r="A342" s="38" t="str">
        <f>VLOOKUP(Tableau1[[#This Row],[N° Département]],Feuil1!$C$6:$E$106,3)</f>
        <v>Ile-de-France</v>
      </c>
      <c r="B342" s="38" t="str">
        <f>VLOOKUP(Tableau1[[#This Row],[N° Département]],Feuil1!$C$6:$E$106,2)</f>
        <v>Seine-et-Marne</v>
      </c>
      <c r="C342" s="38">
        <f>LEFT(Tableau1[[#This Row],[Code Postal]],2)*1</f>
        <v>77</v>
      </c>
      <c r="D342" s="10" t="s">
        <v>2228</v>
      </c>
      <c r="E342" s="26">
        <v>77500</v>
      </c>
      <c r="F342" s="10" t="s">
        <v>2101</v>
      </c>
      <c r="G342" s="39" t="str">
        <f>Tableau1[[#This Row],[Rue]]&amp;CHAR(10)&amp;Tableau1[[#This Row],[Code Postal]]&amp;" - "&amp;Tableau1[[#This Row],[Ville]]</f>
        <v>Terre Ciel (Chelles 2) Avenue du Gendarme Castermant
77500 - Chelles</v>
      </c>
      <c r="H342" s="15" t="s">
        <v>2100</v>
      </c>
      <c r="I342" s="12" t="s">
        <v>47</v>
      </c>
      <c r="J342" s="12" t="s">
        <v>49</v>
      </c>
      <c r="K342" s="10" t="s">
        <v>98</v>
      </c>
      <c r="L342" s="10" t="s">
        <v>98</v>
      </c>
      <c r="M342" s="12" t="s">
        <v>98</v>
      </c>
      <c r="N342" s="36" t="s">
        <v>2117</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t="s">
        <v>2387</v>
      </c>
      <c r="AQ342" s="11" t="s">
        <v>2388</v>
      </c>
      <c r="AR342" s="11" t="s">
        <v>2140</v>
      </c>
      <c r="AS342" s="36"/>
      <c r="AT342" s="11" t="s">
        <v>70</v>
      </c>
      <c r="AU342" s="11" t="s">
        <v>370</v>
      </c>
      <c r="AV342" s="13" t="s">
        <v>1871</v>
      </c>
      <c r="AW342" s="14"/>
      <c r="AX342" s="44"/>
    </row>
    <row r="343" spans="1:50" ht="38.25">
      <c r="A343" s="38" t="str">
        <f>VLOOKUP(Tableau1[[#This Row],[N° Département]],Feuil1!$C$6:$E$106,3)</f>
        <v>Ile-de-France</v>
      </c>
      <c r="B343" s="38" t="str">
        <f>VLOOKUP(Tableau1[[#This Row],[N° Département]],Feuil1!$C$6:$E$106,2)</f>
        <v>Seine-et-Marne</v>
      </c>
      <c r="C343" s="38">
        <f>LEFT(Tableau1[[#This Row],[Code Postal]],2)*1</f>
        <v>77</v>
      </c>
      <c r="D343" s="10" t="s">
        <v>2228</v>
      </c>
      <c r="E343" s="26">
        <v>77500</v>
      </c>
      <c r="F343" s="10" t="s">
        <v>2101</v>
      </c>
      <c r="G343" s="39" t="str">
        <f>Tableau1[[#This Row],[Rue]]&amp;CHAR(10)&amp;Tableau1[[#This Row],[Code Postal]]&amp;" - "&amp;Tableau1[[#This Row],[Ville]]</f>
        <v>Terre Ciel (Chelles 2) Avenue du Gendarme Castermant
77500 - Chelles</v>
      </c>
      <c r="H343" s="15" t="s">
        <v>2100</v>
      </c>
      <c r="I343" s="12" t="s">
        <v>47</v>
      </c>
      <c r="J343" s="12" t="s">
        <v>49</v>
      </c>
      <c r="K343" s="10" t="s">
        <v>98</v>
      </c>
      <c r="L343" s="10" t="s">
        <v>98</v>
      </c>
      <c r="M343" s="12" t="s">
        <v>98</v>
      </c>
      <c r="N343" s="36" t="s">
        <v>2118</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t="s">
        <v>2389</v>
      </c>
      <c r="AQ343" s="11" t="s">
        <v>2390</v>
      </c>
      <c r="AR343" s="11" t="s">
        <v>2141</v>
      </c>
      <c r="AS343" s="36"/>
      <c r="AT343" s="11" t="s">
        <v>70</v>
      </c>
      <c r="AU343" s="11" t="s">
        <v>370</v>
      </c>
      <c r="AV343" s="13" t="s">
        <v>1871</v>
      </c>
      <c r="AW343" s="14"/>
      <c r="AX343" s="44"/>
    </row>
    <row r="344" spans="1:50" ht="38.25">
      <c r="A344" s="38" t="str">
        <f>VLOOKUP(Tableau1[[#This Row],[N° Département]],Feuil1!$C$6:$E$106,3)</f>
        <v>Ile-de-France</v>
      </c>
      <c r="B344" s="38" t="str">
        <f>VLOOKUP(Tableau1[[#This Row],[N° Département]],Feuil1!$C$6:$E$106,2)</f>
        <v>Seine-et-Marne</v>
      </c>
      <c r="C344" s="38">
        <f>LEFT(Tableau1[[#This Row],[Code Postal]],2)*1</f>
        <v>77</v>
      </c>
      <c r="D344" s="10" t="s">
        <v>2228</v>
      </c>
      <c r="E344" s="26">
        <v>77500</v>
      </c>
      <c r="F344" s="10" t="s">
        <v>2101</v>
      </c>
      <c r="G344" s="39" t="str">
        <f>Tableau1[[#This Row],[Rue]]&amp;CHAR(10)&amp;Tableau1[[#This Row],[Code Postal]]&amp;" - "&amp;Tableau1[[#This Row],[Ville]]</f>
        <v>Terre Ciel (Chelles 2) Avenue du Gendarme Castermant
77500 - Chelles</v>
      </c>
      <c r="H344" s="15" t="s">
        <v>2100</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t="s">
        <v>2391</v>
      </c>
      <c r="AQ344" s="11" t="s">
        <v>2392</v>
      </c>
      <c r="AR344" s="11" t="s">
        <v>2142</v>
      </c>
      <c r="AS344" s="36"/>
      <c r="AT344" s="11" t="s">
        <v>70</v>
      </c>
      <c r="AU344" s="11" t="s">
        <v>370</v>
      </c>
      <c r="AV344" s="13" t="s">
        <v>1871</v>
      </c>
      <c r="AW344" s="14"/>
      <c r="AX344" s="44"/>
    </row>
    <row r="345" spans="1:50" ht="38.25">
      <c r="A345" s="38" t="str">
        <f>VLOOKUP(Tableau1[[#This Row],[N° Département]],Feuil1!$C$6:$E$106,3)</f>
        <v>Ile-de-France</v>
      </c>
      <c r="B345" s="38" t="str">
        <f>VLOOKUP(Tableau1[[#This Row],[N° Département]],Feuil1!$C$6:$E$106,2)</f>
        <v>Seine-et-Marne</v>
      </c>
      <c r="C345" s="38">
        <f>LEFT(Tableau1[[#This Row],[Code Postal]],2)*1</f>
        <v>77</v>
      </c>
      <c r="D345" s="10" t="s">
        <v>2228</v>
      </c>
      <c r="E345" s="26">
        <v>77500</v>
      </c>
      <c r="F345" s="10" t="s">
        <v>2101</v>
      </c>
      <c r="G345" s="39" t="str">
        <f>Tableau1[[#This Row],[Rue]]&amp;CHAR(10)&amp;Tableau1[[#This Row],[Code Postal]]&amp;" - "&amp;Tableau1[[#This Row],[Ville]]</f>
        <v>Terre Ciel (Chelles 2) Avenue du Gendarme Castermant
77500 - Chelles</v>
      </c>
      <c r="H345" s="15" t="s">
        <v>2100</v>
      </c>
      <c r="I345" s="12" t="s">
        <v>47</v>
      </c>
      <c r="J345" s="12" t="s">
        <v>49</v>
      </c>
      <c r="K345" s="10" t="s">
        <v>98</v>
      </c>
      <c r="L345" s="10" t="s">
        <v>98</v>
      </c>
      <c r="M345" s="12" t="s">
        <v>98</v>
      </c>
      <c r="N345" s="36" t="s">
        <v>2119</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t="s">
        <v>2391</v>
      </c>
      <c r="AQ345" s="11" t="s">
        <v>2393</v>
      </c>
      <c r="AR345" s="11" t="s">
        <v>2143</v>
      </c>
      <c r="AS345" s="36"/>
      <c r="AT345" s="11" t="s">
        <v>70</v>
      </c>
      <c r="AU345" s="11" t="s">
        <v>370</v>
      </c>
      <c r="AV345" s="13" t="s">
        <v>1871</v>
      </c>
      <c r="AW345" s="14"/>
      <c r="AX345" s="44"/>
    </row>
    <row r="346" spans="1:50" ht="38.25">
      <c r="A346" s="38" t="str">
        <f>VLOOKUP(Tableau1[[#This Row],[N° Département]],Feuil1!$C$6:$E$106,3)</f>
        <v>Ile-de-France</v>
      </c>
      <c r="B346" s="38" t="str">
        <f>VLOOKUP(Tableau1[[#This Row],[N° Département]],Feuil1!$C$6:$E$106,2)</f>
        <v>Seine-et-Marne</v>
      </c>
      <c r="C346" s="38">
        <f>LEFT(Tableau1[[#This Row],[Code Postal]],2)*1</f>
        <v>77</v>
      </c>
      <c r="D346" s="10" t="s">
        <v>2228</v>
      </c>
      <c r="E346" s="26">
        <v>77500</v>
      </c>
      <c r="F346" s="10" t="s">
        <v>2101</v>
      </c>
      <c r="G346" s="39" t="str">
        <f>Tableau1[[#This Row],[Rue]]&amp;CHAR(10)&amp;Tableau1[[#This Row],[Code Postal]]&amp;" - "&amp;Tableau1[[#This Row],[Ville]]</f>
        <v>Terre Ciel (Chelles 2) Avenue du Gendarme Castermant
77500 - Chelles</v>
      </c>
      <c r="H346" s="15" t="s">
        <v>2100</v>
      </c>
      <c r="I346" s="12" t="s">
        <v>47</v>
      </c>
      <c r="J346" s="12" t="s">
        <v>49</v>
      </c>
      <c r="K346" s="10" t="s">
        <v>98</v>
      </c>
      <c r="L346" s="10" t="s">
        <v>98</v>
      </c>
      <c r="M346" s="12" t="s">
        <v>98</v>
      </c>
      <c r="N346" s="36" t="s">
        <v>2120</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t="s">
        <v>2394</v>
      </c>
      <c r="AQ346" s="11" t="s">
        <v>2395</v>
      </c>
      <c r="AR346" s="11" t="s">
        <v>2144</v>
      </c>
      <c r="AS346" s="36"/>
      <c r="AT346" s="11" t="s">
        <v>70</v>
      </c>
      <c r="AU346" s="11" t="s">
        <v>370</v>
      </c>
      <c r="AV346" s="13" t="s">
        <v>1871</v>
      </c>
      <c r="AW346" s="14"/>
      <c r="AX346" s="44"/>
    </row>
    <row r="347" spans="1:50" ht="38.25">
      <c r="A347" s="38" t="str">
        <f>VLOOKUP(Tableau1[[#This Row],[N° Département]],Feuil1!$C$6:$E$106,3)</f>
        <v>Ile-de-France</v>
      </c>
      <c r="B347" s="38" t="str">
        <f>VLOOKUP(Tableau1[[#This Row],[N° Département]],Feuil1!$C$6:$E$106,2)</f>
        <v>Seine-et-Marne</v>
      </c>
      <c r="C347" s="38">
        <f>LEFT(Tableau1[[#This Row],[Code Postal]],2)*1</f>
        <v>77</v>
      </c>
      <c r="D347" s="10" t="s">
        <v>2228</v>
      </c>
      <c r="E347" s="26">
        <v>77500</v>
      </c>
      <c r="F347" s="10" t="s">
        <v>2101</v>
      </c>
      <c r="G347" s="39" t="str">
        <f>Tableau1[[#This Row],[Rue]]&amp;CHAR(10)&amp;Tableau1[[#This Row],[Code Postal]]&amp;" - "&amp;Tableau1[[#This Row],[Ville]]</f>
        <v>Terre Ciel (Chelles 2) Avenue du Gendarme Castermant
77500 - Chelles</v>
      </c>
      <c r="H347" s="15" t="s">
        <v>2100</v>
      </c>
      <c r="I347" s="12" t="s">
        <v>47</v>
      </c>
      <c r="J347" s="12" t="s">
        <v>49</v>
      </c>
      <c r="K347" s="10" t="s">
        <v>98</v>
      </c>
      <c r="L347" s="10" t="s">
        <v>98</v>
      </c>
      <c r="M347" s="12" t="s">
        <v>98</v>
      </c>
      <c r="N347" s="36" t="s">
        <v>2121</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t="s">
        <v>2396</v>
      </c>
      <c r="AQ347" s="11" t="s">
        <v>2397</v>
      </c>
      <c r="AR347" s="11" t="s">
        <v>2145</v>
      </c>
      <c r="AS347" s="36"/>
      <c r="AT347" s="11" t="s">
        <v>70</v>
      </c>
      <c r="AU347" s="11" t="s">
        <v>370</v>
      </c>
      <c r="AV347" s="13" t="s">
        <v>1871</v>
      </c>
      <c r="AW347" s="14"/>
      <c r="AX347" s="44"/>
    </row>
    <row r="348" spans="1:50" ht="38.25">
      <c r="A348" s="38" t="str">
        <f>VLOOKUP(Tableau1[[#This Row],[N° Département]],Feuil1!$C$6:$E$106,3)</f>
        <v>Ile-de-France</v>
      </c>
      <c r="B348" s="38" t="str">
        <f>VLOOKUP(Tableau1[[#This Row],[N° Département]],Feuil1!$C$6:$E$106,2)</f>
        <v>Seine-et-Marne</v>
      </c>
      <c r="C348" s="38">
        <f>LEFT(Tableau1[[#This Row],[Code Postal]],2)*1</f>
        <v>77</v>
      </c>
      <c r="D348" s="10" t="s">
        <v>2228</v>
      </c>
      <c r="E348" s="26">
        <v>77500</v>
      </c>
      <c r="F348" s="10" t="s">
        <v>2101</v>
      </c>
      <c r="G348" s="39" t="str">
        <f>Tableau1[[#This Row],[Rue]]&amp;CHAR(10)&amp;Tableau1[[#This Row],[Code Postal]]&amp;" - "&amp;Tableau1[[#This Row],[Ville]]</f>
        <v>Terre Ciel (Chelles 2) Avenue du Gendarme Castermant
77500 - Chelles</v>
      </c>
      <c r="H348" s="15" t="s">
        <v>2100</v>
      </c>
      <c r="I348" s="12" t="s">
        <v>47</v>
      </c>
      <c r="J348" s="12" t="s">
        <v>49</v>
      </c>
      <c r="K348" s="10" t="s">
        <v>98</v>
      </c>
      <c r="L348" s="10" t="s">
        <v>98</v>
      </c>
      <c r="M348" s="12" t="s">
        <v>98</v>
      </c>
      <c r="N348" s="36" t="s">
        <v>2122</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t="s">
        <v>2398</v>
      </c>
      <c r="AQ348" s="11" t="s">
        <v>2399</v>
      </c>
      <c r="AR348" s="11" t="s">
        <v>2146</v>
      </c>
      <c r="AS348" s="36"/>
      <c r="AT348" s="11" t="s">
        <v>70</v>
      </c>
      <c r="AU348" s="11" t="s">
        <v>370</v>
      </c>
      <c r="AV348" s="13" t="s">
        <v>1871</v>
      </c>
      <c r="AW348" s="14"/>
      <c r="AX348" s="44"/>
    </row>
    <row r="349" spans="1:50" ht="38.25">
      <c r="A349" s="38" t="str">
        <f>VLOOKUP(Tableau1[[#This Row],[N° Département]],Feuil1!$C$6:$E$106,3)</f>
        <v>Ile-de-France</v>
      </c>
      <c r="B349" s="38" t="str">
        <f>VLOOKUP(Tableau1[[#This Row],[N° Département]],Feuil1!$C$6:$E$106,2)</f>
        <v>Seine-et-Marne</v>
      </c>
      <c r="C349" s="38">
        <f>LEFT(Tableau1[[#This Row],[Code Postal]],2)*1</f>
        <v>77</v>
      </c>
      <c r="D349" s="10" t="s">
        <v>2228</v>
      </c>
      <c r="E349" s="26">
        <v>77500</v>
      </c>
      <c r="F349" s="10" t="s">
        <v>2101</v>
      </c>
      <c r="G349" s="39" t="str">
        <f>Tableau1[[#This Row],[Rue]]&amp;CHAR(10)&amp;Tableau1[[#This Row],[Code Postal]]&amp;" - "&amp;Tableau1[[#This Row],[Ville]]</f>
        <v>Terre Ciel (Chelles 2) Avenue du Gendarme Castermant
77500 - Chelles</v>
      </c>
      <c r="H349" s="15" t="s">
        <v>2100</v>
      </c>
      <c r="I349" s="12" t="s">
        <v>47</v>
      </c>
      <c r="J349" s="12" t="s">
        <v>49</v>
      </c>
      <c r="K349" s="10" t="s">
        <v>98</v>
      </c>
      <c r="L349" s="10" t="s">
        <v>98</v>
      </c>
      <c r="M349" s="12" t="s">
        <v>98</v>
      </c>
      <c r="N349" s="36" t="s">
        <v>2123</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t="s">
        <v>2400</v>
      </c>
      <c r="AQ349" s="11" t="s">
        <v>2401</v>
      </c>
      <c r="AR349" s="11" t="s">
        <v>2147</v>
      </c>
      <c r="AS349" s="36"/>
      <c r="AT349" s="11" t="s">
        <v>70</v>
      </c>
      <c r="AU349" s="11" t="s">
        <v>370</v>
      </c>
      <c r="AV349" s="13" t="s">
        <v>1871</v>
      </c>
      <c r="AW349" s="14"/>
      <c r="AX349" s="44"/>
    </row>
    <row r="350" spans="1:50" ht="38.25">
      <c r="A350" s="38" t="str">
        <f>VLOOKUP(Tableau1[[#This Row],[N° Département]],Feuil1!$C$6:$E$106,3)</f>
        <v>Ile-de-France</v>
      </c>
      <c r="B350" s="38" t="str">
        <f>VLOOKUP(Tableau1[[#This Row],[N° Département]],Feuil1!$C$6:$E$106,2)</f>
        <v>Seine-et-Marne</v>
      </c>
      <c r="C350" s="38">
        <f>LEFT(Tableau1[[#This Row],[Code Postal]],2)*1</f>
        <v>77</v>
      </c>
      <c r="D350" s="10" t="s">
        <v>2228</v>
      </c>
      <c r="E350" s="26">
        <v>77500</v>
      </c>
      <c r="F350" s="10" t="s">
        <v>2101</v>
      </c>
      <c r="G350" s="39" t="str">
        <f>Tableau1[[#This Row],[Rue]]&amp;CHAR(10)&amp;Tableau1[[#This Row],[Code Postal]]&amp;" - "&amp;Tableau1[[#This Row],[Ville]]</f>
        <v>Terre Ciel (Chelles 2) Avenue du Gendarme Castermant
77500 - Chelles</v>
      </c>
      <c r="H350" s="15" t="s">
        <v>2100</v>
      </c>
      <c r="I350" s="12" t="s">
        <v>47</v>
      </c>
      <c r="J350" s="12" t="s">
        <v>49</v>
      </c>
      <c r="K350" s="10" t="s">
        <v>98</v>
      </c>
      <c r="L350" s="10" t="s">
        <v>98</v>
      </c>
      <c r="M350" s="12" t="s">
        <v>98</v>
      </c>
      <c r="N350" s="36" t="s">
        <v>2124</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t="s">
        <v>2402</v>
      </c>
      <c r="AQ350" s="11" t="s">
        <v>2403</v>
      </c>
      <c r="AR350" s="11" t="s">
        <v>2148</v>
      </c>
      <c r="AS350" s="36"/>
      <c r="AT350" s="11" t="s">
        <v>70</v>
      </c>
      <c r="AU350" s="11" t="s">
        <v>370</v>
      </c>
      <c r="AV350" s="13" t="s">
        <v>1871</v>
      </c>
      <c r="AW350" s="14"/>
      <c r="AX350" s="44"/>
    </row>
    <row r="351" spans="1:50" ht="38.25">
      <c r="A351" s="38" t="str">
        <f>VLOOKUP(Tableau1[[#This Row],[N° Département]],Feuil1!$C$6:$E$106,3)</f>
        <v>Ile-de-France</v>
      </c>
      <c r="B351" s="38" t="str">
        <f>VLOOKUP(Tableau1[[#This Row],[N° Département]],Feuil1!$C$6:$E$106,2)</f>
        <v>Seine-et-Marne</v>
      </c>
      <c r="C351" s="38">
        <f>LEFT(Tableau1[[#This Row],[Code Postal]],2)*1</f>
        <v>77</v>
      </c>
      <c r="D351" s="10" t="s">
        <v>2228</v>
      </c>
      <c r="E351" s="26">
        <v>77500</v>
      </c>
      <c r="F351" s="10" t="s">
        <v>2101</v>
      </c>
      <c r="G351" s="39" t="str">
        <f>Tableau1[[#This Row],[Rue]]&amp;CHAR(10)&amp;Tableau1[[#This Row],[Code Postal]]&amp;" - "&amp;Tableau1[[#This Row],[Ville]]</f>
        <v>Terre Ciel (Chelles 2) Avenue du Gendarme Castermant
77500 - Chelles</v>
      </c>
      <c r="H351" s="15" t="s">
        <v>2100</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t="s">
        <v>2404</v>
      </c>
      <c r="AQ351" s="11" t="s">
        <v>2405</v>
      </c>
      <c r="AR351" s="11" t="s">
        <v>2149</v>
      </c>
      <c r="AS351" s="36"/>
      <c r="AT351" s="11" t="s">
        <v>70</v>
      </c>
      <c r="AU351" s="11" t="s">
        <v>370</v>
      </c>
      <c r="AV351" s="13" t="s">
        <v>1871</v>
      </c>
      <c r="AW351" s="14"/>
      <c r="AX351" s="44"/>
    </row>
    <row r="352" spans="1:50" ht="38.25">
      <c r="A352" s="38" t="str">
        <f>VLOOKUP(Tableau1[[#This Row],[N° Département]],Feuil1!$C$6:$E$106,3)</f>
        <v>Ile-de-France</v>
      </c>
      <c r="B352" s="38" t="str">
        <f>VLOOKUP(Tableau1[[#This Row],[N° Département]],Feuil1!$C$6:$E$106,2)</f>
        <v>Seine-et-Marne</v>
      </c>
      <c r="C352" s="38">
        <f>LEFT(Tableau1[[#This Row],[Code Postal]],2)*1</f>
        <v>77</v>
      </c>
      <c r="D352" s="10" t="s">
        <v>2228</v>
      </c>
      <c r="E352" s="26">
        <v>77500</v>
      </c>
      <c r="F352" s="10" t="s">
        <v>2101</v>
      </c>
      <c r="G352" s="39" t="str">
        <f>Tableau1[[#This Row],[Rue]]&amp;CHAR(10)&amp;Tableau1[[#This Row],[Code Postal]]&amp;" - "&amp;Tableau1[[#This Row],[Ville]]</f>
        <v>Terre Ciel (Chelles 2) Avenue du Gendarme Castermant
77500 - Chelles</v>
      </c>
      <c r="H352" s="15" t="s">
        <v>2100</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t="s">
        <v>2406</v>
      </c>
      <c r="AQ352" s="11" t="s">
        <v>2407</v>
      </c>
      <c r="AR352" s="11" t="s">
        <v>2150</v>
      </c>
      <c r="AS352" s="36"/>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2154</v>
      </c>
      <c r="E353" s="48" t="s">
        <v>2152</v>
      </c>
      <c r="F353" s="10" t="s">
        <v>2153</v>
      </c>
      <c r="G353" s="39" t="str">
        <f>Tableau1[[#This Row],[Rue]]&amp;CHAR(10)&amp;Tableau1[[#This Row],[Code Postal]]&amp;" - "&amp;Tableau1[[#This Row],[Ville]]</f>
        <v>Cc Terre Neuve, Route De Guéret
03 410 - Domérat</v>
      </c>
      <c r="H353" s="15" t="s">
        <v>2151</v>
      </c>
      <c r="I353" s="12" t="s">
        <v>47</v>
      </c>
      <c r="J353" s="12" t="s">
        <v>49</v>
      </c>
      <c r="K353" s="10" t="s">
        <v>98</v>
      </c>
      <c r="L353" s="10" t="s">
        <v>98</v>
      </c>
      <c r="M353" s="12" t="s">
        <v>98</v>
      </c>
      <c r="N353" s="36" t="s">
        <v>2155</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2185</v>
      </c>
      <c r="AQ353" s="11" t="s">
        <v>2186</v>
      </c>
      <c r="AR353" s="11" t="s">
        <v>2164</v>
      </c>
      <c r="AS353" s="36" t="s">
        <v>2183</v>
      </c>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2154</v>
      </c>
      <c r="E354" s="49" t="s">
        <v>2152</v>
      </c>
      <c r="F354" s="10" t="s">
        <v>2153</v>
      </c>
      <c r="G354" s="39" t="str">
        <f>Tableau1[[#This Row],[Rue]]&amp;CHAR(10)&amp;Tableau1[[#This Row],[Code Postal]]&amp;" - "&amp;Tableau1[[#This Row],[Ville]]</f>
        <v>Cc Terre Neuve, Route De Guéret
03 410 - Domérat</v>
      </c>
      <c r="H354" s="15" t="s">
        <v>2151</v>
      </c>
      <c r="I354" s="12" t="s">
        <v>47</v>
      </c>
      <c r="J354" s="12" t="s">
        <v>49</v>
      </c>
      <c r="K354" s="10" t="s">
        <v>98</v>
      </c>
      <c r="L354" s="10" t="s">
        <v>98</v>
      </c>
      <c r="M354" s="12" t="s">
        <v>98</v>
      </c>
      <c r="N354" s="36" t="s">
        <v>2156</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2187</v>
      </c>
      <c r="AQ354" s="11" t="s">
        <v>2188</v>
      </c>
      <c r="AR354" s="11" t="s">
        <v>2165</v>
      </c>
      <c r="AS354" s="36" t="s">
        <v>2183</v>
      </c>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2154</v>
      </c>
      <c r="E355" s="49" t="s">
        <v>2152</v>
      </c>
      <c r="F355" s="10" t="s">
        <v>2153</v>
      </c>
      <c r="G355" s="39" t="str">
        <f>Tableau1[[#This Row],[Rue]]&amp;CHAR(10)&amp;Tableau1[[#This Row],[Code Postal]]&amp;" - "&amp;Tableau1[[#This Row],[Ville]]</f>
        <v>Cc Terre Neuve, Route De Guéret
03 410 - Domérat</v>
      </c>
      <c r="H355" s="15" t="s">
        <v>2151</v>
      </c>
      <c r="I355" s="12" t="s">
        <v>47</v>
      </c>
      <c r="J355" s="12" t="s">
        <v>49</v>
      </c>
      <c r="K355" s="10" t="s">
        <v>98</v>
      </c>
      <c r="L355" s="10" t="s">
        <v>98</v>
      </c>
      <c r="M355" s="12" t="s">
        <v>98</v>
      </c>
      <c r="N355" s="36" t="s">
        <v>2157</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2184</v>
      </c>
      <c r="AQ355" s="11" t="s">
        <v>2189</v>
      </c>
      <c r="AR355" s="11" t="s">
        <v>2166</v>
      </c>
      <c r="AS355" s="36" t="s">
        <v>2183</v>
      </c>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2154</v>
      </c>
      <c r="E356" s="49" t="s">
        <v>2152</v>
      </c>
      <c r="F356" s="10" t="s">
        <v>2153</v>
      </c>
      <c r="G356" s="39" t="str">
        <f>Tableau1[[#This Row],[Rue]]&amp;CHAR(10)&amp;Tableau1[[#This Row],[Code Postal]]&amp;" - "&amp;Tableau1[[#This Row],[Ville]]</f>
        <v>Cc Terre Neuve, Route De Guéret
03 410 - Domérat</v>
      </c>
      <c r="H356" s="15" t="s">
        <v>2151</v>
      </c>
      <c r="I356" s="12" t="s">
        <v>47</v>
      </c>
      <c r="J356" s="12" t="s">
        <v>49</v>
      </c>
      <c r="K356" s="10" t="s">
        <v>98</v>
      </c>
      <c r="L356" s="10" t="s">
        <v>98</v>
      </c>
      <c r="M356" s="12" t="s">
        <v>98</v>
      </c>
      <c r="N356" s="36" t="s">
        <v>2158</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2190</v>
      </c>
      <c r="AQ356" s="11" t="s">
        <v>2191</v>
      </c>
      <c r="AR356" s="11" t="s">
        <v>2167</v>
      </c>
      <c r="AS356" s="36" t="s">
        <v>2183</v>
      </c>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2154</v>
      </c>
      <c r="E357" s="49" t="s">
        <v>2152</v>
      </c>
      <c r="F357" s="10" t="s">
        <v>2153</v>
      </c>
      <c r="G357" s="39" t="str">
        <f>Tableau1[[#This Row],[Rue]]&amp;CHAR(10)&amp;Tableau1[[#This Row],[Code Postal]]&amp;" - "&amp;Tableau1[[#This Row],[Ville]]</f>
        <v>Cc Terre Neuve, Route De Guéret
03 410 - Domérat</v>
      </c>
      <c r="H357" s="15" t="s">
        <v>2151</v>
      </c>
      <c r="I357" s="12" t="s">
        <v>47</v>
      </c>
      <c r="J357" s="12" t="s">
        <v>49</v>
      </c>
      <c r="K357" s="10" t="s">
        <v>98</v>
      </c>
      <c r="L357" s="10" t="s">
        <v>98</v>
      </c>
      <c r="M357" s="12" t="s">
        <v>98</v>
      </c>
      <c r="N357" s="36" t="s">
        <v>2161</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2173</v>
      </c>
      <c r="AQ357" s="11" t="s">
        <v>2174</v>
      </c>
      <c r="AR357" s="11" t="s">
        <v>2168</v>
      </c>
      <c r="AS357" s="36" t="s">
        <v>2183</v>
      </c>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2154</v>
      </c>
      <c r="E358" s="49" t="s">
        <v>2152</v>
      </c>
      <c r="F358" s="10" t="s">
        <v>2153</v>
      </c>
      <c r="G358" s="39" t="str">
        <f>Tableau1[[#This Row],[Rue]]&amp;CHAR(10)&amp;Tableau1[[#This Row],[Code Postal]]&amp;" - "&amp;Tableau1[[#This Row],[Ville]]</f>
        <v>Cc Terre Neuve, Route De Guéret
03 410 - Domérat</v>
      </c>
      <c r="H358" s="15" t="s">
        <v>2151</v>
      </c>
      <c r="I358" s="12" t="s">
        <v>47</v>
      </c>
      <c r="J358" s="12" t="s">
        <v>49</v>
      </c>
      <c r="K358" s="10" t="s">
        <v>98</v>
      </c>
      <c r="L358" s="10" t="s">
        <v>98</v>
      </c>
      <c r="M358" s="12" t="s">
        <v>98</v>
      </c>
      <c r="N358" s="36" t="s">
        <v>2159</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2175</v>
      </c>
      <c r="AQ358" s="11" t="s">
        <v>2176</v>
      </c>
      <c r="AR358" s="11" t="s">
        <v>2169</v>
      </c>
      <c r="AS358" s="36" t="s">
        <v>2183</v>
      </c>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2154</v>
      </c>
      <c r="E359" s="49" t="s">
        <v>2152</v>
      </c>
      <c r="F359" s="10" t="s">
        <v>2153</v>
      </c>
      <c r="G359" s="39" t="str">
        <f>Tableau1[[#This Row],[Rue]]&amp;CHAR(10)&amp;Tableau1[[#This Row],[Code Postal]]&amp;" - "&amp;Tableau1[[#This Row],[Ville]]</f>
        <v>Cc Terre Neuve, Route De Guéret
03 410 - Domérat</v>
      </c>
      <c r="H359" s="15" t="s">
        <v>2151</v>
      </c>
      <c r="I359" s="12" t="s">
        <v>47</v>
      </c>
      <c r="J359" s="12" t="s">
        <v>49</v>
      </c>
      <c r="K359" s="10" t="s">
        <v>98</v>
      </c>
      <c r="L359" s="10" t="s">
        <v>98</v>
      </c>
      <c r="M359" s="12" t="s">
        <v>98</v>
      </c>
      <c r="N359" s="36" t="s">
        <v>2160</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2177</v>
      </c>
      <c r="AQ359" s="11" t="s">
        <v>2178</v>
      </c>
      <c r="AR359" s="11" t="s">
        <v>2170</v>
      </c>
      <c r="AS359" s="36" t="s">
        <v>2183</v>
      </c>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2154</v>
      </c>
      <c r="E360" s="49" t="s">
        <v>2152</v>
      </c>
      <c r="F360" s="10" t="s">
        <v>2153</v>
      </c>
      <c r="G360" s="39" t="str">
        <f>Tableau1[[#This Row],[Rue]]&amp;CHAR(10)&amp;Tableau1[[#This Row],[Code Postal]]&amp;" - "&amp;Tableau1[[#This Row],[Ville]]</f>
        <v>Cc Terre Neuve, Route De Guéret
03 410 - Domérat</v>
      </c>
      <c r="H360" s="15" t="s">
        <v>2151</v>
      </c>
      <c r="I360" s="12" t="s">
        <v>47</v>
      </c>
      <c r="J360" s="12" t="s">
        <v>49</v>
      </c>
      <c r="K360" s="10" t="s">
        <v>98</v>
      </c>
      <c r="L360" s="10" t="s">
        <v>98</v>
      </c>
      <c r="M360" s="12" t="s">
        <v>98</v>
      </c>
      <c r="N360" s="36" t="s">
        <v>2162</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2179</v>
      </c>
      <c r="AQ360" s="11" t="s">
        <v>2180</v>
      </c>
      <c r="AR360" s="11" t="s">
        <v>2171</v>
      </c>
      <c r="AS360" s="36" t="s">
        <v>2183</v>
      </c>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2154</v>
      </c>
      <c r="E361" s="49" t="s">
        <v>2152</v>
      </c>
      <c r="F361" s="10" t="s">
        <v>2153</v>
      </c>
      <c r="G361" s="39" t="str">
        <f>Tableau1[[#This Row],[Rue]]&amp;CHAR(10)&amp;Tableau1[[#This Row],[Code Postal]]&amp;" - "&amp;Tableau1[[#This Row],[Ville]]</f>
        <v>Cc Terre Neuve, Route De Guéret
03 410 - Domérat</v>
      </c>
      <c r="H361" s="15" t="s">
        <v>2151</v>
      </c>
      <c r="I361" s="12" t="s">
        <v>47</v>
      </c>
      <c r="J361" s="12" t="s">
        <v>49</v>
      </c>
      <c r="K361" s="10" t="s">
        <v>98</v>
      </c>
      <c r="L361" s="10" t="s">
        <v>98</v>
      </c>
      <c r="M361" s="12" t="s">
        <v>98</v>
      </c>
      <c r="N361" s="36" t="s">
        <v>2163</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2181</v>
      </c>
      <c r="AQ361" s="11" t="s">
        <v>2182</v>
      </c>
      <c r="AR361" s="11" t="s">
        <v>2172</v>
      </c>
      <c r="AS361" s="36" t="s">
        <v>2183</v>
      </c>
      <c r="AT361" s="11" t="s">
        <v>70</v>
      </c>
      <c r="AU361" s="11" t="s">
        <v>370</v>
      </c>
      <c r="AV361" s="13" t="s">
        <v>1871</v>
      </c>
      <c r="AW361" s="14"/>
      <c r="AX361" s="44"/>
    </row>
    <row r="362" spans="1:50" ht="25.5">
      <c r="A362" s="38" t="str">
        <f>VLOOKUP(Tableau1[[#This Row],[N° Département]],Feuil1!$C$6:$E$106,3)</f>
        <v>Centre-Val de Loire</v>
      </c>
      <c r="B362" s="38" t="str">
        <f>VLOOKUP(Tableau1[[#This Row],[N° Département]],Feuil1!$C$6:$E$106,2)</f>
        <v>Loiret</v>
      </c>
      <c r="C362" s="38">
        <f>LEFT(Tableau1[[#This Row],[Code Postal]],2)*1</f>
        <v>45</v>
      </c>
      <c r="D362" s="10" t="s">
        <v>2195</v>
      </c>
      <c r="E362" s="26">
        <v>45500</v>
      </c>
      <c r="F362" s="10" t="s">
        <v>2193</v>
      </c>
      <c r="G362" s="39" t="str">
        <f>Tableau1[[#This Row],[Rue]]&amp;CHAR(10)&amp;Tableau1[[#This Row],[Code Postal]]&amp;" - "&amp;Tableau1[[#This Row],[Ville]]</f>
        <v>3 Rue de la Fabrique
45500 - Gien</v>
      </c>
      <c r="H362" s="15" t="s">
        <v>2196</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c r="AM362" s="11"/>
      <c r="AN362" s="11" t="s">
        <v>1386</v>
      </c>
      <c r="AO362" s="5" t="s">
        <v>361</v>
      </c>
      <c r="AP362" s="11" t="s">
        <v>2202</v>
      </c>
      <c r="AQ362" s="11" t="s">
        <v>2203</v>
      </c>
      <c r="AR362" s="11" t="s">
        <v>2197</v>
      </c>
      <c r="AS362" s="36" t="s">
        <v>2212</v>
      </c>
      <c r="AT362" s="11" t="s">
        <v>70</v>
      </c>
      <c r="AU362" s="11" t="s">
        <v>370</v>
      </c>
      <c r="AV362" s="13" t="s">
        <v>1871</v>
      </c>
      <c r="AW362" s="14"/>
      <c r="AX362" s="44"/>
    </row>
    <row r="363" spans="1:50" ht="25.5">
      <c r="A363" s="38" t="str">
        <f>VLOOKUP(Tableau1[[#This Row],[N° Département]],Feuil1!$C$6:$E$106,3)</f>
        <v>Centre-Val de Loire</v>
      </c>
      <c r="B363" s="38" t="str">
        <f>VLOOKUP(Tableau1[[#This Row],[N° Département]],Feuil1!$C$6:$E$106,2)</f>
        <v>Loiret</v>
      </c>
      <c r="C363" s="38">
        <f>LEFT(Tableau1[[#This Row],[Code Postal]],2)*1</f>
        <v>45</v>
      </c>
      <c r="D363" s="10" t="s">
        <v>2195</v>
      </c>
      <c r="E363" s="26">
        <v>45500</v>
      </c>
      <c r="F363" s="10" t="s">
        <v>2193</v>
      </c>
      <c r="G363" s="39" t="str">
        <f>Tableau1[[#This Row],[Rue]]&amp;CHAR(10)&amp;Tableau1[[#This Row],[Code Postal]]&amp;" - "&amp;Tableau1[[#This Row],[Ville]]</f>
        <v>3 Rue de la Fabrique
45500 - Gien</v>
      </c>
      <c r="H363" s="15" t="s">
        <v>2196</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c r="AM363" s="11"/>
      <c r="AN363" s="11" t="s">
        <v>1386</v>
      </c>
      <c r="AO363" s="5" t="s">
        <v>361</v>
      </c>
      <c r="AP363" s="11" t="s">
        <v>2204</v>
      </c>
      <c r="AQ363" s="11" t="s">
        <v>2205</v>
      </c>
      <c r="AR363" s="11" t="s">
        <v>2198</v>
      </c>
      <c r="AS363" s="36" t="s">
        <v>2212</v>
      </c>
      <c r="AT363" s="11" t="s">
        <v>70</v>
      </c>
      <c r="AU363" s="11" t="s">
        <v>370</v>
      </c>
      <c r="AV363" s="13" t="s">
        <v>1871</v>
      </c>
      <c r="AW363" s="14"/>
      <c r="AX363" s="44"/>
    </row>
    <row r="364" spans="1:50" ht="25.5">
      <c r="A364" s="38" t="str">
        <f>VLOOKUP(Tableau1[[#This Row],[N° Département]],Feuil1!$C$6:$E$106,3)</f>
        <v>Centre-Val de Loire</v>
      </c>
      <c r="B364" s="38" t="str">
        <f>VLOOKUP(Tableau1[[#This Row],[N° Département]],Feuil1!$C$6:$E$106,2)</f>
        <v>Loiret</v>
      </c>
      <c r="C364" s="38">
        <f>LEFT(Tableau1[[#This Row],[Code Postal]],2)*1</f>
        <v>45</v>
      </c>
      <c r="D364" s="10" t="s">
        <v>2195</v>
      </c>
      <c r="E364" s="26">
        <v>45500</v>
      </c>
      <c r="F364" s="10" t="s">
        <v>2193</v>
      </c>
      <c r="G364" s="39" t="str">
        <f>Tableau1[[#This Row],[Rue]]&amp;CHAR(10)&amp;Tableau1[[#This Row],[Code Postal]]&amp;" - "&amp;Tableau1[[#This Row],[Ville]]</f>
        <v>3 Rue de la Fabrique
45500 - Gien</v>
      </c>
      <c r="H364" s="15" t="s">
        <v>2196</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c r="AM364" s="11"/>
      <c r="AN364" s="11" t="s">
        <v>1386</v>
      </c>
      <c r="AO364" s="5" t="s">
        <v>361</v>
      </c>
      <c r="AP364" s="11" t="s">
        <v>2206</v>
      </c>
      <c r="AQ364" s="11" t="s">
        <v>2207</v>
      </c>
      <c r="AR364" s="11" t="s">
        <v>2199</v>
      </c>
      <c r="AS364" s="36" t="s">
        <v>2212</v>
      </c>
      <c r="AT364" s="11" t="s">
        <v>70</v>
      </c>
      <c r="AU364" s="11" t="s">
        <v>370</v>
      </c>
      <c r="AV364" s="13" t="s">
        <v>1871</v>
      </c>
      <c r="AW364" s="14"/>
      <c r="AX364" s="44"/>
    </row>
    <row r="365" spans="1:50" ht="25.5">
      <c r="A365" s="38" t="str">
        <f>VLOOKUP(Tableau1[[#This Row],[N° Département]],Feuil1!$C$6:$E$106,3)</f>
        <v>Centre-Val de Loire</v>
      </c>
      <c r="B365" s="38" t="str">
        <f>VLOOKUP(Tableau1[[#This Row],[N° Département]],Feuil1!$C$6:$E$106,2)</f>
        <v>Loiret</v>
      </c>
      <c r="C365" s="38">
        <f>LEFT(Tableau1[[#This Row],[Code Postal]],2)*1</f>
        <v>45</v>
      </c>
      <c r="D365" s="10" t="s">
        <v>2195</v>
      </c>
      <c r="E365" s="26">
        <v>45500</v>
      </c>
      <c r="F365" s="10" t="s">
        <v>2193</v>
      </c>
      <c r="G365" s="39" t="str">
        <f>Tableau1[[#This Row],[Rue]]&amp;CHAR(10)&amp;Tableau1[[#This Row],[Code Postal]]&amp;" - "&amp;Tableau1[[#This Row],[Ville]]</f>
        <v>3 Rue de la Fabrique
45500 - Gien</v>
      </c>
      <c r="H365" s="15" t="s">
        <v>2196</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c r="AM365" s="11"/>
      <c r="AN365" s="11" t="s">
        <v>1386</v>
      </c>
      <c r="AO365" s="5" t="s">
        <v>361</v>
      </c>
      <c r="AP365" s="11" t="s">
        <v>2208</v>
      </c>
      <c r="AQ365" s="11" t="s">
        <v>2209</v>
      </c>
      <c r="AR365" s="11" t="s">
        <v>2200</v>
      </c>
      <c r="AS365" s="36" t="s">
        <v>2212</v>
      </c>
      <c r="AT365" s="11" t="s">
        <v>70</v>
      </c>
      <c r="AU365" s="11" t="s">
        <v>370</v>
      </c>
      <c r="AV365" s="13" t="s">
        <v>1871</v>
      </c>
      <c r="AW365" s="14"/>
      <c r="AX365" s="44"/>
    </row>
    <row r="366" spans="1:50" ht="25.5">
      <c r="A366" s="38" t="str">
        <f>VLOOKUP(Tableau1[[#This Row],[N° Département]],Feuil1!$C$6:$E$106,3)</f>
        <v>Centre-Val de Loire</v>
      </c>
      <c r="B366" s="38" t="str">
        <f>VLOOKUP(Tableau1[[#This Row],[N° Département]],Feuil1!$C$6:$E$106,2)</f>
        <v>Loiret</v>
      </c>
      <c r="C366" s="38">
        <f>LEFT(Tableau1[[#This Row],[Code Postal]],2)*1</f>
        <v>45</v>
      </c>
      <c r="D366" s="10" t="s">
        <v>2195</v>
      </c>
      <c r="E366" s="26">
        <v>45500</v>
      </c>
      <c r="F366" s="10" t="s">
        <v>2193</v>
      </c>
      <c r="G366" s="39" t="str">
        <f>Tableau1[[#This Row],[Rue]]&amp;CHAR(10)&amp;Tableau1[[#This Row],[Code Postal]]&amp;" - "&amp;Tableau1[[#This Row],[Ville]]</f>
        <v>3 Rue de la Fabrique
45500 - Gien</v>
      </c>
      <c r="H366" s="15" t="s">
        <v>2196</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c r="AM366" s="11"/>
      <c r="AN366" s="11" t="s">
        <v>1386</v>
      </c>
      <c r="AO366" s="5" t="s">
        <v>361</v>
      </c>
      <c r="AP366" s="11" t="s">
        <v>2210</v>
      </c>
      <c r="AQ366" s="11" t="s">
        <v>2211</v>
      </c>
      <c r="AR366" s="11" t="s">
        <v>2201</v>
      </c>
      <c r="AS366" s="36" t="s">
        <v>2212</v>
      </c>
      <c r="AT366" s="11" t="s">
        <v>70</v>
      </c>
      <c r="AU366" s="11" t="s">
        <v>370</v>
      </c>
      <c r="AV366" s="13" t="s">
        <v>1871</v>
      </c>
      <c r="AW366" s="14"/>
      <c r="AX366" s="44"/>
    </row>
    <row r="367" spans="1:50" ht="25.5">
      <c r="A367" s="38" t="str">
        <f>VLOOKUP(Tableau1[[#This Row],[N° Département]],Feuil1!$C$6:$E$106,3)</f>
        <v>Bretagne</v>
      </c>
      <c r="B367" s="38" t="str">
        <f>VLOOKUP(Tableau1[[#This Row],[N° Département]],Feuil1!$C$6:$E$106,2)</f>
        <v>Côtes d'Armor</v>
      </c>
      <c r="C367" s="38">
        <f>LEFT(Tableau1[[#This Row],[Code Postal]],2)*1</f>
        <v>22</v>
      </c>
      <c r="D367" s="10" t="s">
        <v>2225</v>
      </c>
      <c r="E367" s="26">
        <v>22200</v>
      </c>
      <c r="F367" s="10" t="s">
        <v>2214</v>
      </c>
      <c r="G367" s="39" t="str">
        <f>Tableau1[[#This Row],[Rue]]&amp;CHAR(10)&amp;Tableau1[[#This Row],[Code Postal]]&amp;" - "&amp;Tableau1[[#This Row],[Ville]]</f>
        <v>Carrefour , Rond-Point Kennedy
22200 - Grâces</v>
      </c>
      <c r="H367" s="15" t="s">
        <v>2213</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c r="AM367" s="11"/>
      <c r="AN367" s="11" t="s">
        <v>1386</v>
      </c>
      <c r="AO367" s="5" t="s">
        <v>361</v>
      </c>
      <c r="AP367" s="11" t="s">
        <v>2216</v>
      </c>
      <c r="AQ367" s="11" t="s">
        <v>2217</v>
      </c>
      <c r="AR367" s="11">
        <v>95</v>
      </c>
      <c r="AS367" s="36" t="s">
        <v>2215</v>
      </c>
      <c r="AT367" s="11" t="s">
        <v>70</v>
      </c>
      <c r="AU367" s="11" t="s">
        <v>370</v>
      </c>
      <c r="AV367" s="13" t="s">
        <v>1871</v>
      </c>
      <c r="AW367" s="14"/>
      <c r="AX367" s="44"/>
    </row>
    <row r="368" spans="1:50" ht="25.5">
      <c r="A368" s="38" t="str">
        <f>VLOOKUP(Tableau1[[#This Row],[N° Département]],Feuil1!$C$6:$E$106,3)</f>
        <v>Ile-de-France</v>
      </c>
      <c r="B368" s="38" t="str">
        <f>VLOOKUP(Tableau1[[#This Row],[N° Département]],Feuil1!$C$6:$E$106,2)</f>
        <v>Essonne</v>
      </c>
      <c r="C368" s="38">
        <f>LEFT(Tableau1[[#This Row],[Code Postal]],2)*1</f>
        <v>91</v>
      </c>
      <c r="D368" s="10" t="s">
        <v>2226</v>
      </c>
      <c r="E368" s="26">
        <v>91310</v>
      </c>
      <c r="F368" s="10" t="s">
        <v>2219</v>
      </c>
      <c r="G368" s="39" t="str">
        <f>Tableau1[[#This Row],[Rue]]&amp;CHAR(10)&amp;Tableau1[[#This Row],[Code Postal]]&amp;" - "&amp;Tableau1[[#This Row],[Ville]]</f>
        <v>Auchan, 3 Rue du 8 Mai 1945
91310 - Leuville-sur-Orge</v>
      </c>
      <c r="H368" s="15" t="s">
        <v>2218</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c r="AM368" s="11"/>
      <c r="AN368" s="11" t="s">
        <v>1386</v>
      </c>
      <c r="AO368" s="5" t="s">
        <v>361</v>
      </c>
      <c r="AP368" s="11" t="s">
        <v>2220</v>
      </c>
      <c r="AQ368" s="11" t="s">
        <v>2221</v>
      </c>
      <c r="AR368" s="11">
        <v>96</v>
      </c>
      <c r="AS368" s="36" t="s">
        <v>2222</v>
      </c>
      <c r="AT368" s="11" t="s">
        <v>70</v>
      </c>
      <c r="AU368" s="11" t="s">
        <v>370</v>
      </c>
      <c r="AV368" s="13" t="s">
        <v>1871</v>
      </c>
      <c r="AW368" s="14"/>
      <c r="AX368" s="44"/>
    </row>
    <row r="369" spans="1:50" ht="25.5">
      <c r="A369" s="38" t="str">
        <f>VLOOKUP(Tableau1[[#This Row],[N° Département]],Feuil1!$C$6:$E$106,3)</f>
        <v>Hauts-de-France</v>
      </c>
      <c r="B369" s="38" t="str">
        <f>VLOOKUP(Tableau1[[#This Row],[N° Département]],Feuil1!$C$6:$E$106,2)</f>
        <v>Nord</v>
      </c>
      <c r="C369" s="38">
        <f>LEFT(Tableau1[[#This Row],[Code Postal]],2)*1</f>
        <v>59</v>
      </c>
      <c r="D369" s="10" t="s">
        <v>2227</v>
      </c>
      <c r="E369" s="26">
        <v>59600</v>
      </c>
      <c r="F369" s="10" t="s">
        <v>2223</v>
      </c>
      <c r="G369" s="39" t="str">
        <f>Tableau1[[#This Row],[Rue]]&amp;CHAR(10)&amp;Tableau1[[#This Row],[Code Postal]]&amp;" - "&amp;Tableau1[[#This Row],[Ville]]</f>
        <v>Carrefour, Quartier de l'epinette
59600 - Maubeuge</v>
      </c>
      <c r="H369" s="15" t="s">
        <v>2224</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c r="AM369" s="11"/>
      <c r="AN369" s="11" t="s">
        <v>1386</v>
      </c>
      <c r="AO369" s="5" t="s">
        <v>361</v>
      </c>
      <c r="AP369" s="11" t="s">
        <v>2235</v>
      </c>
      <c r="AQ369" s="11" t="s">
        <v>2236</v>
      </c>
      <c r="AR369" s="11" t="s">
        <v>2230</v>
      </c>
      <c r="AS369" s="36" t="s">
        <v>2245</v>
      </c>
      <c r="AT369" s="11" t="s">
        <v>70</v>
      </c>
      <c r="AU369" s="11" t="s">
        <v>370</v>
      </c>
      <c r="AV369" s="13" t="s">
        <v>1871</v>
      </c>
      <c r="AW369" s="14"/>
      <c r="AX369" s="44"/>
    </row>
    <row r="370" spans="1:50" ht="25.5">
      <c r="A370" s="38" t="str">
        <f>VLOOKUP(Tableau1[[#This Row],[N° Département]],Feuil1!$C$6:$E$106,3)</f>
        <v>Hauts-de-France</v>
      </c>
      <c r="B370" s="38" t="str">
        <f>VLOOKUP(Tableau1[[#This Row],[N° Département]],Feuil1!$C$6:$E$106,2)</f>
        <v>Nord</v>
      </c>
      <c r="C370" s="38">
        <f>LEFT(Tableau1[[#This Row],[Code Postal]],2)*1</f>
        <v>59</v>
      </c>
      <c r="D370" s="10" t="s">
        <v>2227</v>
      </c>
      <c r="E370" s="26">
        <v>59600</v>
      </c>
      <c r="F370" s="10" t="s">
        <v>2223</v>
      </c>
      <c r="G370" s="39" t="str">
        <f>Tableau1[[#This Row],[Rue]]&amp;CHAR(10)&amp;Tableau1[[#This Row],[Code Postal]]&amp;" - "&amp;Tableau1[[#This Row],[Ville]]</f>
        <v>Carrefour, Quartier de l'epinette
59600 - Maubeuge</v>
      </c>
      <c r="H370" s="15" t="s">
        <v>2224</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c r="AM370" s="11"/>
      <c r="AN370" s="11" t="s">
        <v>1386</v>
      </c>
      <c r="AO370" s="5" t="s">
        <v>361</v>
      </c>
      <c r="AP370" s="11" t="s">
        <v>2237</v>
      </c>
      <c r="AQ370" s="11" t="s">
        <v>2238</v>
      </c>
      <c r="AR370" s="11" t="s">
        <v>2231</v>
      </c>
      <c r="AS370" s="36" t="s">
        <v>2245</v>
      </c>
      <c r="AT370" s="11" t="s">
        <v>70</v>
      </c>
      <c r="AU370" s="11" t="s">
        <v>370</v>
      </c>
      <c r="AV370" s="13" t="s">
        <v>1871</v>
      </c>
      <c r="AW370" s="14"/>
      <c r="AX370" s="44"/>
    </row>
    <row r="371" spans="1:50" ht="25.5">
      <c r="A371" s="38" t="str">
        <f>VLOOKUP(Tableau1[[#This Row],[N° Département]],Feuil1!$C$6:$E$106,3)</f>
        <v>Hauts-de-France</v>
      </c>
      <c r="B371" s="38" t="str">
        <f>VLOOKUP(Tableau1[[#This Row],[N° Département]],Feuil1!$C$6:$E$106,2)</f>
        <v>Nord</v>
      </c>
      <c r="C371" s="38">
        <f>LEFT(Tableau1[[#This Row],[Code Postal]],2)*1</f>
        <v>59</v>
      </c>
      <c r="D371" s="10" t="s">
        <v>2227</v>
      </c>
      <c r="E371" s="26">
        <v>59600</v>
      </c>
      <c r="F371" s="10" t="s">
        <v>2223</v>
      </c>
      <c r="G371" s="39" t="str">
        <f>Tableau1[[#This Row],[Rue]]&amp;CHAR(10)&amp;Tableau1[[#This Row],[Code Postal]]&amp;" - "&amp;Tableau1[[#This Row],[Ville]]</f>
        <v>Carrefour, Quartier de l'epinette
59600 - Maubeuge</v>
      </c>
      <c r="H371" s="15" t="s">
        <v>2224</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c r="AM371" s="11"/>
      <c r="AN371" s="11" t="s">
        <v>1386</v>
      </c>
      <c r="AO371" s="5" t="s">
        <v>361</v>
      </c>
      <c r="AP371" s="11" t="s">
        <v>2239</v>
      </c>
      <c r="AQ371" s="11" t="s">
        <v>2240</v>
      </c>
      <c r="AR371" s="11" t="s">
        <v>2232</v>
      </c>
      <c r="AS371" s="36" t="s">
        <v>2245</v>
      </c>
      <c r="AT371" s="11" t="s">
        <v>70</v>
      </c>
      <c r="AU371" s="11" t="s">
        <v>370</v>
      </c>
      <c r="AV371" s="13" t="s">
        <v>1871</v>
      </c>
      <c r="AW371" s="14"/>
      <c r="AX371" s="44"/>
    </row>
    <row r="372" spans="1:50" ht="25.5">
      <c r="A372" s="38" t="str">
        <f>VLOOKUP(Tableau1[[#This Row],[N° Département]],Feuil1!$C$6:$E$106,3)</f>
        <v>Hauts-de-France</v>
      </c>
      <c r="B372" s="38" t="str">
        <f>VLOOKUP(Tableau1[[#This Row],[N° Département]],Feuil1!$C$6:$E$106,2)</f>
        <v>Nord</v>
      </c>
      <c r="C372" s="38">
        <f>LEFT(Tableau1[[#This Row],[Code Postal]],2)*1</f>
        <v>59</v>
      </c>
      <c r="D372" s="10" t="s">
        <v>2227</v>
      </c>
      <c r="E372" s="26">
        <v>59600</v>
      </c>
      <c r="F372" s="10" t="s">
        <v>2223</v>
      </c>
      <c r="G372" s="39" t="str">
        <f>Tableau1[[#This Row],[Rue]]&amp;CHAR(10)&amp;Tableau1[[#This Row],[Code Postal]]&amp;" - "&amp;Tableau1[[#This Row],[Ville]]</f>
        <v>Carrefour, Quartier de l'epinette
59600 - Maubeuge</v>
      </c>
      <c r="H372" s="15" t="s">
        <v>2224</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c r="AM372" s="11"/>
      <c r="AN372" s="11" t="s">
        <v>1386</v>
      </c>
      <c r="AO372" s="5" t="s">
        <v>361</v>
      </c>
      <c r="AP372" s="11" t="s">
        <v>2241</v>
      </c>
      <c r="AQ372" s="11" t="s">
        <v>2242</v>
      </c>
      <c r="AR372" s="11" t="s">
        <v>2233</v>
      </c>
      <c r="AS372" s="36" t="s">
        <v>2245</v>
      </c>
      <c r="AT372" s="11" t="s">
        <v>70</v>
      </c>
      <c r="AU372" s="11" t="s">
        <v>370</v>
      </c>
      <c r="AV372" s="13" t="s">
        <v>1871</v>
      </c>
      <c r="AW372" s="14"/>
      <c r="AX372" s="44"/>
    </row>
    <row r="373" spans="1:50" ht="25.5">
      <c r="A373" s="38" t="str">
        <f>VLOOKUP(Tableau1[[#This Row],[N° Département]],Feuil1!$C$6:$E$106,3)</f>
        <v>Hauts-de-France</v>
      </c>
      <c r="B373" s="38" t="str">
        <f>VLOOKUP(Tableau1[[#This Row],[N° Département]],Feuil1!$C$6:$E$106,2)</f>
        <v>Nord</v>
      </c>
      <c r="C373" s="38">
        <f>LEFT(Tableau1[[#This Row],[Code Postal]],2)*1</f>
        <v>59</v>
      </c>
      <c r="D373" s="10" t="s">
        <v>2227</v>
      </c>
      <c r="E373" s="26">
        <v>59600</v>
      </c>
      <c r="F373" s="10" t="s">
        <v>2223</v>
      </c>
      <c r="G373" s="39" t="str">
        <f>Tableau1[[#This Row],[Rue]]&amp;CHAR(10)&amp;Tableau1[[#This Row],[Code Postal]]&amp;" - "&amp;Tableau1[[#This Row],[Ville]]</f>
        <v>Carrefour, Quartier de l'epinette
59600 - Maubeuge</v>
      </c>
      <c r="H373" s="15" t="s">
        <v>2224</v>
      </c>
      <c r="I373" s="12" t="s">
        <v>45</v>
      </c>
      <c r="J373" s="12" t="s">
        <v>51</v>
      </c>
      <c r="K373" s="10" t="s">
        <v>98</v>
      </c>
      <c r="L373" s="10" t="s">
        <v>98</v>
      </c>
      <c r="M373" s="12" t="s">
        <v>98</v>
      </c>
      <c r="N373" s="36" t="s">
        <v>2229</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c r="AM373" s="11"/>
      <c r="AN373" s="11" t="s">
        <v>1386</v>
      </c>
      <c r="AO373" s="5" t="s">
        <v>361</v>
      </c>
      <c r="AP373" s="11" t="s">
        <v>2243</v>
      </c>
      <c r="AQ373" s="11" t="s">
        <v>2244</v>
      </c>
      <c r="AR373" s="11" t="s">
        <v>2234</v>
      </c>
      <c r="AS373" s="36" t="s">
        <v>2245</v>
      </c>
      <c r="AT373" s="11" t="s">
        <v>70</v>
      </c>
      <c r="AU373" s="11" t="s">
        <v>370</v>
      </c>
      <c r="AV373" s="13" t="s">
        <v>1871</v>
      </c>
      <c r="AW373" s="14"/>
      <c r="AX373" s="44"/>
    </row>
    <row r="374" spans="1:50" ht="25.5">
      <c r="A374" s="38" t="str">
        <f>VLOOKUP(Tableau1[[#This Row],[N° Département]],Feuil1!$C$6:$E$106,3)</f>
        <v>Hauts-de-France</v>
      </c>
      <c r="B374" s="38" t="str">
        <f>VLOOKUP(Tableau1[[#This Row],[N° Département]],Feuil1!$C$6:$E$106,2)</f>
        <v>Oise</v>
      </c>
      <c r="C374" s="38">
        <f>LEFT(Tableau1[[#This Row],[Code Postal]],2)*1</f>
        <v>60</v>
      </c>
      <c r="D374" s="10" t="s">
        <v>2247</v>
      </c>
      <c r="E374" s="26">
        <v>60110</v>
      </c>
      <c r="F374" s="10" t="s">
        <v>2248</v>
      </c>
      <c r="G374" s="39" t="str">
        <f>Tableau1[[#This Row],[Rue]]&amp;CHAR(10)&amp;Tableau1[[#This Row],[Code Postal]]&amp;" - "&amp;Tableau1[[#This Row],[Ville]]</f>
        <v>Oh Village !
60110 - Méru</v>
      </c>
      <c r="H374" s="15" t="s">
        <v>2246</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c r="AM374" s="11"/>
      <c r="AN374" s="11" t="s">
        <v>1386</v>
      </c>
      <c r="AO374" s="5" t="s">
        <v>361</v>
      </c>
      <c r="AP374" s="11" t="s">
        <v>2250</v>
      </c>
      <c r="AQ374" s="11" t="s">
        <v>2251</v>
      </c>
      <c r="AR374" s="11">
        <v>98</v>
      </c>
      <c r="AS374" s="36" t="s">
        <v>2249</v>
      </c>
      <c r="AT374" s="11" t="s">
        <v>70</v>
      </c>
      <c r="AU374" s="11" t="s">
        <v>370</v>
      </c>
      <c r="AV374" s="13" t="s">
        <v>1871</v>
      </c>
      <c r="AW374" s="14"/>
      <c r="AX374" s="44"/>
    </row>
    <row r="375" spans="1:50" ht="25.5">
      <c r="A375" s="38" t="str">
        <f>VLOOKUP(Tableau1[[#This Row],[N° Département]],Feuil1!$C$6:$E$106,3)</f>
        <v>Hauts-de-France</v>
      </c>
      <c r="B375" s="38" t="str">
        <f>VLOOKUP(Tableau1[[#This Row],[N° Département]],Feuil1!$C$6:$E$106,2)</f>
        <v>Oise</v>
      </c>
      <c r="C375" s="38">
        <f>LEFT(Tableau1[[#This Row],[Code Postal]],2)*1</f>
        <v>60</v>
      </c>
      <c r="D375" s="10" t="s">
        <v>2279</v>
      </c>
      <c r="E375" s="26">
        <v>60180</v>
      </c>
      <c r="F375" s="10" t="s">
        <v>2253</v>
      </c>
      <c r="G375" s="39" t="str">
        <f>Tableau1[[#This Row],[Rue]]&amp;CHAR(10)&amp;Tableau1[[#This Row],[Code Postal]]&amp;" - "&amp;Tableau1[[#This Row],[Ville]]</f>
        <v>Auchan, 110 Avenue de l'Europe
60180 - Nogent-sur-Oise</v>
      </c>
      <c r="H375" s="15" t="s">
        <v>2252</v>
      </c>
      <c r="I375" s="12" t="s">
        <v>45</v>
      </c>
      <c r="J375" s="12" t="s">
        <v>49</v>
      </c>
      <c r="K375" s="10" t="s">
        <v>98</v>
      </c>
      <c r="L375" s="10" t="s">
        <v>98</v>
      </c>
      <c r="M375" s="12" t="s">
        <v>98</v>
      </c>
      <c r="N375" s="36" t="s">
        <v>2254</v>
      </c>
      <c r="O375" s="34">
        <v>221</v>
      </c>
      <c r="P375" s="6" t="s">
        <v>98</v>
      </c>
      <c r="Q375" s="34" t="s">
        <v>98</v>
      </c>
      <c r="R375" s="6" t="s">
        <v>98</v>
      </c>
      <c r="S375" s="6" t="s">
        <v>98</v>
      </c>
      <c r="T375" s="12">
        <f>Tableau1[[#This Row],[Loyer €/m²]]*Tableau1[[#This Row],[Surface GLA]]</f>
        <v>44200</v>
      </c>
      <c r="U375" s="12">
        <f>IFERROR(Tableau1[[#This Row],[Loyer annuel]]/12,"")</f>
        <v>3683.3333333333335</v>
      </c>
      <c r="V375" s="12">
        <v>200</v>
      </c>
      <c r="W375" s="6" t="s">
        <v>98</v>
      </c>
      <c r="X375" s="6">
        <f>Tableau1[[#This Row],[Charges €/m²]]*Tableau1[[#This Row],[Surface GLA]]</f>
        <v>9945</v>
      </c>
      <c r="Y375" s="12">
        <f>Tableau1[[#This Row],[Charges annuelles]]/12</f>
        <v>828.75</v>
      </c>
      <c r="Z375" s="12">
        <v>45</v>
      </c>
      <c r="AA375" s="12">
        <f>IFERROR(Tableau1[[#This Row],[Taxe foncière €/m²]]*Tableau1[[#This Row],[Surface GLA]],)</f>
        <v>4420</v>
      </c>
      <c r="AB375" s="12">
        <v>20</v>
      </c>
      <c r="AC375" s="12">
        <f>IFERROR(Tableau1[[#This Row],[Marketing €/m²]]*Tableau1[[#This Row],[Surface GLA]],)</f>
        <v>5525</v>
      </c>
      <c r="AD375" s="12">
        <v>25</v>
      </c>
      <c r="AE375" s="12">
        <f>IFERROR(Tableau1[[#This Row],[Loyer annuel]]+Tableau1[[#This Row],[Charges annuelles]]+Tableau1[[#This Row],[Taxe foncière]]+Tableau1[[#This Row],[Marketing]],"")</f>
        <v>64090</v>
      </c>
      <c r="AF375" s="12" t="str">
        <f t="shared" ref="AF375:AF379" si="20">"3 mois = "&amp;TEXT(ROUND(3/12*T375,0),"### ### ##0 €")</f>
        <v>3 mois = 11 050 €</v>
      </c>
      <c r="AG375" s="6" t="s">
        <v>98</v>
      </c>
      <c r="AH375" s="6" t="s">
        <v>98</v>
      </c>
      <c r="AI375" s="12" t="s">
        <v>357</v>
      </c>
      <c r="AJ375" s="10"/>
      <c r="AK375" s="10"/>
      <c r="AL375" s="10"/>
      <c r="AM375" s="11"/>
      <c r="AN375" s="11" t="s">
        <v>1386</v>
      </c>
      <c r="AO375" s="5" t="s">
        <v>361</v>
      </c>
      <c r="AP375" s="11" t="s">
        <v>2263</v>
      </c>
      <c r="AQ375" s="11" t="s">
        <v>2264</v>
      </c>
      <c r="AR375" s="11" t="s">
        <v>2258</v>
      </c>
      <c r="AS375" s="36" t="s">
        <v>2273</v>
      </c>
      <c r="AT375" s="11" t="s">
        <v>70</v>
      </c>
      <c r="AU375" s="11" t="s">
        <v>370</v>
      </c>
      <c r="AV375" s="13" t="s">
        <v>1871</v>
      </c>
      <c r="AW375" s="14"/>
      <c r="AX375" s="44"/>
    </row>
    <row r="376" spans="1:50" ht="25.5">
      <c r="A376" s="38" t="str">
        <f>VLOOKUP(Tableau1[[#This Row],[N° Département]],Feuil1!$C$6:$E$106,3)</f>
        <v>Hauts-de-France</v>
      </c>
      <c r="B376" s="38" t="str">
        <f>VLOOKUP(Tableau1[[#This Row],[N° Département]],Feuil1!$C$6:$E$106,2)</f>
        <v>Oise</v>
      </c>
      <c r="C376" s="38">
        <f>LEFT(Tableau1[[#This Row],[Code Postal]],2)*1</f>
        <v>60</v>
      </c>
      <c r="D376" s="10" t="s">
        <v>2279</v>
      </c>
      <c r="E376" s="10">
        <v>60180</v>
      </c>
      <c r="F376" s="10" t="s">
        <v>2253</v>
      </c>
      <c r="G376" s="39" t="str">
        <f>Tableau1[[#This Row],[Rue]]&amp;CHAR(10)&amp;Tableau1[[#This Row],[Code Postal]]&amp;" - "&amp;Tableau1[[#This Row],[Ville]]</f>
        <v>Auchan, 110 Avenue de l'Europe
60180 - Nogent-sur-Oise</v>
      </c>
      <c r="H376" s="15" t="s">
        <v>2252</v>
      </c>
      <c r="I376" s="12" t="s">
        <v>45</v>
      </c>
      <c r="J376" s="12" t="s">
        <v>49</v>
      </c>
      <c r="K376" s="10" t="s">
        <v>98</v>
      </c>
      <c r="L376" s="10" t="s">
        <v>98</v>
      </c>
      <c r="M376" s="12" t="s">
        <v>98</v>
      </c>
      <c r="N376" s="36" t="s">
        <v>2255</v>
      </c>
      <c r="O376" s="34">
        <v>81</v>
      </c>
      <c r="P376" s="6" t="s">
        <v>98</v>
      </c>
      <c r="Q376" s="34" t="s">
        <v>98</v>
      </c>
      <c r="R376" s="6" t="s">
        <v>98</v>
      </c>
      <c r="S376" s="6" t="s">
        <v>98</v>
      </c>
      <c r="T376" s="12">
        <f>Tableau1[[#This Row],[Loyer €/m²]]*Tableau1[[#This Row],[Surface GLA]]</f>
        <v>24300</v>
      </c>
      <c r="U376" s="12">
        <f>IFERROR(Tableau1[[#This Row],[Loyer annuel]]/12,"")</f>
        <v>2025</v>
      </c>
      <c r="V376" s="12">
        <v>300</v>
      </c>
      <c r="W376" s="6" t="s">
        <v>98</v>
      </c>
      <c r="X376" s="6">
        <f>Tableau1[[#This Row],[Charges €/m²]]*Tableau1[[#This Row],[Surface GLA]]</f>
        <v>3726</v>
      </c>
      <c r="Y376" s="12">
        <f>Tableau1[[#This Row],[Charges annuelles]]/12</f>
        <v>310.5</v>
      </c>
      <c r="Z376" s="12">
        <v>46</v>
      </c>
      <c r="AA376" s="12">
        <f>IFERROR(Tableau1[[#This Row],[Taxe foncière €/m²]]*Tableau1[[#This Row],[Surface GLA]],)</f>
        <v>1620</v>
      </c>
      <c r="AB376" s="12">
        <v>20</v>
      </c>
      <c r="AC376" s="12">
        <f>IFERROR(Tableau1[[#This Row],[Marketing €/m²]]*Tableau1[[#This Row],[Surface GLA]],)</f>
        <v>2025</v>
      </c>
      <c r="AD376" s="12">
        <v>25</v>
      </c>
      <c r="AE376" s="12">
        <f>IFERROR(Tableau1[[#This Row],[Loyer annuel]]+Tableau1[[#This Row],[Charges annuelles]]+Tableau1[[#This Row],[Taxe foncière]]+Tableau1[[#This Row],[Marketing]],"")</f>
        <v>31671</v>
      </c>
      <c r="AF376" s="12" t="str">
        <f t="shared" si="20"/>
        <v>3 mois = 6 075 €</v>
      </c>
      <c r="AG376" s="6" t="s">
        <v>98</v>
      </c>
      <c r="AH376" s="6" t="s">
        <v>98</v>
      </c>
      <c r="AI376" s="12" t="s">
        <v>357</v>
      </c>
      <c r="AJ376" s="10"/>
      <c r="AK376" s="10"/>
      <c r="AL376" s="10"/>
      <c r="AM376" s="11"/>
      <c r="AN376" s="11" t="s">
        <v>1386</v>
      </c>
      <c r="AO376" s="5" t="s">
        <v>361</v>
      </c>
      <c r="AP376" s="11" t="s">
        <v>2265</v>
      </c>
      <c r="AQ376" s="11" t="s">
        <v>2266</v>
      </c>
      <c r="AR376" s="11" t="s">
        <v>2259</v>
      </c>
      <c r="AS376" s="36" t="s">
        <v>2273</v>
      </c>
      <c r="AT376" s="11" t="s">
        <v>70</v>
      </c>
      <c r="AU376" s="11" t="s">
        <v>370</v>
      </c>
      <c r="AV376" s="13" t="s">
        <v>1871</v>
      </c>
      <c r="AW376" s="14"/>
      <c r="AX376" s="44"/>
    </row>
    <row r="377" spans="1:50" ht="25.5">
      <c r="A377" s="38" t="str">
        <f>VLOOKUP(Tableau1[[#This Row],[N° Département]],Feuil1!$C$6:$E$106,3)</f>
        <v>Hauts-de-France</v>
      </c>
      <c r="B377" s="38" t="str">
        <f>VLOOKUP(Tableau1[[#This Row],[N° Département]],Feuil1!$C$6:$E$106,2)</f>
        <v>Oise</v>
      </c>
      <c r="C377" s="38">
        <f>LEFT(Tableau1[[#This Row],[Code Postal]],2)*1</f>
        <v>60</v>
      </c>
      <c r="D377" s="10" t="s">
        <v>2279</v>
      </c>
      <c r="E377" s="10">
        <v>60180</v>
      </c>
      <c r="F377" s="10" t="s">
        <v>2253</v>
      </c>
      <c r="G377" s="39" t="str">
        <f>Tableau1[[#This Row],[Rue]]&amp;CHAR(10)&amp;Tableau1[[#This Row],[Code Postal]]&amp;" - "&amp;Tableau1[[#This Row],[Ville]]</f>
        <v>Auchan, 110 Avenue de l'Europe
60180 - Nogent-sur-Oise</v>
      </c>
      <c r="H377" s="15" t="s">
        <v>2252</v>
      </c>
      <c r="I377" s="12" t="s">
        <v>45</v>
      </c>
      <c r="J377" s="12" t="s">
        <v>49</v>
      </c>
      <c r="K377" s="10" t="s">
        <v>98</v>
      </c>
      <c r="L377" s="10" t="s">
        <v>98</v>
      </c>
      <c r="M377" s="12" t="s">
        <v>98</v>
      </c>
      <c r="N377" s="36" t="s">
        <v>2256</v>
      </c>
      <c r="O377" s="34">
        <v>234</v>
      </c>
      <c r="P377" s="6" t="s">
        <v>98</v>
      </c>
      <c r="Q377" s="34">
        <v>555</v>
      </c>
      <c r="R377" s="6" t="s">
        <v>98</v>
      </c>
      <c r="S377" s="6" t="s">
        <v>98</v>
      </c>
      <c r="T377" s="12">
        <f>Tableau1[[#This Row],[Loyer €/m²]]*Tableau1[[#This Row],[Surface GLA]]</f>
        <v>46800</v>
      </c>
      <c r="U377" s="12">
        <f>IFERROR(Tableau1[[#This Row],[Loyer annuel]]/12,"")</f>
        <v>3900</v>
      </c>
      <c r="V377" s="12">
        <v>200</v>
      </c>
      <c r="W377" s="6" t="s">
        <v>98</v>
      </c>
      <c r="X377" s="6">
        <f>Tableau1[[#This Row],[Charges €/m²]]*Tableau1[[#This Row],[Surface GLA]]</f>
        <v>10998</v>
      </c>
      <c r="Y377" s="12">
        <f>Tableau1[[#This Row],[Charges annuelles]]/12</f>
        <v>916.5</v>
      </c>
      <c r="Z377" s="12">
        <v>47</v>
      </c>
      <c r="AA377" s="12">
        <f>IFERROR(Tableau1[[#This Row],[Taxe foncière €/m²]]*Tableau1[[#This Row],[Surface GLA]],)</f>
        <v>4680</v>
      </c>
      <c r="AB377" s="12">
        <v>20</v>
      </c>
      <c r="AC377" s="12">
        <f>IFERROR(Tableau1[[#This Row],[Marketing €/m²]]*Tableau1[[#This Row],[Surface GLA]],)</f>
        <v>5850</v>
      </c>
      <c r="AD377" s="12">
        <v>25</v>
      </c>
      <c r="AE377" s="12">
        <f>IFERROR(Tableau1[[#This Row],[Loyer annuel]]+Tableau1[[#This Row],[Charges annuelles]]+Tableau1[[#This Row],[Taxe foncière]]+Tableau1[[#This Row],[Marketing]],"")</f>
        <v>68328</v>
      </c>
      <c r="AF377" s="12" t="str">
        <f t="shared" si="20"/>
        <v>3 mois = 11 700 €</v>
      </c>
      <c r="AG377" s="6" t="s">
        <v>98</v>
      </c>
      <c r="AH377" s="6" t="s">
        <v>98</v>
      </c>
      <c r="AI377" s="12" t="s">
        <v>357</v>
      </c>
      <c r="AJ377" s="10"/>
      <c r="AK377" s="10"/>
      <c r="AL377" s="10"/>
      <c r="AM377" s="11"/>
      <c r="AN377" s="11" t="s">
        <v>1386</v>
      </c>
      <c r="AO377" s="5" t="s">
        <v>361</v>
      </c>
      <c r="AP377" s="11" t="s">
        <v>2269</v>
      </c>
      <c r="AQ377" s="11" t="s">
        <v>2270</v>
      </c>
      <c r="AR377" s="11" t="s">
        <v>2260</v>
      </c>
      <c r="AS377" s="36" t="s">
        <v>2273</v>
      </c>
      <c r="AT377" s="11" t="s">
        <v>70</v>
      </c>
      <c r="AU377" s="11" t="s">
        <v>370</v>
      </c>
      <c r="AV377" s="13" t="s">
        <v>1871</v>
      </c>
      <c r="AW377" s="14"/>
      <c r="AX377" s="44"/>
    </row>
    <row r="378" spans="1:50" ht="25.5">
      <c r="A378" s="38" t="str">
        <f>VLOOKUP(Tableau1[[#This Row],[N° Département]],Feuil1!$C$6:$E$106,3)</f>
        <v>Hauts-de-France</v>
      </c>
      <c r="B378" s="38" t="str">
        <f>VLOOKUP(Tableau1[[#This Row],[N° Département]],Feuil1!$C$6:$E$106,2)</f>
        <v>Oise</v>
      </c>
      <c r="C378" s="38">
        <f>LEFT(Tableau1[[#This Row],[Code Postal]],2)*1</f>
        <v>60</v>
      </c>
      <c r="D378" s="10" t="s">
        <v>2279</v>
      </c>
      <c r="E378" s="10">
        <v>60180</v>
      </c>
      <c r="F378" s="10" t="s">
        <v>2253</v>
      </c>
      <c r="G378" s="39" t="str">
        <f>Tableau1[[#This Row],[Rue]]&amp;CHAR(10)&amp;Tableau1[[#This Row],[Code Postal]]&amp;" - "&amp;Tableau1[[#This Row],[Ville]]</f>
        <v>Auchan, 110 Avenue de l'Europe
60180 - Nogent-sur-Oise</v>
      </c>
      <c r="H378" s="15" t="s">
        <v>2252</v>
      </c>
      <c r="I378" s="12" t="s">
        <v>45</v>
      </c>
      <c r="J378" s="12" t="s">
        <v>49</v>
      </c>
      <c r="K378" s="10" t="s">
        <v>98</v>
      </c>
      <c r="L378" s="10" t="s">
        <v>98</v>
      </c>
      <c r="M378" s="12" t="s">
        <v>98</v>
      </c>
      <c r="N378" s="36" t="s">
        <v>2257</v>
      </c>
      <c r="O378" s="34">
        <v>321</v>
      </c>
      <c r="P378" s="6" t="s">
        <v>98</v>
      </c>
      <c r="Q378" s="34">
        <v>555</v>
      </c>
      <c r="R378" s="6" t="s">
        <v>98</v>
      </c>
      <c r="S378" s="6" t="s">
        <v>98</v>
      </c>
      <c r="T378" s="12">
        <f>Tableau1[[#This Row],[Loyer €/m²]]*Tableau1[[#This Row],[Surface GLA]]</f>
        <v>64200</v>
      </c>
      <c r="U378" s="12">
        <f>IFERROR(Tableau1[[#This Row],[Loyer annuel]]/12,"")</f>
        <v>5350</v>
      </c>
      <c r="V378" s="12">
        <v>200</v>
      </c>
      <c r="W378" s="6" t="s">
        <v>98</v>
      </c>
      <c r="X378" s="6">
        <f>Tableau1[[#This Row],[Charges €/m²]]*Tableau1[[#This Row],[Surface GLA]]</f>
        <v>15408</v>
      </c>
      <c r="Y378" s="12">
        <f>Tableau1[[#This Row],[Charges annuelles]]/12</f>
        <v>1284</v>
      </c>
      <c r="Z378" s="12">
        <v>48</v>
      </c>
      <c r="AA378" s="12">
        <f>IFERROR(Tableau1[[#This Row],[Taxe foncière €/m²]]*Tableau1[[#This Row],[Surface GLA]],)</f>
        <v>6420</v>
      </c>
      <c r="AB378" s="12">
        <v>20</v>
      </c>
      <c r="AC378" s="12">
        <f>IFERROR(Tableau1[[#This Row],[Marketing €/m²]]*Tableau1[[#This Row],[Surface GLA]],)</f>
        <v>8025</v>
      </c>
      <c r="AD378" s="12">
        <v>25</v>
      </c>
      <c r="AE378" s="12">
        <f>IFERROR(Tableau1[[#This Row],[Loyer annuel]]+Tableau1[[#This Row],[Charges annuelles]]+Tableau1[[#This Row],[Taxe foncière]]+Tableau1[[#This Row],[Marketing]],"")</f>
        <v>94053</v>
      </c>
      <c r="AF378" s="12" t="str">
        <f t="shared" si="20"/>
        <v>3 mois = 16 050 €</v>
      </c>
      <c r="AG378" s="6" t="s">
        <v>98</v>
      </c>
      <c r="AH378" s="6" t="s">
        <v>98</v>
      </c>
      <c r="AI378" s="12" t="s">
        <v>357</v>
      </c>
      <c r="AJ378" s="10"/>
      <c r="AK378" s="10"/>
      <c r="AL378" s="10"/>
      <c r="AM378" s="11"/>
      <c r="AN378" s="11" t="s">
        <v>1386</v>
      </c>
      <c r="AO378" s="5" t="s">
        <v>361</v>
      </c>
      <c r="AP378" s="11" t="s">
        <v>2271</v>
      </c>
      <c r="AQ378" s="11" t="s">
        <v>2272</v>
      </c>
      <c r="AR378" s="11" t="s">
        <v>2261</v>
      </c>
      <c r="AS378" s="36" t="s">
        <v>2273</v>
      </c>
      <c r="AT378" s="11" t="s">
        <v>70</v>
      </c>
      <c r="AU378" s="11" t="s">
        <v>370</v>
      </c>
      <c r="AV378" s="13" t="s">
        <v>1871</v>
      </c>
      <c r="AW378" s="14"/>
      <c r="AX378" s="44"/>
    </row>
    <row r="379" spans="1:50" ht="25.5">
      <c r="A379" s="38" t="str">
        <f>VLOOKUP(Tableau1[[#This Row],[N° Département]],Feuil1!$C$6:$E$106,3)</f>
        <v>Hauts-de-France</v>
      </c>
      <c r="B379" s="38" t="str">
        <f>VLOOKUP(Tableau1[[#This Row],[N° Département]],Feuil1!$C$6:$E$106,2)</f>
        <v>Oise</v>
      </c>
      <c r="C379" s="38">
        <f>LEFT(Tableau1[[#This Row],[Code Postal]],2)*1</f>
        <v>60</v>
      </c>
      <c r="D379" s="10" t="s">
        <v>2279</v>
      </c>
      <c r="E379" s="10">
        <v>60180</v>
      </c>
      <c r="F379" s="10" t="s">
        <v>2253</v>
      </c>
      <c r="G379" s="39" t="str">
        <f>Tableau1[[#This Row],[Rue]]&amp;CHAR(10)&amp;Tableau1[[#This Row],[Code Postal]]&amp;" - "&amp;Tableau1[[#This Row],[Ville]]</f>
        <v>Auchan, 110 Avenue de l'Europe
60180 - Nogent-sur-Oise</v>
      </c>
      <c r="H379" s="15" t="s">
        <v>2252</v>
      </c>
      <c r="I379" s="12" t="s">
        <v>45</v>
      </c>
      <c r="J379" s="12" t="s">
        <v>49</v>
      </c>
      <c r="K379" s="10" t="s">
        <v>98</v>
      </c>
      <c r="L379" s="10" t="s">
        <v>98</v>
      </c>
      <c r="M379" s="12" t="s">
        <v>98</v>
      </c>
      <c r="N379" s="36" t="s">
        <v>2115</v>
      </c>
      <c r="O379" s="34">
        <v>1423</v>
      </c>
      <c r="P379" s="6" t="s">
        <v>98</v>
      </c>
      <c r="Q379" s="34" t="s">
        <v>98</v>
      </c>
      <c r="R379" s="6" t="s">
        <v>98</v>
      </c>
      <c r="S379" s="6" t="s">
        <v>98</v>
      </c>
      <c r="T379" s="12">
        <f>Tableau1[[#This Row],[Loyer €/m²]]*Tableau1[[#This Row],[Surface GLA]]</f>
        <v>213450</v>
      </c>
      <c r="U379" s="12">
        <f>IFERROR(Tableau1[[#This Row],[Loyer annuel]]/12,"")</f>
        <v>17787.5</v>
      </c>
      <c r="V379" s="12">
        <v>150</v>
      </c>
      <c r="W379" s="6" t="s">
        <v>98</v>
      </c>
      <c r="X379" s="6">
        <f>Tableau1[[#This Row],[Charges €/m²]]*Tableau1[[#This Row],[Surface GLA]]</f>
        <v>69727</v>
      </c>
      <c r="Y379" s="12">
        <f>Tableau1[[#This Row],[Charges annuelles]]/12</f>
        <v>5810.583333333333</v>
      </c>
      <c r="Z379" s="12">
        <v>49</v>
      </c>
      <c r="AA379" s="12">
        <f>IFERROR(Tableau1[[#This Row],[Taxe foncière €/m²]]*Tableau1[[#This Row],[Surface GLA]],)</f>
        <v>28460</v>
      </c>
      <c r="AB379" s="12">
        <v>20</v>
      </c>
      <c r="AC379" s="12">
        <f>IFERROR(Tableau1[[#This Row],[Marketing €/m²]]*Tableau1[[#This Row],[Surface GLA]],)</f>
        <v>35575</v>
      </c>
      <c r="AD379" s="12">
        <v>25</v>
      </c>
      <c r="AE379" s="12">
        <f>IFERROR(Tableau1[[#This Row],[Loyer annuel]]+Tableau1[[#This Row],[Charges annuelles]]+Tableau1[[#This Row],[Taxe foncière]]+Tableau1[[#This Row],[Marketing]],"")</f>
        <v>347212</v>
      </c>
      <c r="AF379" s="12" t="str">
        <f t="shared" si="20"/>
        <v>3 mois = 53 363 €</v>
      </c>
      <c r="AG379" s="6" t="s">
        <v>98</v>
      </c>
      <c r="AH379" s="6" t="s">
        <v>98</v>
      </c>
      <c r="AI379" s="12" t="s">
        <v>357</v>
      </c>
      <c r="AJ379" s="10"/>
      <c r="AK379" s="10"/>
      <c r="AL379" s="10"/>
      <c r="AM379" s="11"/>
      <c r="AN379" s="11" t="s">
        <v>1386</v>
      </c>
      <c r="AO379" s="5" t="s">
        <v>361</v>
      </c>
      <c r="AP379" s="11" t="s">
        <v>2267</v>
      </c>
      <c r="AQ379" s="11" t="s">
        <v>2268</v>
      </c>
      <c r="AR379" s="11" t="s">
        <v>2262</v>
      </c>
      <c r="AS379" s="36" t="s">
        <v>2273</v>
      </c>
      <c r="AT379" s="11" t="s">
        <v>70</v>
      </c>
      <c r="AU379" s="11" t="s">
        <v>370</v>
      </c>
      <c r="AV379" s="13" t="s">
        <v>1871</v>
      </c>
      <c r="AW379" s="14"/>
      <c r="AX379" s="44"/>
    </row>
    <row r="380" spans="1:50" ht="25.5">
      <c r="A380" s="38" t="str">
        <f>VLOOKUP(Tableau1[[#This Row],[N° Département]],Feuil1!$C$6:$E$106,3)</f>
        <v>Bretagne</v>
      </c>
      <c r="B380" s="38" t="str">
        <f>VLOOKUP(Tableau1[[#This Row],[N° Département]],Feuil1!$C$6:$E$106,2)</f>
        <v>Côtes d'Armor</v>
      </c>
      <c r="C380" s="38">
        <f>LEFT(Tableau1[[#This Row],[Code Postal]],2)*1</f>
        <v>22</v>
      </c>
      <c r="D380" s="10" t="s">
        <v>2280</v>
      </c>
      <c r="E380" s="26">
        <v>22000</v>
      </c>
      <c r="F380" s="10" t="s">
        <v>2277</v>
      </c>
      <c r="G380" s="39" t="str">
        <f>Tableau1[[#This Row],[Rue]]&amp;CHAR(10)&amp;Tableau1[[#This Row],[Code Postal]]&amp;" - "&amp;Tableau1[[#This Row],[Ville]]</f>
        <v>Les Champs, 1 rue Sainte-Barbe
22000 - Saint-Brieuc</v>
      </c>
      <c r="H380" s="15" t="s">
        <v>2278</v>
      </c>
      <c r="I380" s="12" t="s">
        <v>45</v>
      </c>
      <c r="J380" s="12" t="s">
        <v>49</v>
      </c>
      <c r="K380" s="10" t="s">
        <v>98</v>
      </c>
      <c r="L380" s="10" t="s">
        <v>98</v>
      </c>
      <c r="M380" s="12" t="s">
        <v>98</v>
      </c>
      <c r="N380" s="36" t="s">
        <v>330</v>
      </c>
      <c r="O380" s="34">
        <v>57</v>
      </c>
      <c r="P380" s="6" t="s">
        <v>98</v>
      </c>
      <c r="Q380" s="34">
        <v>160</v>
      </c>
      <c r="R380" s="6" t="s">
        <v>98</v>
      </c>
      <c r="S380" s="6" t="s">
        <v>98</v>
      </c>
      <c r="T380" s="12">
        <f>Tableau1[[#This Row],[Loyer €/m²]]*Tableau1[[#This Row],[Surface GLA]]</f>
        <v>22800</v>
      </c>
      <c r="U380" s="12">
        <f>IFERROR(Tableau1[[#This Row],[Loyer annuel]]/12,"")</f>
        <v>1900</v>
      </c>
      <c r="V380" s="12">
        <v>400</v>
      </c>
      <c r="W380" s="6" t="s">
        <v>98</v>
      </c>
      <c r="X380" s="6">
        <f>Tableau1[[#This Row],[Charges €/m²]]*Tableau1[[#This Row],[Surface GLA]]</f>
        <v>3135</v>
      </c>
      <c r="Y380" s="12">
        <f>Tableau1[[#This Row],[Charges annuelles]]/12</f>
        <v>261.25</v>
      </c>
      <c r="Z380" s="12">
        <v>55</v>
      </c>
      <c r="AA380" s="12">
        <f>IFERROR(Tableau1[[#This Row],[Taxe foncière €/m²]]*Tableau1[[#This Row],[Surface GLA]],)</f>
        <v>912</v>
      </c>
      <c r="AB380" s="12">
        <v>16</v>
      </c>
      <c r="AC380" s="12">
        <f>IFERROR(Tableau1[[#This Row],[Marketing €/m²]]*Tableau1[[#This Row],[Surface GLA]],)</f>
        <v>0</v>
      </c>
      <c r="AD380" s="12"/>
      <c r="AE380" s="12">
        <f>IFERROR(Tableau1[[#This Row],[Loyer annuel]]+Tableau1[[#This Row],[Charges annuelles]]+Tableau1[[#This Row],[Taxe foncière]]+Tableau1[[#This Row],[Marketing]],"")</f>
        <v>26847</v>
      </c>
      <c r="AF380" s="12" t="str">
        <f t="shared" ref="AF380:AF385" si="21">"3 mois = "&amp;TEXT(ROUND(3/12*T380,0),"### ### ##0 €")</f>
        <v>3 mois = 5 700 €</v>
      </c>
      <c r="AG380" s="6" t="s">
        <v>98</v>
      </c>
      <c r="AH380" s="6" t="s">
        <v>98</v>
      </c>
      <c r="AI380" s="12" t="s">
        <v>357</v>
      </c>
      <c r="AJ380" s="10"/>
      <c r="AK380" s="10"/>
      <c r="AL380" s="10"/>
      <c r="AM380" s="11"/>
      <c r="AN380" s="11" t="s">
        <v>1386</v>
      </c>
      <c r="AO380" s="5" t="s">
        <v>361</v>
      </c>
      <c r="AP380" s="11" t="s">
        <v>2288</v>
      </c>
      <c r="AQ380" s="11" t="s">
        <v>2289</v>
      </c>
      <c r="AR380" s="11" t="s">
        <v>2282</v>
      </c>
      <c r="AS380" s="36" t="s">
        <v>2300</v>
      </c>
      <c r="AT380" s="11" t="s">
        <v>70</v>
      </c>
      <c r="AU380" s="11" t="s">
        <v>370</v>
      </c>
      <c r="AV380" s="13" t="s">
        <v>1871</v>
      </c>
      <c r="AW380" s="14"/>
      <c r="AX380" s="44"/>
    </row>
    <row r="381" spans="1:50" ht="25.5">
      <c r="A381" s="38" t="str">
        <f>VLOOKUP(Tableau1[[#This Row],[N° Département]],Feuil1!$C$6:$E$106,3)</f>
        <v>Bretagne</v>
      </c>
      <c r="B381" s="38" t="str">
        <f>VLOOKUP(Tableau1[[#This Row],[N° Département]],Feuil1!$C$6:$E$106,2)</f>
        <v>Côtes d'Armor</v>
      </c>
      <c r="C381" s="38">
        <f>LEFT(Tableau1[[#This Row],[Code Postal]],2)*1</f>
        <v>22</v>
      </c>
      <c r="D381" s="10" t="s">
        <v>2280</v>
      </c>
      <c r="E381" s="26">
        <v>22000</v>
      </c>
      <c r="F381" s="10" t="s">
        <v>2277</v>
      </c>
      <c r="G381" s="39" t="str">
        <f>Tableau1[[#This Row],[Rue]]&amp;CHAR(10)&amp;Tableau1[[#This Row],[Code Postal]]&amp;" - "&amp;Tableau1[[#This Row],[Ville]]</f>
        <v>Les Champs, 1 rue Sainte-Barbe
22000 - Saint-Brieuc</v>
      </c>
      <c r="H381" s="15" t="s">
        <v>2278</v>
      </c>
      <c r="I381" s="12" t="s">
        <v>45</v>
      </c>
      <c r="J381" s="12" t="s">
        <v>49</v>
      </c>
      <c r="K381" s="10" t="s">
        <v>98</v>
      </c>
      <c r="L381" s="10" t="s">
        <v>98</v>
      </c>
      <c r="M381" s="12" t="s">
        <v>98</v>
      </c>
      <c r="N381" s="36">
        <v>3</v>
      </c>
      <c r="O381" s="34">
        <v>103</v>
      </c>
      <c r="P381" s="6" t="s">
        <v>98</v>
      </c>
      <c r="Q381" s="34">
        <v>160</v>
      </c>
      <c r="R381" s="6" t="s">
        <v>98</v>
      </c>
      <c r="S381" s="6" t="s">
        <v>98</v>
      </c>
      <c r="T381" s="12">
        <f>Tableau1[[#This Row],[Loyer €/m²]]*Tableau1[[#This Row],[Surface GLA]]</f>
        <v>30900</v>
      </c>
      <c r="U381" s="12">
        <f>IFERROR(Tableau1[[#This Row],[Loyer annuel]]/12,"")</f>
        <v>2575</v>
      </c>
      <c r="V381" s="12">
        <v>300</v>
      </c>
      <c r="W381" s="6" t="s">
        <v>98</v>
      </c>
      <c r="X381" s="6">
        <f>Tableau1[[#This Row],[Charges €/m²]]*Tableau1[[#This Row],[Surface GLA]]</f>
        <v>5665</v>
      </c>
      <c r="Y381" s="12">
        <f>Tableau1[[#This Row],[Charges annuelles]]/12</f>
        <v>472.08333333333331</v>
      </c>
      <c r="Z381" s="12">
        <v>55</v>
      </c>
      <c r="AA381" s="12">
        <f>IFERROR(Tableau1[[#This Row],[Taxe foncière €/m²]]*Tableau1[[#This Row],[Surface GLA]],)</f>
        <v>1648</v>
      </c>
      <c r="AB381" s="12">
        <v>16</v>
      </c>
      <c r="AC381" s="12">
        <f>IFERROR(Tableau1[[#This Row],[Marketing €/m²]]*Tableau1[[#This Row],[Surface GLA]],)</f>
        <v>0</v>
      </c>
      <c r="AD381" s="12"/>
      <c r="AE381" s="12">
        <f>IFERROR(Tableau1[[#This Row],[Loyer annuel]]+Tableau1[[#This Row],[Charges annuelles]]+Tableau1[[#This Row],[Taxe foncière]]+Tableau1[[#This Row],[Marketing]],"")</f>
        <v>38213</v>
      </c>
      <c r="AF381" s="12" t="str">
        <f t="shared" si="21"/>
        <v>3 mois = 7 725 €</v>
      </c>
      <c r="AG381" s="6" t="s">
        <v>98</v>
      </c>
      <c r="AH381" s="6" t="s">
        <v>98</v>
      </c>
      <c r="AI381" s="12" t="s">
        <v>357</v>
      </c>
      <c r="AJ381" s="10"/>
      <c r="AK381" s="10"/>
      <c r="AL381" s="10"/>
      <c r="AM381" s="11"/>
      <c r="AN381" s="11" t="s">
        <v>1386</v>
      </c>
      <c r="AO381" s="5" t="s">
        <v>361</v>
      </c>
      <c r="AP381" s="11" t="s">
        <v>2290</v>
      </c>
      <c r="AQ381" s="11" t="s">
        <v>2291</v>
      </c>
      <c r="AR381" s="11" t="s">
        <v>2283</v>
      </c>
      <c r="AS381" s="36" t="s">
        <v>2300</v>
      </c>
      <c r="AT381" s="11" t="s">
        <v>70</v>
      </c>
      <c r="AU381" s="11" t="s">
        <v>370</v>
      </c>
      <c r="AV381" s="13" t="s">
        <v>1871</v>
      </c>
      <c r="AW381" s="14"/>
      <c r="AX381" s="44"/>
    </row>
    <row r="382" spans="1:50" ht="25.5">
      <c r="A382" s="38" t="str">
        <f>VLOOKUP(Tableau1[[#This Row],[N° Département]],Feuil1!$C$6:$E$106,3)</f>
        <v>Bretagne</v>
      </c>
      <c r="B382" s="38" t="str">
        <f>VLOOKUP(Tableau1[[#This Row],[N° Département]],Feuil1!$C$6:$E$106,2)</f>
        <v>Côtes d'Armor</v>
      </c>
      <c r="C382" s="38">
        <f>LEFT(Tableau1[[#This Row],[Code Postal]],2)*1</f>
        <v>22</v>
      </c>
      <c r="D382" s="10" t="s">
        <v>2280</v>
      </c>
      <c r="E382" s="26">
        <v>22000</v>
      </c>
      <c r="F382" s="10" t="s">
        <v>2277</v>
      </c>
      <c r="G382" s="39" t="str">
        <f>Tableau1[[#This Row],[Rue]]&amp;CHAR(10)&amp;Tableau1[[#This Row],[Code Postal]]&amp;" - "&amp;Tableau1[[#This Row],[Ville]]</f>
        <v>Les Champs, 1 rue Sainte-Barbe
22000 - Saint-Brieuc</v>
      </c>
      <c r="H382" s="15" t="s">
        <v>2278</v>
      </c>
      <c r="I382" s="12" t="s">
        <v>45</v>
      </c>
      <c r="J382" s="12" t="s">
        <v>49</v>
      </c>
      <c r="K382" s="10" t="s">
        <v>98</v>
      </c>
      <c r="L382" s="10" t="s">
        <v>98</v>
      </c>
      <c r="M382" s="12" t="s">
        <v>98</v>
      </c>
      <c r="N382" s="36">
        <v>5</v>
      </c>
      <c r="O382" s="34">
        <v>150</v>
      </c>
      <c r="P382" s="6" t="s">
        <v>98</v>
      </c>
      <c r="Q382" s="34" t="s">
        <v>98</v>
      </c>
      <c r="R382" s="6" t="s">
        <v>98</v>
      </c>
      <c r="S382" s="6" t="s">
        <v>98</v>
      </c>
      <c r="T382" s="12">
        <f>Tableau1[[#This Row],[Loyer €/m²]]*Tableau1[[#This Row],[Surface GLA]]</f>
        <v>45000</v>
      </c>
      <c r="U382" s="12">
        <f>IFERROR(Tableau1[[#This Row],[Loyer annuel]]/12,"")</f>
        <v>3750</v>
      </c>
      <c r="V382" s="12">
        <v>300</v>
      </c>
      <c r="W382" s="6" t="s">
        <v>98</v>
      </c>
      <c r="X382" s="6">
        <f>Tableau1[[#This Row],[Charges €/m²]]*Tableau1[[#This Row],[Surface GLA]]</f>
        <v>8250</v>
      </c>
      <c r="Y382" s="12">
        <f>Tableau1[[#This Row],[Charges annuelles]]/12</f>
        <v>687.5</v>
      </c>
      <c r="Z382" s="12">
        <v>55</v>
      </c>
      <c r="AA382" s="12">
        <f>IFERROR(Tableau1[[#This Row],[Taxe foncière €/m²]]*Tableau1[[#This Row],[Surface GLA]],)</f>
        <v>2400</v>
      </c>
      <c r="AB382" s="12">
        <v>16</v>
      </c>
      <c r="AC382" s="12">
        <f>IFERROR(Tableau1[[#This Row],[Marketing €/m²]]*Tableau1[[#This Row],[Surface GLA]],)</f>
        <v>0</v>
      </c>
      <c r="AD382" s="12"/>
      <c r="AE382" s="12">
        <f>IFERROR(Tableau1[[#This Row],[Loyer annuel]]+Tableau1[[#This Row],[Charges annuelles]]+Tableau1[[#This Row],[Taxe foncière]]+Tableau1[[#This Row],[Marketing]],"")</f>
        <v>55650</v>
      </c>
      <c r="AF382" s="12" t="str">
        <f t="shared" si="21"/>
        <v>3 mois = 11 250 €</v>
      </c>
      <c r="AG382" s="6" t="s">
        <v>98</v>
      </c>
      <c r="AH382" s="6" t="s">
        <v>98</v>
      </c>
      <c r="AI382" s="12" t="s">
        <v>357</v>
      </c>
      <c r="AJ382" s="10"/>
      <c r="AK382" s="10"/>
      <c r="AL382" s="10"/>
      <c r="AM382" s="11"/>
      <c r="AN382" s="11" t="s">
        <v>1386</v>
      </c>
      <c r="AO382" s="5" t="s">
        <v>361</v>
      </c>
      <c r="AP382" s="11" t="s">
        <v>2292</v>
      </c>
      <c r="AQ382" s="11" t="s">
        <v>2293</v>
      </c>
      <c r="AR382" s="11" t="s">
        <v>2284</v>
      </c>
      <c r="AS382" s="36" t="s">
        <v>2300</v>
      </c>
      <c r="AT382" s="11" t="s">
        <v>70</v>
      </c>
      <c r="AU382" s="11" t="s">
        <v>370</v>
      </c>
      <c r="AV382" s="13" t="s">
        <v>1871</v>
      </c>
      <c r="AW382" s="14"/>
      <c r="AX382" s="44"/>
    </row>
    <row r="383" spans="1:50" ht="25.5">
      <c r="A383" s="38" t="str">
        <f>VLOOKUP(Tableau1[[#This Row],[N° Département]],Feuil1!$C$6:$E$106,3)</f>
        <v>Bretagne</v>
      </c>
      <c r="B383" s="38" t="str">
        <f>VLOOKUP(Tableau1[[#This Row],[N° Département]],Feuil1!$C$6:$E$106,2)</f>
        <v>Côtes d'Armor</v>
      </c>
      <c r="C383" s="38">
        <f>LEFT(Tableau1[[#This Row],[Code Postal]],2)*1</f>
        <v>22</v>
      </c>
      <c r="D383" s="10" t="s">
        <v>2280</v>
      </c>
      <c r="E383" s="26">
        <v>22000</v>
      </c>
      <c r="F383" s="10" t="s">
        <v>2277</v>
      </c>
      <c r="G383" s="39" t="str">
        <f>Tableau1[[#This Row],[Rue]]&amp;CHAR(10)&amp;Tableau1[[#This Row],[Code Postal]]&amp;" - "&amp;Tableau1[[#This Row],[Ville]]</f>
        <v>Les Champs, 1 rue Sainte-Barbe
22000 - Saint-Brieuc</v>
      </c>
      <c r="H383" s="15" t="s">
        <v>2278</v>
      </c>
      <c r="I383" s="12" t="s">
        <v>45</v>
      </c>
      <c r="J383" s="12" t="s">
        <v>49</v>
      </c>
      <c r="K383" s="10" t="s">
        <v>98</v>
      </c>
      <c r="L383" s="10" t="s">
        <v>98</v>
      </c>
      <c r="M383" s="12" t="s">
        <v>98</v>
      </c>
      <c r="N383" s="36" t="s">
        <v>2281</v>
      </c>
      <c r="O383" s="34">
        <v>342</v>
      </c>
      <c r="P383" s="6" t="s">
        <v>98</v>
      </c>
      <c r="Q383" s="34" t="s">
        <v>98</v>
      </c>
      <c r="R383" s="6" t="s">
        <v>98</v>
      </c>
      <c r="S383" s="6" t="s">
        <v>98</v>
      </c>
      <c r="T383" s="12">
        <f>Tableau1[[#This Row],[Loyer €/m²]]*Tableau1[[#This Row],[Surface GLA]]</f>
        <v>68400</v>
      </c>
      <c r="U383" s="12">
        <f>IFERROR(Tableau1[[#This Row],[Loyer annuel]]/12,"")</f>
        <v>5700</v>
      </c>
      <c r="V383" s="12">
        <v>200</v>
      </c>
      <c r="W383" s="6" t="s">
        <v>98</v>
      </c>
      <c r="X383" s="6">
        <f>Tableau1[[#This Row],[Charges €/m²]]*Tableau1[[#This Row],[Surface GLA]]</f>
        <v>18810</v>
      </c>
      <c r="Y383" s="12">
        <f>Tableau1[[#This Row],[Charges annuelles]]/12</f>
        <v>1567.5</v>
      </c>
      <c r="Z383" s="12">
        <v>55</v>
      </c>
      <c r="AA383" s="12">
        <f>IFERROR(Tableau1[[#This Row],[Taxe foncière €/m²]]*Tableau1[[#This Row],[Surface GLA]],)</f>
        <v>5472</v>
      </c>
      <c r="AB383" s="12">
        <v>16</v>
      </c>
      <c r="AC383" s="12">
        <f>IFERROR(Tableau1[[#This Row],[Marketing €/m²]]*Tableau1[[#This Row],[Surface GLA]],)</f>
        <v>0</v>
      </c>
      <c r="AD383" s="12"/>
      <c r="AE383" s="12">
        <f>IFERROR(Tableau1[[#This Row],[Loyer annuel]]+Tableau1[[#This Row],[Charges annuelles]]+Tableau1[[#This Row],[Taxe foncière]]+Tableau1[[#This Row],[Marketing]],"")</f>
        <v>92682</v>
      </c>
      <c r="AF383" s="12" t="str">
        <f t="shared" si="21"/>
        <v>3 mois = 17 100 €</v>
      </c>
      <c r="AG383" s="6" t="s">
        <v>98</v>
      </c>
      <c r="AH383" s="6" t="s">
        <v>98</v>
      </c>
      <c r="AI383" s="12" t="s">
        <v>357</v>
      </c>
      <c r="AJ383" s="10"/>
      <c r="AK383" s="10"/>
      <c r="AL383" s="10"/>
      <c r="AM383" s="11"/>
      <c r="AN383" s="11" t="s">
        <v>1386</v>
      </c>
      <c r="AO383" s="5" t="s">
        <v>361</v>
      </c>
      <c r="AP383" s="11" t="s">
        <v>2294</v>
      </c>
      <c r="AQ383" s="11" t="s">
        <v>2295</v>
      </c>
      <c r="AR383" s="11" t="s">
        <v>2286</v>
      </c>
      <c r="AS383" s="36" t="s">
        <v>2300</v>
      </c>
      <c r="AT383" s="11" t="s">
        <v>70</v>
      </c>
      <c r="AU383" s="11" t="s">
        <v>370</v>
      </c>
      <c r="AV383" s="13" t="s">
        <v>1871</v>
      </c>
      <c r="AW383" s="14"/>
      <c r="AX383" s="44"/>
    </row>
    <row r="384" spans="1:50" ht="25.5">
      <c r="A384" s="38" t="str">
        <f>VLOOKUP(Tableau1[[#This Row],[N° Département]],Feuil1!$C$6:$E$106,3)</f>
        <v>Bretagne</v>
      </c>
      <c r="B384" s="38" t="str">
        <f>VLOOKUP(Tableau1[[#This Row],[N° Département]],Feuil1!$C$6:$E$106,2)</f>
        <v>Côtes d'Armor</v>
      </c>
      <c r="C384" s="38">
        <f>LEFT(Tableau1[[#This Row],[Code Postal]],2)*1</f>
        <v>22</v>
      </c>
      <c r="D384" s="10" t="s">
        <v>2280</v>
      </c>
      <c r="E384" s="26">
        <v>22000</v>
      </c>
      <c r="F384" s="10" t="s">
        <v>2277</v>
      </c>
      <c r="G384" s="39" t="str">
        <f>Tableau1[[#This Row],[Rue]]&amp;CHAR(10)&amp;Tableau1[[#This Row],[Code Postal]]&amp;" - "&amp;Tableau1[[#This Row],[Ville]]</f>
        <v>Les Champs, 1 rue Sainte-Barbe
22000 - Saint-Brieuc</v>
      </c>
      <c r="H384" s="15" t="s">
        <v>2278</v>
      </c>
      <c r="I384" s="12" t="s">
        <v>45</v>
      </c>
      <c r="J384" s="12" t="s">
        <v>49</v>
      </c>
      <c r="K384" s="10" t="s">
        <v>98</v>
      </c>
      <c r="L384" s="10" t="s">
        <v>98</v>
      </c>
      <c r="M384" s="12" t="s">
        <v>98</v>
      </c>
      <c r="N384" s="36">
        <v>25</v>
      </c>
      <c r="O384" s="34">
        <v>63</v>
      </c>
      <c r="P384" s="6" t="s">
        <v>98</v>
      </c>
      <c r="Q384" s="34" t="s">
        <v>98</v>
      </c>
      <c r="R384" s="6" t="s">
        <v>98</v>
      </c>
      <c r="S384" s="6" t="s">
        <v>98</v>
      </c>
      <c r="T384" s="12">
        <f>Tableau1[[#This Row],[Loyer €/m²]]*Tableau1[[#This Row],[Surface GLA]]</f>
        <v>25200</v>
      </c>
      <c r="U384" s="12">
        <f>IFERROR(Tableau1[[#This Row],[Loyer annuel]]/12,"")</f>
        <v>2100</v>
      </c>
      <c r="V384" s="12">
        <v>400</v>
      </c>
      <c r="W384" s="6" t="s">
        <v>98</v>
      </c>
      <c r="X384" s="6">
        <f>Tableau1[[#This Row],[Charges €/m²]]*Tableau1[[#This Row],[Surface GLA]]</f>
        <v>3465</v>
      </c>
      <c r="Y384" s="12">
        <f>Tableau1[[#This Row],[Charges annuelles]]/12</f>
        <v>288.75</v>
      </c>
      <c r="Z384" s="12">
        <v>55</v>
      </c>
      <c r="AA384" s="12">
        <f>IFERROR(Tableau1[[#This Row],[Taxe foncière €/m²]]*Tableau1[[#This Row],[Surface GLA]],)</f>
        <v>1008</v>
      </c>
      <c r="AB384" s="12">
        <v>16</v>
      </c>
      <c r="AC384" s="12">
        <f>IFERROR(Tableau1[[#This Row],[Marketing €/m²]]*Tableau1[[#This Row],[Surface GLA]],)</f>
        <v>0</v>
      </c>
      <c r="AD384" s="12"/>
      <c r="AE384" s="12">
        <f>IFERROR(Tableau1[[#This Row],[Loyer annuel]]+Tableau1[[#This Row],[Charges annuelles]]+Tableau1[[#This Row],[Taxe foncière]]+Tableau1[[#This Row],[Marketing]],"")</f>
        <v>29673</v>
      </c>
      <c r="AF384" s="12" t="str">
        <f t="shared" si="21"/>
        <v>3 mois = 6 300 €</v>
      </c>
      <c r="AG384" s="6" t="s">
        <v>98</v>
      </c>
      <c r="AH384" s="6" t="s">
        <v>98</v>
      </c>
      <c r="AI384" s="12" t="s">
        <v>357</v>
      </c>
      <c r="AJ384" s="10"/>
      <c r="AK384" s="10"/>
      <c r="AL384" s="10"/>
      <c r="AM384" s="11"/>
      <c r="AN384" s="11" t="s">
        <v>1386</v>
      </c>
      <c r="AO384" s="5" t="s">
        <v>361</v>
      </c>
      <c r="AP384" s="11" t="s">
        <v>2296</v>
      </c>
      <c r="AQ384" s="11" t="s">
        <v>2297</v>
      </c>
      <c r="AR384" s="11" t="s">
        <v>2285</v>
      </c>
      <c r="AS384" s="36" t="s">
        <v>2300</v>
      </c>
      <c r="AT384" s="11" t="s">
        <v>70</v>
      </c>
      <c r="AU384" s="11" t="s">
        <v>370</v>
      </c>
      <c r="AV384" s="13" t="s">
        <v>1871</v>
      </c>
      <c r="AW384" s="14"/>
      <c r="AX384" s="44"/>
    </row>
    <row r="385" spans="1:50" ht="25.5">
      <c r="A385" s="38" t="str">
        <f>VLOOKUP(Tableau1[[#This Row],[N° Département]],Feuil1!$C$6:$E$106,3)</f>
        <v>Bretagne</v>
      </c>
      <c r="B385" s="38" t="str">
        <f>VLOOKUP(Tableau1[[#This Row],[N° Département]],Feuil1!$C$6:$E$106,2)</f>
        <v>Côtes d'Armor</v>
      </c>
      <c r="C385" s="38">
        <f>LEFT(Tableau1[[#This Row],[Code Postal]],2)*1</f>
        <v>22</v>
      </c>
      <c r="D385" s="10" t="s">
        <v>2280</v>
      </c>
      <c r="E385" s="26">
        <v>22000</v>
      </c>
      <c r="F385" s="10" t="s">
        <v>2277</v>
      </c>
      <c r="G385" s="39" t="str">
        <f>Tableau1[[#This Row],[Rue]]&amp;CHAR(10)&amp;Tableau1[[#This Row],[Code Postal]]&amp;" - "&amp;Tableau1[[#This Row],[Ville]]</f>
        <v>Les Champs, 1 rue Sainte-Barbe
22000 - Saint-Brieuc</v>
      </c>
      <c r="H385" s="15" t="s">
        <v>2278</v>
      </c>
      <c r="I385" s="12" t="s">
        <v>45</v>
      </c>
      <c r="J385" s="12" t="s">
        <v>49</v>
      </c>
      <c r="K385" s="10" t="s">
        <v>98</v>
      </c>
      <c r="L385" s="10" t="s">
        <v>98</v>
      </c>
      <c r="M385" s="12" t="s">
        <v>98</v>
      </c>
      <c r="N385" s="36" t="s">
        <v>2304</v>
      </c>
      <c r="O385" s="34">
        <v>104</v>
      </c>
      <c r="P385" s="6" t="s">
        <v>98</v>
      </c>
      <c r="Q385" s="34" t="s">
        <v>98</v>
      </c>
      <c r="R385" s="6" t="s">
        <v>98</v>
      </c>
      <c r="S385" s="6" t="s">
        <v>98</v>
      </c>
      <c r="T385" s="12">
        <f>Tableau1[[#This Row],[Loyer €/m²]]*Tableau1[[#This Row],[Surface GLA]]</f>
        <v>31200</v>
      </c>
      <c r="U385" s="12">
        <f>IFERROR(Tableau1[[#This Row],[Loyer annuel]]/12,"")</f>
        <v>2600</v>
      </c>
      <c r="V385" s="12">
        <v>300</v>
      </c>
      <c r="W385" s="6" t="s">
        <v>98</v>
      </c>
      <c r="X385" s="6">
        <f>Tableau1[[#This Row],[Charges €/m²]]*Tableau1[[#This Row],[Surface GLA]]</f>
        <v>5720</v>
      </c>
      <c r="Y385" s="12">
        <f>Tableau1[[#This Row],[Charges annuelles]]/12</f>
        <v>476.66666666666669</v>
      </c>
      <c r="Z385" s="12">
        <v>55</v>
      </c>
      <c r="AA385" s="12">
        <f>IFERROR(Tableau1[[#This Row],[Taxe foncière €/m²]]*Tableau1[[#This Row],[Surface GLA]],)</f>
        <v>1664</v>
      </c>
      <c r="AB385" s="12">
        <v>16</v>
      </c>
      <c r="AC385" s="12">
        <f>IFERROR(Tableau1[[#This Row],[Marketing €/m²]]*Tableau1[[#This Row],[Surface GLA]],)</f>
        <v>0</v>
      </c>
      <c r="AD385" s="12"/>
      <c r="AE385" s="12">
        <f>IFERROR(Tableau1[[#This Row],[Loyer annuel]]+Tableau1[[#This Row],[Charges annuelles]]+Tableau1[[#This Row],[Taxe foncière]]+Tableau1[[#This Row],[Marketing]],"")</f>
        <v>38584</v>
      </c>
      <c r="AF385" s="12" t="str">
        <f t="shared" si="21"/>
        <v>3 mois = 7 800 €</v>
      </c>
      <c r="AG385" s="6" t="s">
        <v>98</v>
      </c>
      <c r="AH385" s="6" t="s">
        <v>98</v>
      </c>
      <c r="AI385" s="12" t="s">
        <v>357</v>
      </c>
      <c r="AJ385" s="10"/>
      <c r="AK385" s="10"/>
      <c r="AL385" s="10"/>
      <c r="AM385" s="11"/>
      <c r="AN385" s="11" t="s">
        <v>1386</v>
      </c>
      <c r="AO385" s="5" t="s">
        <v>361</v>
      </c>
      <c r="AP385" s="11" t="s">
        <v>2298</v>
      </c>
      <c r="AQ385" s="11" t="s">
        <v>2299</v>
      </c>
      <c r="AR385" s="11" t="s">
        <v>2287</v>
      </c>
      <c r="AS385" s="36" t="s">
        <v>2300</v>
      </c>
      <c r="AT385" s="11" t="s">
        <v>70</v>
      </c>
      <c r="AU385" s="11" t="s">
        <v>370</v>
      </c>
      <c r="AV385" s="13" t="s">
        <v>1871</v>
      </c>
      <c r="AW385" s="14"/>
      <c r="AX385" s="44"/>
    </row>
    <row r="386" spans="1:50" ht="25.5">
      <c r="A386" s="38" t="str">
        <f>VLOOKUP(Tableau1[[#This Row],[N° Département]],Feuil1!$C$6:$E$106,3)</f>
        <v>Grand Est</v>
      </c>
      <c r="B386" s="38" t="str">
        <f>VLOOKUP(Tableau1[[#This Row],[N° Département]],Feuil1!$C$6:$E$106,2)</f>
        <v>Moselle</v>
      </c>
      <c r="C386" s="38">
        <f>LEFT(Tableau1[[#This Row],[Code Postal]],2)*1</f>
        <v>57</v>
      </c>
      <c r="D386" s="10" t="s">
        <v>2302</v>
      </c>
      <c r="E386" s="26">
        <v>57100</v>
      </c>
      <c r="F386" s="10" t="s">
        <v>2301</v>
      </c>
      <c r="G386" s="39" t="str">
        <f>Tableau1[[#This Row],[Rue]]&amp;Tableau1[[#This Row],[Code Postal]]&amp;Tableau1[[#This Row],[Ville]]</f>
        <v>La Cour des Capucins, 13 rue du Cygne57100Thionville</v>
      </c>
      <c r="H386" s="15" t="s">
        <v>2303</v>
      </c>
      <c r="I386" s="12" t="s">
        <v>45</v>
      </c>
      <c r="J386" s="12" t="s">
        <v>49</v>
      </c>
      <c r="K386" s="10" t="s">
        <v>98</v>
      </c>
      <c r="L386" s="10" t="s">
        <v>98</v>
      </c>
      <c r="M386" s="12" t="s">
        <v>98</v>
      </c>
      <c r="N386" s="36" t="s">
        <v>289</v>
      </c>
      <c r="O386" s="34">
        <v>202</v>
      </c>
      <c r="P386" s="6" t="s">
        <v>98</v>
      </c>
      <c r="Q386" s="34">
        <v>388</v>
      </c>
      <c r="R386" s="6" t="s">
        <v>98</v>
      </c>
      <c r="S386" s="6" t="s">
        <v>98</v>
      </c>
      <c r="T386" s="12">
        <f>Tableau1[[#This Row],[Loyer €/m²]]*Tableau1[[#This Row],[Surface GLA]]</f>
        <v>40400</v>
      </c>
      <c r="U386" s="12">
        <f>IFERROR(Tableau1[[#This Row],[Loyer annuel]]/12,"")</f>
        <v>3366.6666666666665</v>
      </c>
      <c r="V386" s="12">
        <v>200</v>
      </c>
      <c r="W386" s="6" t="s">
        <v>98</v>
      </c>
      <c r="X386" s="6">
        <f>Tableau1[[#This Row],[Charges €/m²]]*Tableau1[[#This Row],[Surface GLA]]</f>
        <v>9090</v>
      </c>
      <c r="Y386" s="12">
        <f>Tableau1[[#This Row],[Charges annuelles]]/12</f>
        <v>757.5</v>
      </c>
      <c r="Z386" s="12">
        <v>45</v>
      </c>
      <c r="AA386" s="12">
        <f>IFERROR(Tableau1[[#This Row],[Taxe foncière €/m²]]*Tableau1[[#This Row],[Surface GLA]],)</f>
        <v>3232</v>
      </c>
      <c r="AB386" s="12">
        <v>16</v>
      </c>
      <c r="AC386" s="12">
        <f>IFERROR(Tableau1[[#This Row],[Marketing €/m²]]*Tableau1[[#This Row],[Surface GLA]],)</f>
        <v>5050</v>
      </c>
      <c r="AD386" s="12">
        <v>25</v>
      </c>
      <c r="AE386" s="12">
        <f>IFERROR(Tableau1[[#This Row],[Loyer annuel]]+Tableau1[[#This Row],[Charges annuelles]]+Tableau1[[#This Row],[Taxe foncière]]+Tableau1[[#This Row],[Marketing]],"")</f>
        <v>57772</v>
      </c>
      <c r="AF386" s="12" t="str">
        <f t="shared" ref="AF386:AF398" si="22">"3 mois = "&amp;TEXT(ROUND(3/12*T386,0),"### ### ##0 €")</f>
        <v>3 mois = 10 100 €</v>
      </c>
      <c r="AG386" s="6" t="s">
        <v>98</v>
      </c>
      <c r="AH386" s="6" t="s">
        <v>98</v>
      </c>
      <c r="AI386" s="12" t="s">
        <v>357</v>
      </c>
      <c r="AJ386" s="10"/>
      <c r="AK386" s="10"/>
      <c r="AL386" s="10"/>
      <c r="AM386" s="11"/>
      <c r="AN386" s="11" t="s">
        <v>1386</v>
      </c>
      <c r="AO386" s="5" t="s">
        <v>361</v>
      </c>
      <c r="AP386" s="11" t="s">
        <v>2329</v>
      </c>
      <c r="AQ386" s="11" t="s">
        <v>2330</v>
      </c>
      <c r="AR386" s="11" t="s">
        <v>2316</v>
      </c>
      <c r="AS386" s="36" t="s">
        <v>2355</v>
      </c>
      <c r="AT386" s="11" t="s">
        <v>70</v>
      </c>
      <c r="AU386" s="11" t="s">
        <v>370</v>
      </c>
      <c r="AV386" s="13" t="s">
        <v>1871</v>
      </c>
      <c r="AW386" s="14"/>
      <c r="AX386" s="44"/>
    </row>
    <row r="387" spans="1:50" ht="25.5">
      <c r="A387" s="38" t="str">
        <f>VLOOKUP(Tableau1[[#This Row],[N° Département]],Feuil1!$C$6:$E$106,3)</f>
        <v>Grand Est</v>
      </c>
      <c r="B387" s="38" t="str">
        <f>VLOOKUP(Tableau1[[#This Row],[N° Département]],Feuil1!$C$6:$E$106,2)</f>
        <v>Moselle</v>
      </c>
      <c r="C387" s="38">
        <f>LEFT(Tableau1[[#This Row],[Code Postal]],2)*1</f>
        <v>57</v>
      </c>
      <c r="D387" s="10" t="s">
        <v>2302</v>
      </c>
      <c r="E387" s="10">
        <v>57100</v>
      </c>
      <c r="F387" s="10" t="s">
        <v>2301</v>
      </c>
      <c r="G387" s="39" t="str">
        <f>Tableau1[[#This Row],[Rue]]&amp;Tableau1[[#This Row],[Code Postal]]&amp;Tableau1[[#This Row],[Ville]]</f>
        <v>La Cour des Capucins, 13 rue du Cygne57100Thionville</v>
      </c>
      <c r="H387" s="52" t="s">
        <v>2303</v>
      </c>
      <c r="I387" s="12" t="s">
        <v>45</v>
      </c>
      <c r="J387" s="12" t="s">
        <v>49</v>
      </c>
      <c r="K387" s="10" t="s">
        <v>98</v>
      </c>
      <c r="L387" s="10" t="s">
        <v>98</v>
      </c>
      <c r="M387" s="12" t="s">
        <v>98</v>
      </c>
      <c r="N387" s="36" t="s">
        <v>2305</v>
      </c>
      <c r="O387" s="34">
        <v>186</v>
      </c>
      <c r="P387" s="6" t="s">
        <v>98</v>
      </c>
      <c r="Q387" s="34">
        <v>388</v>
      </c>
      <c r="R387" s="6" t="s">
        <v>98</v>
      </c>
      <c r="S387" s="6" t="s">
        <v>98</v>
      </c>
      <c r="T387" s="12">
        <f>Tableau1[[#This Row],[Loyer €/m²]]*Tableau1[[#This Row],[Surface GLA]]</f>
        <v>46500</v>
      </c>
      <c r="U387" s="12">
        <f>IFERROR(Tableau1[[#This Row],[Loyer annuel]]/12,"")</f>
        <v>3875</v>
      </c>
      <c r="V387" s="12">
        <v>250</v>
      </c>
      <c r="W387" s="6" t="s">
        <v>98</v>
      </c>
      <c r="X387" s="6">
        <f>Tableau1[[#This Row],[Charges €/m²]]*Tableau1[[#This Row],[Surface GLA]]</f>
        <v>8370</v>
      </c>
      <c r="Y387" s="12">
        <f>Tableau1[[#This Row],[Charges annuelles]]/12</f>
        <v>697.5</v>
      </c>
      <c r="Z387" s="12">
        <v>45</v>
      </c>
      <c r="AA387" s="12">
        <f>IFERROR(Tableau1[[#This Row],[Taxe foncière €/m²]]*Tableau1[[#This Row],[Surface GLA]],)</f>
        <v>2976</v>
      </c>
      <c r="AB387" s="12">
        <v>16</v>
      </c>
      <c r="AC387" s="12">
        <f>IFERROR(Tableau1[[#This Row],[Marketing €/m²]]*Tableau1[[#This Row],[Surface GLA]],)</f>
        <v>4650</v>
      </c>
      <c r="AD387" s="12">
        <v>25</v>
      </c>
      <c r="AE387" s="12">
        <f>IFERROR(Tableau1[[#This Row],[Loyer annuel]]+Tableau1[[#This Row],[Charges annuelles]]+Tableau1[[#This Row],[Taxe foncière]]+Tableau1[[#This Row],[Marketing]],"")</f>
        <v>62496</v>
      </c>
      <c r="AF387" s="12" t="str">
        <f t="shared" si="22"/>
        <v>3 mois = 11 625 €</v>
      </c>
      <c r="AG387" s="6" t="s">
        <v>98</v>
      </c>
      <c r="AH387" s="6" t="s">
        <v>98</v>
      </c>
      <c r="AI387" s="12" t="s">
        <v>357</v>
      </c>
      <c r="AJ387" s="10"/>
      <c r="AK387" s="10"/>
      <c r="AL387" s="10"/>
      <c r="AM387" s="11"/>
      <c r="AN387" s="11" t="s">
        <v>1386</v>
      </c>
      <c r="AO387" s="5" t="s">
        <v>361</v>
      </c>
      <c r="AP387" s="11" t="s">
        <v>2331</v>
      </c>
      <c r="AQ387" s="11" t="s">
        <v>2332</v>
      </c>
      <c r="AR387" s="11" t="s">
        <v>2317</v>
      </c>
      <c r="AS387" s="36" t="s">
        <v>2355</v>
      </c>
      <c r="AT387" s="11" t="s">
        <v>70</v>
      </c>
      <c r="AU387" s="11" t="s">
        <v>370</v>
      </c>
      <c r="AV387" s="13" t="s">
        <v>1871</v>
      </c>
      <c r="AW387" s="14"/>
      <c r="AX387" s="44"/>
    </row>
    <row r="388" spans="1:50" ht="25.5">
      <c r="A388" s="38" t="str">
        <f>VLOOKUP(Tableau1[[#This Row],[N° Département]],Feuil1!$C$6:$E$106,3)</f>
        <v>Grand Est</v>
      </c>
      <c r="B388" s="38" t="str">
        <f>VLOOKUP(Tableau1[[#This Row],[N° Département]],Feuil1!$C$6:$E$106,2)</f>
        <v>Moselle</v>
      </c>
      <c r="C388" s="38">
        <f>LEFT(Tableau1[[#This Row],[Code Postal]],2)*1</f>
        <v>57</v>
      </c>
      <c r="D388" s="10" t="s">
        <v>2302</v>
      </c>
      <c r="E388" s="10">
        <v>57100</v>
      </c>
      <c r="F388" s="10" t="s">
        <v>2301</v>
      </c>
      <c r="G388" s="39" t="str">
        <f>Tableau1[[#This Row],[Rue]]&amp;Tableau1[[#This Row],[Code Postal]]&amp;Tableau1[[#This Row],[Ville]]</f>
        <v>La Cour des Capucins, 13 rue du Cygne57100Thionville</v>
      </c>
      <c r="H388" s="52" t="s">
        <v>2303</v>
      </c>
      <c r="I388" s="12" t="s">
        <v>45</v>
      </c>
      <c r="J388" s="12" t="s">
        <v>49</v>
      </c>
      <c r="K388" s="10" t="s">
        <v>98</v>
      </c>
      <c r="L388" s="10" t="s">
        <v>98</v>
      </c>
      <c r="M388" s="12" t="s">
        <v>98</v>
      </c>
      <c r="N388" s="36" t="s">
        <v>2306</v>
      </c>
      <c r="O388" s="34">
        <v>77</v>
      </c>
      <c r="P388" s="6" t="s">
        <v>98</v>
      </c>
      <c r="Q388" s="34" t="s">
        <v>98</v>
      </c>
      <c r="R388" s="6" t="s">
        <v>98</v>
      </c>
      <c r="S388" s="6" t="s">
        <v>98</v>
      </c>
      <c r="T388" s="12">
        <f>Tableau1[[#This Row],[Loyer €/m²]]*Tableau1[[#This Row],[Surface GLA]]</f>
        <v>23100</v>
      </c>
      <c r="U388" s="12">
        <f>IFERROR(Tableau1[[#This Row],[Loyer annuel]]/12,"")</f>
        <v>1925</v>
      </c>
      <c r="V388" s="12">
        <v>300</v>
      </c>
      <c r="W388" s="6" t="s">
        <v>98</v>
      </c>
      <c r="X388" s="6">
        <f>Tableau1[[#This Row],[Charges €/m²]]*Tableau1[[#This Row],[Surface GLA]]</f>
        <v>3465</v>
      </c>
      <c r="Y388" s="12">
        <f>Tableau1[[#This Row],[Charges annuelles]]/12</f>
        <v>288.75</v>
      </c>
      <c r="Z388" s="12">
        <v>45</v>
      </c>
      <c r="AA388" s="12">
        <f>IFERROR(Tableau1[[#This Row],[Taxe foncière €/m²]]*Tableau1[[#This Row],[Surface GLA]],)</f>
        <v>1232</v>
      </c>
      <c r="AB388" s="12">
        <v>16</v>
      </c>
      <c r="AC388" s="12">
        <f>IFERROR(Tableau1[[#This Row],[Marketing €/m²]]*Tableau1[[#This Row],[Surface GLA]],)</f>
        <v>1925</v>
      </c>
      <c r="AD388" s="12">
        <v>25</v>
      </c>
      <c r="AE388" s="12">
        <f>IFERROR(Tableau1[[#This Row],[Loyer annuel]]+Tableau1[[#This Row],[Charges annuelles]]+Tableau1[[#This Row],[Taxe foncière]]+Tableau1[[#This Row],[Marketing]],"")</f>
        <v>29722</v>
      </c>
      <c r="AF388" s="12" t="str">
        <f t="shared" si="22"/>
        <v>3 mois = 5 775 €</v>
      </c>
      <c r="AG388" s="6" t="s">
        <v>98</v>
      </c>
      <c r="AH388" s="6" t="s">
        <v>98</v>
      </c>
      <c r="AI388" s="12" t="s">
        <v>357</v>
      </c>
      <c r="AJ388" s="10"/>
      <c r="AK388" s="10"/>
      <c r="AL388" s="10"/>
      <c r="AM388" s="11"/>
      <c r="AN388" s="11" t="s">
        <v>1386</v>
      </c>
      <c r="AO388" s="5" t="s">
        <v>361</v>
      </c>
      <c r="AP388" s="11" t="s">
        <v>2333</v>
      </c>
      <c r="AQ388" s="11" t="s">
        <v>2334</v>
      </c>
      <c r="AR388" s="11" t="s">
        <v>2319</v>
      </c>
      <c r="AS388" s="36" t="s">
        <v>2355</v>
      </c>
      <c r="AT388" s="11" t="s">
        <v>70</v>
      </c>
      <c r="AU388" s="11" t="s">
        <v>370</v>
      </c>
      <c r="AV388" s="13" t="s">
        <v>1871</v>
      </c>
      <c r="AW388" s="14"/>
      <c r="AX388" s="44"/>
    </row>
    <row r="389" spans="1:50" ht="25.5">
      <c r="A389" s="38" t="str">
        <f>VLOOKUP(Tableau1[[#This Row],[N° Département]],Feuil1!$C$6:$E$106,3)</f>
        <v>Grand Est</v>
      </c>
      <c r="B389" s="38" t="str">
        <f>VLOOKUP(Tableau1[[#This Row],[N° Département]],Feuil1!$C$6:$E$106,2)</f>
        <v>Moselle</v>
      </c>
      <c r="C389" s="38">
        <f>LEFT(Tableau1[[#This Row],[Code Postal]],2)*1</f>
        <v>57</v>
      </c>
      <c r="D389" s="10" t="s">
        <v>2302</v>
      </c>
      <c r="E389" s="10">
        <v>57100</v>
      </c>
      <c r="F389" s="10" t="s">
        <v>2301</v>
      </c>
      <c r="G389" s="39" t="str">
        <f>Tableau1[[#This Row],[Rue]]&amp;Tableau1[[#This Row],[Code Postal]]&amp;Tableau1[[#This Row],[Ville]]</f>
        <v>La Cour des Capucins, 13 rue du Cygne57100Thionville</v>
      </c>
      <c r="H389" s="52" t="s">
        <v>2303</v>
      </c>
      <c r="I389" s="12" t="s">
        <v>45</v>
      </c>
      <c r="J389" s="12" t="s">
        <v>49</v>
      </c>
      <c r="K389" s="10" t="s">
        <v>98</v>
      </c>
      <c r="L389" s="10" t="s">
        <v>98</v>
      </c>
      <c r="M389" s="12" t="s">
        <v>98</v>
      </c>
      <c r="N389" s="36" t="s">
        <v>291</v>
      </c>
      <c r="O389" s="34">
        <v>129</v>
      </c>
      <c r="P389" s="6" t="s">
        <v>98</v>
      </c>
      <c r="Q389" s="34" t="s">
        <v>98</v>
      </c>
      <c r="R389" s="6" t="s">
        <v>98</v>
      </c>
      <c r="S389" s="6" t="s">
        <v>98</v>
      </c>
      <c r="T389" s="12">
        <f>Tableau1[[#This Row],[Loyer €/m²]]*Tableau1[[#This Row],[Surface GLA]]</f>
        <v>32250</v>
      </c>
      <c r="U389" s="12">
        <f>IFERROR(Tableau1[[#This Row],[Loyer annuel]]/12,"")</f>
        <v>2687.5</v>
      </c>
      <c r="V389" s="12">
        <v>250</v>
      </c>
      <c r="W389" s="6" t="s">
        <v>98</v>
      </c>
      <c r="X389" s="6">
        <f>Tableau1[[#This Row],[Charges €/m²]]*Tableau1[[#This Row],[Surface GLA]]</f>
        <v>5805</v>
      </c>
      <c r="Y389" s="12">
        <f>Tableau1[[#This Row],[Charges annuelles]]/12</f>
        <v>483.75</v>
      </c>
      <c r="Z389" s="12">
        <v>45</v>
      </c>
      <c r="AA389" s="12">
        <f>IFERROR(Tableau1[[#This Row],[Taxe foncière €/m²]]*Tableau1[[#This Row],[Surface GLA]],)</f>
        <v>2064</v>
      </c>
      <c r="AB389" s="12">
        <v>16</v>
      </c>
      <c r="AC389" s="12">
        <f>IFERROR(Tableau1[[#This Row],[Marketing €/m²]]*Tableau1[[#This Row],[Surface GLA]],)</f>
        <v>3225</v>
      </c>
      <c r="AD389" s="12">
        <v>25</v>
      </c>
      <c r="AE389" s="12">
        <f>IFERROR(Tableau1[[#This Row],[Loyer annuel]]+Tableau1[[#This Row],[Charges annuelles]]+Tableau1[[#This Row],[Taxe foncière]]+Tableau1[[#This Row],[Marketing]],"")</f>
        <v>43344</v>
      </c>
      <c r="AF389" s="12" t="str">
        <f t="shared" si="22"/>
        <v>3 mois = 8 063 €</v>
      </c>
      <c r="AG389" s="6" t="s">
        <v>98</v>
      </c>
      <c r="AH389" s="6" t="s">
        <v>98</v>
      </c>
      <c r="AI389" s="12" t="s">
        <v>357</v>
      </c>
      <c r="AJ389" s="10"/>
      <c r="AK389" s="10"/>
      <c r="AL389" s="10"/>
      <c r="AM389" s="11"/>
      <c r="AN389" s="11" t="s">
        <v>1386</v>
      </c>
      <c r="AO389" s="5" t="s">
        <v>361</v>
      </c>
      <c r="AP389" s="11" t="s">
        <v>2335</v>
      </c>
      <c r="AQ389" s="11" t="s">
        <v>2336</v>
      </c>
      <c r="AR389" s="11" t="s">
        <v>2320</v>
      </c>
      <c r="AS389" s="36" t="s">
        <v>2355</v>
      </c>
      <c r="AT389" s="11" t="s">
        <v>70</v>
      </c>
      <c r="AU389" s="11" t="s">
        <v>370</v>
      </c>
      <c r="AV389" s="13" t="s">
        <v>1871</v>
      </c>
      <c r="AW389" s="14"/>
      <c r="AX389" s="44"/>
    </row>
    <row r="390" spans="1:50" ht="25.5">
      <c r="A390" s="38" t="str">
        <f>VLOOKUP(Tableau1[[#This Row],[N° Département]],Feuil1!$C$6:$E$106,3)</f>
        <v>Grand Est</v>
      </c>
      <c r="B390" s="38" t="str">
        <f>VLOOKUP(Tableau1[[#This Row],[N° Département]],Feuil1!$C$6:$E$106,2)</f>
        <v>Moselle</v>
      </c>
      <c r="C390" s="38">
        <f>LEFT(Tableau1[[#This Row],[Code Postal]],2)*1</f>
        <v>57</v>
      </c>
      <c r="D390" s="10" t="s">
        <v>2302</v>
      </c>
      <c r="E390" s="10">
        <v>57100</v>
      </c>
      <c r="F390" s="10" t="s">
        <v>2301</v>
      </c>
      <c r="G390" s="39" t="str">
        <f>Tableau1[[#This Row],[Rue]]&amp;Tableau1[[#This Row],[Code Postal]]&amp;Tableau1[[#This Row],[Ville]]</f>
        <v>La Cour des Capucins, 13 rue du Cygne57100Thionville</v>
      </c>
      <c r="H390" s="52" t="s">
        <v>2303</v>
      </c>
      <c r="I390" s="12" t="s">
        <v>45</v>
      </c>
      <c r="J390" s="12" t="s">
        <v>49</v>
      </c>
      <c r="K390" s="10" t="s">
        <v>98</v>
      </c>
      <c r="L390" s="10" t="s">
        <v>98</v>
      </c>
      <c r="M390" s="12" t="s">
        <v>98</v>
      </c>
      <c r="N390" s="36" t="s">
        <v>2307</v>
      </c>
      <c r="O390" s="34">
        <v>142</v>
      </c>
      <c r="P390" s="6" t="s">
        <v>98</v>
      </c>
      <c r="Q390" s="34" t="s">
        <v>98</v>
      </c>
      <c r="R390" s="6" t="s">
        <v>98</v>
      </c>
      <c r="S390" s="6" t="s">
        <v>98</v>
      </c>
      <c r="T390" s="12">
        <f>Tableau1[[#This Row],[Loyer €/m²]]*Tableau1[[#This Row],[Surface GLA]]</f>
        <v>35500</v>
      </c>
      <c r="U390" s="12">
        <f>IFERROR(Tableau1[[#This Row],[Loyer annuel]]/12,"")</f>
        <v>2958.3333333333335</v>
      </c>
      <c r="V390" s="12">
        <v>250</v>
      </c>
      <c r="W390" s="6" t="s">
        <v>98</v>
      </c>
      <c r="X390" s="6">
        <f>Tableau1[[#This Row],[Charges €/m²]]*Tableau1[[#This Row],[Surface GLA]]</f>
        <v>6390</v>
      </c>
      <c r="Y390" s="12">
        <f>Tableau1[[#This Row],[Charges annuelles]]/12</f>
        <v>532.5</v>
      </c>
      <c r="Z390" s="12">
        <v>45</v>
      </c>
      <c r="AA390" s="12">
        <f>IFERROR(Tableau1[[#This Row],[Taxe foncière €/m²]]*Tableau1[[#This Row],[Surface GLA]],)</f>
        <v>2272</v>
      </c>
      <c r="AB390" s="12">
        <v>16</v>
      </c>
      <c r="AC390" s="12">
        <f>IFERROR(Tableau1[[#This Row],[Marketing €/m²]]*Tableau1[[#This Row],[Surface GLA]],)</f>
        <v>3550</v>
      </c>
      <c r="AD390" s="12">
        <v>25</v>
      </c>
      <c r="AE390" s="12">
        <f>IFERROR(Tableau1[[#This Row],[Loyer annuel]]+Tableau1[[#This Row],[Charges annuelles]]+Tableau1[[#This Row],[Taxe foncière]]+Tableau1[[#This Row],[Marketing]],"")</f>
        <v>47712</v>
      </c>
      <c r="AF390" s="12" t="str">
        <f t="shared" si="22"/>
        <v>3 mois = 8 875 €</v>
      </c>
      <c r="AG390" s="6" t="s">
        <v>98</v>
      </c>
      <c r="AH390" s="6" t="s">
        <v>98</v>
      </c>
      <c r="AI390" s="12" t="s">
        <v>357</v>
      </c>
      <c r="AJ390" s="10"/>
      <c r="AK390" s="10"/>
      <c r="AL390" s="10"/>
      <c r="AM390" s="11"/>
      <c r="AN390" s="11" t="s">
        <v>1386</v>
      </c>
      <c r="AO390" s="5" t="s">
        <v>361</v>
      </c>
      <c r="AP390" s="11" t="s">
        <v>2337</v>
      </c>
      <c r="AQ390" s="11" t="s">
        <v>2338</v>
      </c>
      <c r="AR390" s="11" t="s">
        <v>2318</v>
      </c>
      <c r="AS390" s="36" t="s">
        <v>2355</v>
      </c>
      <c r="AT390" s="11" t="s">
        <v>70</v>
      </c>
      <c r="AU390" s="11" t="s">
        <v>370</v>
      </c>
      <c r="AV390" s="13" t="s">
        <v>1871</v>
      </c>
      <c r="AW390" s="14"/>
      <c r="AX390" s="44"/>
    </row>
    <row r="391" spans="1:50" ht="25.5">
      <c r="A391" s="38" t="str">
        <f>VLOOKUP(Tableau1[[#This Row],[N° Département]],Feuil1!$C$6:$E$106,3)</f>
        <v>Grand Est</v>
      </c>
      <c r="B391" s="38" t="str">
        <f>VLOOKUP(Tableau1[[#This Row],[N° Département]],Feuil1!$C$6:$E$106,2)</f>
        <v>Moselle</v>
      </c>
      <c r="C391" s="38">
        <f>LEFT(Tableau1[[#This Row],[Code Postal]],2)*1</f>
        <v>57</v>
      </c>
      <c r="D391" s="10" t="s">
        <v>2302</v>
      </c>
      <c r="E391" s="10">
        <v>57100</v>
      </c>
      <c r="F391" s="10" t="s">
        <v>2301</v>
      </c>
      <c r="G391" s="39" t="str">
        <f>Tableau1[[#This Row],[Rue]]&amp;Tableau1[[#This Row],[Code Postal]]&amp;Tableau1[[#This Row],[Ville]]</f>
        <v>La Cour des Capucins, 13 rue du Cygne57100Thionville</v>
      </c>
      <c r="H391" s="52" t="s">
        <v>2303</v>
      </c>
      <c r="I391" s="12" t="s">
        <v>45</v>
      </c>
      <c r="J391" s="12" t="s">
        <v>49</v>
      </c>
      <c r="K391" s="10" t="s">
        <v>98</v>
      </c>
      <c r="L391" s="10" t="s">
        <v>98</v>
      </c>
      <c r="M391" s="12" t="s">
        <v>98</v>
      </c>
      <c r="N391" s="36" t="s">
        <v>2308</v>
      </c>
      <c r="O391" s="34">
        <v>76</v>
      </c>
      <c r="P391" s="6" t="s">
        <v>98</v>
      </c>
      <c r="Q391" s="34">
        <v>174</v>
      </c>
      <c r="R391" s="6" t="s">
        <v>98</v>
      </c>
      <c r="S391" s="6" t="s">
        <v>98</v>
      </c>
      <c r="T391" s="12">
        <f>Tableau1[[#This Row],[Loyer €/m²]]*Tableau1[[#This Row],[Surface GLA]]</f>
        <v>22800</v>
      </c>
      <c r="U391" s="12">
        <f>IFERROR(Tableau1[[#This Row],[Loyer annuel]]/12,"")</f>
        <v>1900</v>
      </c>
      <c r="V391" s="12">
        <v>300</v>
      </c>
      <c r="W391" s="6" t="s">
        <v>98</v>
      </c>
      <c r="X391" s="6">
        <f>Tableau1[[#This Row],[Charges €/m²]]*Tableau1[[#This Row],[Surface GLA]]</f>
        <v>3420</v>
      </c>
      <c r="Y391" s="12">
        <f>Tableau1[[#This Row],[Charges annuelles]]/12</f>
        <v>285</v>
      </c>
      <c r="Z391" s="12">
        <v>45</v>
      </c>
      <c r="AA391" s="12">
        <f>IFERROR(Tableau1[[#This Row],[Taxe foncière €/m²]]*Tableau1[[#This Row],[Surface GLA]],)</f>
        <v>1216</v>
      </c>
      <c r="AB391" s="12">
        <v>16</v>
      </c>
      <c r="AC391" s="12">
        <f>IFERROR(Tableau1[[#This Row],[Marketing €/m²]]*Tableau1[[#This Row],[Surface GLA]],)</f>
        <v>1900</v>
      </c>
      <c r="AD391" s="12">
        <v>25</v>
      </c>
      <c r="AE391" s="12">
        <f>IFERROR(Tableau1[[#This Row],[Loyer annuel]]+Tableau1[[#This Row],[Charges annuelles]]+Tableau1[[#This Row],[Taxe foncière]]+Tableau1[[#This Row],[Marketing]],"")</f>
        <v>29336</v>
      </c>
      <c r="AF391" s="12" t="str">
        <f t="shared" si="22"/>
        <v>3 mois = 5 700 €</v>
      </c>
      <c r="AG391" s="6" t="s">
        <v>98</v>
      </c>
      <c r="AH391" s="6" t="s">
        <v>98</v>
      </c>
      <c r="AI391" s="12" t="s">
        <v>357</v>
      </c>
      <c r="AJ391" s="10"/>
      <c r="AK391" s="10"/>
      <c r="AL391" s="10"/>
      <c r="AM391" s="11"/>
      <c r="AN391" s="11" t="s">
        <v>1386</v>
      </c>
      <c r="AO391" s="5" t="s">
        <v>361</v>
      </c>
      <c r="AP391" s="11" t="s">
        <v>2339</v>
      </c>
      <c r="AQ391" s="11" t="s">
        <v>2340</v>
      </c>
      <c r="AR391" s="11" t="s">
        <v>2321</v>
      </c>
      <c r="AS391" s="36" t="s">
        <v>2355</v>
      </c>
      <c r="AT391" s="11" t="s">
        <v>70</v>
      </c>
      <c r="AU391" s="11" t="s">
        <v>370</v>
      </c>
      <c r="AV391" s="13" t="s">
        <v>1871</v>
      </c>
      <c r="AW391" s="14"/>
      <c r="AX391" s="44"/>
    </row>
    <row r="392" spans="1:50" ht="25.5">
      <c r="A392" s="38" t="str">
        <f>VLOOKUP(Tableau1[[#This Row],[N° Département]],Feuil1!$C$6:$E$106,3)</f>
        <v>Grand Est</v>
      </c>
      <c r="B392" s="38" t="str">
        <f>VLOOKUP(Tableau1[[#This Row],[N° Département]],Feuil1!$C$6:$E$106,2)</f>
        <v>Moselle</v>
      </c>
      <c r="C392" s="38">
        <f>LEFT(Tableau1[[#This Row],[Code Postal]],2)*1</f>
        <v>57</v>
      </c>
      <c r="D392" s="10" t="s">
        <v>2302</v>
      </c>
      <c r="E392" s="10">
        <v>57100</v>
      </c>
      <c r="F392" s="10" t="s">
        <v>2301</v>
      </c>
      <c r="G392" s="39" t="str">
        <f>Tableau1[[#This Row],[Rue]]&amp;Tableau1[[#This Row],[Code Postal]]&amp;Tableau1[[#This Row],[Ville]]</f>
        <v>La Cour des Capucins, 13 rue du Cygne57100Thionville</v>
      </c>
      <c r="H392" s="52" t="s">
        <v>2303</v>
      </c>
      <c r="I392" s="12" t="s">
        <v>45</v>
      </c>
      <c r="J392" s="12" t="s">
        <v>49</v>
      </c>
      <c r="K392" s="10" t="s">
        <v>98</v>
      </c>
      <c r="L392" s="10" t="s">
        <v>98</v>
      </c>
      <c r="M392" s="12" t="s">
        <v>98</v>
      </c>
      <c r="N392" s="36" t="s">
        <v>2309</v>
      </c>
      <c r="O392" s="34">
        <v>98</v>
      </c>
      <c r="P392" s="6" t="s">
        <v>98</v>
      </c>
      <c r="Q392" s="34">
        <v>174</v>
      </c>
      <c r="R392" s="6" t="s">
        <v>98</v>
      </c>
      <c r="S392" s="6" t="s">
        <v>98</v>
      </c>
      <c r="T392" s="12">
        <f>Tableau1[[#This Row],[Loyer €/m²]]*Tableau1[[#This Row],[Surface GLA]]</f>
        <v>29400</v>
      </c>
      <c r="U392" s="12">
        <f>IFERROR(Tableau1[[#This Row],[Loyer annuel]]/12,"")</f>
        <v>2450</v>
      </c>
      <c r="V392" s="12">
        <v>300</v>
      </c>
      <c r="W392" s="6" t="s">
        <v>98</v>
      </c>
      <c r="X392" s="6">
        <f>Tableau1[[#This Row],[Charges €/m²]]*Tableau1[[#This Row],[Surface GLA]]</f>
        <v>4410</v>
      </c>
      <c r="Y392" s="12">
        <f>Tableau1[[#This Row],[Charges annuelles]]/12</f>
        <v>367.5</v>
      </c>
      <c r="Z392" s="12">
        <v>45</v>
      </c>
      <c r="AA392" s="12">
        <f>IFERROR(Tableau1[[#This Row],[Taxe foncière €/m²]]*Tableau1[[#This Row],[Surface GLA]],)</f>
        <v>1568</v>
      </c>
      <c r="AB392" s="12">
        <v>16</v>
      </c>
      <c r="AC392" s="12">
        <f>IFERROR(Tableau1[[#This Row],[Marketing €/m²]]*Tableau1[[#This Row],[Surface GLA]],)</f>
        <v>2450</v>
      </c>
      <c r="AD392" s="12">
        <v>25</v>
      </c>
      <c r="AE392" s="12">
        <f>IFERROR(Tableau1[[#This Row],[Loyer annuel]]+Tableau1[[#This Row],[Charges annuelles]]+Tableau1[[#This Row],[Taxe foncière]]+Tableau1[[#This Row],[Marketing]],"")</f>
        <v>37828</v>
      </c>
      <c r="AF392" s="12" t="str">
        <f t="shared" si="22"/>
        <v>3 mois = 7 350 €</v>
      </c>
      <c r="AG392" s="6" t="s">
        <v>98</v>
      </c>
      <c r="AH392" s="6" t="s">
        <v>98</v>
      </c>
      <c r="AI392" s="12" t="s">
        <v>357</v>
      </c>
      <c r="AJ392" s="10"/>
      <c r="AK392" s="10"/>
      <c r="AL392" s="10"/>
      <c r="AM392" s="11"/>
      <c r="AN392" s="11" t="s">
        <v>1386</v>
      </c>
      <c r="AO392" s="5" t="s">
        <v>361</v>
      </c>
      <c r="AP392" s="11" t="s">
        <v>2341</v>
      </c>
      <c r="AQ392" s="11" t="s">
        <v>2342</v>
      </c>
      <c r="AR392" s="11" t="s">
        <v>2322</v>
      </c>
      <c r="AS392" s="36" t="s">
        <v>2355</v>
      </c>
      <c r="AT392" s="11" t="s">
        <v>70</v>
      </c>
      <c r="AU392" s="11" t="s">
        <v>370</v>
      </c>
      <c r="AV392" s="13" t="s">
        <v>1871</v>
      </c>
      <c r="AW392" s="14"/>
      <c r="AX392" s="44"/>
    </row>
    <row r="393" spans="1:50" ht="25.5">
      <c r="A393" s="38" t="str">
        <f>VLOOKUP(Tableau1[[#This Row],[N° Département]],Feuil1!$C$6:$E$106,3)</f>
        <v>Grand Est</v>
      </c>
      <c r="B393" s="38" t="str">
        <f>VLOOKUP(Tableau1[[#This Row],[N° Département]],Feuil1!$C$6:$E$106,2)</f>
        <v>Moselle</v>
      </c>
      <c r="C393" s="38">
        <f>LEFT(Tableau1[[#This Row],[Code Postal]],2)*1</f>
        <v>57</v>
      </c>
      <c r="D393" s="10" t="s">
        <v>2302</v>
      </c>
      <c r="E393" s="10">
        <v>57100</v>
      </c>
      <c r="F393" s="10" t="s">
        <v>2301</v>
      </c>
      <c r="G393" s="39" t="str">
        <f>Tableau1[[#This Row],[Rue]]&amp;Tableau1[[#This Row],[Code Postal]]&amp;Tableau1[[#This Row],[Ville]]</f>
        <v>La Cour des Capucins, 13 rue du Cygne57100Thionville</v>
      </c>
      <c r="H393" s="52" t="s">
        <v>2303</v>
      </c>
      <c r="I393" s="12" t="s">
        <v>45</v>
      </c>
      <c r="J393" s="12" t="s">
        <v>49</v>
      </c>
      <c r="K393" s="10" t="s">
        <v>98</v>
      </c>
      <c r="L393" s="10" t="s">
        <v>98</v>
      </c>
      <c r="M393" s="12" t="s">
        <v>98</v>
      </c>
      <c r="N393" s="36" t="s">
        <v>2310</v>
      </c>
      <c r="O393" s="34">
        <v>145</v>
      </c>
      <c r="P393" s="6" t="s">
        <v>98</v>
      </c>
      <c r="Q393" s="34" t="s">
        <v>98</v>
      </c>
      <c r="R393" s="6" t="s">
        <v>98</v>
      </c>
      <c r="S393" s="6" t="s">
        <v>98</v>
      </c>
      <c r="T393" s="12">
        <f>Tableau1[[#This Row],[Loyer €/m²]]*Tableau1[[#This Row],[Surface GLA]]</f>
        <v>36250</v>
      </c>
      <c r="U393" s="12">
        <f>IFERROR(Tableau1[[#This Row],[Loyer annuel]]/12,"")</f>
        <v>3020.8333333333335</v>
      </c>
      <c r="V393" s="12">
        <v>250</v>
      </c>
      <c r="W393" s="6" t="s">
        <v>98</v>
      </c>
      <c r="X393" s="6">
        <f>Tableau1[[#This Row],[Charges €/m²]]*Tableau1[[#This Row],[Surface GLA]]</f>
        <v>6525</v>
      </c>
      <c r="Y393" s="12">
        <f>Tableau1[[#This Row],[Charges annuelles]]/12</f>
        <v>543.75</v>
      </c>
      <c r="Z393" s="12">
        <v>45</v>
      </c>
      <c r="AA393" s="12">
        <f>IFERROR(Tableau1[[#This Row],[Taxe foncière €/m²]]*Tableau1[[#This Row],[Surface GLA]],)</f>
        <v>2320</v>
      </c>
      <c r="AB393" s="12">
        <v>16</v>
      </c>
      <c r="AC393" s="12">
        <f>IFERROR(Tableau1[[#This Row],[Marketing €/m²]]*Tableau1[[#This Row],[Surface GLA]],)</f>
        <v>3625</v>
      </c>
      <c r="AD393" s="12">
        <v>25</v>
      </c>
      <c r="AE393" s="12">
        <f>IFERROR(Tableau1[[#This Row],[Loyer annuel]]+Tableau1[[#This Row],[Charges annuelles]]+Tableau1[[#This Row],[Taxe foncière]]+Tableau1[[#This Row],[Marketing]],"")</f>
        <v>48720</v>
      </c>
      <c r="AF393" s="12" t="str">
        <f t="shared" si="22"/>
        <v>3 mois = 9 063 €</v>
      </c>
      <c r="AG393" s="6" t="s">
        <v>98</v>
      </c>
      <c r="AH393" s="6" t="s">
        <v>98</v>
      </c>
      <c r="AI393" s="12" t="s">
        <v>357</v>
      </c>
      <c r="AJ393" s="10"/>
      <c r="AK393" s="10"/>
      <c r="AL393" s="10"/>
      <c r="AM393" s="11"/>
      <c r="AN393" s="11" t="s">
        <v>1386</v>
      </c>
      <c r="AO393" s="5" t="s">
        <v>361</v>
      </c>
      <c r="AP393" s="11" t="s">
        <v>2343</v>
      </c>
      <c r="AQ393" s="11" t="s">
        <v>2344</v>
      </c>
      <c r="AR393" s="11" t="s">
        <v>2323</v>
      </c>
      <c r="AS393" s="36" t="s">
        <v>2355</v>
      </c>
      <c r="AT393" s="11" t="s">
        <v>70</v>
      </c>
      <c r="AU393" s="11" t="s">
        <v>370</v>
      </c>
      <c r="AV393" s="13" t="s">
        <v>1871</v>
      </c>
      <c r="AW393" s="14"/>
      <c r="AX393" s="44"/>
    </row>
    <row r="394" spans="1:50" ht="25.5">
      <c r="A394" s="38" t="str">
        <f>VLOOKUP(Tableau1[[#This Row],[N° Département]],Feuil1!$C$6:$E$106,3)</f>
        <v>Grand Est</v>
      </c>
      <c r="B394" s="38" t="str">
        <f>VLOOKUP(Tableau1[[#This Row],[N° Département]],Feuil1!$C$6:$E$106,2)</f>
        <v>Moselle</v>
      </c>
      <c r="C394" s="38">
        <f>LEFT(Tableau1[[#This Row],[Code Postal]],2)*1</f>
        <v>57</v>
      </c>
      <c r="D394" s="10" t="s">
        <v>2302</v>
      </c>
      <c r="E394" s="10">
        <v>57100</v>
      </c>
      <c r="F394" s="10" t="s">
        <v>2301</v>
      </c>
      <c r="G394" s="39" t="str">
        <f>Tableau1[[#This Row],[Rue]]&amp;Tableau1[[#This Row],[Code Postal]]&amp;Tableau1[[#This Row],[Ville]]</f>
        <v>La Cour des Capucins, 13 rue du Cygne57100Thionville</v>
      </c>
      <c r="H394" s="52" t="s">
        <v>2303</v>
      </c>
      <c r="I394" s="12" t="s">
        <v>45</v>
      </c>
      <c r="J394" s="12" t="s">
        <v>49</v>
      </c>
      <c r="K394" s="10" t="s">
        <v>98</v>
      </c>
      <c r="L394" s="10" t="s">
        <v>98</v>
      </c>
      <c r="M394" s="12" t="s">
        <v>98</v>
      </c>
      <c r="N394" s="36" t="s">
        <v>2311</v>
      </c>
      <c r="O394" s="34">
        <v>91</v>
      </c>
      <c r="P394" s="6" t="s">
        <v>98</v>
      </c>
      <c r="Q394" s="34" t="s">
        <v>98</v>
      </c>
      <c r="R394" s="6" t="s">
        <v>98</v>
      </c>
      <c r="S394" s="6" t="s">
        <v>98</v>
      </c>
      <c r="T394" s="12">
        <f>Tableau1[[#This Row],[Loyer €/m²]]*Tableau1[[#This Row],[Surface GLA]]</f>
        <v>27300</v>
      </c>
      <c r="U394" s="12">
        <f>IFERROR(Tableau1[[#This Row],[Loyer annuel]]/12,"")</f>
        <v>2275</v>
      </c>
      <c r="V394" s="12">
        <v>300</v>
      </c>
      <c r="W394" s="6" t="s">
        <v>98</v>
      </c>
      <c r="X394" s="6">
        <f>Tableau1[[#This Row],[Charges €/m²]]*Tableau1[[#This Row],[Surface GLA]]</f>
        <v>4095</v>
      </c>
      <c r="Y394" s="12">
        <f>Tableau1[[#This Row],[Charges annuelles]]/12</f>
        <v>341.25</v>
      </c>
      <c r="Z394" s="12">
        <v>45</v>
      </c>
      <c r="AA394" s="12">
        <f>IFERROR(Tableau1[[#This Row],[Taxe foncière €/m²]]*Tableau1[[#This Row],[Surface GLA]],)</f>
        <v>1456</v>
      </c>
      <c r="AB394" s="12">
        <v>16</v>
      </c>
      <c r="AC394" s="12">
        <f>IFERROR(Tableau1[[#This Row],[Marketing €/m²]]*Tableau1[[#This Row],[Surface GLA]],)</f>
        <v>2275</v>
      </c>
      <c r="AD394" s="12">
        <v>25</v>
      </c>
      <c r="AE394" s="12">
        <f>IFERROR(Tableau1[[#This Row],[Loyer annuel]]+Tableau1[[#This Row],[Charges annuelles]]+Tableau1[[#This Row],[Taxe foncière]]+Tableau1[[#This Row],[Marketing]],"")</f>
        <v>35126</v>
      </c>
      <c r="AF394" s="12" t="str">
        <f t="shared" si="22"/>
        <v>3 mois = 6 825 €</v>
      </c>
      <c r="AG394" s="6" t="s">
        <v>98</v>
      </c>
      <c r="AH394" s="6" t="s">
        <v>98</v>
      </c>
      <c r="AI394" s="12" t="s">
        <v>357</v>
      </c>
      <c r="AJ394" s="10"/>
      <c r="AK394" s="10"/>
      <c r="AL394" s="10"/>
      <c r="AM394" s="11"/>
      <c r="AN394" s="11" t="s">
        <v>1386</v>
      </c>
      <c r="AO394" s="5" t="s">
        <v>361</v>
      </c>
      <c r="AP394" s="11" t="s">
        <v>2345</v>
      </c>
      <c r="AQ394" s="11" t="s">
        <v>2346</v>
      </c>
      <c r="AR394" s="11" t="s">
        <v>2324</v>
      </c>
      <c r="AS394" s="36" t="s">
        <v>2355</v>
      </c>
      <c r="AT394" s="11" t="s">
        <v>70</v>
      </c>
      <c r="AU394" s="11" t="s">
        <v>370</v>
      </c>
      <c r="AV394" s="13" t="s">
        <v>1871</v>
      </c>
      <c r="AW394" s="14"/>
      <c r="AX394" s="44"/>
    </row>
    <row r="395" spans="1:50" ht="25.5">
      <c r="A395" s="38" t="str">
        <f>VLOOKUP(Tableau1[[#This Row],[N° Département]],Feuil1!$C$6:$E$106,3)</f>
        <v>Grand Est</v>
      </c>
      <c r="B395" s="38" t="str">
        <f>VLOOKUP(Tableau1[[#This Row],[N° Département]],Feuil1!$C$6:$E$106,2)</f>
        <v>Moselle</v>
      </c>
      <c r="C395" s="38">
        <f>LEFT(Tableau1[[#This Row],[Code Postal]],2)*1</f>
        <v>57</v>
      </c>
      <c r="D395" s="10" t="s">
        <v>2302</v>
      </c>
      <c r="E395" s="10">
        <v>57100</v>
      </c>
      <c r="F395" s="10" t="s">
        <v>2301</v>
      </c>
      <c r="G395" s="39" t="str">
        <f>Tableau1[[#This Row],[Rue]]&amp;Tableau1[[#This Row],[Code Postal]]&amp;Tableau1[[#This Row],[Ville]]</f>
        <v>La Cour des Capucins, 13 rue du Cygne57100Thionville</v>
      </c>
      <c r="H395" s="52" t="s">
        <v>2303</v>
      </c>
      <c r="I395" s="12" t="s">
        <v>45</v>
      </c>
      <c r="J395" s="12" t="s">
        <v>49</v>
      </c>
      <c r="K395" s="10" t="s">
        <v>98</v>
      </c>
      <c r="L395" s="10" t="s">
        <v>98</v>
      </c>
      <c r="M395" s="12" t="s">
        <v>98</v>
      </c>
      <c r="N395" s="36" t="s">
        <v>2312</v>
      </c>
      <c r="O395" s="34"/>
      <c r="P395" s="6" t="s">
        <v>98</v>
      </c>
      <c r="Q395" s="34" t="s">
        <v>98</v>
      </c>
      <c r="R395" s="6" t="s">
        <v>98</v>
      </c>
      <c r="S395" s="6" t="s">
        <v>98</v>
      </c>
      <c r="T395" s="12">
        <f>Tableau1[[#This Row],[Loyer €/m²]]*Tableau1[[#This Row],[Surface GLA]]</f>
        <v>0</v>
      </c>
      <c r="U395" s="12">
        <f>IFERROR(Tableau1[[#This Row],[Loyer annuel]]/12,"")</f>
        <v>0</v>
      </c>
      <c r="V395" s="12"/>
      <c r="W395" s="6" t="s">
        <v>98</v>
      </c>
      <c r="X395" s="6">
        <f>Tableau1[[#This Row],[Charges €/m²]]*Tableau1[[#This Row],[Surface GLA]]</f>
        <v>0</v>
      </c>
      <c r="Y395" s="12">
        <f>Tableau1[[#This Row],[Charges annuelles]]/12</f>
        <v>0</v>
      </c>
      <c r="Z395" s="12">
        <v>45</v>
      </c>
      <c r="AA395" s="12">
        <f>IFERROR(Tableau1[[#This Row],[Taxe foncière €/m²]]*Tableau1[[#This Row],[Surface GLA]],)</f>
        <v>0</v>
      </c>
      <c r="AB395" s="12">
        <v>16</v>
      </c>
      <c r="AC395" s="12">
        <f>IFERROR(Tableau1[[#This Row],[Marketing €/m²]]*Tableau1[[#This Row],[Surface GLA]],)</f>
        <v>0</v>
      </c>
      <c r="AD395" s="12">
        <v>25</v>
      </c>
      <c r="AE395" s="12">
        <f>IFERROR(Tableau1[[#This Row],[Loyer annuel]]+Tableau1[[#This Row],[Charges annuelles]]+Tableau1[[#This Row],[Taxe foncière]]+Tableau1[[#This Row],[Marketing]],"")</f>
        <v>0</v>
      </c>
      <c r="AF395" s="12" t="str">
        <f t="shared" si="22"/>
        <v>3 mois = 0 €</v>
      </c>
      <c r="AG395" s="6" t="s">
        <v>98</v>
      </c>
      <c r="AH395" s="6" t="s">
        <v>98</v>
      </c>
      <c r="AI395" s="12" t="s">
        <v>357</v>
      </c>
      <c r="AJ395" s="10"/>
      <c r="AK395" s="10"/>
      <c r="AL395" s="10"/>
      <c r="AM395" s="11"/>
      <c r="AN395" s="11" t="s">
        <v>1386</v>
      </c>
      <c r="AO395" s="5" t="s">
        <v>361</v>
      </c>
      <c r="AP395" s="11" t="s">
        <v>2347</v>
      </c>
      <c r="AQ395" s="11" t="s">
        <v>2348</v>
      </c>
      <c r="AR395" s="11" t="s">
        <v>2325</v>
      </c>
      <c r="AS395" s="36" t="s">
        <v>2355</v>
      </c>
      <c r="AT395" s="11" t="s">
        <v>70</v>
      </c>
      <c r="AU395" s="11" t="s">
        <v>370</v>
      </c>
      <c r="AV395" s="13" t="s">
        <v>1871</v>
      </c>
      <c r="AW395" s="14"/>
      <c r="AX395" s="44"/>
    </row>
    <row r="396" spans="1:50" ht="25.5">
      <c r="A396" s="38" t="str">
        <f>VLOOKUP(Tableau1[[#This Row],[N° Département]],Feuil1!$C$6:$E$106,3)</f>
        <v>Grand Est</v>
      </c>
      <c r="B396" s="38" t="str">
        <f>VLOOKUP(Tableau1[[#This Row],[N° Département]],Feuil1!$C$6:$E$106,2)</f>
        <v>Moselle</v>
      </c>
      <c r="C396" s="38">
        <f>LEFT(Tableau1[[#This Row],[Code Postal]],2)*1</f>
        <v>57</v>
      </c>
      <c r="D396" s="10" t="s">
        <v>2302</v>
      </c>
      <c r="E396" s="10">
        <v>57100</v>
      </c>
      <c r="F396" s="10" t="s">
        <v>2301</v>
      </c>
      <c r="G396" s="39" t="str">
        <f>Tableau1[[#This Row],[Rue]]&amp;Tableau1[[#This Row],[Code Postal]]&amp;Tableau1[[#This Row],[Ville]]</f>
        <v>La Cour des Capucins, 13 rue du Cygne57100Thionville</v>
      </c>
      <c r="H396" s="52" t="s">
        <v>2303</v>
      </c>
      <c r="I396" s="12" t="s">
        <v>45</v>
      </c>
      <c r="J396" s="12" t="s">
        <v>49</v>
      </c>
      <c r="K396" s="10" t="s">
        <v>98</v>
      </c>
      <c r="L396" s="10" t="s">
        <v>98</v>
      </c>
      <c r="M396" s="12" t="s">
        <v>98</v>
      </c>
      <c r="N396" s="36" t="s">
        <v>2313</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c r="AK396" s="10"/>
      <c r="AL396" s="10"/>
      <c r="AM396" s="11"/>
      <c r="AN396" s="11" t="s">
        <v>1386</v>
      </c>
      <c r="AO396" s="5" t="s">
        <v>361</v>
      </c>
      <c r="AP396" s="11" t="s">
        <v>2349</v>
      </c>
      <c r="AQ396" s="11" t="s">
        <v>2350</v>
      </c>
      <c r="AR396" s="11" t="s">
        <v>2326</v>
      </c>
      <c r="AS396" s="36" t="s">
        <v>2355</v>
      </c>
      <c r="AT396" s="11" t="s">
        <v>70</v>
      </c>
      <c r="AU396" s="11" t="s">
        <v>370</v>
      </c>
      <c r="AV396" s="13" t="s">
        <v>1871</v>
      </c>
      <c r="AW396" s="14"/>
      <c r="AX396" s="44"/>
    </row>
    <row r="397" spans="1:50" ht="25.5">
      <c r="A397" s="38" t="str">
        <f>VLOOKUP(Tableau1[[#This Row],[N° Département]],Feuil1!$C$6:$E$106,3)</f>
        <v>Grand Est</v>
      </c>
      <c r="B397" s="38" t="str">
        <f>VLOOKUP(Tableau1[[#This Row],[N° Département]],Feuil1!$C$6:$E$106,2)</f>
        <v>Moselle</v>
      </c>
      <c r="C397" s="38">
        <f>LEFT(Tableau1[[#This Row],[Code Postal]],2)*1</f>
        <v>57</v>
      </c>
      <c r="D397" s="10" t="s">
        <v>2302</v>
      </c>
      <c r="E397" s="10">
        <v>57100</v>
      </c>
      <c r="F397" s="10" t="s">
        <v>2301</v>
      </c>
      <c r="G397" s="39" t="str">
        <f>Tableau1[[#This Row],[Rue]]&amp;Tableau1[[#This Row],[Code Postal]]&amp;Tableau1[[#This Row],[Ville]]</f>
        <v>La Cour des Capucins, 13 rue du Cygne57100Thionville</v>
      </c>
      <c r="H397" s="52" t="s">
        <v>2303</v>
      </c>
      <c r="I397" s="12" t="s">
        <v>45</v>
      </c>
      <c r="J397" s="12" t="s">
        <v>49</v>
      </c>
      <c r="K397" s="10" t="s">
        <v>98</v>
      </c>
      <c r="L397" s="10" t="s">
        <v>98</v>
      </c>
      <c r="M397" s="12" t="s">
        <v>98</v>
      </c>
      <c r="N397" s="36" t="s">
        <v>2314</v>
      </c>
      <c r="O397" s="34">
        <v>24</v>
      </c>
      <c r="P397" s="6" t="s">
        <v>98</v>
      </c>
      <c r="Q397" s="34" t="s">
        <v>98</v>
      </c>
      <c r="R397" s="6" t="s">
        <v>98</v>
      </c>
      <c r="S397" s="6" t="s">
        <v>98</v>
      </c>
      <c r="T397" s="12">
        <f>Tableau1[[#This Row],[Loyer €/m²]]*Tableau1[[#This Row],[Surface GLA]]</f>
        <v>12000</v>
      </c>
      <c r="U397" s="12">
        <f>IFERROR(Tableau1[[#This Row],[Loyer annuel]]/12,"")</f>
        <v>1000</v>
      </c>
      <c r="V397" s="12">
        <v>500</v>
      </c>
      <c r="W397" s="6" t="s">
        <v>98</v>
      </c>
      <c r="X397" s="6">
        <f>Tableau1[[#This Row],[Charges €/m²]]*Tableau1[[#This Row],[Surface GLA]]</f>
        <v>1080</v>
      </c>
      <c r="Y397" s="12">
        <f>Tableau1[[#This Row],[Charges annuelles]]/12</f>
        <v>90</v>
      </c>
      <c r="Z397" s="12">
        <v>45</v>
      </c>
      <c r="AA397" s="12">
        <f>IFERROR(Tableau1[[#This Row],[Taxe foncière €/m²]]*Tableau1[[#This Row],[Surface GLA]],)</f>
        <v>384</v>
      </c>
      <c r="AB397" s="12">
        <v>16</v>
      </c>
      <c r="AC397" s="12">
        <f>IFERROR(Tableau1[[#This Row],[Marketing €/m²]]*Tableau1[[#This Row],[Surface GLA]],)</f>
        <v>600</v>
      </c>
      <c r="AD397" s="12">
        <v>25</v>
      </c>
      <c r="AE397" s="12">
        <f>IFERROR(Tableau1[[#This Row],[Loyer annuel]]+Tableau1[[#This Row],[Charges annuelles]]+Tableau1[[#This Row],[Taxe foncière]]+Tableau1[[#This Row],[Marketing]],"")</f>
        <v>14064</v>
      </c>
      <c r="AF397" s="12" t="str">
        <f t="shared" si="22"/>
        <v>3 mois = 3 000 €</v>
      </c>
      <c r="AG397" s="6" t="s">
        <v>98</v>
      </c>
      <c r="AH397" s="6" t="s">
        <v>98</v>
      </c>
      <c r="AI397" s="12" t="s">
        <v>357</v>
      </c>
      <c r="AJ397" s="10"/>
      <c r="AK397" s="10"/>
      <c r="AL397" s="10"/>
      <c r="AM397" s="11"/>
      <c r="AN397" s="11" t="s">
        <v>1386</v>
      </c>
      <c r="AO397" s="5" t="s">
        <v>361</v>
      </c>
      <c r="AP397" s="11" t="s">
        <v>2351</v>
      </c>
      <c r="AQ397" s="11" t="s">
        <v>2352</v>
      </c>
      <c r="AR397" s="11" t="s">
        <v>2327</v>
      </c>
      <c r="AS397" s="36" t="s">
        <v>2355</v>
      </c>
      <c r="AT397" s="11" t="s">
        <v>70</v>
      </c>
      <c r="AU397" s="11" t="s">
        <v>370</v>
      </c>
      <c r="AV397" s="13" t="s">
        <v>1871</v>
      </c>
      <c r="AW397" s="14"/>
      <c r="AX397" s="44"/>
    </row>
    <row r="398" spans="1:50" ht="25.5">
      <c r="A398" s="38" t="str">
        <f>VLOOKUP(Tableau1[[#This Row],[N° Département]],Feuil1!$C$6:$E$106,3)</f>
        <v>Grand Est</v>
      </c>
      <c r="B398" s="38" t="str">
        <f>VLOOKUP(Tableau1[[#This Row],[N° Département]],Feuil1!$C$6:$E$106,2)</f>
        <v>Moselle</v>
      </c>
      <c r="C398" s="38">
        <f>LEFT(Tableau1[[#This Row],[Code Postal]],2)*1</f>
        <v>57</v>
      </c>
      <c r="D398" s="10" t="s">
        <v>2302</v>
      </c>
      <c r="E398" s="10">
        <v>57100</v>
      </c>
      <c r="F398" s="10" t="s">
        <v>2301</v>
      </c>
      <c r="G398" s="39" t="str">
        <f>Tableau1[[#This Row],[Rue]]&amp;Tableau1[[#This Row],[Code Postal]]&amp;Tableau1[[#This Row],[Ville]]</f>
        <v>La Cour des Capucins, 13 rue du Cygne57100Thionville</v>
      </c>
      <c r="H398" s="52" t="s">
        <v>2303</v>
      </c>
      <c r="I398" s="12" t="s">
        <v>45</v>
      </c>
      <c r="J398" s="12" t="s">
        <v>49</v>
      </c>
      <c r="K398" s="10" t="s">
        <v>98</v>
      </c>
      <c r="L398" s="10" t="s">
        <v>98</v>
      </c>
      <c r="M398" s="12" t="s">
        <v>98</v>
      </c>
      <c r="N398" s="36" t="s">
        <v>2315</v>
      </c>
      <c r="O398" s="34"/>
      <c r="P398" s="6" t="s">
        <v>98</v>
      </c>
      <c r="Q398" s="34" t="s">
        <v>98</v>
      </c>
      <c r="R398" s="6" t="s">
        <v>98</v>
      </c>
      <c r="S398" s="6" t="s">
        <v>98</v>
      </c>
      <c r="T398" s="12">
        <f>Tableau1[[#This Row],[Loyer €/m²]]*Tableau1[[#This Row],[Surface GLA]]</f>
        <v>0</v>
      </c>
      <c r="U398" s="12">
        <f>IFERROR(Tableau1[[#This Row],[Loyer annuel]]/12,"")</f>
        <v>0</v>
      </c>
      <c r="V398" s="12"/>
      <c r="W398" s="6" t="s">
        <v>98</v>
      </c>
      <c r="X398" s="6">
        <f>Tableau1[[#This Row],[Charges €/m²]]*Tableau1[[#This Row],[Surface GLA]]</f>
        <v>0</v>
      </c>
      <c r="Y398" s="12">
        <f>Tableau1[[#This Row],[Charges annuelles]]/12</f>
        <v>0</v>
      </c>
      <c r="Z398" s="12">
        <v>45</v>
      </c>
      <c r="AA398" s="12">
        <f>IFERROR(Tableau1[[#This Row],[Taxe foncière €/m²]]*Tableau1[[#This Row],[Surface GLA]],)</f>
        <v>0</v>
      </c>
      <c r="AB398" s="12">
        <v>16</v>
      </c>
      <c r="AC398" s="12">
        <f>IFERROR(Tableau1[[#This Row],[Marketing €/m²]]*Tableau1[[#This Row],[Surface GLA]],)</f>
        <v>0</v>
      </c>
      <c r="AD398" s="12">
        <v>25</v>
      </c>
      <c r="AE398" s="12">
        <f>IFERROR(Tableau1[[#This Row],[Loyer annuel]]+Tableau1[[#This Row],[Charges annuelles]]+Tableau1[[#This Row],[Taxe foncière]]+Tableau1[[#This Row],[Marketing]],"")</f>
        <v>0</v>
      </c>
      <c r="AF398" s="12" t="str">
        <f t="shared" si="22"/>
        <v>3 mois = 0 €</v>
      </c>
      <c r="AG398" s="6" t="s">
        <v>98</v>
      </c>
      <c r="AH398" s="6" t="s">
        <v>98</v>
      </c>
      <c r="AI398" s="12" t="s">
        <v>357</v>
      </c>
      <c r="AJ398" s="10"/>
      <c r="AK398" s="10"/>
      <c r="AL398" s="10"/>
      <c r="AM398" s="11"/>
      <c r="AN398" s="11" t="s">
        <v>1386</v>
      </c>
      <c r="AO398" s="5" t="s">
        <v>361</v>
      </c>
      <c r="AP398" s="11" t="s">
        <v>2353</v>
      </c>
      <c r="AQ398" s="11" t="s">
        <v>2354</v>
      </c>
      <c r="AR398" s="11" t="s">
        <v>2328</v>
      </c>
      <c r="AS398" s="36" t="s">
        <v>2355</v>
      </c>
      <c r="AT398" s="11" t="s">
        <v>70</v>
      </c>
      <c r="AU398" s="11" t="s">
        <v>370</v>
      </c>
      <c r="AV398" s="13" t="s">
        <v>1871</v>
      </c>
      <c r="AW398" s="14"/>
      <c r="AX398" s="44"/>
    </row>
    <row r="402" spans="6:6">
      <c r="F402" s="1" t="s">
        <v>2356</v>
      </c>
    </row>
    <row r="403" spans="6:6">
      <c r="F403" s="1" t="s">
        <v>2274</v>
      </c>
    </row>
    <row r="404" spans="6:6">
      <c r="F404" s="1" t="s">
        <v>2275</v>
      </c>
    </row>
    <row r="405" spans="6:6">
      <c r="F405" s="1" t="s">
        <v>2276</v>
      </c>
    </row>
    <row r="406" spans="6:6">
      <c r="F406" s="1" t="s">
        <v>995</v>
      </c>
    </row>
    <row r="408" spans="6:6">
      <c r="F408"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 ref="H375" r:id="rId277" xr:uid="{6A6AF02B-EFC8-43DD-9C55-A15242B2E42D}"/>
    <hyperlink ref="H376" r:id="rId278" xr:uid="{CE7B2C2C-ACE4-41B5-A1A1-912A2545C7CF}"/>
    <hyperlink ref="H377" r:id="rId279" xr:uid="{078AE52B-CC27-4108-9CFB-D4CE0EFD672A}"/>
    <hyperlink ref="H378" r:id="rId280" xr:uid="{A57C9CE5-A662-444F-A812-860052FD0927}"/>
    <hyperlink ref="H379" r:id="rId281" xr:uid="{0D13ADB9-9303-4AF4-8465-E1A0C62872B6}"/>
    <hyperlink ref="H380" r:id="rId282" xr:uid="{7220AAEE-257B-47FA-8C2C-113EDEB2BC70}"/>
    <hyperlink ref="H381" r:id="rId283" xr:uid="{9EF41C60-F619-43AC-8DB7-9B6C38D7021A}"/>
    <hyperlink ref="H382" r:id="rId284" xr:uid="{337BEC90-BB3B-4235-921D-F323FE557DAB}"/>
    <hyperlink ref="H383" r:id="rId285" xr:uid="{66C762BA-5D4B-4ED9-B5D2-353522237F7C}"/>
    <hyperlink ref="H384" r:id="rId286" xr:uid="{8238EF33-973D-4D97-B892-6932C409E6F1}"/>
    <hyperlink ref="H385" r:id="rId287" xr:uid="{1C991613-1A3C-435D-9249-BFE39942A378}"/>
    <hyperlink ref="H386" r:id="rId288" xr:uid="{CF49F516-2DD0-4E72-A8D6-6AD59F461728}"/>
    <hyperlink ref="H387" r:id="rId289" xr:uid="{F38B568A-0561-4EE4-8642-EF105374291D}"/>
    <hyperlink ref="H388" r:id="rId290" xr:uid="{B9C39496-1944-41F3-B934-0220767B9C8C}"/>
    <hyperlink ref="H389" r:id="rId291" xr:uid="{A2AD8FE8-2FBA-44E2-BB93-6D45AD07A806}"/>
    <hyperlink ref="H390" r:id="rId292" xr:uid="{94647971-6DF4-488C-A8F6-258257B5D2D7}"/>
    <hyperlink ref="H391" r:id="rId293" xr:uid="{87E6FFAF-19E6-4DC6-9A22-26A7E72CC11A}"/>
    <hyperlink ref="H392" r:id="rId294" xr:uid="{67E695E6-63AE-4EA7-98AA-2ABCD735735B}"/>
    <hyperlink ref="H393" r:id="rId295" xr:uid="{4C129572-5EFF-44D8-BD65-97D6D42AC5DD}"/>
    <hyperlink ref="H394" r:id="rId296" xr:uid="{7433B465-F8AB-4D1C-B7A9-B8E8095196D4}"/>
    <hyperlink ref="H395" r:id="rId297" xr:uid="{3E638456-A7EA-4ACC-80B0-B3809AF2BC00}"/>
    <hyperlink ref="H396" r:id="rId298" xr:uid="{26E62F7B-9E98-4B45-9CFF-22BACC55BF56}"/>
    <hyperlink ref="H397" r:id="rId299" xr:uid="{37F36AB5-949E-4121-A845-431F3226B63D}"/>
    <hyperlink ref="H398" r:id="rId300" xr:uid="{CC19A681-D2AC-4E3B-AF06-0EAD62F77364}"/>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2026-06-23T11:56:23Z</dcterms:modified>
</cp:coreProperties>
</file>