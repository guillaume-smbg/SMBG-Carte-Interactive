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7A0E85F2-30F7-4D09-95F9-CA779767349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261" i="2" l="1"/>
  <c r="Y261" i="2"/>
  <c r="AA261" i="2"/>
  <c r="AC261" i="2"/>
  <c r="C261" i="2"/>
  <c r="A261" i="2" s="1"/>
  <c r="G261" i="2"/>
  <c r="T260" i="2"/>
  <c r="U260" i="2" s="1"/>
  <c r="G260" i="2"/>
  <c r="C260" i="2"/>
  <c r="A260" i="2" s="1"/>
  <c r="Y260" i="2"/>
  <c r="AA260" i="2"/>
  <c r="AC260" i="2"/>
  <c r="AC192" i="2"/>
  <c r="X192" i="2"/>
  <c r="Y192" i="2" s="1"/>
  <c r="T192" i="2"/>
  <c r="U192" i="2" s="1"/>
  <c r="C192" i="2"/>
  <c r="A192" i="2" s="1"/>
  <c r="G192" i="2"/>
  <c r="AA192" i="2"/>
  <c r="T257" i="2"/>
  <c r="U257" i="2" s="1"/>
  <c r="T258" i="2"/>
  <c r="U258" i="2" s="1"/>
  <c r="T259" i="2"/>
  <c r="U259" i="2" s="1"/>
  <c r="Y259" i="2"/>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261" i="2" l="1"/>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<sst xmlns="http://schemas.openxmlformats.org/spreadsheetml/2006/main" count="7598" uniqueCount="1867">
  <si>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</si>
  <si>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</si>
  <si>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</si>
  <si>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</si>
  <si>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</si>
  <si>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</si>
  <si>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</si>
  <si>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</si>
  <si>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</si>
  <si>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</si>
  <si>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</si>
  <si>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</si>
  <si>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</si>
  <si>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</si>
  <si>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</si>
  <si>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</si>
  <si>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</si>
  <si>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</si>
  <si>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</si>
  <si>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</si>
  <si>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</si>
  <si>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</si>
  <si>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</si>
  <si>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</si>
  <si>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</si>
  <si>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</si>
  <si>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</si>
  <si>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</si>
  <si>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</si>
  <si>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</si>
  <si>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</si>
  <si>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</si>
  <si>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</si>
  <si>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</si>
  <si>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</si>
  <si>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</si>
  <si>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</si>
  <si>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</si>
  <si>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</si>
  <si>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</si>
  <si>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</si>
  <si>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</si>
  <si>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</si>
  <si>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</si>
  <si>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</si>
  <si>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</si>
  <si>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</si>
  <si>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</si>
  <si>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</si>
  <si>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</si>
  <si>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</si>
  <si>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</si>
  <si>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</si>
  <si>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</si>
  <si>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</si>
  <si>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</si>
  <si>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</si>
  <si>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</si>
  <si>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</si>
  <si>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</si>
  <si>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</si>
  <si>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</si>
  <si>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</si>
  <si>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</si>
  <si>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</si>
  <si>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</si>
  <si>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</si>
  <si>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</si>
  <si>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</si>
  <si>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</si>
  <si>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</si>
  <si>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</si>
  <si>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</si>
  <si>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</si>
  <si>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</si>
  <si>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</si>
  <si>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</si>
  <si>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</si>
  <si>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</si>
  <si>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</si>
  <si>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</si>
  <si>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</si>
  <si>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</si>
  <si>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</si>
  <si>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</si>
  <si>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</si>
  <si>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</si>
  <si>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</si>
  <si>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</si>
  <si>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</si>
  <si>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</si>
  <si>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</si>
  <si>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</si>
  <si>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</si>
  <si>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</si>
  <si>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</si>
  <si>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</si>
  <si>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</si>
  <si>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</si>
  <si>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</si>
  <si>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</si>
  <si>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</si>
  <si>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</si>
  <si>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</si>
  <si>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</si>
  <si>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</si>
  <si>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</si>
  <si>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</si>
  <si>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</si>
  <si>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</si>
  <si>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</si>
  <si>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</si>
  <si>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</si>
  <si>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</si>
  <si>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</si>
  <si>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</si>
  <si>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</si>
  <si>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</si>
  <si>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</si>
  <si>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</si>
  <si>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</si>
  <si>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</si>
  <si>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</si>
  <si>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</si>
  <si>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</si>
  <si>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</si>
  <si>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</si>
  <si>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</si>
  <si>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</si>
  <si>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</si>
  <si>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</si>
  <si>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</si>
  <si>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</si>
  <si>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</si>
  <si>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</si>
  <si>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</si>
  <si>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</si>
  <si>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</si>
  <si>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</si>
  <si>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</si>
  <si>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</si>
  <si>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</si>
  <si>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</si>
  <si>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</si>
  <si>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</si>
  <si>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</si>
  <si>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</si>
  <si>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</si>
  <si>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</si>
  <si>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</si>
  <si>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</si>
  <si>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</si>
  <si>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</si>
  <si>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</si>
  <si>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</si>
  <si>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</si>
  <si>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</si>
  <si>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</si>
  <si>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</si>
  <si>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</si>
  <si>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</si>
  <si>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</si>
  <si>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</si>
  <si>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</si>
  <si>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</si>
  <si>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</si>
  <si>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</si>
  <si>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</si>
  <si>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</si>
  <si>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</si>
  <si>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</si>
  <si>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</si>
  <si>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</si>
  <si>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</si>
  <si>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</si>
  <si>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</si>
  <si>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</si>
  <si>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</si>
  <si>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</si>
  <si>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</si>
  <si>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</si>
  <si>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</si>
  <si>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</si>
  <si>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</si>
  <si>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</si>
  <si>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</si>
  <si>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</si>
  <si>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</si>
  <si>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</si>
  <si>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</si>
  <si>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</si>
  <si>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</si>
  <si>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</si>
  <si>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</si>
  <si>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</si>
  <si>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</si>
  <si>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</si>
  <si>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</si>
  <si>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</si>
  <si>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</si>
  <si>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</si>
  <si>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</si>
  <si>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</si>
  <si>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</si>
  <si>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</si>
  <si>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</si>
  <si>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</si>
  <si>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</si>
  <si>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</si>
  <si>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</si>
  <si>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</si>
  <si>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</si>
  <si>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</si>
  <si>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</si>
  <si>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</si>
  <si>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</si>
  <si>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</si>
  <si>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</si>
  <si>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</si>
  <si>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</si>
  <si>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</si>
  <si>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</si>
  <si>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</si>
  <si>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</si>
  <si>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</si>
  <si>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</si>
  <si>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</si>
  <si>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</si>
  <si>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</si>
  <si>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</si>
  <si>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</si>
  <si>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</si>
  <si>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</si>
  <si>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</si>
  <si>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</si>
  <si>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</si>
  <si>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</si>
  <si>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</si>
  <si>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</si>
  <si>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</si>
  <si>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</si>
  <si>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</si>
  <si>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</si>
  <si>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</si>
  <si>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</si>
  <si>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</si>
  <si>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</si>
  <si>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</si>
  <si>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</si>
  <si>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</si>
  <si>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</si>
  <si>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</si>
  <si>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</si>
  <si>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</si>
  <si>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</si>
  <si>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</si>
  <si>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</si>
  <si>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</si>
  <si>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</si>
  <si>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</si>
  <si>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</si>
  <si>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</si>
  <si>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</si>
  <si>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</si>
  <si>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</si>
  <si>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</si>
  <si>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</si>
  <si>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</si>
  <si>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</si>
  <si>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</si>
  <si>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</si>
  <si>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</si>
  <si>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</si>
  <si>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</si>
  <si>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</si>
  <si>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</si>
  <si>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</si>
  <si>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</si>
  <si>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</si>
  <si>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</si>
  <si>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</si>
  <si>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</si>
  <si>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</si>
  <si>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</si>
  <si>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</si>
  <si>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</si>
  <si>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</si>
  <si>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</si>
  <si>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</si>
  <si>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</si>
  <si>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</si>
  <si>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</si>
  <si>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</si>
  <si>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</si>
  <si>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</si>
  <si>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</si>
  <si>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</si>
  <si>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</si>
  <si>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</si>
  <si>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</si>
  <si>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</si>
  <si>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</si>
  <si>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</si>
  <si>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</si>
  <si>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</si>
  <si>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</si>
  <si>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</si>
  <si>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</si>
  <si>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</si>
  <si>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</si>
  <si>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</si>
  <si>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</si>
  <si>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</si>
  <si>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</si>
  <si>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</si>
  <si>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</si>
  <si>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</si>
  <si>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</si>
  <si>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</si>
  <si>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</si>
  <si>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</si>
  <si>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</si>
  <si>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</si>
  <si>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</si>
  <si>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</si>
  <si>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</si>
  <si>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</si>
  <si>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</si>
  <si>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</si>
  <si>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</si>
  <si>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</si>
  <si>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</si>
  <si>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</si>
  <si>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</si>
  <si>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</si>
  <si>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</si>
  <si>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</si>
  <si>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</si>
  <si>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</si>
  <si>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</si>
  <si>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</si>
  <si>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</si>
  <si>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</si>
  <si>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</si>
  <si>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</si>
  <si>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</si>
  <si>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</si>
  <si>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</si>
  <si>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</si>
  <si>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</si>
  <si>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</si>
  <si>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</si>
  <si>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</si>
  <si>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</si>
  <si>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</si>
  <si>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</si>
  <si>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</si>
  <si>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</si>
  <si>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</si>
  <si>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</si>
  <si>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</si>
  <si>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</si>
  <si>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</si>
  <si>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</si>
  <si>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</si>
  <si>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</si>
  <si>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</si>
  <si>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</si>
  <si>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</si>
  <si>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</si>
  <si>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</si>
  <si>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</si>
  <si>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</si>
  <si>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</si>
  <si>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</si>
  <si>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</si>
  <si>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</si>
  <si>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</si>
  <si>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</si>
  <si>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</si>
  <si>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</si>
  <si>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</si>
  <si>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</si>
  <si>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</si>
  <si>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</si>
  <si>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</si>
  <si>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</si>
  <si>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</si>
  <si>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</si>
  <si>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</si>
  <si>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</si>
  <si>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</si>
  <si>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</si>
  <si>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</si>
  <si>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</si>
  <si>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</si>
  <si>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</si>
  <si>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</si>
  <si>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</si>
  <si>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</si>
  <si>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</si>
  <si>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</si>
  <si>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</si>
  <si>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</si>
  <si>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</si>
  <si>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</si>
  <si>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</si>
  <si>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</si>
  <si>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</si>
  <si>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</si>
  <si>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</si>
  <si>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</si>
  <si>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</si>
  <si>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</si>
  <si>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</si>
  <si>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</si>
  <si>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</si>
  <si>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</si>
  <si>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</si>
  <si>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</si>
  <si>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</si>
  <si>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</si>
  <si>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</si>
  <si>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</si>
  <si>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</si>
  <si>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</si>
  <si>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</si>
  <si>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</si>
  <si>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</si>
  <si>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</si>
  <si>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</si>
  <si>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</si>
  <si>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</si>
  <si>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</si>
  <si>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</si>
  <si>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</si>
  <si>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</si>
  <si>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</si>
  <si>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</si>
  <si>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</si>
  <si>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</si>
  <si>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</si>
  <si>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</si>
  <si>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</si>
  <si>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</si>
  <si>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</si>
  <si>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</si>
  <si>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</si>
  <si>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</si>
  <si>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</si>
  <si>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</si>
  <si>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</si>
  <si>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</si>
  <si>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</si>
  <si>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</si>
  <si>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</si>
  <si>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</si>
  <si>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</si>
  <si>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</si>
  <si>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</si>
  <si>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</si>
  <si>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</si>
  <si>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</si>
  <si>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</si>
  <si>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</si>
  <si>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</si>
  <si>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</si>
  <si>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</si>
  <si>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</si>
  <si>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</si>
  <si>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</si>
  <si>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</si>
  <si>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</si>
  <si>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</si>
  <si>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</si>
  <si>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</si>
  <si>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</si>
  <si>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</si>
  <si>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</si>
  <si>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</si>
  <si>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</si>
  <si>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</si>
  <si>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</si>
  <si>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</si>
  <si>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</si>
  <si>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</si>
  <si>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</si>
  <si>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</si>
  <si>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</si>
  <si>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</si>
  <si>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</si>
  <si>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</si>
  <si>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</si>
  <si>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</si>
  <si>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</si>
  <si>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</si>
  <si>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</si>
  <si>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</si>
  <si>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</si>
  <si>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</si>
  <si>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</si>
  <si>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</si>
  <si>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</si>
  <si>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</si>
  <si>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</si>
  <si>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</si>
  <si>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</si>
  <si>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</si>
  <si>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</si>
  <si>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</si>
  <si>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</si>
  <si>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</si>
  <si>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</si>
  <si>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</si>
  <si>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</si>
  <si>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</si>
  <si>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</si>
  <si>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</si>
  <si>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</si>
  <si>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</si>
  <si>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</si>
  <si>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</si>
  <si>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</si>
  <si>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</si>
  <si>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</si>
  <si>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</si>
  <si>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</si>
  <si>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</si>
  <si>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</si>
  <si>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</si>
  <si>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</si>
  <si>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</si>
  <si>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</si>
  <si>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</si>
  <si>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</si>
  <si>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</si>
  <si>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</si>
  <si>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</si>
  <si>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</si>
  <si>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</si>
  <si>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</si>
  <si>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</si>
  <si>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</si>
  <si>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</si>
  <si>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</si>
  <si>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</si>
  <si>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</si>
  <si>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</si>
  <si>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</si>
  <si>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</si>
  <si>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</si>
  <si>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</si>
  <si>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</si>
  <si>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</si>
  <si>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</si>
  <si>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</si>
  <si>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</si>
  <si>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</si>
  <si>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</si>
  <si>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</si>
  <si>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</si>
  <si>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</si>
  <si>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</si>
  <si>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</si>
  <si>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</si>
  <si>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</si>
  <si>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</si>
  <si>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</si>
  <si>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</si>
  <si>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</si>
  <si>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</si>
  <si>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</si>
  <si>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</si>
  <si>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</si>
  <si>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</si>
  <si>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</si>
  <si>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</si>
  <si>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</si>
  <si>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</si>
  <si>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</si>
  <si>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</si>
  <si>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</si>
  <si>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</si>
  <si>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</si>
  <si>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</si>
  <si>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</si>
  <si>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</si>
  <si>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</si>
  <si>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</si>
  <si>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</si>
  <si>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</si>
  <si>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</si>
  <si>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</si>
  <si>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</si>
  <si>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</si>
  <si>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</si>
  <si>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</si>
  <si>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</si>
  <si>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</si>
  <si>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</si>
  <si>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</si>
  <si>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</si>
  <si>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</si>
  <si>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</si>
  <si>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</si>
  <si>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</si>
  <si>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</si>
  <si>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</si>
  <si>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</si>
  <si>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</si>
  <si>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</si>
  <si>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</si>
  <si>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</si>
  <si>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</si>
  <si>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</si>
  <si>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</si>
  <si>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</si>
  <si>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</si>
  <si>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</si>
  <si>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</si>
  <si>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</si>
  <si>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</si>
  <si>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</si>
  <si>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</si>
  <si>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</si>
  <si>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</si>
  <si>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</si>
  <si>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</si>
  <si>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</si>
  <si>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</si>
  <si>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</si>
  <si>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</si>
  <si>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</si>
  <si>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</si>
  <si>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</si>
  <si>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</si>
  <si>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</si>
  <si>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</si>
  <si>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</si>
  <si>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</si>
  <si>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</si>
  <si>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</si>
  <si>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</si>
  <si>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</si>
  <si>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</si>
  <si>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</si>
  <si>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</si>
  <si>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</si>
  <si>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</si>
  <si>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</si>
  <si>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</si>
  <si>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</si>
  <si>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</si>
  <si>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</si>
  <si>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</si>
  <si>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</si>
  <si>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</si>
  <si>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</si>
  <si>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</si>
  <si>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</si>
  <si>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</si>
  <si>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</si>
  <si>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</si>
  <si>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</si>
  <si>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</si>
  <si>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</si>
  <si>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</si>
  <si>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</si>
  <si>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</si>
  <si>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</si>
  <si>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</si>
  <si>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</si>
  <si>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</si>
  <si>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</si>
  <si>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</si>
  <si>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</si>
  <si>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</si>
  <si>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</si>
  <si>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</si>
  <si>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</si>
  <si>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</si>
  <si>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</si>
  <si>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</si>
  <si>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</si>
  <si>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</si>
  <si>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</si>
  <si>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</si>
  <si>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</si>
  <si>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</si>
  <si>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</si>
  <si>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</si>
  <si>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</si>
  <si>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</si>
  <si>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</si>
  <si>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</si>
  <si>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</si>
  <si>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</si>
  <si>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</si>
  <si>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</si>
  <si>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</si>
  <si>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</si>
  <si>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</si>
  <si>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</si>
  <si>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</si>
  <si>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</si>
  <si>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</si>
  <si>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</si>
  <si>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</si>
  <si>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</si>
  <si>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</si>
  <si>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</si>
  <si>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</si>
  <si>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</si>
  <si>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</si>
  <si>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</si>
  <si>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</si>
  <si>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</si>
  <si>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</si>
  <si>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</si>
  <si>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</si>
  <si>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</si>
  <si>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</si>
  <si>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</si>
  <si>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</si>
  <si>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</si>
  <si>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</si>
  <si>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</si>
  <si>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</si>
  <si>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</si>
  <si>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</si>
  <si>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</si>
  <si>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</si>
  <si>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</si>
  <si>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</si>
  <si>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</si>
  <si>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</si>
  <si>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</si>
  <si>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</si>
  <si>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</si>
  <si>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</si>
  <si>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</si>
  <si>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</si>
  <si>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</si>
  <si>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</si>
  <si>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</si>
  <si>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</si>
  <si>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</si>
  <si>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</si>
  <si>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</si>
  <si>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</si>
  <si>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</si>
  <si>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</si>
  <si>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</si>
  <si>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</si>
  <si>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</si>
  <si>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</si>
  <si>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</si>
  <si>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</si>
  <si>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</si>
  <si>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</si>
  <si>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</si>
  <si>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</si>
  <si>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</si>
  <si>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</si>
  <si>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</si>
  <si>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</si>
  <si>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</si>
  <si>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</si>
  <si>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</si>
  <si>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</si>
  <si>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</si>
  <si>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</si>
  <si>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</si>
  <si>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</si>
  <si>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</si>
  <si>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</si>
  <si>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</si>
  <si>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</si>
  <si>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</si>
  <si>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</si>
  <si>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</si>
  <si>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</si>
  <si>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</si>
  <si>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</si>
  <si>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</si>
  <si>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</si>
  <si>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</si>
  <si>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</si>
  <si>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</si>
  <si>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</si>
  <si>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</si>
  <si>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</si>
  <si>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</si>
  <si>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</si>
  <si>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</si>
  <si>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</si>
  <si>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</si>
  <si>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</si>
  <si>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</si>
  <si>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</si>
  <si>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</si>
  <si>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</si>
  <si>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</si>
  <si>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</si>
  <si>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</si>
  <si>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</si>
  <si>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</si>
  <si>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</si>
  <si>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</si>
  <si>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</si>
  <si>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</si>
  <si>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</si>
  <si>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</si>
  <si>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</si>
  <si>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</si>
  <si>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</si>
  <si>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</si>
  <si>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</si>
  <si>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</si>
  <si>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</si>
  <si>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</si>
  <si>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</si>
  <si>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</si>
  <si>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</si>
  <si>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</si>
  <si>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</si>
  <si>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</si>
  <si>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</si>
  <si>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</si>
  <si>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</si>
  <si>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</si>
  <si>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</si>
  <si>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</si>
  <si>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</si>
  <si>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</si>
  <si>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</si>
  <si>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</si>
  <si>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</si>
  <si>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</si>
  <si>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</si>
  <si>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</si>
  <si>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</si>
  <si>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</si>
  <si>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</si>
  <si>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</si>
  <si>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</si>
  <si>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</si>
  <si>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</si>
  <si>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</si>
  <si>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</si>
  <si>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</si>
  <si>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</si>
  <si>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</si>
  <si>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</si>
  <si>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</si>
  <si>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</si>
  <si>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</si>
  <si>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</si>
  <si>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</si>
  <si>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</si>
  <si>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</si>
  <si>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</si>
  <si>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</si>
  <si>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</si>
  <si>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</si>
  <si>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</si>
  <si>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</si>
  <si>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</si>
  <si>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</si>
  <si>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</si>
  <si>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</si>
  <si>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</si>
  <si>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</si>
  <si>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</si>
  <si>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</si>
  <si>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</si>
  <si>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</si>
  <si>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</si>
  <si>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</si>
  <si>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</si>
  <si>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</si>
  <si>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</si>
  <si>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</si>
  <si>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</si>
  <si>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</si>
  <si>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</si>
  <si>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</si>
  <si>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</si>
  <si>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</si>
  <si>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</si>
  <si>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</si>
  <si>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</si>
  <si>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</si>
  <si>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</si>
  <si>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</si>
  <si>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</si>
  <si>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</si>
  <si>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</si>
  <si>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</si>
  <si>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</si>
  <si>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</si>
  <si>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</si>
  <si>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</si>
  <si>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</si>
  <si>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</si>
  <si>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</si>
  <si>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</si>
  <si>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</si>
  <si>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</si>
  <si>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</si>
  <si>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</si>
  <si>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</si>
  <si>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</si>
  <si>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</si>
  <si>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</si>
  <si>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</si>
  <si>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</si>
  <si>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</si>
  <si>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</si>
  <si>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</si>
  <si>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</si>
  <si>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</si>
  <si>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</si>
  <si>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</si>
  <si>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</si>
  <si>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</si>
  <si>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</si>
  <si>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</si>
  <si>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</si>
  <si>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</si>
  <si>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</si>
  <si>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</si>
  <si>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</si>
  <si>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</si>
  <si>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</si>
  <si>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</si>
  <si>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</si>
  <si>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</si>
  <si>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</si>
  <si>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</si>
  <si>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</si>
  <si>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</si>
  <si>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</si>
  <si>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</si>
  <si>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</si>
  <si>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</si>
  <si>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</si>
  <si>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</si>
  <si>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</si>
  <si>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</si>
  <si>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</si>
  <si>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</si>
  <si>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</si>
  <si>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</si>
  <si>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</si>
  <si>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</si>
  <si>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</si>
  <si>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</si>
  <si>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</si>
  <si>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</si>
  <si>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</si>
  <si>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</si>
  <si>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</si>
  <si>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</si>
  <si>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</si>
  <si>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</si>
  <si>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</si>
  <si>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</si>
  <si>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</si>
  <si>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</si>
  <si>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</si>
  <si>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</si>
  <si>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</si>
  <si>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</si>
  <si>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</si>
  <si>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</si>
  <si>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</si>
  <si>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</si>
  <si>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</si>
  <si>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</si>
  <si>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</si>
  <si>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</si>
  <si>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</si>
  <si>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</si>
  <si>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</si>
  <si>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</si>
  <si>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</si>
  <si>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</si>
  <si>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</si>
  <si>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</si>
  <si>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</si>
  <si>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</si>
  <si>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</si>
  <si>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</si>
  <si>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</si>
  <si>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</si>
  <si>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</si>
  <si>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</si>
  <si>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</si>
  <si>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</si>
  <si>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</si>
  <si>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</si>
  <si>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</si>
  <si>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</si>
  <si>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</si>
  <si>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</si>
  <si>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</si>
  <si>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</si>
  <si>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</si>
  <si>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</si>
  <si>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</si>
  <si>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</si>
  <si>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</si>
  <si>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</si>
  <si>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</si>
  <si>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</si>
  <si>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</si>
  <si>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</si>
  <si>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</si>
  <si>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</si>
  <si>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</si>
  <si>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</si>
  <si>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</si>
  <si>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</si>
  <si>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</si>
  <si>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</si>
  <si>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</si>
  <si>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</si>
  <si>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</si>
  <si>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</si>
  <si>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</si>
  <si>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</si>
  <si>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</si>
  <si>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</si>
  <si>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</si>
  <si>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</si>
  <si>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</si>
  <si>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</si>
  <si>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</si>
  <si>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</si>
  <si>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</si>
  <si>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</si>
  <si>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</si>
  <si>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</si>
  <si>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</si>
  <si>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</si>
  <si>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</si>
  <si>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</si>
  <si>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</si>
  <si>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</si>
  <si>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</si>
  <si>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</si>
  <si>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</si>
  <si>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</si>
  <si>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</si>
  <si>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</si>
  <si>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</si>
  <si>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</si>
  <si>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</si>
  <si>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</si>
  <si>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</si>
  <si>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</si>
  <si>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</si>
  <si>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</si>
  <si>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</si>
  <si>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</si>
  <si>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</si>
  <si>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</si>
  <si>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</si>
  <si>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</si>
  <si>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</si>
  <si>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</si>
  <si>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</si>
  <si>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</si>
  <si>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</si>
  <si>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</si>
  <si>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</si>
  <si>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</si>
  <si>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</si>
  <si>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</si>
  <si>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</si>
  <si>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</si>
  <si>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</si>
  <si>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</si>
  <si>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</si>
  <si>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</si>
  <si>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</si>
  <si>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</si>
  <si>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</si>
  <si>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</si>
  <si>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</si>
  <si>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</si>
  <si>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</si>
  <si>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</si>
  <si>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</si>
  <si>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</si>
  <si>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</si>
  <si>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</si>
  <si>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</si>
  <si>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</si>
  <si>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</si>
  <si>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</si>
  <si>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</si>
  <si>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</si>
  <si>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</si>
  <si>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</si>
  <si>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</si>
  <si>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</si>
  <si>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</si>
  <si>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</si>
  <si>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</si>
  <si>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</si>
  <si>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</si>
  <si>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</si>
  <si>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</si>
  <si>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</si>
  <si>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</si>
  <si>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</si>
  <si>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</si>
  <si>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</si>
  <si>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</si>
  <si>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</si>
  <si>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</si>
  <si>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</si>
  <si>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</si>
  <si>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</si>
  <si>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</si>
  <si>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</si>
  <si>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</si>
  <si>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</si>
  <si>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</si>
  <si>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</si>
  <si>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</si>
  <si>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</si>
  <si>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</si>
  <si>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</si>
  <si>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</si>
  <si>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</si>
  <si>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</si>
  <si>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</si>
  <si>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</si>
  <si>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</si>
  <si>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</si>
  <si>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</si>
  <si>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</si>
  <si>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</si>
  <si>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</si>
  <si>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</si>
  <si>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</si>
  <si>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</si>
  <si>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</si>
  <si>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</si>
  <si>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</si>
  <si>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</si>
  <si>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</si>
  <si>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</si>
  <si>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</si>
  <si>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</si>
  <si>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</si>
  <si>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</si>
  <si>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</si>
  <si>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</si>
  <si>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</si>
  <si>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</si>
  <si>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</si>
  <si>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</si>
  <si>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</si>
  <si>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</si>
  <si>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</si>
  <si>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</si>
  <si>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</si>
  <si>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</si>
  <si>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</si>
  <si>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</si>
  <si>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</si>
  <si>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</si>
  <si>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</si>
  <si>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</si>
  <si>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</si>
  <si>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</si>
  <si>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</si>
  <si>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</si>
  <si>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</si>
  <si>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</si>
  <si>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</si>
  <si>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</si>
  <si>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</si>
  <si>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</si>
  <si>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</si>
  <si>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</si>
  <si>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</si>
  <si>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</si>
  <si>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</si>
  <si>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</si>
  <si>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</si>
  <si>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</si>
  <si>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</si>
  <si>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</si>
  <si>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</si>
  <si>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</si>
  <si>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</si>
  <si>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</si>
  <si>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</si>
  <si>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</si>
  <si>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</si>
  <si>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</si>
  <si>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</si>
  <si>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</si>
  <si>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</si>
  <si>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</si>
  <si>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</si>
  <si>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</si>
  <si>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</si>
  <si>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</si>
  <si>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</si>
  <si>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</si>
  <si>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</si>
  <si>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</si>
  <si>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</si>
  <si>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</si>
  <si>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</si>
  <si>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</si>
  <si>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</si>
  <si>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</si>
  <si>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</si>
  <si>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</si>
  <si>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</si>
  <si>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</si>
  <si>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</si>
  <si>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</si>
  <si>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</si>
  <si>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</si>
  <si>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</si>
  <si>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</si>
  <si>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</si>
  <si>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</si>
  <si>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</si>
  <si>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</si>
  <si>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</si>
  <si>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</si>
  <si>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</si>
  <si>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</si>
  <si>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</si>
  <si>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</si>
  <si>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</si>
  <si>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</si>
  <si>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</si>
  <si>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</si>
  <si>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</si>
  <si>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</si>
  <si>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</si>
  <si>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</si>
  <si>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</si>
  <si>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</si>
  <si>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</si>
  <si>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</si>
  <si>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</si>
  <si>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</si>
  <si>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</si>
  <si>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</si>
  <si>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</si>
  <si>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</si>
  <si>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</si>
  <si>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</si>
  <si>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</si>
  <si>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</si>
  <si>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</si>
  <si>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</si>
  <si>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</si>
  <si>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</si>
  <si>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</si>
  <si>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</si>
  <si>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</si>
  <si>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</si>
  <si>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</si>
  <si>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</si>
  <si>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</si>
  <si>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</si>
  <si>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</si>
  <si>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</si>
  <si>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</si>
  <si>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</si>
  <si>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</si>
  <si>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</si>
  <si>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</si>
  <si>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</si>
  <si>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</si>
  <si>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</si>
  <si>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</si>
  <si>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</si>
  <si>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</si>
  <si>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</si>
  <si>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</si>
  <si>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</si>
  <si>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</si>
  <si>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</si>
  <si>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</si>
  <si>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</si>
  <si>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</si>
  <si>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</si>
  <si>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</si>
  <si>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</si>
  <si>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</si>
  <si>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</si>
  <si>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</si>
  <si>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</si>
  <si>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</si>
  <si>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</si>
  <si>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</si>
  <si>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</si>
  <si>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</si>
  <si>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</si>
  <si>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</si>
  <si>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</si>
  <si>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</si>
  <si>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</si>
  <si>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</si>
  <si>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</si>
  <si>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</si>
  <si>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</si>
  <si>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</si>
  <si>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</si>
  <si>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</si>
  <si>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</si>
  <si>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</si>
  <si>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</si>
  <si>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</si>
  <si>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</si>
  <si>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</si>
  <si>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</si>
  <si>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</si>
  <si>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</si>
  <si>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</si>
  <si>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</si>
  <si>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</si>
  <si>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</si>
  <si>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</si>
  <si>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</si>
  <si>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</si>
  <si>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</si>
  <si>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</si>
  <si>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</si>
  <si>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</si>
  <si>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</si>
  <si>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</si>
  <si>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</si>
  <si>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</si>
  <si>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</si>
  <si>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</si>
  <si>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</si>
  <si>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</si>
  <si>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</si>
  <si>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</si>
  <si>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</si>
  <si>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</si>
  <si>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</si>
  <si>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</si>
  <si>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</si>
  <si>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</si>
  <si>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</si>
  <si>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</si>
  <si>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</si>
  <si>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</si>
  <si>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</si>
  <si>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</si>
  <si>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</si>
  <si>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</si>
  <si>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</si>
  <si>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</si>
  <si>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</si>
  <si>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</si>
  <si>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</si>
  <si>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</si>
  <si>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</si>
  <si>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</si>
  <si>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</si>
  <si>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</si>
  <si>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</si>
  <si>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</si>
  <si>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</si>
  <si>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</si>
  <si>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</si>
  <si>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</si>
  <si>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</si>
  <si>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</si>
  <si>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</si>
  <si>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</si>
  <si>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</si>
  <si>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</si>
  <si>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</si>
  <si>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</si>
  <si>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</si>
  <si>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</si>
  <si>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</si>
  <si>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</si>
  <si>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</si>
  <si>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</si>
  <si>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</si>
  <si>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</si>
  <si>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</si>
  <si>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</si>
  <si>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</si>
  <si>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</si>
  <si>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</si>
  <si>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</si>
  <si>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</si>
  <si>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</si>
  <si>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</si>
  <si>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</si>
  <si>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</si>
  <si>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</si>
  <si>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</si>
  <si>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</si>
  <si>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</si>
  <si>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</si>
  <si>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</si>
  <si>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</si>
  <si>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</si>
  <si>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</si>
  <si>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</si>
  <si>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</si>
  <si>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</si>
  <si>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</si>
  <si>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</si>
  <si>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</si>
  <si>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</si>
  <si>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</si>
  <si>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</si>
  <si>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</si>
  <si>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</si>
  <si>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</si>
  <si>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</si>
  <si>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</si>
  <si>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</si>
  <si>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</si>
  <si>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</si>
  <si>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</si>
  <si>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</si>
  <si>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</si>
  <si>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</si>
  <si>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</si>
  <si>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</si>
  <si>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</si>
  <si>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</si>
  <si>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</si>
  <si>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</si>
  <si>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</si>
  <si>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</si>
  <si>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</si>
  <si>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</si>
  <si>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</si>
  <si>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</si>
  <si>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</si>
  <si>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</si>
  <si>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</si>
  <si>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</si>
  <si>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</si>
  <si>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</si>
  <si>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</si>
  <si>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</si>
  <si>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</si>
  <si>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</si>
  <si>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</si>
  <si>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</si>
  <si>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</si>
  <si>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</si>
  <si>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</si>
  <si>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</si>
  <si>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</si>
  <si>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</si>
  <si>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</si>
  <si>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</si>
  <si>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</si>
  <si>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</si>
  <si>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</si>
  <si>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</si>
  <si>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</si>
  <si>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</si>
  <si>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</si>
  <si>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</si>
  <si>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</si>
  <si>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</si>
  <si>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</si>
  <si>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</si>
  <si>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</si>
  <si>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</si>
  <si>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</si>
  <si>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</si>
  <si>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</si>
  <si>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</si>
  <si>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</si>
  <si>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</si>
  <si>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</si>
  <si>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</si>
  <si>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</si>
  <si>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</si>
  <si>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</si>
  <si>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</si>
  <si>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</si>
  <si>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</si>
  <si>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</si>
  <si>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</si>
  <si>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</si>
  <si>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</si>
  <si>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</si>
  <si>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</si>
  <si>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</si>
  <si>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</si>
  <si>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</si>
  <si>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</si>
  <si>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</si>
  <si>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</si>
  <si>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</si>
  <si>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</si>
  <si>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</si>
  <si>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</si>
  <si>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</si>
  <si>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</si>
  <si>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</si>
  <si>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</si>
  <si>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</si>
  <si>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</si>
  <si>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</si>
  <si>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</si>
  <si>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</si>
  <si>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</si>
  <si>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</si>
  <si>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</si>
  <si>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</si>
  <si>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</si>
  <si>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</si>
  <si>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</si>
  <si>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</si>
  <si>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</si>
  <si>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</si>
  <si>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</si>
  <si>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</si>
  <si>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</si>
  <si>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</si>
  <si>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</si>
  <si>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</si>
  <si>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</si>
  <si>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</si>
  <si>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</si>
  <si>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</si>
  <si>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</si>
  <si>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</si>
  <si>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</si>
  <si>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</si>
  <si>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</si>
  <si>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</si>
  <si>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</si>
  <si>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</si>
  <si>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</si>
  <si>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</si>
  <si>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</si>
  <si>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</si>
  <si>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</si>
  <si>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</si>
  <si>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</si>
  <si>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</si>
  <si>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</si>
  <si>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</si>
  <si>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</si>
  <si>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</si>
  <si>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</si>
  <si>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</si>
  <si>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</si>
  <si>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</si>
  <si>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</si>
  <si>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</si>
  <si>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</si>
  <si>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</si>
  <si>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</si>
  <si>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</si>
  <si>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</si>
  <si>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</si>
  <si>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</si>
  <si>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</si>
  <si>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</si>
  <si>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</si>
  <si>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</si>
  <si>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</si>
  <si>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</si>
  <si>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</si>
  <si>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</si>
  <si>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</si>
  <si>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</si>
  <si>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</si>
  <si>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</si>
  <si>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</si>
  <si>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</si>
  <si>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</si>
  <si>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</si>
  <si>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</si>
  <si>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</si>
  <si>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</si>
  <si>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</si>
  <si>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</si>
  <si>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</si>
  <si>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</si>
  <si>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</si>
  <si>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</si>
  <si>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</si>
  <si>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</si>
  <si>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</si>
  <si>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</si>
  <si>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</si>
  <si>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</si>
  <si>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</si>
  <si>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</si>
  <si>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</si>
  <si>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</si>
  <si>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</si>
  <si>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</si>
  <si>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</si>
  <si>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</si>
  <si>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</si>
  <si>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</si>
  <si>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</si>
  <si>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</si>
  <si>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</si>
  <si>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</si>
  <si>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</si>
  <si>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</si>
  <si>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</si>
  <si>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</si>
  <si>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</si>
  <si>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</si>
  <si>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</si>
  <si>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</si>
  <si>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</si>
  <si>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</si>
  <si>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</si>
  <si>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</si>
  <si>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</si>
  <si>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</si>
  <si>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</si>
  <si>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</si>
  <si>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</si>
  <si>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</si>
  <si>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</si>
  <si>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</si>
  <si>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</si>
  <si>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</si>
  <si>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</si>
  <si>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</si>
  <si>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</si>
  <si>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</si>
  <si>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</si>
  <si>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</si>
  <si>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</si>
  <si>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</si>
  <si>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</si>
  <si>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</si>
  <si>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</si>
  <si>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</si>
  <si>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</si>
  <si>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</si>
  <si>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</si>
  <si>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</si>
  <si>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</si>
  <si>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</si>
  <si>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</si>
  <si>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</si>
  <si>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</si>
  <si>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</si>
  <si>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</si>
  <si>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</si>
  <si>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</si>
  <si>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</si>
  <si>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</si>
  <si>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</si>
  <si>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</si>
  <si>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</si>
  <si>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</si>
  <si>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</si>
  <si>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</si>
  <si>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</si>
  <si>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</si>
  <si>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</si>
  <si>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</si>
  <si>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</si>
  <si>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</si>
  <si>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</si>
  <si>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</si>
  <si>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</si>
  <si>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</si>
  <si>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</si>
  <si>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</si>
  <si>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</si>
  <si>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</si>
  <si>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</si>
  <si>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</si>
  <si>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</si>
  <si>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</si>
  <si>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</si>
  <si>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</si>
  <si>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</si>
  <si>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</si>
  <si>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</si>
  <si>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</si>
  <si>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</si>
  <si>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</si>
  <si>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</si>
  <si>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</si>
  <si>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</si>
  <si>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</si>
  <si>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</si>
  <si>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</si>
  <si>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</si>
  <si>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</si>
  <si>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</si>
  <si>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</si>
  <si>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</si>
  <si>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</si>
  <si>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</si>
  <si>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</si>
  <si>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</si>
  <si>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</si>
  <si>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</si>
  <si>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</si>
  <si>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</si>
  <si>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</si>
  <si>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</si>
  <si>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</si>
  <si>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</si>
  <si>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</si>
  <si>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</si>
  <si>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</si>
  <si>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</si>
  <si>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</si>
  <si>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</si>
  <si>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</si>
  <si>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</si>
  <si>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</si>
  <si>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</si>
  <si>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</si>
  <si>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</si>
  <si>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</si>
  <si>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</si>
  <si>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</si>
  <si>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</si>
  <si>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</si>
  <si>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</si>
  <si>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</si>
  <si>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</si>
  <si>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</si>
  <si>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</si>
  <si>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</si>
  <si>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</si>
  <si>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</si>
  <si>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</si>
  <si>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</si>
  <si>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</si>
  <si>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</si>
  <si>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</si>
  <si>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</si>
  <si>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</si>
  <si>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</si>
  <si>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</si>
  <si>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</si>
  <si>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</si>
  <si>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</si>
  <si>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</si>
  <si>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</si>
  <si>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</si>
  <si>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</si>
  <si>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</si>
  <si>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</si>
  <si>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</si>
  <si>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</si>
  <si>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</si>
  <si>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</si>
  <si>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</si>
  <si>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</si>
  <si>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</si>
  <si>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</si>
  <si>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</si>
  <si>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</si>
  <si>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</si>
  <si>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</si>
  <si>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</si>
  <si>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</si>
  <si>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</si>
  <si>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</si>
  <si>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</si>
  <si>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</si>
  <si>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</si>
  <si>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</si>
  <si>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</si>
  <si>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</si>
  <si>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</si>
  <si>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</si>
  <si>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</si>
  <si>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</si>
  <si>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</si>
  <si>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</si>
  <si>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</si>
  <si>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</si>
  <si>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</si>
  <si>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</si>
  <si>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</si>
  <si>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</si>
  <si>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</si>
  <si>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</si>
  <si>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</si>
  <si>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</si>
  <si>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</si>
  <si>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</si>
  <si>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</si>
  <si>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</si>
  <si>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</si>
  <si>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</si>
  <si>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</si>
  <si>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</si>
  <si>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</si>
  <si>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</si>
  <si>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</si>
  <si>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</si>
  <si>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</si>
  <si>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</si>
  <si>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</si>
  <si>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</si>
  <si>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</si>
  <si>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</si>
  <si>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</si>
  <si>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</si>
  <si>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</si>
  <si>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</si>
  <si>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</si>
  <si>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</si>
  <si>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</si>
  <si>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</si>
  <si>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</si>
  <si>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</si>
  <si>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</si>
  <si>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</si>
  <si>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</si>
  <si>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</si>
  <si>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</si>
  <si>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</si>
  <si>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</si>
  <si>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</si>
  <si>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</si>
  <si>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</si>
  <si>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</si>
  <si>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</si>
  <si>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</si>
  <si>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</si>
  <si>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</si>
  <si>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</si>
  <si>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</si>
  <si>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</si>
  <si>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</si>
  <si>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</si>
  <si>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</si>
  <si>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</si>
  <si>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https://pub-843c46afc4cb41489909bce00c9b143d.r2.dev/84%20-%20Anet%20Leclerc/1.png; https://pub-843c46afc4cb41489909bce00c9b143d.r2.dev/84%20-%20Anet%20Leclerc/2.png; https://pub-843c46afc4cb41489909bce00c9b143d.r2.dev/84%20-%20Anet%20Leclerc/3.png; https://pub-843c46afc4cb41489909bce00c9b143d.r2.dev/84%20-%20Anet%20Leclerc/4.png https://pub-843c46afc4cb41489909bce00c9b143d.r2.dev/84%20-%20Anet%20Leclerc/5.png</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</si>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</sst>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61" totalsRowShown="0" headerRowCellStyle="Normal 2" dataCellStyle="Normal 2">
  <autoFilter ref="A1:AX2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2"/>
  <sheetViews>
    <sheetView showZeros="0" tabSelected="1" zoomScale="80" zoomScaleNormal="80" workbookViewId="0">
      <pane xSplit="6" ySplit="1" topLeftCell="AO252" activePane="bottomRight" state="frozen"/>
      <selection pane="topRight" activeCell="G1" sqref="G1"/>
      <selection pane="bottomLeft" activeCell="A2" sqref="A2"/>
      <selection pane="bottomRight" activeCell="AP261" sqref="AP261"/>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1393</v>
      </c>
      <c r="L1" s="1" t="s">
        <v>1397</v>
      </c>
      <c r="M1" s="1" t="s">
        <v>10</v>
      </c>
      <c r="N1" s="1" t="s">
        <v>304</v>
      </c>
      <c r="O1" s="1" t="s">
        <v>19</v>
      </c>
      <c r="P1" s="1" t="s">
        <v>259</v>
      </c>
      <c r="Q1" s="1" t="s">
        <v>1399</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1395</v>
      </c>
      <c r="AO1" s="1" t="s">
        <v>1396</v>
      </c>
      <c r="AP1" s="1" t="s">
        <v>106</v>
      </c>
      <c r="AQ1" s="1" t="s">
        <v>107</v>
      </c>
      <c r="AR1" s="1" t="s">
        <v>258</v>
      </c>
      <c r="AS1" s="1" t="s">
        <v>257</v>
      </c>
      <c r="AT1" s="1" t="s">
        <v>109</v>
      </c>
      <c r="AU1" s="1" t="s">
        <v>16</v>
      </c>
      <c r="AV1" s="1" t="s">
        <v>0</v>
      </c>
      <c r="AW1" s="1" t="s">
        <v>12</v>
      </c>
      <c r="AX1" s="3" t="s">
        <v>1087</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67650</v>
      </c>
      <c r="U2" s="6">
        <f>IFERROR(Tableau1[[#This Row],[Loyer annuel]]/12,"")</f>
        <v>5637.5</v>
      </c>
      <c r="V2" s="6">
        <v>150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79827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42250</v>
      </c>
      <c r="U3" s="6">
        <f>IFERROR(Tableau1[[#This Row],[Loyer annuel]]/12,"")</f>
        <v>3520.8333333333335</v>
      </c>
      <c r="V3" s="6">
        <v>130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50700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1279</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1400</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1400</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1400</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1400</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1400</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1400</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1400</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1400</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1400</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1400</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1400</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1400</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1400</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1678</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1678</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1678</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1678</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1678</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1678</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1678</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1678</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1678</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1678</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1678</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1678</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59500</v>
      </c>
      <c r="U40" s="6">
        <f>IFERROR(Tableau1[[#This Row],[Loyer annuel]]/12,"")</f>
        <v>4958.333333333333</v>
      </c>
      <c r="V40" s="12">
        <v>250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85442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100800</v>
      </c>
      <c r="U44" s="6">
        <f>IFERROR(Tableau1[[#This Row],[Loyer annuel]]/12,"")</f>
        <v>8400</v>
      </c>
      <c r="V44" s="6">
        <v>175</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120960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55500</v>
      </c>
      <c r="U47" s="6">
        <f>IFERROR(Tableau1[[#This Row],[Loyer annuel]]/12,"")</f>
        <v>4625</v>
      </c>
      <c r="V47" s="6">
        <v>150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77700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63180</v>
      </c>
      <c r="U48" s="6">
        <f>IFERROR(Tableau1[[#This Row],[Loyer annuel]]/12,"")</f>
        <v>5265</v>
      </c>
      <c r="V48" s="12">
        <v>130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92826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168000</v>
      </c>
      <c r="U50" s="6">
        <f>IFERROR(Tableau1[[#This Row],[Loyer annuel]]/12,"")</f>
        <v>14000</v>
      </c>
      <c r="V50" s="12">
        <v>250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1243</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66150</v>
      </c>
      <c r="U52" s="6">
        <f>IFERROR(Tableau1[[#This Row],[Loyer annuel]]/12,"")</f>
        <v>5512.5</v>
      </c>
      <c r="V52" s="12">
        <v>350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79758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88500</v>
      </c>
      <c r="U53" s="6">
        <f>IFERROR(Tableau1[[#This Row],[Loyer annuel]]/12,"")</f>
        <v>7375</v>
      </c>
      <c r="V53" s="12">
        <v>500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100005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55250</v>
      </c>
      <c r="U54" s="6">
        <f>IFERROR(Tableau1[[#This Row],[Loyer annuel]]/12,"")</f>
        <v>4604.166666666667</v>
      </c>
      <c r="V54" s="12">
        <v>650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63240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31200</v>
      </c>
      <c r="U55" s="6">
        <f>IFERROR(Tableau1[[#This Row],[Loyer annuel]]/12,"")</f>
        <v>2600</v>
      </c>
      <c r="V55" s="12">
        <v>1200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32500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1280</v>
      </c>
      <c r="Q56" s="34" t="s">
        <v>103</v>
      </c>
      <c r="R56" s="34" t="s">
        <v>103</v>
      </c>
      <c r="S56" s="6" t="s">
        <v>103</v>
      </c>
      <c r="T56" s="12">
        <f>Tableau1[[#This Row],[Loyer €/m²]]*Tableau1[[#This Row],[Surface GLA]]</f>
        <v>43500</v>
      </c>
      <c r="U56" s="6">
        <f>IFERROR(Tableau1[[#This Row],[Loyer annuel]]/12,"")</f>
        <v>3625</v>
      </c>
      <c r="V56" s="12">
        <v>500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47676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32000</v>
      </c>
      <c r="U65" s="6">
        <f>IFERROR(Tableau1[[#This Row],[Loyer annuel]]/12,"")</f>
        <v>2666.6666666666665</v>
      </c>
      <c r="V65" s="12">
        <v>400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33840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44000</v>
      </c>
      <c r="U66" s="6">
        <f>IFERROR(Tableau1[[#This Row],[Loyer annuel]]/12,"")</f>
        <v>3666.6666666666665</v>
      </c>
      <c r="V66" s="12">
        <v>400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46530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1058</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1059</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1060</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1061</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1062</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1063</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1064</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1065</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1066</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1067</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1068</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1069</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1070</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1071</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1072</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1073</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1074</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1075</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1076</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1077</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1078</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1079</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1080</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1430</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1430</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1430</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1430</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1430</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1430</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1430</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1430</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53</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1794</v>
      </c>
      <c r="AN103" s="11" t="s">
        <v>1678</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1794</v>
      </c>
      <c r="AN104" s="11" t="s">
        <v>1678</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1794</v>
      </c>
      <c r="AN105" s="11" t="s">
        <v>1678</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1794</v>
      </c>
      <c r="AN106" s="11" t="s">
        <v>1678</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1794</v>
      </c>
      <c r="AN107" s="11" t="s">
        <v>1678</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1794</v>
      </c>
      <c r="AN108" s="11" t="s">
        <v>1678</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1794</v>
      </c>
      <c r="AN109" s="11" t="s">
        <v>1678</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1794</v>
      </c>
      <c r="AN110" s="11" t="s">
        <v>1678</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1794</v>
      </c>
      <c r="AN111" s="11" t="s">
        <v>1678</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1794</v>
      </c>
      <c r="AN112" s="11" t="s">
        <v>1678</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1794</v>
      </c>
      <c r="AN113" s="11" t="s">
        <v>1678</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1794</v>
      </c>
      <c r="AN114" s="11" t="s">
        <v>1678</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1794</v>
      </c>
      <c r="AN115" s="11" t="s">
        <v>1678</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1794</v>
      </c>
      <c r="AN116" s="11" t="s">
        <v>1678</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912</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39600</v>
      </c>
      <c r="U120" s="12">
        <f>IFERROR(Tableau1[[#This Row],[Loyer annuel]]/12,"")</f>
        <v>3300</v>
      </c>
      <c r="V120" s="12">
        <v>400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44451</v>
      </c>
      <c r="AF120" s="6" t="s">
        <v>103</v>
      </c>
      <c r="AG120" s="6" t="s">
        <v>103</v>
      </c>
      <c r="AH120" s="6" t="s">
        <v>103</v>
      </c>
      <c r="AI120" s="6" t="s">
        <v>363</v>
      </c>
      <c r="AJ120" s="10" t="s">
        <v>53</v>
      </c>
      <c r="AK120" s="10" t="s">
        <v>368</v>
      </c>
      <c r="AL120" s="10" t="s">
        <v>909</v>
      </c>
      <c r="AM120" s="11" t="s">
        <v>914</v>
      </c>
      <c r="AN120" s="11"/>
      <c r="AO120" s="5" t="s">
        <v>367</v>
      </c>
      <c r="AP120" s="11" t="s">
        <v>910</v>
      </c>
      <c r="AQ120" s="11" t="s">
        <v>911</v>
      </c>
      <c r="AR120" s="11">
        <v>28</v>
      </c>
      <c r="AS120" s="36" t="s">
        <v>913</v>
      </c>
      <c r="AT120" s="11" t="s">
        <v>75</v>
      </c>
      <c r="AU120" s="11" t="s">
        <v>1832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916</v>
      </c>
      <c r="E121" s="26">
        <v>93430</v>
      </c>
      <c r="F121" s="10" t="s">
        <v>915</v>
      </c>
      <c r="G121" s="39" t="str">
        <f>Tableau1[[#This Row],[Rue]]&amp;CHAR(10)&amp;Tableau1[[#This Row],[Code Postal]]&amp;" - "&amp;Tableau1[[#This Row],[Ville]]</f>
        <v>8 Route de Saint-Leu
93430 - Villetaneuse</v>
      </c>
      <c r="H121" s="15" t="s">
        <v>917</v>
      </c>
      <c r="I121" s="12" t="s">
        <v>45</v>
      </c>
      <c r="J121" s="12" t="s">
        <v>49</v>
      </c>
      <c r="K121" s="12" t="s">
        <v>103</v>
      </c>
      <c r="L121" s="53" t="s">
        <v>1542</v>
      </c>
      <c r="M121" s="12" t="s">
        <v>103</v>
      </c>
      <c r="N121" s="36" t="s">
        <v>918</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940</v>
      </c>
      <c r="AM121" s="11" t="s">
        <v>977</v>
      </c>
      <c r="AN121" s="11"/>
      <c r="AO121" s="5" t="s">
        <v>367</v>
      </c>
      <c r="AP121" s="11" t="s">
        <v>943</v>
      </c>
      <c r="AQ121" s="11" t="s">
        <v>944</v>
      </c>
      <c r="AR121" s="11" t="s">
        <v>923</v>
      </c>
      <c r="AS121" s="36" t="s">
        <v>1372</v>
      </c>
      <c r="AT121" s="11" t="s">
        <v>75</v>
      </c>
      <c r="AU121" s="11" t="s">
        <v>941</v>
      </c>
      <c r="AV121" s="13" t="s">
        <v>942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916</v>
      </c>
      <c r="E122" s="26">
        <v>93430</v>
      </c>
      <c r="F122" s="10" t="s">
        <v>915</v>
      </c>
      <c r="G122" s="39" t="str">
        <f>Tableau1[[#This Row],[Rue]]&amp;CHAR(10)&amp;Tableau1[[#This Row],[Code Postal]]&amp;" - "&amp;Tableau1[[#This Row],[Ville]]</f>
        <v>8 Route de Saint-Leu
93430 - Villetaneuse</v>
      </c>
      <c r="H122" s="15" t="s">
        <v>917</v>
      </c>
      <c r="I122" s="12" t="s">
        <v>45</v>
      </c>
      <c r="J122" s="12" t="s">
        <v>49</v>
      </c>
      <c r="K122" s="12" t="s">
        <v>103</v>
      </c>
      <c r="L122" s="53" t="s">
        <v>1542</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940</v>
      </c>
      <c r="AM122" s="11" t="s">
        <v>977</v>
      </c>
      <c r="AN122" s="11"/>
      <c r="AO122" s="5" t="s">
        <v>367</v>
      </c>
      <c r="AP122" s="11" t="s">
        <v>945</v>
      </c>
      <c r="AQ122" s="11" t="s">
        <v>946</v>
      </c>
      <c r="AR122" s="11" t="s">
        <v>924</v>
      </c>
      <c r="AS122" s="36" t="s">
        <v>1372</v>
      </c>
      <c r="AT122" s="11" t="s">
        <v>75</v>
      </c>
      <c r="AU122" s="11" t="s">
        <v>941</v>
      </c>
      <c r="AV122" s="13" t="s">
        <v>942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916</v>
      </c>
      <c r="E123" s="26">
        <v>93430</v>
      </c>
      <c r="F123" s="10" t="s">
        <v>915</v>
      </c>
      <c r="G123" s="39" t="str">
        <f>Tableau1[[#This Row],[Rue]]&amp;CHAR(10)&amp;Tableau1[[#This Row],[Code Postal]]&amp;" - "&amp;Tableau1[[#This Row],[Ville]]</f>
        <v>8 Route de Saint-Leu
93430 - Villetaneuse</v>
      </c>
      <c r="H123" s="15" t="s">
        <v>917</v>
      </c>
      <c r="I123" s="12" t="s">
        <v>45</v>
      </c>
      <c r="J123" s="12" t="s">
        <v>49</v>
      </c>
      <c r="K123" s="12" t="s">
        <v>103</v>
      </c>
      <c r="L123" s="53" t="s">
        <v>1542</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940</v>
      </c>
      <c r="AM123" s="11" t="s">
        <v>977</v>
      </c>
      <c r="AN123" s="11"/>
      <c r="AO123" s="5" t="s">
        <v>367</v>
      </c>
      <c r="AP123" s="11" t="s">
        <v>947</v>
      </c>
      <c r="AQ123" s="11" t="s">
        <v>948</v>
      </c>
      <c r="AR123" s="11" t="s">
        <v>925</v>
      </c>
      <c r="AS123" s="36" t="s">
        <v>1372</v>
      </c>
      <c r="AT123" s="11" t="s">
        <v>75</v>
      </c>
      <c r="AU123" s="11" t="s">
        <v>941</v>
      </c>
      <c r="AV123" s="13" t="s">
        <v>942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916</v>
      </c>
      <c r="E124" s="26">
        <v>93430</v>
      </c>
      <c r="F124" s="10" t="s">
        <v>915</v>
      </c>
      <c r="G124" s="39" t="str">
        <f>Tableau1[[#This Row],[Rue]]&amp;CHAR(10)&amp;Tableau1[[#This Row],[Code Postal]]&amp;" - "&amp;Tableau1[[#This Row],[Ville]]</f>
        <v>8 Route de Saint-Leu
93430 - Villetaneuse</v>
      </c>
      <c r="H124" s="15" t="s">
        <v>917</v>
      </c>
      <c r="I124" s="12" t="s">
        <v>45</v>
      </c>
      <c r="J124" s="12" t="s">
        <v>49</v>
      </c>
      <c r="K124" s="12" t="s">
        <v>103</v>
      </c>
      <c r="L124" s="53" t="s">
        <v>1542</v>
      </c>
      <c r="M124" s="12" t="s">
        <v>103</v>
      </c>
      <c r="N124" s="36" t="s">
        <v>919</v>
      </c>
      <c r="O124" s="34">
        <v>438</v>
      </c>
      <c r="P124" s="6" t="s">
        <v>103</v>
      </c>
      <c r="Q124" s="34" t="s">
        <v>103</v>
      </c>
      <c r="R124" s="34" t="s">
        <v>103</v>
      </c>
      <c r="S124" s="6" t="s">
        <v>103</v>
      </c>
      <c r="T124" s="12">
        <f>Tableau1[[#This Row],[Loyer €/m²]]*Tableau1[[#This Row],[Surface GLA]]</f>
        <v>131400</v>
      </c>
      <c r="U124" s="12">
        <f>IFERROR(Tableau1[[#This Row],[Loyer annuel]]/12,"")</f>
        <v>10950</v>
      </c>
      <c r="V124" s="12">
        <v>300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188340</v>
      </c>
      <c r="AF124" s="12" t="str">
        <f t="shared" si="3"/>
        <v>3 mois = 32 850 €</v>
      </c>
      <c r="AG124" s="6" t="s">
        <v>103</v>
      </c>
      <c r="AH124" s="6" t="s">
        <v>103</v>
      </c>
      <c r="AI124" s="6" t="s">
        <v>363</v>
      </c>
      <c r="AJ124" s="10" t="s">
        <v>75</v>
      </c>
      <c r="AK124" s="10" t="s">
        <v>369</v>
      </c>
      <c r="AL124" s="10" t="s">
        <v>940</v>
      </c>
      <c r="AM124" s="11" t="s">
        <v>978</v>
      </c>
      <c r="AN124" s="11"/>
      <c r="AO124" s="5" t="s">
        <v>367</v>
      </c>
      <c r="AP124" s="11" t="s">
        <v>949</v>
      </c>
      <c r="AQ124" s="11" t="s">
        <v>950</v>
      </c>
      <c r="AR124" s="11" t="s">
        <v>926</v>
      </c>
      <c r="AS124" s="36" t="s">
        <v>1372</v>
      </c>
      <c r="AT124" s="11" t="s">
        <v>75</v>
      </c>
      <c r="AU124" s="11" t="s">
        <v>941</v>
      </c>
      <c r="AV124" s="13" t="s">
        <v>942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916</v>
      </c>
      <c r="E125" s="26">
        <v>93430</v>
      </c>
      <c r="F125" s="10" t="s">
        <v>915</v>
      </c>
      <c r="G125" s="39" t="str">
        <f>Tableau1[[#This Row],[Rue]]&amp;CHAR(10)&amp;Tableau1[[#This Row],[Code Postal]]&amp;" - "&amp;Tableau1[[#This Row],[Ville]]</f>
        <v>8 Route de Saint-Leu
93430 - Villetaneuse</v>
      </c>
      <c r="H125" s="15" t="s">
        <v>917</v>
      </c>
      <c r="I125" s="12" t="s">
        <v>45</v>
      </c>
      <c r="J125" s="12" t="s">
        <v>49</v>
      </c>
      <c r="K125" s="12" t="s">
        <v>103</v>
      </c>
      <c r="L125" s="53" t="s">
        <v>1542</v>
      </c>
      <c r="M125" s="12" t="s">
        <v>103</v>
      </c>
      <c r="N125" s="36" t="s">
        <v>920</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940</v>
      </c>
      <c r="AM125" s="11" t="s">
        <v>977</v>
      </c>
      <c r="AN125" s="11"/>
      <c r="AO125" s="5" t="s">
        <v>367</v>
      </c>
      <c r="AP125" s="11" t="s">
        <v>951</v>
      </c>
      <c r="AQ125" s="11" t="s">
        <v>952</v>
      </c>
      <c r="AR125" s="11" t="s">
        <v>927</v>
      </c>
      <c r="AS125" s="36" t="s">
        <v>1372</v>
      </c>
      <c r="AT125" s="11" t="s">
        <v>75</v>
      </c>
      <c r="AU125" s="11" t="s">
        <v>941</v>
      </c>
      <c r="AV125" s="13" t="s">
        <v>942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916</v>
      </c>
      <c r="E126" s="26">
        <v>93430</v>
      </c>
      <c r="F126" s="10" t="s">
        <v>915</v>
      </c>
      <c r="G126" s="39" t="str">
        <f>Tableau1[[#This Row],[Rue]]&amp;CHAR(10)&amp;Tableau1[[#This Row],[Code Postal]]&amp;" - "&amp;Tableau1[[#This Row],[Ville]]</f>
        <v>8 Route de Saint-Leu
93430 - Villetaneuse</v>
      </c>
      <c r="H126" s="15" t="s">
        <v>917</v>
      </c>
      <c r="I126" s="12" t="s">
        <v>45</v>
      </c>
      <c r="J126" s="12" t="s">
        <v>49</v>
      </c>
      <c r="K126" s="12" t="s">
        <v>103</v>
      </c>
      <c r="L126" s="53" t="s">
        <v>1542</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940</v>
      </c>
      <c r="AM126" s="11" t="s">
        <v>977</v>
      </c>
      <c r="AN126" s="11"/>
      <c r="AO126" s="5" t="s">
        <v>367</v>
      </c>
      <c r="AP126" s="11" t="s">
        <v>959</v>
      </c>
      <c r="AQ126" s="11" t="s">
        <v>960</v>
      </c>
      <c r="AR126" s="11" t="s">
        <v>928</v>
      </c>
      <c r="AS126" s="36" t="s">
        <v>1372</v>
      </c>
      <c r="AT126" s="11" t="s">
        <v>75</v>
      </c>
      <c r="AU126" s="11" t="s">
        <v>941</v>
      </c>
      <c r="AV126" s="13" t="s">
        <v>942</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916</v>
      </c>
      <c r="E127" s="26">
        <v>93430</v>
      </c>
      <c r="F127" s="10" t="s">
        <v>915</v>
      </c>
      <c r="G127" s="39" t="str">
        <f>Tableau1[[#This Row],[Rue]]&amp;CHAR(10)&amp;Tableau1[[#This Row],[Code Postal]]&amp;" - "&amp;Tableau1[[#This Row],[Ville]]</f>
        <v>8 Route de Saint-Leu
93430 - Villetaneuse</v>
      </c>
      <c r="H127" s="15" t="s">
        <v>917</v>
      </c>
      <c r="I127" s="12" t="s">
        <v>45</v>
      </c>
      <c r="J127" s="12" t="s">
        <v>49</v>
      </c>
      <c r="K127" s="12" t="s">
        <v>103</v>
      </c>
      <c r="L127" s="53" t="s">
        <v>1542</v>
      </c>
      <c r="M127" s="12" t="s">
        <v>103</v>
      </c>
      <c r="N127" s="36" t="s">
        <v>921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940</v>
      </c>
      <c r="AM127" s="11" t="s">
        <v>977</v>
      </c>
      <c r="AN127" s="11"/>
      <c r="AO127" s="5" t="s">
        <v>367</v>
      </c>
      <c r="AP127" s="11" t="s">
        <v>957</v>
      </c>
      <c r="AQ127" s="11" t="s">
        <v>958</v>
      </c>
      <c r="AR127" s="11" t="s">
        <v>929</v>
      </c>
      <c r="AS127" s="36" t="s">
        <v>1372</v>
      </c>
      <c r="AT127" s="11" t="s">
        <v>75</v>
      </c>
      <c r="AU127" s="11" t="s">
        <v>941</v>
      </c>
      <c r="AV127" s="13" t="s">
        <v>942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916</v>
      </c>
      <c r="E128" s="26">
        <v>93430</v>
      </c>
      <c r="F128" s="10" t="s">
        <v>915</v>
      </c>
      <c r="G128" s="39" t="str">
        <f>Tableau1[[#This Row],[Rue]]&amp;CHAR(10)&amp;Tableau1[[#This Row],[Code Postal]]&amp;" - "&amp;Tableau1[[#This Row],[Ville]]</f>
        <v>8 Route de Saint-Leu
93430 - Villetaneuse</v>
      </c>
      <c r="H128" s="15" t="s">
        <v>917</v>
      </c>
      <c r="I128" s="12" t="s">
        <v>45</v>
      </c>
      <c r="J128" s="12" t="s">
        <v>49</v>
      </c>
      <c r="K128" s="12" t="s">
        <v>103</v>
      </c>
      <c r="L128" s="53" t="s">
        <v>1542</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940</v>
      </c>
      <c r="AM128" s="11" t="s">
        <v>977</v>
      </c>
      <c r="AN128" s="11"/>
      <c r="AO128" s="5" t="s">
        <v>367</v>
      </c>
      <c r="AP128" s="11" t="s">
        <v>955</v>
      </c>
      <c r="AQ128" s="11" t="s">
        <v>956</v>
      </c>
      <c r="AR128" s="11" t="s">
        <v>930</v>
      </c>
      <c r="AS128" s="36" t="s">
        <v>1372</v>
      </c>
      <c r="AT128" s="11" t="s">
        <v>75</v>
      </c>
      <c r="AU128" s="11" t="s">
        <v>941</v>
      </c>
      <c r="AV128" s="13" t="s">
        <v>942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916</v>
      </c>
      <c r="E129" s="26">
        <v>93430</v>
      </c>
      <c r="F129" s="10" t="s">
        <v>915</v>
      </c>
      <c r="G129" s="39" t="str">
        <f>Tableau1[[#This Row],[Rue]]&amp;CHAR(10)&amp;Tableau1[[#This Row],[Code Postal]]&amp;" - "&amp;Tableau1[[#This Row],[Ville]]</f>
        <v>8 Route de Saint-Leu
93430 - Villetaneuse</v>
      </c>
      <c r="H129" s="15" t="s">
        <v>917</v>
      </c>
      <c r="I129" s="12" t="s">
        <v>45</v>
      </c>
      <c r="J129" s="12" t="s">
        <v>49</v>
      </c>
      <c r="K129" s="12" t="s">
        <v>103</v>
      </c>
      <c r="L129" s="53" t="s">
        <v>1542</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940</v>
      </c>
      <c r="AM129" s="11" t="s">
        <v>977</v>
      </c>
      <c r="AN129" s="11"/>
      <c r="AO129" s="5" t="s">
        <v>367</v>
      </c>
      <c r="AP129" s="11" t="s">
        <v>953</v>
      </c>
      <c r="AQ129" s="11" t="s">
        <v>954</v>
      </c>
      <c r="AR129" s="11" t="s">
        <v>931</v>
      </c>
      <c r="AS129" s="36" t="s">
        <v>1372</v>
      </c>
      <c r="AT129" s="11" t="s">
        <v>75</v>
      </c>
      <c r="AU129" s="11" t="s">
        <v>941</v>
      </c>
      <c r="AV129" s="13" t="s">
        <v>942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916</v>
      </c>
      <c r="E130" s="26">
        <v>93430</v>
      </c>
      <c r="F130" s="10" t="s">
        <v>915</v>
      </c>
      <c r="G130" s="39" t="str">
        <f>Tableau1[[#This Row],[Rue]]&amp;CHAR(10)&amp;Tableau1[[#This Row],[Code Postal]]&amp;" - "&amp;Tableau1[[#This Row],[Ville]]</f>
        <v>8 Route de Saint-Leu
93430 - Villetaneuse</v>
      </c>
      <c r="H130" s="15" t="s">
        <v>917</v>
      </c>
      <c r="I130" s="12" t="s">
        <v>45</v>
      </c>
      <c r="J130" s="12" t="s">
        <v>49</v>
      </c>
      <c r="K130" s="12" t="s">
        <v>103</v>
      </c>
      <c r="L130" s="53" t="s">
        <v>1542</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940</v>
      </c>
      <c r="AM130" s="11" t="s">
        <v>977</v>
      </c>
      <c r="AN130" s="11"/>
      <c r="AO130" s="5" t="s">
        <v>367</v>
      </c>
      <c r="AP130" s="11" t="s">
        <v>961</v>
      </c>
      <c r="AQ130" s="11" t="s">
        <v>962</v>
      </c>
      <c r="AR130" s="11" t="s">
        <v>932</v>
      </c>
      <c r="AS130" s="36" t="s">
        <v>1372</v>
      </c>
      <c r="AT130" s="11" t="s">
        <v>75</v>
      </c>
      <c r="AU130" s="11" t="s">
        <v>941</v>
      </c>
      <c r="AV130" s="13" t="s">
        <v>942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916</v>
      </c>
      <c r="E131" s="26">
        <v>93430</v>
      </c>
      <c r="F131" s="10" t="s">
        <v>915</v>
      </c>
      <c r="G131" s="39" t="str">
        <f>Tableau1[[#This Row],[Rue]]&amp;CHAR(10)&amp;Tableau1[[#This Row],[Code Postal]]&amp;" - "&amp;Tableau1[[#This Row],[Ville]]</f>
        <v>8 Route de Saint-Leu
93430 - Villetaneuse</v>
      </c>
      <c r="H131" s="15" t="s">
        <v>917</v>
      </c>
      <c r="I131" s="12" t="s">
        <v>45</v>
      </c>
      <c r="J131" s="12" t="s">
        <v>49</v>
      </c>
      <c r="K131" s="12" t="s">
        <v>103</v>
      </c>
      <c r="L131" s="53" t="s">
        <v>1542</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940</v>
      </c>
      <c r="AM131" s="11" t="s">
        <v>977</v>
      </c>
      <c r="AN131" s="11"/>
      <c r="AO131" s="5" t="s">
        <v>367</v>
      </c>
      <c r="AP131" s="11" t="s">
        <v>963</v>
      </c>
      <c r="AQ131" s="11" t="s">
        <v>964</v>
      </c>
      <c r="AR131" s="11" t="s">
        <v>933</v>
      </c>
      <c r="AS131" s="36" t="s">
        <v>1372</v>
      </c>
      <c r="AT131" s="11" t="s">
        <v>75</v>
      </c>
      <c r="AU131" s="11" t="s">
        <v>941</v>
      </c>
      <c r="AV131" s="13" t="s">
        <v>942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916</v>
      </c>
      <c r="E132" s="26">
        <v>93430</v>
      </c>
      <c r="F132" s="10" t="s">
        <v>915</v>
      </c>
      <c r="G132" s="39" t="str">
        <f>Tableau1[[#This Row],[Rue]]&amp;CHAR(10)&amp;Tableau1[[#This Row],[Code Postal]]&amp;" - "&amp;Tableau1[[#This Row],[Ville]]</f>
        <v>8 Route de Saint-Leu
93430 - Villetaneuse</v>
      </c>
      <c r="H132" s="15" t="s">
        <v>917</v>
      </c>
      <c r="I132" s="12" t="s">
        <v>45</v>
      </c>
      <c r="J132" s="12" t="s">
        <v>49</v>
      </c>
      <c r="K132" s="12" t="s">
        <v>103</v>
      </c>
      <c r="L132" s="53" t="s">
        <v>1542</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940</v>
      </c>
      <c r="AM132" s="11" t="s">
        <v>977</v>
      </c>
      <c r="AN132" s="11"/>
      <c r="AO132" s="5" t="s">
        <v>367</v>
      </c>
      <c r="AP132" s="11" t="s">
        <v>965</v>
      </c>
      <c r="AQ132" s="11" t="s">
        <v>966</v>
      </c>
      <c r="AR132" s="11" t="s">
        <v>934</v>
      </c>
      <c r="AS132" s="36" t="s">
        <v>1372</v>
      </c>
      <c r="AT132" s="11" t="s">
        <v>75</v>
      </c>
      <c r="AU132" s="11" t="s">
        <v>941</v>
      </c>
      <c r="AV132" s="13" t="s">
        <v>942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916</v>
      </c>
      <c r="E133" s="26">
        <v>93430</v>
      </c>
      <c r="F133" s="10" t="s">
        <v>915</v>
      </c>
      <c r="G133" s="39" t="str">
        <f>Tableau1[[#This Row],[Rue]]&amp;CHAR(10)&amp;Tableau1[[#This Row],[Code Postal]]&amp;" - "&amp;Tableau1[[#This Row],[Ville]]</f>
        <v>8 Route de Saint-Leu
93430 - Villetaneuse</v>
      </c>
      <c r="H133" s="15" t="s">
        <v>917</v>
      </c>
      <c r="I133" s="12" t="s">
        <v>45</v>
      </c>
      <c r="J133" s="12" t="s">
        <v>49</v>
      </c>
      <c r="K133" s="12" t="s">
        <v>103</v>
      </c>
      <c r="L133" s="53" t="s">
        <v>1542</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940</v>
      </c>
      <c r="AM133" s="11" t="s">
        <v>977</v>
      </c>
      <c r="AN133" s="11"/>
      <c r="AO133" s="5" t="s">
        <v>367</v>
      </c>
      <c r="AP133" s="11" t="s">
        <v>967</v>
      </c>
      <c r="AQ133" s="11" t="s">
        <v>968</v>
      </c>
      <c r="AR133" s="11" t="s">
        <v>935</v>
      </c>
      <c r="AS133" s="36" t="s">
        <v>1372</v>
      </c>
      <c r="AT133" s="11" t="s">
        <v>75</v>
      </c>
      <c r="AU133" s="11" t="s">
        <v>941</v>
      </c>
      <c r="AV133" s="13" t="s">
        <v>942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916</v>
      </c>
      <c r="E134" s="26">
        <v>93430</v>
      </c>
      <c r="F134" s="10" t="s">
        <v>915</v>
      </c>
      <c r="G134" s="39" t="str">
        <f>Tableau1[[#This Row],[Rue]]&amp;CHAR(10)&amp;Tableau1[[#This Row],[Code Postal]]&amp;" - "&amp;Tableau1[[#This Row],[Ville]]</f>
        <v>8 Route de Saint-Leu
93430 - Villetaneuse</v>
      </c>
      <c r="H134" s="15" t="s">
        <v>917</v>
      </c>
      <c r="I134" s="12" t="s">
        <v>45</v>
      </c>
      <c r="J134" s="12" t="s">
        <v>49</v>
      </c>
      <c r="K134" s="12" t="s">
        <v>103</v>
      </c>
      <c r="L134" s="53" t="s">
        <v>1542</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940</v>
      </c>
      <c r="AM134" s="11" t="s">
        <v>977</v>
      </c>
      <c r="AN134" s="11"/>
      <c r="AO134" s="5" t="s">
        <v>367</v>
      </c>
      <c r="AP134" s="11" t="s">
        <v>969</v>
      </c>
      <c r="AQ134" s="11" t="s">
        <v>970</v>
      </c>
      <c r="AR134" s="11" t="s">
        <v>936</v>
      </c>
      <c r="AS134" s="36" t="s">
        <v>1372</v>
      </c>
      <c r="AT134" s="11" t="s">
        <v>75</v>
      </c>
      <c r="AU134" s="11" t="s">
        <v>941</v>
      </c>
      <c r="AV134" s="13" t="s">
        <v>942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916</v>
      </c>
      <c r="E135" s="26">
        <v>93430</v>
      </c>
      <c r="F135" s="10" t="s">
        <v>915</v>
      </c>
      <c r="G135" s="39" t="str">
        <f>Tableau1[[#This Row],[Rue]]&amp;CHAR(10)&amp;Tableau1[[#This Row],[Code Postal]]&amp;" - "&amp;Tableau1[[#This Row],[Ville]]</f>
        <v>8 Route de Saint-Leu
93430 - Villetaneuse</v>
      </c>
      <c r="H135" s="15" t="s">
        <v>917</v>
      </c>
      <c r="I135" s="12" t="s">
        <v>45</v>
      </c>
      <c r="J135" s="12" t="s">
        <v>49</v>
      </c>
      <c r="K135" s="12" t="s">
        <v>103</v>
      </c>
      <c r="L135" s="53" t="s">
        <v>1542</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940</v>
      </c>
      <c r="AM135" s="11" t="s">
        <v>977</v>
      </c>
      <c r="AN135" s="11"/>
      <c r="AO135" s="5" t="s">
        <v>367</v>
      </c>
      <c r="AP135" s="11" t="s">
        <v>971</v>
      </c>
      <c r="AQ135" s="11" t="s">
        <v>972</v>
      </c>
      <c r="AR135" s="11" t="s">
        <v>937</v>
      </c>
      <c r="AS135" s="36" t="s">
        <v>1372</v>
      </c>
      <c r="AT135" s="11" t="s">
        <v>75</v>
      </c>
      <c r="AU135" s="11" t="s">
        <v>941</v>
      </c>
      <c r="AV135" s="13" t="s">
        <v>942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916</v>
      </c>
      <c r="E136" s="26">
        <v>93430</v>
      </c>
      <c r="F136" s="10" t="s">
        <v>915</v>
      </c>
      <c r="G136" s="39" t="str">
        <f>Tableau1[[#This Row],[Rue]]&amp;CHAR(10)&amp;Tableau1[[#This Row],[Code Postal]]&amp;" - "&amp;Tableau1[[#This Row],[Ville]]</f>
        <v>8 Route de Saint-Leu
93430 - Villetaneuse</v>
      </c>
      <c r="H136" s="15" t="s">
        <v>917</v>
      </c>
      <c r="I136" s="12" t="s">
        <v>45</v>
      </c>
      <c r="J136" s="12" t="s">
        <v>49</v>
      </c>
      <c r="K136" s="12" t="s">
        <v>103</v>
      </c>
      <c r="L136" s="53" t="s">
        <v>1542</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940</v>
      </c>
      <c r="AM136" s="11" t="s">
        <v>977</v>
      </c>
      <c r="AN136" s="11"/>
      <c r="AO136" s="5" t="s">
        <v>367</v>
      </c>
      <c r="AP136" s="11" t="s">
        <v>973</v>
      </c>
      <c r="AQ136" s="11" t="s">
        <v>974</v>
      </c>
      <c r="AR136" s="11" t="s">
        <v>938</v>
      </c>
      <c r="AS136" s="36" t="s">
        <v>1372</v>
      </c>
      <c r="AT136" s="11" t="s">
        <v>75</v>
      </c>
      <c r="AU136" s="11" t="s">
        <v>941</v>
      </c>
      <c r="AV136" s="13" t="s">
        <v>942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916</v>
      </c>
      <c r="E137" s="26">
        <v>93430</v>
      </c>
      <c r="F137" s="10" t="s">
        <v>915</v>
      </c>
      <c r="G137" s="39" t="str">
        <f>Tableau1[[#This Row],[Rue]]&amp;CHAR(10)&amp;Tableau1[[#This Row],[Code Postal]]&amp;" - "&amp;Tableau1[[#This Row],[Ville]]</f>
        <v>8 Route de Saint-Leu
93430 - Villetaneuse</v>
      </c>
      <c r="H137" s="15" t="s">
        <v>917</v>
      </c>
      <c r="I137" s="12" t="s">
        <v>45</v>
      </c>
      <c r="J137" s="12" t="s">
        <v>49</v>
      </c>
      <c r="K137" s="12" t="s">
        <v>103</v>
      </c>
      <c r="L137" s="53" t="s">
        <v>1542</v>
      </c>
      <c r="M137" s="12" t="s">
        <v>103</v>
      </c>
      <c r="N137" s="36" t="s">
        <v>922</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940</v>
      </c>
      <c r="AM137" s="11" t="s">
        <v>977</v>
      </c>
      <c r="AN137" s="11"/>
      <c r="AO137" s="5" t="s">
        <v>367</v>
      </c>
      <c r="AP137" s="11" t="s">
        <v>975</v>
      </c>
      <c r="AQ137" s="11" t="s">
        <v>976</v>
      </c>
      <c r="AR137" s="11" t="s">
        <v>939</v>
      </c>
      <c r="AS137" s="36" t="s">
        <v>1372</v>
      </c>
      <c r="AT137" s="11" t="s">
        <v>75</v>
      </c>
      <c r="AU137" s="11" t="s">
        <v>941</v>
      </c>
      <c r="AV137" s="13" t="s">
        <v>942</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980</v>
      </c>
      <c r="E138" s="26">
        <v>95290</v>
      </c>
      <c r="F138" s="10" t="s">
        <v>979</v>
      </c>
      <c r="G138" s="39" t="str">
        <f>Tableau1[[#This Row],[Rue]]&amp;CHAR(10)&amp;Tableau1[[#This Row],[Code Postal]]&amp;" - "&amp;Tableau1[[#This Row],[Ville]]</f>
        <v>Centre Commercial le Grand Val, Boulevard de Tilsit
95290 - L'Isle-Adam</v>
      </c>
      <c r="H138" s="15" t="s">
        <v>981</v>
      </c>
      <c r="I138" s="12" t="s">
        <v>47</v>
      </c>
      <c r="J138" s="12" t="s">
        <v>49</v>
      </c>
      <c r="K138" s="12" t="s">
        <v>103</v>
      </c>
      <c r="L138" s="53" t="s">
        <v>1542</v>
      </c>
      <c r="M138" s="12" t="s">
        <v>103</v>
      </c>
      <c r="N138" s="36" t="s">
        <v>357</v>
      </c>
      <c r="O138" s="34">
        <v>167</v>
      </c>
      <c r="P138" s="6" t="s">
        <v>1375</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982</v>
      </c>
      <c r="AM138" s="11" t="s">
        <v>984</v>
      </c>
      <c r="AN138" s="11"/>
      <c r="AO138" s="5" t="s">
        <v>367</v>
      </c>
      <c r="AP138" s="11" t="s">
        <v>1799</v>
      </c>
      <c r="AQ138" s="11" t="s">
        <v>1800</v>
      </c>
      <c r="AR138" s="11" t="s">
        <v>1373</v>
      </c>
      <c r="AS138" s="36" t="s">
        <v>1377</v>
      </c>
      <c r="AT138" s="11" t="s">
        <v>75</v>
      </c>
      <c r="AU138" s="11" t="s">
        <v>983</v>
      </c>
      <c r="AV138" s="13" t="s">
        <v>942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980</v>
      </c>
      <c r="E139" s="26">
        <v>95290</v>
      </c>
      <c r="F139" s="10" t="s">
        <v>979</v>
      </c>
      <c r="G139" s="39" t="str">
        <f>Tableau1[[#This Row],[Rue]]&amp;CHAR(10)&amp;Tableau1[[#This Row],[Code Postal]]&amp;" - "&amp;Tableau1[[#This Row],[Ville]]</f>
        <v>Centre Commercial le Grand Val, Boulevard de Tilsit
95290 - L'Isle-Adam</v>
      </c>
      <c r="H139" s="15" t="s">
        <v>981</v>
      </c>
      <c r="I139" s="12" t="s">
        <v>47</v>
      </c>
      <c r="J139" s="12" t="s">
        <v>49</v>
      </c>
      <c r="K139" s="12" t="s">
        <v>103</v>
      </c>
      <c r="L139" s="53" t="s">
        <v>1542</v>
      </c>
      <c r="M139" s="12" t="s">
        <v>103</v>
      </c>
      <c r="N139" s="36" t="s">
        <v>308</v>
      </c>
      <c r="O139" s="34">
        <v>124</v>
      </c>
      <c r="P139" s="6" t="s">
        <v>1376</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982</v>
      </c>
      <c r="AM139" s="11" t="s">
        <v>984</v>
      </c>
      <c r="AN139" s="11"/>
      <c r="AO139" s="5" t="s">
        <v>367</v>
      </c>
      <c r="AP139" s="11" t="s">
        <v>1801</v>
      </c>
      <c r="AQ139" s="11" t="s">
        <v>1802</v>
      </c>
      <c r="AR139" s="11" t="s">
        <v>1374</v>
      </c>
      <c r="AS139" s="36" t="s">
        <v>1378</v>
      </c>
      <c r="AT139" s="11" t="s">
        <v>75</v>
      </c>
      <c r="AU139" s="11" t="s">
        <v>983</v>
      </c>
      <c r="AV139" s="13" t="s">
        <v>942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980</v>
      </c>
      <c r="E140" s="26">
        <v>95290</v>
      </c>
      <c r="F140" s="10" t="s">
        <v>979</v>
      </c>
      <c r="G140" s="39" t="str">
        <f>Tableau1[[#This Row],[Rue]]&amp;CHAR(10)&amp;Tableau1[[#This Row],[Code Postal]]&amp;" - "&amp;Tableau1[[#This Row],[Ville]]</f>
        <v>Centre Commercial le Grand Val, Boulevard de Tilsit
95290 - L'Isle-Adam</v>
      </c>
      <c r="H140" s="15" t="s">
        <v>981</v>
      </c>
      <c r="I140" s="12" t="s">
        <v>47</v>
      </c>
      <c r="J140" s="12" t="s">
        <v>49</v>
      </c>
      <c r="K140" s="12" t="s">
        <v>103</v>
      </c>
      <c r="L140" s="53" t="s">
        <v>1542</v>
      </c>
      <c r="M140" s="12" t="s">
        <v>103</v>
      </c>
      <c r="N140" s="36" t="s">
        <v>1795</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982</v>
      </c>
      <c r="AM140" s="11" t="s">
        <v>984</v>
      </c>
      <c r="AN140" s="11"/>
      <c r="AO140" s="5" t="s">
        <v>367</v>
      </c>
      <c r="AP140" s="11" t="s">
        <v>1803</v>
      </c>
      <c r="AQ140" s="11" t="s">
        <v>1804</v>
      </c>
      <c r="AR140" s="11" t="s">
        <v>1797</v>
      </c>
      <c r="AS140" s="36" t="s">
        <v>1807</v>
      </c>
      <c r="AT140" s="11" t="s">
        <v>75</v>
      </c>
      <c r="AU140" s="11"/>
      <c r="AV140" s="13" t="s">
        <v>942</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980</v>
      </c>
      <c r="E141" s="26">
        <v>95290</v>
      </c>
      <c r="F141" s="10" t="s">
        <v>979</v>
      </c>
      <c r="G141" s="39" t="str">
        <f>Tableau1[[#This Row],[Rue]]&amp;CHAR(10)&amp;Tableau1[[#This Row],[Code Postal]]&amp;" - "&amp;Tableau1[[#This Row],[Ville]]</f>
        <v>Centre Commercial le Grand Val, Boulevard de Tilsit
95290 - L'Isle-Adam</v>
      </c>
      <c r="H141" s="15" t="s">
        <v>981</v>
      </c>
      <c r="I141" s="12" t="s">
        <v>47</v>
      </c>
      <c r="J141" s="12" t="s">
        <v>49</v>
      </c>
      <c r="K141" s="12" t="s">
        <v>103</v>
      </c>
      <c r="L141" s="53" t="s">
        <v>1542</v>
      </c>
      <c r="M141" s="12" t="s">
        <v>103</v>
      </c>
      <c r="N141" s="36" t="s">
        <v>1796</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982</v>
      </c>
      <c r="AM141" s="11" t="s">
        <v>984</v>
      </c>
      <c r="AN141" s="11"/>
      <c r="AO141" s="5" t="s">
        <v>367</v>
      </c>
      <c r="AP141" s="11" t="s">
        <v>1805</v>
      </c>
      <c r="AQ141" s="11" t="s">
        <v>1806</v>
      </c>
      <c r="AR141" s="11" t="s">
        <v>1798</v>
      </c>
      <c r="AS141" s="36" t="s">
        <v>1807</v>
      </c>
      <c r="AT141" s="11" t="s">
        <v>75</v>
      </c>
      <c r="AU141" s="11"/>
      <c r="AV141" s="13" t="s">
        <v>942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986</v>
      </c>
      <c r="E142" s="26">
        <v>95260</v>
      </c>
      <c r="F142" s="10" t="s">
        <v>985</v>
      </c>
      <c r="G142" s="39" t="str">
        <f>Tableau1[[#This Row],[Rue]]&amp;CHAR(10)&amp;Tableau1[[#This Row],[Code Postal]]&amp;" - "&amp;Tableau1[[#This Row],[Ville]]</f>
        <v>Parc d’activités Col’Vert Rue du Kiosque
95260 - Mours</v>
      </c>
      <c r="H142" s="15" t="s">
        <v>992</v>
      </c>
      <c r="I142" s="12" t="s">
        <v>47</v>
      </c>
      <c r="J142" s="12" t="s">
        <v>50</v>
      </c>
      <c r="K142" s="12" t="s">
        <v>103</v>
      </c>
      <c r="L142" s="53" t="s">
        <v>1542</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993</v>
      </c>
      <c r="AM142" s="11" t="s">
        <v>994</v>
      </c>
      <c r="AN142" s="11"/>
      <c r="AO142" s="5" t="s">
        <v>367</v>
      </c>
      <c r="AP142" s="11" t="s">
        <v>995</v>
      </c>
      <c r="AQ142" s="11" t="s">
        <v>996</v>
      </c>
      <c r="AR142" s="11" t="s">
        <v>987</v>
      </c>
      <c r="AS142" s="36" t="s">
        <v>1021</v>
      </c>
      <c r="AT142" s="11" t="s">
        <v>75</v>
      </c>
      <c r="AU142" s="11" t="s">
        <v>1380</v>
      </c>
      <c r="AV142" s="13" t="s">
        <v>942</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986</v>
      </c>
      <c r="E143" s="26">
        <v>95260</v>
      </c>
      <c r="F143" s="10" t="s">
        <v>985</v>
      </c>
      <c r="G143" s="39" t="str">
        <f>Tableau1[[#This Row],[Rue]]&amp;CHAR(10)&amp;Tableau1[[#This Row],[Code Postal]]&amp;" - "&amp;Tableau1[[#This Row],[Ville]]</f>
        <v>Parc d’activités Col’Vert Rue du Kiosque
95260 - Mours</v>
      </c>
      <c r="H143" s="15" t="s">
        <v>992</v>
      </c>
      <c r="I143" s="12" t="s">
        <v>47</v>
      </c>
      <c r="J143" s="12" t="s">
        <v>50</v>
      </c>
      <c r="K143" s="12" t="s">
        <v>103</v>
      </c>
      <c r="L143" s="53" t="s">
        <v>1542</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993</v>
      </c>
      <c r="AM143" s="11" t="s">
        <v>994</v>
      </c>
      <c r="AN143" s="11"/>
      <c r="AO143" s="5" t="s">
        <v>367</v>
      </c>
      <c r="AP143" s="11" t="s">
        <v>997</v>
      </c>
      <c r="AQ143" s="11" t="s">
        <v>998</v>
      </c>
      <c r="AR143" s="11" t="s">
        <v>988</v>
      </c>
      <c r="AS143" s="36" t="s">
        <v>1021</v>
      </c>
      <c r="AT143" s="11" t="s">
        <v>75</v>
      </c>
      <c r="AU143" s="11" t="s">
        <v>1380</v>
      </c>
      <c r="AV143" s="13" t="s">
        <v>942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986</v>
      </c>
      <c r="E144" s="26">
        <v>95260</v>
      </c>
      <c r="F144" s="10" t="s">
        <v>985</v>
      </c>
      <c r="G144" s="39" t="str">
        <f>Tableau1[[#This Row],[Rue]]&amp;CHAR(10)&amp;Tableau1[[#This Row],[Code Postal]]&amp;" - "&amp;Tableau1[[#This Row],[Ville]]</f>
        <v>Parc d’activités Col’Vert Rue du Kiosque
95260 - Mours</v>
      </c>
      <c r="H144" s="15" t="s">
        <v>992</v>
      </c>
      <c r="I144" s="12" t="s">
        <v>47</v>
      </c>
      <c r="J144" s="12" t="s">
        <v>50</v>
      </c>
      <c r="K144" s="12" t="s">
        <v>103</v>
      </c>
      <c r="L144" s="53" t="s">
        <v>1542</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993</v>
      </c>
      <c r="AM144" s="11" t="s">
        <v>994</v>
      </c>
      <c r="AN144" s="11"/>
      <c r="AO144" s="5" t="s">
        <v>367</v>
      </c>
      <c r="AP144" s="11" t="s">
        <v>999</v>
      </c>
      <c r="AQ144" s="11" t="s">
        <v>1000</v>
      </c>
      <c r="AR144" s="11" t="s">
        <v>989</v>
      </c>
      <c r="AS144" s="36" t="s">
        <v>1021</v>
      </c>
      <c r="AT144" s="11" t="s">
        <v>75</v>
      </c>
      <c r="AU144" s="11" t="s">
        <v>1380</v>
      </c>
      <c r="AV144" s="13" t="s">
        <v>942</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986</v>
      </c>
      <c r="E145" s="26">
        <v>95260</v>
      </c>
      <c r="F145" s="10" t="s">
        <v>985</v>
      </c>
      <c r="G145" s="39" t="str">
        <f>Tableau1[[#This Row],[Rue]]&amp;CHAR(10)&amp;Tableau1[[#This Row],[Code Postal]]&amp;" - "&amp;Tableau1[[#This Row],[Ville]]</f>
        <v>Parc d’activités Col’Vert Rue du Kiosque
95260 - Mours</v>
      </c>
      <c r="H145" s="15" t="s">
        <v>992</v>
      </c>
      <c r="I145" s="12" t="s">
        <v>47</v>
      </c>
      <c r="J145" s="12" t="s">
        <v>50</v>
      </c>
      <c r="K145" s="12" t="s">
        <v>103</v>
      </c>
      <c r="L145" s="53" t="s">
        <v>1542</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993</v>
      </c>
      <c r="AM145" s="11" t="s">
        <v>994</v>
      </c>
      <c r="AN145" s="11"/>
      <c r="AO145" s="5" t="s">
        <v>367</v>
      </c>
      <c r="AP145" s="11" t="s">
        <v>1001</v>
      </c>
      <c r="AQ145" s="11" t="s">
        <v>1002</v>
      </c>
      <c r="AR145" s="11" t="s">
        <v>990</v>
      </c>
      <c r="AS145" s="36" t="s">
        <v>1021</v>
      </c>
      <c r="AT145" s="11" t="s">
        <v>75</v>
      </c>
      <c r="AU145" s="11" t="s">
        <v>1382</v>
      </c>
      <c r="AV145" s="13" t="s">
        <v>942</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986</v>
      </c>
      <c r="E146" s="26">
        <v>95260</v>
      </c>
      <c r="F146" s="10" t="s">
        <v>985</v>
      </c>
      <c r="G146" s="39" t="str">
        <f>Tableau1[[#This Row],[Rue]]&amp;CHAR(10)&amp;Tableau1[[#This Row],[Code Postal]]&amp;" - "&amp;Tableau1[[#This Row],[Ville]]</f>
        <v>Parc d’activités Col’Vert Rue du Kiosque
95260 - Mours</v>
      </c>
      <c r="H146" s="15" t="s">
        <v>992</v>
      </c>
      <c r="I146" s="12" t="s">
        <v>47</v>
      </c>
      <c r="J146" s="12" t="s">
        <v>50</v>
      </c>
      <c r="K146" s="12" t="s">
        <v>1401</v>
      </c>
      <c r="L146" s="53" t="s">
        <v>1542</v>
      </c>
      <c r="M146" s="12" t="s">
        <v>1175</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993</v>
      </c>
      <c r="AM146" s="11" t="s">
        <v>1379</v>
      </c>
      <c r="AN146" s="11"/>
      <c r="AO146" s="5" t="s">
        <v>367</v>
      </c>
      <c r="AP146" s="11" t="s">
        <v>1003</v>
      </c>
      <c r="AQ146" s="11" t="s">
        <v>1004</v>
      </c>
      <c r="AR146" s="11" t="s">
        <v>991</v>
      </c>
      <c r="AS146" s="36" t="s">
        <v>1022</v>
      </c>
      <c r="AT146" s="11" t="s">
        <v>75</v>
      </c>
      <c r="AU146" s="11" t="s">
        <v>1381</v>
      </c>
      <c r="AV146" s="13" t="s">
        <v>942</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1008</v>
      </c>
      <c r="E147" s="26">
        <v>44200</v>
      </c>
      <c r="F147" s="10" t="s">
        <v>1009</v>
      </c>
      <c r="G147" s="39" t="str">
        <f>Tableau1[[#This Row],[Rue]]&amp;CHAR(10)&amp;Tableau1[[#This Row],[Code Postal]]&amp;" - "&amp;Tableau1[[#This Row],[Ville]]</f>
        <v>15 Boulevard Léon Bureau
44200 - Nantes</v>
      </c>
      <c r="H147" s="15" t="s">
        <v>1007</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114000</v>
      </c>
      <c r="U147" s="12">
        <f>IFERROR(Tableau1[[#This Row],[Loyer annuel]]/12,"")</f>
        <v>9500</v>
      </c>
      <c r="V147" s="12">
        <v>400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122550</v>
      </c>
      <c r="AF147" s="12" t="str">
        <f t="shared" ref="AF147:AF148" si="6">"3 mois = "&amp;TEXT(ROUND(3/12*T147,0),"### ### ##0 €")</f>
        <v>3 mois = 28 500 €</v>
      </c>
      <c r="AG147" s="6" t="s">
        <v>103</v>
      </c>
      <c r="AH147" s="6" t="s">
        <v>103</v>
      </c>
      <c r="AI147" s="12" t="s">
        <v>380</v>
      </c>
      <c r="AJ147" s="10" t="s">
        <v>75</v>
      </c>
      <c r="AK147" s="10" t="s">
        <v>369</v>
      </c>
      <c r="AL147" s="10" t="s">
        <v>1016</v>
      </c>
      <c r="AM147" s="11" t="s">
        <v>1170</v>
      </c>
      <c r="AN147" s="11"/>
      <c r="AO147" s="5" t="s">
        <v>367</v>
      </c>
      <c r="AP147" s="11" t="s">
        <v>1012</v>
      </c>
      <c r="AQ147" s="11" t="s">
        <v>1013</v>
      </c>
      <c r="AR147" s="11" t="s">
        <v>1005</v>
      </c>
      <c r="AS147" s="36" t="s">
        <v>1020</v>
      </c>
      <c r="AT147" s="11" t="s">
        <v>75</v>
      </c>
      <c r="AU147" s="11" t="s">
        <v>1010</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1008</v>
      </c>
      <c r="E148" s="26">
        <v>44200</v>
      </c>
      <c r="F148" s="10" t="s">
        <v>1009</v>
      </c>
      <c r="G148" s="39" t="str">
        <f>Tableau1[[#This Row],[Rue]]&amp;CHAR(10)&amp;Tableau1[[#This Row],[Code Postal]]&amp;" - "&amp;Tableau1[[#This Row],[Ville]]</f>
        <v>15 Boulevard Léon Bureau
44200 - Nantes</v>
      </c>
      <c r="H148" s="15" t="s">
        <v>1007</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1016</v>
      </c>
      <c r="AM148" s="11" t="s">
        <v>1171</v>
      </c>
      <c r="AN148" s="11"/>
      <c r="AO148" s="5" t="s">
        <v>367</v>
      </c>
      <c r="AP148" s="11" t="s">
        <v>1014</v>
      </c>
      <c r="AQ148" s="11" t="s">
        <v>1015</v>
      </c>
      <c r="AR148" s="11" t="s">
        <v>1006</v>
      </c>
      <c r="AS148" s="36" t="s">
        <v>1017</v>
      </c>
      <c r="AT148" s="11" t="s">
        <v>75</v>
      </c>
      <c r="AU148" s="11" t="s">
        <v>1011</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1023</v>
      </c>
      <c r="E149" s="26">
        <v>68330</v>
      </c>
      <c r="F149" s="10" t="s">
        <v>889</v>
      </c>
      <c r="G149" s="39" t="str">
        <f>Tableau1[[#This Row],[Rue]]&amp;CHAR(10)&amp;Tableau1[[#This Row],[Code Postal]]&amp;" - "&amp;Tableau1[[#This Row],[Ville]]</f>
        <v>5 avenue d'Alsace
68330 - Huningue</v>
      </c>
      <c r="H149" s="15" t="s">
        <v>1025</v>
      </c>
      <c r="I149" s="12" t="s">
        <v>45</v>
      </c>
      <c r="J149" s="12" t="s">
        <v>50</v>
      </c>
      <c r="K149" s="12" t="s">
        <v>103</v>
      </c>
      <c r="L149" s="12"/>
      <c r="M149" s="12" t="s">
        <v>103</v>
      </c>
      <c r="N149" s="36" t="s">
        <v>1024</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1036</v>
      </c>
      <c r="AN149" s="11"/>
      <c r="AO149" s="5" t="s">
        <v>367</v>
      </c>
      <c r="AP149" s="11" t="s">
        <v>1026</v>
      </c>
      <c r="AQ149" s="11" t="s">
        <v>1027</v>
      </c>
      <c r="AR149" s="11">
        <v>33</v>
      </c>
      <c r="AS149" s="36" t="s">
        <v>1037</v>
      </c>
      <c r="AT149" s="11" t="s">
        <v>53</v>
      </c>
      <c r="AU149" s="11"/>
      <c r="AV149" s="13" t="s">
        <v>1034</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1029</v>
      </c>
      <c r="E150" s="26">
        <v>37600</v>
      </c>
      <c r="F150" s="10" t="s">
        <v>890</v>
      </c>
      <c r="G150" s="39" t="str">
        <f>Tableau1[[#This Row],[Rue]]&amp;CHAR(10)&amp;Tableau1[[#This Row],[Code Postal]]&amp;" - "&amp;Tableau1[[#This Row],[Ville]]</f>
        <v>Super U 38 Route de Vauzelles, Rue du Bon Raisin
37600 - Loches</v>
      </c>
      <c r="H150" s="15" t="s">
        <v>1028</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1030</v>
      </c>
      <c r="AM150" s="11" t="s">
        <v>1831</v>
      </c>
      <c r="AN150" s="11"/>
      <c r="AO150" s="5" t="s">
        <v>367</v>
      </c>
      <c r="AP150" s="11" t="s">
        <v>1031</v>
      </c>
      <c r="AQ150" s="11" t="s">
        <v>1032</v>
      </c>
      <c r="AR150" s="11">
        <v>34</v>
      </c>
      <c r="AS150" s="36" t="s">
        <v>1833</v>
      </c>
      <c r="AT150" s="11" t="s">
        <v>75</v>
      </c>
      <c r="AU150" s="43" t="s">
        <v>1035</v>
      </c>
      <c r="AV150" s="13" t="s">
        <v>1033</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1029</v>
      </c>
      <c r="E151" s="26">
        <v>37600</v>
      </c>
      <c r="F151" s="10" t="s">
        <v>890</v>
      </c>
      <c r="G151" s="39" t="str">
        <f>Tableau1[[#This Row],[Rue]]&amp;CHAR(10)&amp;Tableau1[[#This Row],[Code Postal]]&amp;" - "&amp;Tableau1[[#This Row],[Ville]]</f>
        <v>Super U 38 Route de Vauzelles, Rue du Bon Raisin
37600 - Loches</v>
      </c>
      <c r="H151" s="15" t="s">
        <v>1038</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3" si="7">"3 mois = "&amp;TEXT(ROUND(3/12*T151,0),"### ### ##0 €")</f>
        <v>3 mois = 10 000 €</v>
      </c>
      <c r="AG151" s="6" t="s">
        <v>103</v>
      </c>
      <c r="AH151" s="6" t="s">
        <v>103</v>
      </c>
      <c r="AI151" s="12" t="s">
        <v>380</v>
      </c>
      <c r="AJ151" s="10" t="s">
        <v>53</v>
      </c>
      <c r="AK151" s="10" t="s">
        <v>103</v>
      </c>
      <c r="AL151" s="10" t="s">
        <v>1042</v>
      </c>
      <c r="AM151" s="11" t="s">
        <v>1039</v>
      </c>
      <c r="AN151" s="11"/>
      <c r="AO151" s="5" t="s">
        <v>367</v>
      </c>
      <c r="AP151" s="11" t="s">
        <v>1047</v>
      </c>
      <c r="AQ151" s="11" t="s">
        <v>1048</v>
      </c>
      <c r="AR151" s="11" t="s">
        <v>1040</v>
      </c>
      <c r="AS151" s="36" t="s">
        <v>1057</v>
      </c>
      <c r="AT151" s="11" t="s">
        <v>75</v>
      </c>
      <c r="AU151" s="11" t="s">
        <v>1041</v>
      </c>
      <c r="AV151" s="13" t="s">
        <v>1033</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1029</v>
      </c>
      <c r="E152" s="26">
        <v>37600</v>
      </c>
      <c r="F152" s="10" t="s">
        <v>890</v>
      </c>
      <c r="G152" s="39" t="str">
        <f>Tableau1[[#This Row],[Rue]]&amp;CHAR(10)&amp;Tableau1[[#This Row],[Code Postal]]&amp;" - "&amp;Tableau1[[#This Row],[Ville]]</f>
        <v>Super U 38 Route de Vauzelles, Rue du Bon Raisin
37600 - Loches</v>
      </c>
      <c r="H152" s="15" t="s">
        <v>1038</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1042</v>
      </c>
      <c r="AM152" s="11" t="s">
        <v>1039</v>
      </c>
      <c r="AN152" s="11"/>
      <c r="AO152" s="5" t="s">
        <v>367</v>
      </c>
      <c r="AP152" s="11" t="s">
        <v>1049</v>
      </c>
      <c r="AQ152" s="11" t="s">
        <v>1050</v>
      </c>
      <c r="AR152" s="11" t="s">
        <v>1043</v>
      </c>
      <c r="AS152" s="36" t="s">
        <v>1057</v>
      </c>
      <c r="AT152" s="11" t="s">
        <v>75</v>
      </c>
      <c r="AU152" s="11" t="s">
        <v>1041</v>
      </c>
      <c r="AV152" s="13" t="s">
        <v>1033</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1029</v>
      </c>
      <c r="E153" s="26">
        <v>37600</v>
      </c>
      <c r="F153" s="10" t="s">
        <v>890</v>
      </c>
      <c r="G153" s="39" t="str">
        <f>Tableau1[[#This Row],[Rue]]&amp;CHAR(10)&amp;Tableau1[[#This Row],[Code Postal]]&amp;" - "&amp;Tableau1[[#This Row],[Ville]]</f>
        <v>Super U 38 Route de Vauzelles, Rue du Bon Raisin
37600 - Loches</v>
      </c>
      <c r="H153" s="15" t="s">
        <v>1038</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1042</v>
      </c>
      <c r="AM153" s="11" t="s">
        <v>1039</v>
      </c>
      <c r="AN153" s="11"/>
      <c r="AO153" s="5" t="s">
        <v>367</v>
      </c>
      <c r="AP153" s="11" t="s">
        <v>1051</v>
      </c>
      <c r="AQ153" s="11" t="s">
        <v>1052</v>
      </c>
      <c r="AR153" s="11" t="s">
        <v>1044</v>
      </c>
      <c r="AS153" s="36" t="s">
        <v>1057</v>
      </c>
      <c r="AT153" s="11" t="s">
        <v>75</v>
      </c>
      <c r="AU153" s="11" t="s">
        <v>1041</v>
      </c>
      <c r="AV153" s="13" t="s">
        <v>1033</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1029</v>
      </c>
      <c r="E154" s="26">
        <v>37600</v>
      </c>
      <c r="F154" s="10" t="s">
        <v>890</v>
      </c>
      <c r="G154" s="39" t="str">
        <f>Tableau1[[#This Row],[Rue]]&amp;CHAR(10)&amp;Tableau1[[#This Row],[Code Postal]]&amp;" - "&amp;Tableau1[[#This Row],[Ville]]</f>
        <v>Super U 38 Route de Vauzelles, Rue du Bon Raisin
37600 - Loches</v>
      </c>
      <c r="H154" s="15" t="s">
        <v>1038</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1042</v>
      </c>
      <c r="AM154" s="11" t="s">
        <v>1039</v>
      </c>
      <c r="AN154" s="11"/>
      <c r="AO154" s="5" t="s">
        <v>367</v>
      </c>
      <c r="AP154" s="11" t="s">
        <v>1053</v>
      </c>
      <c r="AQ154" s="11" t="s">
        <v>1054</v>
      </c>
      <c r="AR154" s="11" t="s">
        <v>1045</v>
      </c>
      <c r="AS154" s="36" t="s">
        <v>1057</v>
      </c>
      <c r="AT154" s="11" t="s">
        <v>75</v>
      </c>
      <c r="AU154" s="11" t="s">
        <v>1041</v>
      </c>
      <c r="AV154" s="13" t="s">
        <v>1033</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1029</v>
      </c>
      <c r="E155" s="26">
        <v>37600</v>
      </c>
      <c r="F155" s="10" t="s">
        <v>890</v>
      </c>
      <c r="G155" s="39" t="str">
        <f>Tableau1[[#This Row],[Rue]]&amp;CHAR(10)&amp;Tableau1[[#This Row],[Code Postal]]&amp;" - "&amp;Tableau1[[#This Row],[Ville]]</f>
        <v>Super U 38 Route de Vauzelles, Rue du Bon Raisin
37600 - Loches</v>
      </c>
      <c r="H155" s="15" t="s">
        <v>1038</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1042</v>
      </c>
      <c r="AM155" s="11" t="s">
        <v>1039</v>
      </c>
      <c r="AN155" s="11"/>
      <c r="AO155" s="5" t="s">
        <v>367</v>
      </c>
      <c r="AP155" s="11" t="s">
        <v>1055</v>
      </c>
      <c r="AQ155" s="11" t="s">
        <v>1056</v>
      </c>
      <c r="AR155" s="11" t="s">
        <v>1046</v>
      </c>
      <c r="AS155" s="36" t="s">
        <v>1057</v>
      </c>
      <c r="AT155" s="11" t="s">
        <v>75</v>
      </c>
      <c r="AU155" s="11" t="s">
        <v>1041</v>
      </c>
      <c r="AV155" s="13" t="s">
        <v>1033</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1085</v>
      </c>
      <c r="E156" s="26">
        <v>13127</v>
      </c>
      <c r="F156" s="10" t="s">
        <v>1081</v>
      </c>
      <c r="G156" s="39" t="str">
        <f>Tableau1[[#This Row],[Rue]]&amp;CHAR(10)&amp;Tableau1[[#This Row],[Code Postal]]&amp;" - "&amp;Tableau1[[#This Row],[Ville]]</f>
        <v>14 Boulevard de l'Europe
13127 - Vitrolles</v>
      </c>
      <c r="H156" s="15" t="s">
        <v>1086</v>
      </c>
      <c r="I156" s="12" t="s">
        <v>47</v>
      </c>
      <c r="J156" s="12" t="s">
        <v>48</v>
      </c>
      <c r="K156" s="10" t="s">
        <v>103</v>
      </c>
      <c r="L156" s="10" t="s">
        <v>1398</v>
      </c>
      <c r="M156" s="12" t="s">
        <v>103</v>
      </c>
      <c r="N156" s="36" t="s">
        <v>1183</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1130</v>
      </c>
      <c r="AM156" s="11" t="s">
        <v>1431</v>
      </c>
      <c r="AN156" s="11" t="s">
        <v>1394</v>
      </c>
      <c r="AO156" s="5" t="s">
        <v>367</v>
      </c>
      <c r="AP156" s="11">
        <v>43.4393873</v>
      </c>
      <c r="AQ156" s="11">
        <v>5.2419589999999996</v>
      </c>
      <c r="AR156" s="11" t="s">
        <v>1187</v>
      </c>
      <c r="AS156" s="36" t="s">
        <v>1242</v>
      </c>
      <c r="AT156" s="11" t="s">
        <v>75</v>
      </c>
      <c r="AU156" s="11" t="s">
        <v>1182</v>
      </c>
      <c r="AV156" s="13" t="s">
        <v>1127</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1085</v>
      </c>
      <c r="E157" s="26">
        <v>13127</v>
      </c>
      <c r="F157" s="10" t="s">
        <v>1081</v>
      </c>
      <c r="G157" s="39" t="str">
        <f>Tableau1[[#This Row],[Rue]]&amp;CHAR(10)&amp;Tableau1[[#This Row],[Code Postal]]&amp;" - "&amp;Tableau1[[#This Row],[Ville]]</f>
        <v>14 Boulevard de l'Europe
13127 - Vitrolles</v>
      </c>
      <c r="H157" s="15" t="s">
        <v>1086</v>
      </c>
      <c r="I157" s="12" t="s">
        <v>47</v>
      </c>
      <c r="J157" s="12" t="s">
        <v>48</v>
      </c>
      <c r="K157" s="10" t="s">
        <v>1202</v>
      </c>
      <c r="L157" s="10"/>
      <c r="M157" s="12" t="s">
        <v>103</v>
      </c>
      <c r="N157" s="36" t="s">
        <v>1184</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1130</v>
      </c>
      <c r="AM157" s="11" t="s">
        <v>1190</v>
      </c>
      <c r="AN157" s="11"/>
      <c r="AO157" s="5" t="s">
        <v>367</v>
      </c>
      <c r="AP157" s="11" t="s">
        <v>1185</v>
      </c>
      <c r="AQ157" s="11" t="s">
        <v>1186</v>
      </c>
      <c r="AR157" s="11" t="s">
        <v>1188</v>
      </c>
      <c r="AS157" s="36" t="s">
        <v>1225</v>
      </c>
      <c r="AT157" s="11" t="s">
        <v>75</v>
      </c>
      <c r="AU157" s="11" t="s">
        <v>1191</v>
      </c>
      <c r="AV157" s="13" t="s">
        <v>1127</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1085</v>
      </c>
      <c r="E158" s="26">
        <v>13127</v>
      </c>
      <c r="F158" s="10" t="s">
        <v>1081</v>
      </c>
      <c r="G158" s="39" t="str">
        <f>Tableau1[[#This Row],[Rue]]&amp;CHAR(10)&amp;Tableau1[[#This Row],[Code Postal]]&amp;" - "&amp;Tableau1[[#This Row],[Ville]]</f>
        <v>14 Boulevard de l'Europe
13127 - Vitrolles</v>
      </c>
      <c r="H158" s="15" t="s">
        <v>1086</v>
      </c>
      <c r="I158" s="12" t="s">
        <v>47</v>
      </c>
      <c r="J158" s="12" t="s">
        <v>48</v>
      </c>
      <c r="K158" s="10" t="s">
        <v>1202</v>
      </c>
      <c r="L158" s="10"/>
      <c r="M158" s="12" t="s">
        <v>103</v>
      </c>
      <c r="N158" s="36" t="s">
        <v>1195</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1130</v>
      </c>
      <c r="AM158" s="11" t="s">
        <v>1189</v>
      </c>
      <c r="AN158" s="11"/>
      <c r="AO158" s="5" t="s">
        <v>367</v>
      </c>
      <c r="AP158" s="11" t="s">
        <v>1192</v>
      </c>
      <c r="AQ158" s="11" t="s">
        <v>1193</v>
      </c>
      <c r="AR158" s="11" t="s">
        <v>1197</v>
      </c>
      <c r="AS158" s="36" t="s">
        <v>1226</v>
      </c>
      <c r="AT158" s="11" t="s">
        <v>75</v>
      </c>
      <c r="AU158" s="11" t="s">
        <v>1194</v>
      </c>
      <c r="AV158" s="13" t="s">
        <v>1127</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1085</v>
      </c>
      <c r="E159" s="26">
        <v>13127</v>
      </c>
      <c r="F159" s="10" t="s">
        <v>1081</v>
      </c>
      <c r="G159" s="39" t="str">
        <f>Tableau1[[#This Row],[Rue]]&amp;CHAR(10)&amp;Tableau1[[#This Row],[Code Postal]]&amp;" - "&amp;Tableau1[[#This Row],[Ville]]</f>
        <v>14 Boulevard de l'Europe
13127 - Vitrolles</v>
      </c>
      <c r="H159" s="15" t="s">
        <v>1086</v>
      </c>
      <c r="I159" s="12" t="s">
        <v>47</v>
      </c>
      <c r="J159" s="12" t="s">
        <v>48</v>
      </c>
      <c r="K159" s="10" t="s">
        <v>1202</v>
      </c>
      <c r="L159" s="10"/>
      <c r="M159" s="12" t="s">
        <v>103</v>
      </c>
      <c r="N159" s="36" t="s">
        <v>1196</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1130</v>
      </c>
      <c r="AM159" s="11" t="s">
        <v>1189</v>
      </c>
      <c r="AN159" s="11"/>
      <c r="AO159" s="5" t="s">
        <v>367</v>
      </c>
      <c r="AP159" s="11" t="s">
        <v>1200</v>
      </c>
      <c r="AQ159" s="11" t="s">
        <v>1201</v>
      </c>
      <c r="AR159" s="11" t="s">
        <v>1199</v>
      </c>
      <c r="AS159" s="36" t="s">
        <v>1227</v>
      </c>
      <c r="AT159" s="11" t="s">
        <v>75</v>
      </c>
      <c r="AU159" s="11" t="s">
        <v>1198</v>
      </c>
      <c r="AV159" s="13" t="s">
        <v>1127</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1119</v>
      </c>
      <c r="E160" s="26">
        <v>13170</v>
      </c>
      <c r="F160" s="10" t="s">
        <v>1107</v>
      </c>
      <c r="G160" s="39" t="str">
        <f>Tableau1[[#This Row],[Rue]]&amp;CHAR(10)&amp;Tableau1[[#This Row],[Code Postal]]&amp;" - "&amp;Tableau1[[#This Row],[Ville]]</f>
        <v>Plan de Campagne, Chemin des Pennes CD6
13170 - Les Pennes-Mirabeau</v>
      </c>
      <c r="H160" s="2" t="s">
        <v>1088</v>
      </c>
      <c r="I160" s="12" t="s">
        <v>47</v>
      </c>
      <c r="J160" s="12" t="s">
        <v>48</v>
      </c>
      <c r="K160" s="10" t="s">
        <v>103</v>
      </c>
      <c r="L160" s="10" t="s">
        <v>1398</v>
      </c>
      <c r="M160" s="12" t="s">
        <v>103</v>
      </c>
      <c r="N160" s="36"/>
      <c r="O160" s="34">
        <v>1390</v>
      </c>
      <c r="P160" s="6" t="s">
        <v>1204</v>
      </c>
      <c r="Q160" s="34" t="s">
        <v>103</v>
      </c>
      <c r="R160" s="34" t="s">
        <v>103</v>
      </c>
      <c r="S160" s="6" t="s">
        <v>103</v>
      </c>
      <c r="T160" s="12">
        <f>Tableau1[[#This Row],[Loyer €/m²]]*Tableau1[[#This Row],[Surface GLA]]</f>
        <v>312750</v>
      </c>
      <c r="U160" s="12">
        <f>IFERROR(Tableau1[[#This Row],[Loyer annuel]]/12,"")</f>
        <v>26062.5</v>
      </c>
      <c r="V160" s="12">
        <v>225</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343330</v>
      </c>
      <c r="AF160" s="12" t="str">
        <f t="shared" si="7"/>
        <v>3 mois = 78 188 €</v>
      </c>
      <c r="AG160" s="12" t="str">
        <f>"6 mois = "&amp;TEXT(ROUND(6/12*T160,0),"### ### ##0 €")</f>
        <v>6 mois = 156 375 €</v>
      </c>
      <c r="AH160" s="46">
        <v>0.05</v>
      </c>
      <c r="AI160" s="12" t="s">
        <v>363</v>
      </c>
      <c r="AJ160" s="10" t="s">
        <v>375</v>
      </c>
      <c r="AK160" s="10" t="s">
        <v>369</v>
      </c>
      <c r="AL160" s="10" t="s">
        <v>1131</v>
      </c>
      <c r="AM160" s="11" t="s">
        <v>1432</v>
      </c>
      <c r="AN160" s="11" t="s">
        <v>1394</v>
      </c>
      <c r="AO160" s="5" t="s">
        <v>367</v>
      </c>
      <c r="AP160" s="11" t="s">
        <v>1120</v>
      </c>
      <c r="AQ160" s="11" t="s">
        <v>1121</v>
      </c>
      <c r="AR160" s="11">
        <v>37</v>
      </c>
      <c r="AS160" s="36" t="s">
        <v>1228</v>
      </c>
      <c r="AT160" s="11" t="s">
        <v>75</v>
      </c>
      <c r="AU160" s="11" t="s">
        <v>1203</v>
      </c>
      <c r="AV160" s="13" t="s">
        <v>1127</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1108</v>
      </c>
      <c r="E161" s="26">
        <v>18390</v>
      </c>
      <c r="F161" s="10" t="s">
        <v>1109</v>
      </c>
      <c r="G161" s="39" t="str">
        <f>Tableau1[[#This Row],[Rue]]&amp;CHAR(10)&amp;Tableau1[[#This Row],[Code Postal]]&amp;" - "&amp;Tableau1[[#This Row],[Ville]]</f>
        <v>8 Rue des Vignes
18390 - Saint-Germain-du-Puy</v>
      </c>
      <c r="H161" s="15" t="s">
        <v>1089</v>
      </c>
      <c r="I161" s="12" t="s">
        <v>47</v>
      </c>
      <c r="J161" s="12" t="s">
        <v>48</v>
      </c>
      <c r="K161" s="10" t="s">
        <v>103</v>
      </c>
      <c r="L161" s="10" t="s">
        <v>1398</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1132</v>
      </c>
      <c r="AM161" s="11" t="s">
        <v>1133</v>
      </c>
      <c r="AN161" s="11" t="s">
        <v>1394</v>
      </c>
      <c r="AO161" s="5" t="s">
        <v>367</v>
      </c>
      <c r="AP161" s="11" t="s">
        <v>1134</v>
      </c>
      <c r="AQ161" s="11" t="s">
        <v>1135</v>
      </c>
      <c r="AR161" s="11">
        <v>38</v>
      </c>
      <c r="AS161" s="36" t="s">
        <v>1229</v>
      </c>
      <c r="AT161" s="11" t="s">
        <v>75</v>
      </c>
      <c r="AU161" s="11" t="s">
        <v>1205</v>
      </c>
      <c r="AV161" s="13" t="s">
        <v>1127</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1111</v>
      </c>
      <c r="E162" s="26">
        <v>18230</v>
      </c>
      <c r="F162" s="10" t="s">
        <v>1110</v>
      </c>
      <c r="G162" s="39" t="str">
        <f>Tableau1[[#This Row],[Rue]]&amp;CHAR(10)&amp;Tableau1[[#This Row],[Code Postal]]&amp;" - "&amp;Tableau1[[#This Row],[Ville]]</f>
        <v>Centre Commercial Géant,  548 Route d'Orléans
18230 -  Saint-Doulchard</v>
      </c>
      <c r="H162" s="15" t="s">
        <v>1090</v>
      </c>
      <c r="I162" s="12" t="s">
        <v>47</v>
      </c>
      <c r="J162" s="12" t="s">
        <v>49</v>
      </c>
      <c r="K162" s="10" t="s">
        <v>103</v>
      </c>
      <c r="L162" s="10" t="s">
        <v>1398</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1136</v>
      </c>
      <c r="AM162" s="11" t="s">
        <v>1139</v>
      </c>
      <c r="AN162" s="11" t="s">
        <v>1394</v>
      </c>
      <c r="AO162" s="5" t="s">
        <v>367</v>
      </c>
      <c r="AP162" s="11" t="s">
        <v>1137</v>
      </c>
      <c r="AQ162" s="11" t="s">
        <v>1138</v>
      </c>
      <c r="AR162" s="11">
        <v>39</v>
      </c>
      <c r="AS162" s="36" t="s">
        <v>1169</v>
      </c>
      <c r="AT162" s="11" t="s">
        <v>75</v>
      </c>
      <c r="AU162" s="11" t="s">
        <v>1404</v>
      </c>
      <c r="AV162" s="13" t="s">
        <v>1127</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1112</v>
      </c>
      <c r="E163" s="26">
        <v>54000</v>
      </c>
      <c r="F163" s="10" t="s">
        <v>1082</v>
      </c>
      <c r="G163" s="39" t="str">
        <f>Tableau1[[#This Row],[Rue]]&amp;CHAR(10)&amp;Tableau1[[#This Row],[Code Postal]]&amp;" - "&amp;Tableau1[[#This Row],[Ville]]</f>
        <v>50 Rue Saint-Dizier
54000 - Nancy</v>
      </c>
      <c r="H163" s="15" t="s">
        <v>1091</v>
      </c>
      <c r="I163" s="12" t="s">
        <v>45</v>
      </c>
      <c r="J163" s="12" t="s">
        <v>44</v>
      </c>
      <c r="K163" s="10" t="s">
        <v>103</v>
      </c>
      <c r="L163" s="10" t="s">
        <v>1398</v>
      </c>
      <c r="M163" s="12" t="s">
        <v>103</v>
      </c>
      <c r="N163" s="36"/>
      <c r="O163" s="34">
        <v>550</v>
      </c>
      <c r="P163" s="6" t="s">
        <v>1207</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1142</v>
      </c>
      <c r="AM163" s="11" t="s">
        <v>1433</v>
      </c>
      <c r="AN163" s="11" t="s">
        <v>1394</v>
      </c>
      <c r="AO163" s="5" t="s">
        <v>367</v>
      </c>
      <c r="AP163" s="11" t="s">
        <v>1140</v>
      </c>
      <c r="AQ163" s="11" t="s">
        <v>1141</v>
      </c>
      <c r="AR163" s="11">
        <v>40</v>
      </c>
      <c r="AS163" s="36" t="s">
        <v>1230</v>
      </c>
      <c r="AT163" s="11" t="s">
        <v>75</v>
      </c>
      <c r="AU163" s="11" t="s">
        <v>1206</v>
      </c>
      <c r="AV163" s="13" t="s">
        <v>1127</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1113</v>
      </c>
      <c r="E164" s="26">
        <v>59300</v>
      </c>
      <c r="F164" s="10" t="s">
        <v>1114</v>
      </c>
      <c r="G164" s="39" t="str">
        <f>Tableau1[[#This Row],[Rue]]&amp;CHAR(10)&amp;Tableau1[[#This Row],[Code Postal]]&amp;" - "&amp;Tableau1[[#This Row],[Ville]]</f>
        <v>ZAC D'Aulnoy
59300 - Aulnoy-lez-Valenciennes</v>
      </c>
      <c r="H164" s="15" t="s">
        <v>1270</v>
      </c>
      <c r="I164" s="12" t="s">
        <v>47</v>
      </c>
      <c r="J164" s="12" t="s">
        <v>49</v>
      </c>
      <c r="K164" s="10" t="s">
        <v>103</v>
      </c>
      <c r="L164" s="10" t="s">
        <v>1398</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1271</v>
      </c>
      <c r="AM164" s="11" t="s">
        <v>1792</v>
      </c>
      <c r="AN164" s="11" t="s">
        <v>1394</v>
      </c>
      <c r="AO164" s="5" t="s">
        <v>367</v>
      </c>
      <c r="AP164" s="11" t="s">
        <v>1259</v>
      </c>
      <c r="AQ164" s="11" t="s">
        <v>1260</v>
      </c>
      <c r="AR164" s="11" t="s">
        <v>1247</v>
      </c>
      <c r="AS164" s="36" t="s">
        <v>1272</v>
      </c>
      <c r="AT164" s="11" t="s">
        <v>75</v>
      </c>
      <c r="AU164" s="11" t="s">
        <v>1253</v>
      </c>
      <c r="AV164" s="13" t="s">
        <v>1127</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1113</v>
      </c>
      <c r="E165" s="26">
        <v>59300</v>
      </c>
      <c r="F165" s="10" t="s">
        <v>1114</v>
      </c>
      <c r="G165" s="39" t="str">
        <f>Tableau1[[#This Row],[Rue]]&amp;CHAR(10)&amp;Tableau1[[#This Row],[Code Postal]]&amp;" - "&amp;Tableau1[[#This Row],[Ville]]</f>
        <v>ZAC D'Aulnoy
59300 - Aulnoy-lez-Valenciennes</v>
      </c>
      <c r="H165" s="15" t="s">
        <v>1270</v>
      </c>
      <c r="I165" s="12" t="s">
        <v>47</v>
      </c>
      <c r="J165" s="12" t="s">
        <v>49</v>
      </c>
      <c r="K165" s="10" t="s">
        <v>103</v>
      </c>
      <c r="L165" s="10" t="s">
        <v>1398</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1271</v>
      </c>
      <c r="AM165" s="11" t="s">
        <v>1793</v>
      </c>
      <c r="AN165" s="11" t="s">
        <v>1394</v>
      </c>
      <c r="AO165" s="5" t="s">
        <v>367</v>
      </c>
      <c r="AP165" s="11" t="s">
        <v>1261</v>
      </c>
      <c r="AQ165" s="11" t="s">
        <v>1262</v>
      </c>
      <c r="AR165" s="11" t="s">
        <v>1248</v>
      </c>
      <c r="AS165" s="36" t="s">
        <v>1273</v>
      </c>
      <c r="AT165" s="11" t="s">
        <v>75</v>
      </c>
      <c r="AU165" s="11" t="s">
        <v>1254</v>
      </c>
      <c r="AV165" s="13" t="s">
        <v>1127</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1113</v>
      </c>
      <c r="E166" s="26">
        <v>59300</v>
      </c>
      <c r="F166" s="10" t="s">
        <v>1114</v>
      </c>
      <c r="G166" s="39" t="str">
        <f>Tableau1[[#This Row],[Rue]]&amp;CHAR(10)&amp;Tableau1[[#This Row],[Code Postal]]&amp;" - "&amp;Tableau1[[#This Row],[Ville]]</f>
        <v>ZAC D'Aulnoy
59300 - Aulnoy-lez-Valenciennes</v>
      </c>
      <c r="H166" s="15" t="s">
        <v>1270</v>
      </c>
      <c r="I166" s="12" t="s">
        <v>47</v>
      </c>
      <c r="J166" s="12" t="s">
        <v>49</v>
      </c>
      <c r="K166" s="10" t="s">
        <v>103</v>
      </c>
      <c r="L166" s="10" t="s">
        <v>1398</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1271</v>
      </c>
      <c r="AM166" s="11" t="s">
        <v>1793</v>
      </c>
      <c r="AN166" s="11" t="s">
        <v>1394</v>
      </c>
      <c r="AO166" s="5" t="s">
        <v>367</v>
      </c>
      <c r="AP166" s="11" t="s">
        <v>1261</v>
      </c>
      <c r="AQ166" s="11" t="s">
        <v>1263</v>
      </c>
      <c r="AR166" s="11" t="s">
        <v>1249</v>
      </c>
      <c r="AS166" s="36" t="s">
        <v>1274</v>
      </c>
      <c r="AT166" s="11" t="s">
        <v>75</v>
      </c>
      <c r="AU166" s="11" t="s">
        <v>1255</v>
      </c>
      <c r="AV166" s="13" t="s">
        <v>1127</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1113</v>
      </c>
      <c r="E167" s="26">
        <v>59300</v>
      </c>
      <c r="F167" s="10" t="s">
        <v>1114</v>
      </c>
      <c r="G167" s="39" t="str">
        <f>Tableau1[[#This Row],[Rue]]&amp;CHAR(10)&amp;Tableau1[[#This Row],[Code Postal]]&amp;" - "&amp;Tableau1[[#This Row],[Ville]]</f>
        <v>ZAC D'Aulnoy
59300 - Aulnoy-lez-Valenciennes</v>
      </c>
      <c r="H167" s="15" t="s">
        <v>1270</v>
      </c>
      <c r="I167" s="12" t="s">
        <v>47</v>
      </c>
      <c r="J167" s="12" t="s">
        <v>49</v>
      </c>
      <c r="K167" s="10" t="s">
        <v>103</v>
      </c>
      <c r="L167" s="10" t="s">
        <v>1398</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1271</v>
      </c>
      <c r="AM167" s="11" t="s">
        <v>1793</v>
      </c>
      <c r="AN167" s="11" t="s">
        <v>1394</v>
      </c>
      <c r="AO167" s="5" t="s">
        <v>367</v>
      </c>
      <c r="AP167" s="11" t="s">
        <v>1264</v>
      </c>
      <c r="AQ167" s="11" t="s">
        <v>1265</v>
      </c>
      <c r="AR167" s="11" t="s">
        <v>1250</v>
      </c>
      <c r="AS167" s="36" t="s">
        <v>1275</v>
      </c>
      <c r="AT167" s="11" t="s">
        <v>75</v>
      </c>
      <c r="AU167" s="11" t="s">
        <v>1256</v>
      </c>
      <c r="AV167" s="13" t="s">
        <v>1127</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1113</v>
      </c>
      <c r="E168" s="26">
        <v>59300</v>
      </c>
      <c r="F168" s="10" t="s">
        <v>1114</v>
      </c>
      <c r="G168" s="39" t="str">
        <f>Tableau1[[#This Row],[Rue]]&amp;CHAR(10)&amp;Tableau1[[#This Row],[Code Postal]]&amp;" - "&amp;Tableau1[[#This Row],[Ville]]</f>
        <v>ZAC D'Aulnoy
59300 - Aulnoy-lez-Valenciennes</v>
      </c>
      <c r="H168" s="15" t="s">
        <v>1270</v>
      </c>
      <c r="I168" s="12" t="s">
        <v>47</v>
      </c>
      <c r="J168" s="12" t="s">
        <v>49</v>
      </c>
      <c r="K168" s="10" t="s">
        <v>103</v>
      </c>
      <c r="L168" s="10" t="s">
        <v>1398</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1271</v>
      </c>
      <c r="AM168" s="11" t="s">
        <v>1793</v>
      </c>
      <c r="AN168" s="11" t="s">
        <v>1394</v>
      </c>
      <c r="AO168" s="5" t="s">
        <v>367</v>
      </c>
      <c r="AP168" s="11" t="s">
        <v>1266</v>
      </c>
      <c r="AQ168" s="11" t="s">
        <v>1267</v>
      </c>
      <c r="AR168" s="11" t="s">
        <v>1251</v>
      </c>
      <c r="AS168" s="36" t="s">
        <v>1276</v>
      </c>
      <c r="AT168" s="11" t="s">
        <v>75</v>
      </c>
      <c r="AU168" s="11" t="s">
        <v>1257</v>
      </c>
      <c r="AV168" s="13" t="s">
        <v>1127</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1113</v>
      </c>
      <c r="E169" s="26">
        <v>59300</v>
      </c>
      <c r="F169" s="10" t="s">
        <v>1114</v>
      </c>
      <c r="G169" s="39" t="str">
        <f>Tableau1[[#This Row],[Rue]]&amp;CHAR(10)&amp;Tableau1[[#This Row],[Code Postal]]&amp;" - "&amp;Tableau1[[#This Row],[Ville]]</f>
        <v>ZAC D'Aulnoy
59300 - Aulnoy-lez-Valenciennes</v>
      </c>
      <c r="H169" s="15" t="s">
        <v>1270</v>
      </c>
      <c r="I169" s="12" t="s">
        <v>47</v>
      </c>
      <c r="J169" s="12" t="s">
        <v>49</v>
      </c>
      <c r="K169" s="10" t="s">
        <v>1278</v>
      </c>
      <c r="L169" s="10" t="s">
        <v>1398</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1271</v>
      </c>
      <c r="AM169" s="11" t="s">
        <v>1793</v>
      </c>
      <c r="AN169" s="11" t="s">
        <v>1394</v>
      </c>
      <c r="AO169" s="5" t="s">
        <v>367</v>
      </c>
      <c r="AP169" s="11" t="s">
        <v>1268</v>
      </c>
      <c r="AQ169" s="11" t="s">
        <v>1269</v>
      </c>
      <c r="AR169" s="11" t="s">
        <v>1252</v>
      </c>
      <c r="AS169" s="36" t="s">
        <v>1277</v>
      </c>
      <c r="AT169" s="11" t="s">
        <v>75</v>
      </c>
      <c r="AU169" s="11" t="s">
        <v>1258</v>
      </c>
      <c r="AV169" s="13" t="s">
        <v>1127</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1208</v>
      </c>
      <c r="E170" s="26">
        <v>59320</v>
      </c>
      <c r="F170" s="10" t="s">
        <v>1115</v>
      </c>
      <c r="G170" s="39" t="str">
        <f>Tableau1[[#This Row],[Rue]]&amp;CHAR(10)&amp;Tableau1[[#This Row],[Code Postal]]&amp;" - "&amp;Tableau1[[#This Row],[Ville]]</f>
        <v>5001 Rue des Fusillés de 1940
59320 - Ennetières-en-Weppes</v>
      </c>
      <c r="H170" s="15" t="s">
        <v>1144</v>
      </c>
      <c r="I170" s="12" t="s">
        <v>47</v>
      </c>
      <c r="J170" s="12" t="s">
        <v>48</v>
      </c>
      <c r="K170" s="10" t="s">
        <v>103</v>
      </c>
      <c r="L170" s="10" t="s">
        <v>1398</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1143</v>
      </c>
      <c r="AM170" s="11" t="s">
        <v>1402</v>
      </c>
      <c r="AN170" s="11" t="s">
        <v>1394</v>
      </c>
      <c r="AO170" s="5" t="s">
        <v>367</v>
      </c>
      <c r="AP170" s="11" t="s">
        <v>1128</v>
      </c>
      <c r="AQ170" s="11" t="s">
        <v>1129</v>
      </c>
      <c r="AR170" s="11">
        <v>42</v>
      </c>
      <c r="AS170" s="36" t="s">
        <v>1231</v>
      </c>
      <c r="AT170" s="11" t="s">
        <v>75</v>
      </c>
      <c r="AU170" s="11" t="s">
        <v>1244</v>
      </c>
      <c r="AV170" s="13" t="s">
        <v>1127</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1116</v>
      </c>
      <c r="E171" s="26">
        <v>68270</v>
      </c>
      <c r="F171" s="10" t="s">
        <v>1117</v>
      </c>
      <c r="G171" s="39" t="str">
        <f>Tableau1[[#This Row],[Rue]]&amp;CHAR(10)&amp;Tableau1[[#This Row],[Code Postal]]&amp;" - "&amp;Tableau1[[#This Row],[Ville]]</f>
        <v>11 Rue de Soultz
68270 - Wittenheim</v>
      </c>
      <c r="H171" s="15" t="s">
        <v>1092</v>
      </c>
      <c r="I171" s="12" t="s">
        <v>47</v>
      </c>
      <c r="J171" s="12" t="s">
        <v>48</v>
      </c>
      <c r="K171" s="10" t="s">
        <v>103</v>
      </c>
      <c r="L171" s="10" t="s">
        <v>1398</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1210</v>
      </c>
      <c r="AM171" s="11" t="s">
        <v>1403</v>
      </c>
      <c r="AN171" s="11" t="s">
        <v>1394</v>
      </c>
      <c r="AO171" s="5" t="s">
        <v>367</v>
      </c>
      <c r="AP171" s="11" t="s">
        <v>1145</v>
      </c>
      <c r="AQ171" s="11" t="s">
        <v>1146</v>
      </c>
      <c r="AR171" s="11">
        <v>43</v>
      </c>
      <c r="AS171" s="36" t="s">
        <v>1232</v>
      </c>
      <c r="AT171" s="11" t="s">
        <v>75</v>
      </c>
      <c r="AU171" s="11" t="s">
        <v>1209</v>
      </c>
      <c r="AV171" s="13" t="s">
        <v>1127</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1118</v>
      </c>
      <c r="E172" s="26">
        <v>77140</v>
      </c>
      <c r="F172" s="10" t="s">
        <v>1083</v>
      </c>
      <c r="G172" s="39" t="str">
        <f>Tableau1[[#This Row],[Rue]]&amp;CHAR(10)&amp;Tableau1[[#This Row],[Code Postal]]&amp;" - "&amp;Tableau1[[#This Row],[Ville]]</f>
        <v>31 Rue de Montargis
77140 - Nemours</v>
      </c>
      <c r="H172" s="15" t="s">
        <v>1093</v>
      </c>
      <c r="I172" s="12" t="s">
        <v>47</v>
      </c>
      <c r="J172" s="12" t="s">
        <v>48</v>
      </c>
      <c r="K172" s="10" t="s">
        <v>103</v>
      </c>
      <c r="L172" s="10" t="s">
        <v>1398</v>
      </c>
      <c r="M172" s="12" t="s">
        <v>103</v>
      </c>
      <c r="N172" s="36"/>
      <c r="O172" s="34">
        <v>760</v>
      </c>
      <c r="P172" s="6" t="s">
        <v>1212</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1149</v>
      </c>
      <c r="AM172" s="11" t="s">
        <v>1213</v>
      </c>
      <c r="AN172" s="11" t="s">
        <v>1394</v>
      </c>
      <c r="AO172" s="5" t="s">
        <v>367</v>
      </c>
      <c r="AP172" s="11" t="s">
        <v>1147</v>
      </c>
      <c r="AQ172" s="11" t="s">
        <v>1148</v>
      </c>
      <c r="AR172" s="11">
        <v>44</v>
      </c>
      <c r="AS172" s="36" t="s">
        <v>1233</v>
      </c>
      <c r="AT172" s="11" t="s">
        <v>75</v>
      </c>
      <c r="AU172" s="11" t="s">
        <v>1211</v>
      </c>
      <c r="AV172" s="13" t="s">
        <v>1127</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1100</v>
      </c>
      <c r="E173" s="26">
        <v>83160</v>
      </c>
      <c r="F173" s="10" t="s">
        <v>1099</v>
      </c>
      <c r="G173" s="39" t="str">
        <f>Tableau1[[#This Row],[Rue]]&amp;CHAR(10)&amp;Tableau1[[#This Row],[Code Postal]]&amp;" - "&amp;Tableau1[[#This Row],[Ville]]</f>
        <v>23 Avenue des Frères Lumière
83160 - La Valette-du-Var</v>
      </c>
      <c r="H173" s="15" t="s">
        <v>1094</v>
      </c>
      <c r="I173" s="12" t="s">
        <v>45</v>
      </c>
      <c r="J173" s="12" t="s">
        <v>50</v>
      </c>
      <c r="K173" s="10" t="s">
        <v>103</v>
      </c>
      <c r="L173" s="10" t="s">
        <v>1435</v>
      </c>
      <c r="M173" s="12"/>
      <c r="N173" s="36"/>
      <c r="O173" s="34">
        <v>276</v>
      </c>
      <c r="P173" s="6" t="s">
        <v>1214</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1152</v>
      </c>
      <c r="AM173" s="11" t="s">
        <v>1434</v>
      </c>
      <c r="AN173" s="11" t="s">
        <v>1394</v>
      </c>
      <c r="AO173" s="5" t="s">
        <v>367</v>
      </c>
      <c r="AP173" s="11" t="s">
        <v>1150</v>
      </c>
      <c r="AQ173" s="11" t="s">
        <v>1151</v>
      </c>
      <c r="AR173" s="11" t="s">
        <v>1123</v>
      </c>
      <c r="AS173" s="36" t="s">
        <v>1234</v>
      </c>
      <c r="AT173" s="11" t="s">
        <v>75</v>
      </c>
      <c r="AU173" s="11" t="s">
        <v>1245</v>
      </c>
      <c r="AV173" s="13" t="s">
        <v>1127</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1215</v>
      </c>
      <c r="E174" s="26">
        <v>83160</v>
      </c>
      <c r="F174" s="10" t="s">
        <v>1099</v>
      </c>
      <c r="G174" s="39" t="str">
        <f>Tableau1[[#This Row],[Rue]]&amp;CHAR(10)&amp;Tableau1[[#This Row],[Code Postal]]&amp;" - "&amp;Tableau1[[#This Row],[Ville]]</f>
        <v>83 Avenue de l'Université
83160 - La Valette-du-Var</v>
      </c>
      <c r="H174" s="15" t="s">
        <v>1095</v>
      </c>
      <c r="I174" s="12" t="s">
        <v>45</v>
      </c>
      <c r="J174" s="12" t="s">
        <v>50</v>
      </c>
      <c r="K174" s="10" t="s">
        <v>103</v>
      </c>
      <c r="L174" s="10" t="s">
        <v>1398</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1153</v>
      </c>
      <c r="AM174" s="11" t="s">
        <v>1436</v>
      </c>
      <c r="AN174" s="11" t="s">
        <v>1394</v>
      </c>
      <c r="AO174" s="5" t="s">
        <v>367</v>
      </c>
      <c r="AP174" s="11" t="s">
        <v>1154</v>
      </c>
      <c r="AQ174" s="11" t="s">
        <v>1155</v>
      </c>
      <c r="AR174" s="11" t="s">
        <v>1122</v>
      </c>
      <c r="AS174" s="36" t="s">
        <v>1235</v>
      </c>
      <c r="AT174" s="11" t="s">
        <v>75</v>
      </c>
      <c r="AU174" s="11" t="s">
        <v>1216</v>
      </c>
      <c r="AV174" s="13" t="s">
        <v>1127</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1101</v>
      </c>
      <c r="E175" s="26">
        <v>84140</v>
      </c>
      <c r="F175" s="10" t="s">
        <v>1084</v>
      </c>
      <c r="G175" s="39" t="str">
        <f>Tableau1[[#This Row],[Rue]]&amp;CHAR(10)&amp;Tableau1[[#This Row],[Code Postal]]&amp;" - "&amp;Tableau1[[#This Row],[Ville]]</f>
        <v>330 Avenue Marcou Delanglade
84140 - Avignon</v>
      </c>
      <c r="H175" s="15" t="s">
        <v>1159</v>
      </c>
      <c r="I175" s="12" t="s">
        <v>47</v>
      </c>
      <c r="J175" s="12" t="s">
        <v>48</v>
      </c>
      <c r="K175" s="10" t="s">
        <v>103</v>
      </c>
      <c r="L175" s="10" t="s">
        <v>1398</v>
      </c>
      <c r="M175" s="12" t="s">
        <v>103</v>
      </c>
      <c r="N175" s="36"/>
      <c r="O175" s="34">
        <v>616</v>
      </c>
      <c r="P175" s="6" t="s">
        <v>1218</v>
      </c>
      <c r="Q175" s="34" t="s">
        <v>103</v>
      </c>
      <c r="R175" s="34" t="s">
        <v>103</v>
      </c>
      <c r="S175" s="6" t="s">
        <v>103</v>
      </c>
      <c r="T175" s="12">
        <f>Tableau1[[#This Row],[Loyer €/m²]]*Tableau1[[#This Row],[Surface GLA]]</f>
        <v>123200</v>
      </c>
      <c r="U175" s="12">
        <f>IFERROR(Tableau1[[#This Row],[Loyer annuel]]/12,"")</f>
        <v>10266.666666666666</v>
      </c>
      <c r="V175" s="12">
        <v>200</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142912</v>
      </c>
      <c r="AF175" s="12" t="str">
        <f t="shared" si="7"/>
        <v>3 mois = 30 800 €</v>
      </c>
      <c r="AG175" s="12" t="str">
        <f t="shared" si="8"/>
        <v>6 mois = 61 600 €</v>
      </c>
      <c r="AH175" s="46">
        <v>0.05</v>
      </c>
      <c r="AI175" s="12" t="s">
        <v>363</v>
      </c>
      <c r="AJ175" s="10" t="s">
        <v>75</v>
      </c>
      <c r="AK175" s="10" t="s">
        <v>369</v>
      </c>
      <c r="AL175" s="10" t="s">
        <v>1158</v>
      </c>
      <c r="AM175" s="11" t="s">
        <v>1437</v>
      </c>
      <c r="AN175" s="11" t="s">
        <v>1394</v>
      </c>
      <c r="AO175" s="5" t="s">
        <v>367</v>
      </c>
      <c r="AP175" s="11" t="s">
        <v>1156</v>
      </c>
      <c r="AQ175" s="11" t="s">
        <v>1157</v>
      </c>
      <c r="AR175" s="11">
        <v>46</v>
      </c>
      <c r="AS175" s="45" t="s">
        <v>1236</v>
      </c>
      <c r="AT175" s="11" t="s">
        <v>75</v>
      </c>
      <c r="AU175" s="11" t="s">
        <v>1217</v>
      </c>
      <c r="AV175" s="13" t="s">
        <v>1127</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1104</v>
      </c>
      <c r="E176" s="26">
        <v>94500</v>
      </c>
      <c r="F176" s="10" t="s">
        <v>1103</v>
      </c>
      <c r="G176" s="39" t="str">
        <f>Tableau1[[#This Row],[Rue]]&amp;CHAR(10)&amp;Tableau1[[#This Row],[Code Postal]]&amp;" - "&amp;Tableau1[[#This Row],[Ville]]</f>
        <v>14 Rue Serpente
94500 - Champigny-sur-Marne</v>
      </c>
      <c r="H176" s="15" t="s">
        <v>1098</v>
      </c>
      <c r="I176" s="12" t="s">
        <v>45</v>
      </c>
      <c r="J176" s="12" t="s">
        <v>48</v>
      </c>
      <c r="K176" s="10" t="s">
        <v>103</v>
      </c>
      <c r="L176" s="10" t="s">
        <v>1398</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1164</v>
      </c>
      <c r="AM176" s="11" t="s">
        <v>1438</v>
      </c>
      <c r="AN176" s="11" t="s">
        <v>1394</v>
      </c>
      <c r="AO176" s="5" t="s">
        <v>367</v>
      </c>
      <c r="AP176" s="11" t="s">
        <v>1160</v>
      </c>
      <c r="AQ176" s="11" t="s">
        <v>1161</v>
      </c>
      <c r="AR176" s="11" t="s">
        <v>1124</v>
      </c>
      <c r="AS176" s="45" t="s">
        <v>1237</v>
      </c>
      <c r="AT176" s="11" t="s">
        <v>75</v>
      </c>
      <c r="AU176" s="11" t="s">
        <v>1246</v>
      </c>
      <c r="AV176" s="13" t="s">
        <v>1127</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1102</v>
      </c>
      <c r="E177" s="26">
        <v>94500</v>
      </c>
      <c r="F177" s="10" t="s">
        <v>1103</v>
      </c>
      <c r="G177" s="39" t="str">
        <f>Tableau1[[#This Row],[Rue]]&amp;CHAR(10)&amp;Tableau1[[#This Row],[Code Postal]]&amp;" - "&amp;Tableau1[[#This Row],[Ville]]</f>
        <v>13 Rue Serpente
94500 - Champigny-sur-Marne</v>
      </c>
      <c r="H177" s="15" t="s">
        <v>1096</v>
      </c>
      <c r="I177" s="12" t="s">
        <v>45</v>
      </c>
      <c r="J177" s="12" t="s">
        <v>48</v>
      </c>
      <c r="K177" s="10" t="s">
        <v>103</v>
      </c>
      <c r="L177" s="10" t="s">
        <v>1398</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1164</v>
      </c>
      <c r="AM177" s="11" t="s">
        <v>1438</v>
      </c>
      <c r="AN177" s="11" t="s">
        <v>1394</v>
      </c>
      <c r="AO177" s="5" t="s">
        <v>367</v>
      </c>
      <c r="AP177" s="11" t="s">
        <v>1220</v>
      </c>
      <c r="AQ177" s="11" t="s">
        <v>1221</v>
      </c>
      <c r="AR177" s="11" t="s">
        <v>1125</v>
      </c>
      <c r="AS177" s="36" t="s">
        <v>1238</v>
      </c>
      <c r="AT177" s="11" t="s">
        <v>75</v>
      </c>
      <c r="AU177" s="11" t="s">
        <v>1219</v>
      </c>
      <c r="AV177" s="13" t="s">
        <v>1127</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1104</v>
      </c>
      <c r="E178" s="26">
        <v>94500</v>
      </c>
      <c r="F178" s="10" t="s">
        <v>1103</v>
      </c>
      <c r="G178" s="39" t="str">
        <f>Tableau1[[#This Row],[Rue]]&amp;CHAR(10)&amp;Tableau1[[#This Row],[Code Postal]]&amp;" - "&amp;Tableau1[[#This Row],[Ville]]</f>
        <v>14 Rue Serpente
94500 - Champigny-sur-Marne</v>
      </c>
      <c r="H178" s="15" t="s">
        <v>1097</v>
      </c>
      <c r="I178" s="12" t="s">
        <v>45</v>
      </c>
      <c r="J178" s="12" t="s">
        <v>48</v>
      </c>
      <c r="K178" s="10" t="s">
        <v>103</v>
      </c>
      <c r="L178" s="10" t="s">
        <v>1398</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1164</v>
      </c>
      <c r="AM178" s="11" t="s">
        <v>1438</v>
      </c>
      <c r="AN178" s="11" t="s">
        <v>1394</v>
      </c>
      <c r="AO178" s="5" t="s">
        <v>367</v>
      </c>
      <c r="AP178" s="11" t="s">
        <v>1162</v>
      </c>
      <c r="AQ178" s="11" t="s">
        <v>1163</v>
      </c>
      <c r="AR178" s="11" t="s">
        <v>1126</v>
      </c>
      <c r="AS178" s="36" t="s">
        <v>1239</v>
      </c>
      <c r="AT178" s="11" t="s">
        <v>75</v>
      </c>
      <c r="AU178" s="11" t="s">
        <v>1222</v>
      </c>
      <c r="AV178" s="13" t="s">
        <v>1127</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1106</v>
      </c>
      <c r="E179" s="26">
        <v>95220</v>
      </c>
      <c r="F179" s="10" t="s">
        <v>1105</v>
      </c>
      <c r="G179" s="39" t="str">
        <f>Tableau1[[#This Row],[Rue]]&amp;CHAR(10)&amp;Tableau1[[#This Row],[Code Postal]]&amp;" - "&amp;Tableau1[[#This Row],[Ville]]</f>
        <v>8 Avenue Paul Langevin
95220 - Herblay-sur-Seine</v>
      </c>
      <c r="H179" s="15" t="s">
        <v>1165</v>
      </c>
      <c r="I179" s="12" t="s">
        <v>47</v>
      </c>
      <c r="J179" s="12" t="s">
        <v>48</v>
      </c>
      <c r="K179" s="10" t="s">
        <v>103</v>
      </c>
      <c r="L179" s="10" t="s">
        <v>1398</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1168</v>
      </c>
      <c r="AM179" s="11" t="s">
        <v>1439</v>
      </c>
      <c r="AN179" s="11" t="s">
        <v>1394</v>
      </c>
      <c r="AO179" s="5" t="s">
        <v>367</v>
      </c>
      <c r="AP179" s="11" t="s">
        <v>1166</v>
      </c>
      <c r="AQ179" s="11" t="s">
        <v>1167</v>
      </c>
      <c r="AR179" s="11">
        <v>48</v>
      </c>
      <c r="AS179" s="36" t="s">
        <v>1240</v>
      </c>
      <c r="AT179" s="11" t="s">
        <v>75</v>
      </c>
      <c r="AU179" s="11" t="s">
        <v>1223</v>
      </c>
      <c r="AV179" s="13" t="s">
        <v>1127</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1173</v>
      </c>
      <c r="E180" s="48" t="s">
        <v>1362</v>
      </c>
      <c r="F180" s="10" t="s">
        <v>1172</v>
      </c>
      <c r="G180" s="47" t="str">
        <f>Tableau1[[#This Row],[Rue]]&amp;CHAR(10)&amp;Tableau1[[#This Row],[Code Postal]]&amp;" - "&amp;Tableau1[[#This Row],[Ville]]</f>
        <v>CAP 3000
217 Av. Eugène Donadeï
06 700 - Saint-Laurent-du-Var</v>
      </c>
      <c r="H180" s="15" t="s">
        <v>1174</v>
      </c>
      <c r="I180" s="12" t="s">
        <v>47</v>
      </c>
      <c r="J180" s="12" t="s">
        <v>49</v>
      </c>
      <c r="K180" s="10" t="s">
        <v>103</v>
      </c>
      <c r="L180" s="10"/>
      <c r="M180" s="12" t="s">
        <v>1175</v>
      </c>
      <c r="N180" s="36"/>
      <c r="O180" s="34">
        <v>126</v>
      </c>
      <c r="P180" s="6" t="s">
        <v>1224</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1177</v>
      </c>
      <c r="AM180" s="11" t="s">
        <v>1176</v>
      </c>
      <c r="AN180" s="11"/>
      <c r="AO180" s="5" t="s">
        <v>1181</v>
      </c>
      <c r="AP180" s="11" t="s">
        <v>1178</v>
      </c>
      <c r="AQ180" s="11" t="s">
        <v>1179</v>
      </c>
      <c r="AR180" s="11">
        <v>49</v>
      </c>
      <c r="AS180" s="36" t="s">
        <v>1241</v>
      </c>
      <c r="AT180" s="11" t="s">
        <v>75</v>
      </c>
      <c r="AU180" s="11"/>
      <c r="AV180" s="13" t="s">
        <v>1180</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1281</v>
      </c>
      <c r="E181" s="26">
        <v>77000</v>
      </c>
      <c r="F181" s="10" t="s">
        <v>1282</v>
      </c>
      <c r="G181" s="39" t="str">
        <f>Tableau1[[#This Row],[Rue]]&amp;CHAR(10)&amp;Tableau1[[#This Row],[Code Postal]]&amp;" - "&amp;Tableau1[[#This Row],[Ville]]</f>
        <v>23 avenue Paul Doumer
77000 - Melun</v>
      </c>
      <c r="H181" s="15" t="s">
        <v>1283</v>
      </c>
      <c r="I181" s="12" t="s">
        <v>45</v>
      </c>
      <c r="J181" s="12" t="s">
        <v>44</v>
      </c>
      <c r="K181" s="10" t="s">
        <v>103</v>
      </c>
      <c r="L181" s="10"/>
      <c r="M181" s="12" t="s">
        <v>103</v>
      </c>
      <c r="N181" s="36"/>
      <c r="O181" s="34">
        <v>530</v>
      </c>
      <c r="P181" s="12" t="s">
        <v>1284</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1286</v>
      </c>
      <c r="AM181" s="11" t="s">
        <v>1285</v>
      </c>
      <c r="AN181" s="11"/>
      <c r="AO181" s="5" t="s">
        <v>367</v>
      </c>
      <c r="AP181" s="11" t="s">
        <v>1287</v>
      </c>
      <c r="AQ181" s="11" t="s">
        <v>1288</v>
      </c>
      <c r="AR181" s="11">
        <v>50</v>
      </c>
      <c r="AS181" s="36" t="s">
        <v>1383</v>
      </c>
      <c r="AT181" s="11" t="s">
        <v>75</v>
      </c>
      <c r="AU181" s="11" t="s">
        <v>1289</v>
      </c>
      <c r="AV181" s="13" t="s">
        <v>1290</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1291</v>
      </c>
      <c r="E182" s="26">
        <v>75016</v>
      </c>
      <c r="F182" s="10" t="s">
        <v>92</v>
      </c>
      <c r="G182" s="39" t="str">
        <f>Tableau1[[#This Row],[Rue]]&amp;CHAR(10)&amp;Tableau1[[#This Row],[Code Postal]]&amp;" - "&amp;Tableau1[[#This Row],[Ville]]</f>
        <v>1 boulevard Exelmans
75016 - Paris</v>
      </c>
      <c r="H182" s="15" t="s">
        <v>1292</v>
      </c>
      <c r="I182" s="12" t="s">
        <v>45</v>
      </c>
      <c r="J182" s="12" t="s">
        <v>44</v>
      </c>
      <c r="K182" s="10" t="s">
        <v>103</v>
      </c>
      <c r="L182" s="10"/>
      <c r="M182" s="12" t="s">
        <v>103</v>
      </c>
      <c r="N182" s="36"/>
      <c r="O182" s="34">
        <v>187</v>
      </c>
      <c r="P182" s="12" t="s">
        <v>1293</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1297</v>
      </c>
      <c r="AM182" s="11" t="s">
        <v>1351</v>
      </c>
      <c r="AN182" s="11"/>
      <c r="AO182" s="5" t="s">
        <v>367</v>
      </c>
      <c r="AP182" s="11" t="s">
        <v>1295</v>
      </c>
      <c r="AQ182" s="11" t="s">
        <v>1296</v>
      </c>
      <c r="AR182" s="11">
        <v>51</v>
      </c>
      <c r="AS182" s="36" t="s">
        <v>1384</v>
      </c>
      <c r="AT182" s="11" t="s">
        <v>75</v>
      </c>
      <c r="AU182" s="11" t="s">
        <v>1294</v>
      </c>
      <c r="AV182" s="13" t="s">
        <v>1290</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1298</v>
      </c>
      <c r="E183" s="26">
        <v>75014</v>
      </c>
      <c r="F183" s="10" t="s">
        <v>92</v>
      </c>
      <c r="G183" s="39" t="str">
        <f>Tableau1[[#This Row],[Rue]]&amp;CHAR(10)&amp;Tableau1[[#This Row],[Code Postal]]&amp;" - "&amp;Tableau1[[#This Row],[Ville]]</f>
        <v>90 rue d'Alésia
75014 - Paris</v>
      </c>
      <c r="H183" s="15" t="s">
        <v>1299</v>
      </c>
      <c r="I183" s="12" t="s">
        <v>45</v>
      </c>
      <c r="J183" s="12" t="s">
        <v>44</v>
      </c>
      <c r="K183" s="10" t="s">
        <v>103</v>
      </c>
      <c r="L183" s="10"/>
      <c r="M183" s="12" t="s">
        <v>103</v>
      </c>
      <c r="N183" s="36"/>
      <c r="O183" s="34">
        <v>59</v>
      </c>
      <c r="P183" s="12" t="s">
        <v>1300</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1304</v>
      </c>
      <c r="AM183" s="11" t="s">
        <v>1352</v>
      </c>
      <c r="AN183" s="11"/>
      <c r="AO183" s="5" t="s">
        <v>367</v>
      </c>
      <c r="AP183" s="11" t="s">
        <v>1302</v>
      </c>
      <c r="AQ183" s="11" t="s">
        <v>1303</v>
      </c>
      <c r="AR183" s="11">
        <v>52</v>
      </c>
      <c r="AS183" s="36" t="s">
        <v>1385</v>
      </c>
      <c r="AT183" s="11" t="s">
        <v>75</v>
      </c>
      <c r="AU183" s="11" t="s">
        <v>1301</v>
      </c>
      <c r="AV183" s="13" t="s">
        <v>1290</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1305</v>
      </c>
      <c r="E184" s="26">
        <v>75020</v>
      </c>
      <c r="F184" s="10" t="s">
        <v>92</v>
      </c>
      <c r="G184" s="39" t="str">
        <f>Tableau1[[#This Row],[Rue]]&amp;CHAR(10)&amp;Tableau1[[#This Row],[Code Postal]]&amp;" - "&amp;Tableau1[[#This Row],[Ville]]</f>
        <v>356 rue des Pyrénées
75020 - Paris</v>
      </c>
      <c r="H184" s="15" t="s">
        <v>1306</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1310</v>
      </c>
      <c r="AM184" s="11"/>
      <c r="AN184" s="11"/>
      <c r="AO184" s="5" t="s">
        <v>367</v>
      </c>
      <c r="AP184" s="11" t="s">
        <v>1309</v>
      </c>
      <c r="AQ184" s="11" t="s">
        <v>1308</v>
      </c>
      <c r="AR184" s="11">
        <v>53</v>
      </c>
      <c r="AS184" s="36" t="s">
        <v>1386</v>
      </c>
      <c r="AT184" s="11" t="s">
        <v>75</v>
      </c>
      <c r="AU184" s="11" t="s">
        <v>1307</v>
      </c>
      <c r="AV184" s="13" t="s">
        <v>1290</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1311</v>
      </c>
      <c r="E185" s="26">
        <v>75017</v>
      </c>
      <c r="F185" s="10" t="s">
        <v>92</v>
      </c>
      <c r="G185" s="39" t="str">
        <f>Tableau1[[#This Row],[Rue]]&amp;CHAR(10)&amp;Tableau1[[#This Row],[Code Postal]]&amp;" - "&amp;Tableau1[[#This Row],[Ville]]</f>
        <v>103 rue Legendre
75017 - Paris</v>
      </c>
      <c r="H185" s="15" t="s">
        <v>1312</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1315</v>
      </c>
      <c r="AM185" s="11" t="s">
        <v>1314</v>
      </c>
      <c r="AN185" s="11"/>
      <c r="AO185" s="5" t="s">
        <v>367</v>
      </c>
      <c r="AP185" s="11" t="s">
        <v>1336</v>
      </c>
      <c r="AQ185" s="11" t="s">
        <v>1337</v>
      </c>
      <c r="AR185" s="11">
        <v>54</v>
      </c>
      <c r="AS185" s="36" t="s">
        <v>1387</v>
      </c>
      <c r="AT185" s="11" t="s">
        <v>75</v>
      </c>
      <c r="AU185" s="11" t="s">
        <v>1313</v>
      </c>
      <c r="AV185" s="13" t="s">
        <v>1290</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1316</v>
      </c>
      <c r="E186" s="26">
        <v>92100</v>
      </c>
      <c r="F186" s="10" t="s">
        <v>93</v>
      </c>
      <c r="G186" s="39" t="str">
        <f>Tableau1[[#This Row],[Rue]]&amp;CHAR(10)&amp;Tableau1[[#This Row],[Code Postal]]&amp;" - "&amp;Tableau1[[#This Row],[Ville]]</f>
        <v>86 avenue Edouard Vaillant
92100 - Boulogne-Billancourt</v>
      </c>
      <c r="H186" s="15" t="s">
        <v>1317</v>
      </c>
      <c r="I186" s="12" t="s">
        <v>45</v>
      </c>
      <c r="J186" s="12" t="s">
        <v>44</v>
      </c>
      <c r="K186" s="10" t="s">
        <v>103</v>
      </c>
      <c r="L186" s="10"/>
      <c r="M186" s="12" t="s">
        <v>103</v>
      </c>
      <c r="N186" s="36"/>
      <c r="O186" s="34">
        <v>141</v>
      </c>
      <c r="P186" s="12" t="s">
        <v>1323</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1356</v>
      </c>
      <c r="AM186" s="11" t="s">
        <v>1355</v>
      </c>
      <c r="AN186" s="11"/>
      <c r="AO186" s="5" t="s">
        <v>367</v>
      </c>
      <c r="AP186" s="11" t="s">
        <v>1335</v>
      </c>
      <c r="AQ186" s="11" t="s">
        <v>1334</v>
      </c>
      <c r="AR186" s="11">
        <v>55</v>
      </c>
      <c r="AS186" s="36" t="s">
        <v>1388</v>
      </c>
      <c r="AT186" s="11" t="s">
        <v>75</v>
      </c>
      <c r="AU186" s="11" t="s">
        <v>1318</v>
      </c>
      <c r="AV186" s="13" t="s">
        <v>1290</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1320</v>
      </c>
      <c r="E187" s="26">
        <v>62520</v>
      </c>
      <c r="F187" s="10" t="s">
        <v>1321</v>
      </c>
      <c r="G187" s="39" t="str">
        <f>Tableau1[[#This Row],[Rue]]&amp;CHAR(10)&amp;Tableau1[[#This Row],[Code Postal]]&amp;" - "&amp;Tableau1[[#This Row],[Ville]]</f>
        <v>73 bis rue Saint-Jean
62520 - Le Touquet-Paris-Plage</v>
      </c>
      <c r="H187" s="15" t="s">
        <v>1319</v>
      </c>
      <c r="I187" s="12" t="s">
        <v>45</v>
      </c>
      <c r="J187" s="12" t="s">
        <v>44</v>
      </c>
      <c r="K187" s="10" t="s">
        <v>103</v>
      </c>
      <c r="L187" s="10"/>
      <c r="M187" s="12" t="s">
        <v>103</v>
      </c>
      <c r="N187" s="36"/>
      <c r="O187" s="34">
        <v>86</v>
      </c>
      <c r="P187" s="12" t="s">
        <v>1322</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1357</v>
      </c>
      <c r="AM187" s="11" t="s">
        <v>1353</v>
      </c>
      <c r="AN187" s="11"/>
      <c r="AO187" s="5" t="s">
        <v>367</v>
      </c>
      <c r="AP187" s="11" t="s">
        <v>1325</v>
      </c>
      <c r="AQ187" s="11" t="s">
        <v>1326</v>
      </c>
      <c r="AR187" s="11">
        <v>56</v>
      </c>
      <c r="AS187" s="36" t="s">
        <v>1389</v>
      </c>
      <c r="AT187" s="11" t="s">
        <v>75</v>
      </c>
      <c r="AU187" s="11" t="s">
        <v>1324</v>
      </c>
      <c r="AV187" s="13" t="s">
        <v>1290</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1327</v>
      </c>
      <c r="E188" s="26">
        <v>21000</v>
      </c>
      <c r="F188" s="10" t="s">
        <v>1328</v>
      </c>
      <c r="G188" s="39" t="str">
        <f>Tableau1[[#This Row],[Rue]]&amp;CHAR(10)&amp;Tableau1[[#This Row],[Code Postal]]&amp;" - "&amp;Tableau1[[#This Row],[Ville]]</f>
        <v>65 rue du Bourg
21000 - Dijon</v>
      </c>
      <c r="H188" s="15" t="s">
        <v>1329</v>
      </c>
      <c r="I188" s="12" t="s">
        <v>45</v>
      </c>
      <c r="J188" s="12" t="s">
        <v>44</v>
      </c>
      <c r="K188" s="10" t="s">
        <v>103</v>
      </c>
      <c r="L188" s="10"/>
      <c r="M188" s="12" t="s">
        <v>103</v>
      </c>
      <c r="N188" s="36"/>
      <c r="O188" s="34">
        <v>335</v>
      </c>
      <c r="P188" s="12" t="s">
        <v>1330</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1358</v>
      </c>
      <c r="AM188" s="11" t="s">
        <v>1354</v>
      </c>
      <c r="AN188" s="11"/>
      <c r="AO188" s="5" t="s">
        <v>367</v>
      </c>
      <c r="AP188" s="11" t="s">
        <v>1333</v>
      </c>
      <c r="AQ188" s="11" t="s">
        <v>1332</v>
      </c>
      <c r="AR188" s="11">
        <v>57</v>
      </c>
      <c r="AS188" s="36" t="s">
        <v>1390</v>
      </c>
      <c r="AT188" s="11" t="s">
        <v>75</v>
      </c>
      <c r="AU188" s="11" t="s">
        <v>1331</v>
      </c>
      <c r="AV188" s="13" t="s">
        <v>1290</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1338</v>
      </c>
      <c r="E189" s="26">
        <v>10000</v>
      </c>
      <c r="F189" s="10" t="s">
        <v>1339</v>
      </c>
      <c r="G189" s="39" t="str">
        <f>Tableau1[[#This Row],[Rue]]&amp;CHAR(10)&amp;Tableau1[[#This Row],[Code Postal]]&amp;" - "&amp;Tableau1[[#This Row],[Ville]]</f>
        <v>97 rue Emile Zola
10000 - Troyes</v>
      </c>
      <c r="H189" s="15" t="s">
        <v>1340</v>
      </c>
      <c r="I189" s="12" t="s">
        <v>45</v>
      </c>
      <c r="J189" s="12" t="s">
        <v>44</v>
      </c>
      <c r="K189" s="10" t="s">
        <v>103</v>
      </c>
      <c r="L189" s="10"/>
      <c r="M189" s="12" t="s">
        <v>103</v>
      </c>
      <c r="N189" s="36"/>
      <c r="O189" s="34">
        <v>378</v>
      </c>
      <c r="P189" s="12" t="s">
        <v>1341</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1359</v>
      </c>
      <c r="AM189" s="11" t="s">
        <v>1353</v>
      </c>
      <c r="AN189" s="11"/>
      <c r="AO189" s="5" t="s">
        <v>367</v>
      </c>
      <c r="AP189" s="11" t="s">
        <v>1343</v>
      </c>
      <c r="AQ189" s="11" t="s">
        <v>1344</v>
      </c>
      <c r="AR189" s="11">
        <v>58</v>
      </c>
      <c r="AS189" s="36" t="s">
        <v>1391</v>
      </c>
      <c r="AT189" s="11" t="s">
        <v>75</v>
      </c>
      <c r="AU189" s="11" t="s">
        <v>1342</v>
      </c>
      <c r="AV189" s="13" t="s">
        <v>1290</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1345</v>
      </c>
      <c r="E190" s="26">
        <v>75001</v>
      </c>
      <c r="F190" s="10" t="s">
        <v>92</v>
      </c>
      <c r="G190" s="39" t="str">
        <f>Tableau1[[#This Row],[Rue]]&amp;CHAR(10)&amp;Tableau1[[#This Row],[Code Postal]]&amp;" - "&amp;Tableau1[[#This Row],[Ville]]</f>
        <v>9 Rue du Marché Saint-Honoré
75001 - Paris</v>
      </c>
      <c r="H190" s="15" t="s">
        <v>1346</v>
      </c>
      <c r="I190" s="12" t="s">
        <v>45</v>
      </c>
      <c r="J190" s="12" t="s">
        <v>44</v>
      </c>
      <c r="K190" s="10" t="s">
        <v>103</v>
      </c>
      <c r="L190" s="10"/>
      <c r="M190" s="12" t="s">
        <v>103</v>
      </c>
      <c r="N190" s="36"/>
      <c r="O190" s="34">
        <v>48</v>
      </c>
      <c r="P190" s="12" t="s">
        <v>1347</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1360</v>
      </c>
      <c r="AM190" s="11" t="s">
        <v>1361</v>
      </c>
      <c r="AN190" s="11"/>
      <c r="AO190" s="5" t="s">
        <v>367</v>
      </c>
      <c r="AP190" s="11" t="s">
        <v>1349</v>
      </c>
      <c r="AQ190" s="11" t="s">
        <v>1350</v>
      </c>
      <c r="AR190" s="11">
        <v>59</v>
      </c>
      <c r="AS190" s="36" t="s">
        <v>1392</v>
      </c>
      <c r="AT190" s="11" t="s">
        <v>75</v>
      </c>
      <c r="AU190" s="11" t="s">
        <v>1348</v>
      </c>
      <c r="AV190" s="13" t="s">
        <v>1290</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1366</v>
      </c>
      <c r="E191" s="49" t="s">
        <v>1364</v>
      </c>
      <c r="F191" s="10" t="s">
        <v>1365</v>
      </c>
      <c r="G191" s="39" t="str">
        <f>Tableau1[[#This Row],[Rue]]&amp;CHAR(10)&amp;Tableau1[[#This Row],[Code Postal]]&amp;" - "&amp;Tableau1[[#This Row],[Ville]]</f>
        <v>Cap Émeraude
Avenue du Capitaine Dhonne
01 000 - Bourg-en-Bresse</v>
      </c>
      <c r="H191" s="15" t="s">
        <v>1363</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1370</v>
      </c>
      <c r="AM191" s="11" t="s">
        <v>1369</v>
      </c>
      <c r="AN191" s="11"/>
      <c r="AO191" s="5" t="s">
        <v>367</v>
      </c>
      <c r="AP191" s="11" t="s">
        <v>1367</v>
      </c>
      <c r="AQ191" s="11" t="s">
        <v>1368</v>
      </c>
      <c r="AR191" s="11" t="s">
        <v>1842</v>
      </c>
      <c r="AS191" s="36" t="s">
        <v>1847</v>
      </c>
      <c r="AT191" s="11" t="s">
        <v>75</v>
      </c>
      <c r="AU191" s="11" t="s">
        <v>376</v>
      </c>
      <c r="AV191" s="13" t="s">
        <v>1371</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1366</v>
      </c>
      <c r="E192" s="49" t="s">
        <v>1364</v>
      </c>
      <c r="F192" s="10" t="s">
        <v>1365</v>
      </c>
      <c r="G192" s="39" t="str">
        <f>Tableau1[[#This Row],[Rue]]&amp;CHAR(10)&amp;Tableau1[[#This Row],[Code Postal]]&amp;" - "&amp;Tableau1[[#This Row],[Ville]]</f>
        <v>Cap Émeraude
Avenue du Capitaine Dhonne
01 000 - Bourg-en-Bresse</v>
      </c>
      <c r="H192" s="15" t="s">
        <v>1843</v>
      </c>
      <c r="I192" s="12" t="s">
        <v>47</v>
      </c>
      <c r="J192" s="12" t="s">
        <v>49</v>
      </c>
      <c r="K192" s="10" t="s">
        <v>103</v>
      </c>
      <c r="L192" s="10"/>
      <c r="M192" s="12" t="s">
        <v>1175</v>
      </c>
      <c r="N192" s="36"/>
      <c r="O192" s="34">
        <v>178</v>
      </c>
      <c r="P192" s="12" t="s">
        <v>1844</v>
      </c>
      <c r="Q192" s="34" t="s">
        <v>103</v>
      </c>
      <c r="R192" s="34" t="s">
        <v>103</v>
      </c>
      <c r="S192" s="34" t="s">
        <v>103</v>
      </c>
      <c r="T192" s="12">
        <f>Tableau1[[#This Row],[Loyer €/m²]]*Tableau1[[#This Row],[Surface GLA]]</f>
        <v>53578</v>
      </c>
      <c r="U192" s="12">
        <f>IFERROR(Tableau1[[#This Row],[Loyer annuel]]/12,"")</f>
        <v>4464.833333333333</v>
      </c>
      <c r="V192" s="12">
        <v>301</v>
      </c>
      <c r="W192" s="34" t="s">
        <v>103</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103</v>
      </c>
      <c r="AH192" s="6" t="s">
        <v>103</v>
      </c>
      <c r="AI192" s="12" t="s">
        <v>363</v>
      </c>
      <c r="AJ192" s="10" t="s">
        <v>75</v>
      </c>
      <c r="AK192" s="10" t="s">
        <v>369</v>
      </c>
      <c r="AL192" s="10" t="s">
        <v>1370</v>
      </c>
      <c r="AM192" s="11" t="s">
        <v>1851</v>
      </c>
      <c r="AN192" s="11"/>
      <c r="AO192" s="5" t="s">
        <v>1181</v>
      </c>
      <c r="AP192" s="11" t="s">
        <v>1845</v>
      </c>
      <c r="AQ192" s="11" t="s">
        <v>1846</v>
      </c>
      <c r="AR192" s="11" t="s">
        <v>1848</v>
      </c>
      <c r="AS192" s="36" t="s">
        <v>1849</v>
      </c>
      <c r="AT192" s="11" t="s">
        <v>75</v>
      </c>
      <c r="AU192" s="11" t="s">
        <v>1850</v>
      </c>
      <c r="AV192" s="13" t="s">
        <v>1371</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1406</v>
      </c>
      <c r="G193" s="39" t="str">
        <f>Tableau1[[#This Row],[Rue]]&amp;CHAR(10)&amp;Tableau1[[#This Row],[Code Postal]]&amp;" - "&amp;Tableau1[[#This Row],[Ville]]</f>
        <v xml:space="preserve">
16110 - Rivières</v>
      </c>
      <c r="H193" s="15" t="s">
        <v>1405</v>
      </c>
      <c r="I193" s="12" t="s">
        <v>47</v>
      </c>
      <c r="J193" s="12" t="s">
        <v>48</v>
      </c>
      <c r="K193" s="10" t="s">
        <v>1401</v>
      </c>
      <c r="L193" s="10"/>
      <c r="M193" s="12" t="s">
        <v>103</v>
      </c>
      <c r="N193" s="36"/>
      <c r="O193" s="34">
        <v>700</v>
      </c>
      <c r="P193" s="34" t="s">
        <v>103</v>
      </c>
      <c r="Q193" s="34" t="s">
        <v>103</v>
      </c>
      <c r="R193" s="34" t="s">
        <v>103</v>
      </c>
      <c r="S193" s="34" t="s">
        <v>103</v>
      </c>
      <c r="T193" s="12">
        <f>Tableau1[[#This Row],[Loyer €/m²]]*Tableau1[[#This Row],[Surface GLA]]</f>
        <v>105000</v>
      </c>
      <c r="U193" s="12">
        <f>IFERROR(Tableau1[[#This Row],[Loyer annuel]]/12,"")</f>
        <v>8750</v>
      </c>
      <c r="V193" s="12">
        <v>150</v>
      </c>
      <c r="W193" s="34" t="s">
        <v>103</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103</v>
      </c>
      <c r="AE193" s="12">
        <f>IFERROR(Tableau1[[#This Row],[Loyer annuel]]+Tableau1[[#This Row],[Charges annuelles]]+Tableau1[[#This Row],[Taxe foncière]]+Tableau1[[#This Row],[Marketing]],"")</f>
        <v>105000</v>
      </c>
      <c r="AF193" s="12" t="str">
        <f t="shared" si="7"/>
        <v>3 mois = 26 250 €</v>
      </c>
      <c r="AG193" s="6" t="s">
        <v>103</v>
      </c>
      <c r="AH193" s="46">
        <v>0.03</v>
      </c>
      <c r="AI193" s="6" t="s">
        <v>103</v>
      </c>
      <c r="AJ193" s="10" t="s">
        <v>375</v>
      </c>
      <c r="AK193" s="10" t="s">
        <v>369</v>
      </c>
      <c r="AL193" s="10" t="s">
        <v>1407</v>
      </c>
      <c r="AM193" s="11" t="s">
        <v>1408</v>
      </c>
      <c r="AN193" s="11" t="s">
        <v>1409</v>
      </c>
      <c r="AO193" s="5" t="s">
        <v>367</v>
      </c>
      <c r="AP193" s="11" t="s">
        <v>1410</v>
      </c>
      <c r="AQ193" s="11" t="s">
        <v>1411</v>
      </c>
      <c r="AR193" s="11">
        <v>61</v>
      </c>
      <c r="AS193" s="36" t="s">
        <v>1427</v>
      </c>
      <c r="AT193" s="11" t="s">
        <v>75</v>
      </c>
      <c r="AU193" s="11" t="s">
        <v>1413</v>
      </c>
      <c r="AV193" s="13" t="s">
        <v>1414</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1415</v>
      </c>
      <c r="E194" s="26">
        <v>62217</v>
      </c>
      <c r="F194" s="10" t="s">
        <v>1416</v>
      </c>
      <c r="G194" s="39" t="str">
        <f>Tableau1[[#This Row],[Rue]]&amp;CHAR(10)&amp;Tableau1[[#This Row],[Code Postal]]&amp;" - "&amp;Tableau1[[#This Row],[Ville]]</f>
        <v>Boréal Parc
rue de Bleuets
62217 - Beaurains</v>
      </c>
      <c r="H194" s="15" t="s">
        <v>1417</v>
      </c>
      <c r="I194" s="12" t="s">
        <v>47</v>
      </c>
      <c r="J194" s="12" t="s">
        <v>51</v>
      </c>
      <c r="K194" s="10" t="s">
        <v>103</v>
      </c>
      <c r="L194" s="10"/>
      <c r="M194" s="12" t="s">
        <v>103</v>
      </c>
      <c r="N194" s="36"/>
      <c r="O194" s="34">
        <v>128</v>
      </c>
      <c r="P194" s="34" t="s">
        <v>103</v>
      </c>
      <c r="Q194" s="34" t="s">
        <v>103</v>
      </c>
      <c r="R194" s="34" t="s">
        <v>103</v>
      </c>
      <c r="S194" s="34" t="s">
        <v>103</v>
      </c>
      <c r="T194" s="12">
        <f>Tableau1[[#This Row],[Loyer €/m²]]*Tableau1[[#This Row],[Surface GLA]]</f>
        <v>38400</v>
      </c>
      <c r="U194" s="12">
        <f>IFERROR(Tableau1[[#This Row],[Loyer annuel]]/12,"")</f>
        <v>3200</v>
      </c>
      <c r="V194" s="12">
        <v>300</v>
      </c>
      <c r="W194" s="34" t="s">
        <v>103</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103</v>
      </c>
      <c r="AE194" s="12">
        <f>IFERROR(Tableau1[[#This Row],[Loyer annuel]]+Tableau1[[#This Row],[Charges annuelles]]+Tableau1[[#This Row],[Taxe foncière]]+Tableau1[[#This Row],[Marketing]],"")</f>
        <v>43200</v>
      </c>
      <c r="AF194" s="12" t="str">
        <f t="shared" ref="AF194:AF218" si="10">"3 mois = "&amp;TEXT(ROUND(3/12*T194,0),"### ### ##0 €")</f>
        <v>3 mois = 9 600 €</v>
      </c>
      <c r="AG194" s="6" t="s">
        <v>103</v>
      </c>
      <c r="AH194" s="46">
        <v>0.03</v>
      </c>
      <c r="AI194" s="12" t="s">
        <v>363</v>
      </c>
      <c r="AJ194" s="10" t="s">
        <v>75</v>
      </c>
      <c r="AK194" s="10" t="s">
        <v>369</v>
      </c>
      <c r="AL194" s="10" t="s">
        <v>1425</v>
      </c>
      <c r="AM194" s="11" t="s">
        <v>1418</v>
      </c>
      <c r="AN194" s="11" t="s">
        <v>1409</v>
      </c>
      <c r="AO194" s="5" t="s">
        <v>367</v>
      </c>
      <c r="AP194" s="11" t="s">
        <v>1421</v>
      </c>
      <c r="AQ194" s="11" t="s">
        <v>1420</v>
      </c>
      <c r="AR194" s="11" t="s">
        <v>1419</v>
      </c>
      <c r="AS194" s="36" t="s">
        <v>1428</v>
      </c>
      <c r="AT194" s="11" t="s">
        <v>75</v>
      </c>
      <c r="AU194" s="11" t="s">
        <v>1424</v>
      </c>
      <c r="AV194" s="13" t="s">
        <v>1414</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1415</v>
      </c>
      <c r="E195" s="26">
        <v>62217</v>
      </c>
      <c r="F195" s="10" t="s">
        <v>1416</v>
      </c>
      <c r="G195" s="39" t="str">
        <f>Tableau1[[#This Row],[Rue]]&amp;CHAR(10)&amp;Tableau1[[#This Row],[Code Postal]]&amp;" - "&amp;Tableau1[[#This Row],[Ville]]</f>
        <v>Boréal Parc
rue de Bleuets
62217 - Beaurains</v>
      </c>
      <c r="H195" s="15" t="s">
        <v>1417</v>
      </c>
      <c r="I195" s="12" t="s">
        <v>47</v>
      </c>
      <c r="J195" s="12" t="s">
        <v>51</v>
      </c>
      <c r="K195" s="10" t="s">
        <v>103</v>
      </c>
      <c r="L195" s="10"/>
      <c r="M195" s="12" t="s">
        <v>103</v>
      </c>
      <c r="N195" s="36"/>
      <c r="O195" s="34">
        <v>40</v>
      </c>
      <c r="P195" s="34" t="s">
        <v>103</v>
      </c>
      <c r="Q195" s="34" t="s">
        <v>103</v>
      </c>
      <c r="R195" s="34" t="s">
        <v>103</v>
      </c>
      <c r="S195" s="34" t="s">
        <v>103</v>
      </c>
      <c r="T195" s="12">
        <f>Tableau1[[#This Row],[Loyer €/m²]]*Tableau1[[#This Row],[Surface GLA]]</f>
        <v>24000</v>
      </c>
      <c r="U195" s="12">
        <f>IFERROR(Tableau1[[#This Row],[Loyer annuel]]/12,"")</f>
        <v>2000</v>
      </c>
      <c r="V195" s="12">
        <v>600</v>
      </c>
      <c r="W195" s="34" t="s">
        <v>103</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103</v>
      </c>
      <c r="AE195" s="12">
        <f>IFERROR(Tableau1[[#This Row],[Loyer annuel]]+Tableau1[[#This Row],[Charges annuelles]]+Tableau1[[#This Row],[Taxe foncière]]+Tableau1[[#This Row],[Marketing]],"")</f>
        <v>25500</v>
      </c>
      <c r="AF195" s="12" t="str">
        <f t="shared" si="10"/>
        <v>3 mois = 6 000 €</v>
      </c>
      <c r="AG195" s="6" t="s">
        <v>103</v>
      </c>
      <c r="AH195" s="46">
        <v>0.03</v>
      </c>
      <c r="AI195" s="12" t="s">
        <v>363</v>
      </c>
      <c r="AJ195" s="10" t="s">
        <v>53</v>
      </c>
      <c r="AK195" s="10" t="s">
        <v>368</v>
      </c>
      <c r="AL195" s="10" t="s">
        <v>1425</v>
      </c>
      <c r="AM195" s="11" t="s">
        <v>1426</v>
      </c>
      <c r="AN195" s="11" t="s">
        <v>1409</v>
      </c>
      <c r="AO195" s="5" t="s">
        <v>367</v>
      </c>
      <c r="AP195" s="11" t="s">
        <v>1422</v>
      </c>
      <c r="AQ195" s="11" t="s">
        <v>1423</v>
      </c>
      <c r="AR195" s="11" t="s">
        <v>1412</v>
      </c>
      <c r="AS195" s="36" t="s">
        <v>1429</v>
      </c>
      <c r="AT195" s="11" t="s">
        <v>75</v>
      </c>
      <c r="AU195" s="11"/>
      <c r="AV195" s="13" t="s">
        <v>1414</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1441</v>
      </c>
      <c r="E196" s="26">
        <v>87220</v>
      </c>
      <c r="F196" s="10" t="s">
        <v>1442</v>
      </c>
      <c r="G196" s="39" t="str">
        <f>Tableau1[[#This Row],[Rue]]&amp;CHAR(10)&amp;Tableau1[[#This Row],[Code Postal]]&amp;" - "&amp;Tableau1[[#This Row],[Ville]]</f>
        <v>Centre commercial Boisseuil
Route de Toulouse
87220 - Boisseuil</v>
      </c>
      <c r="H196" s="15" t="s">
        <v>1440</v>
      </c>
      <c r="I196" s="12" t="s">
        <v>47</v>
      </c>
      <c r="J196" s="12" t="s">
        <v>49</v>
      </c>
      <c r="K196" s="10" t="s">
        <v>103</v>
      </c>
      <c r="L196" s="10"/>
      <c r="M196" s="12" t="s">
        <v>103</v>
      </c>
      <c r="N196" s="36" t="s">
        <v>1443</v>
      </c>
      <c r="O196" s="34">
        <v>234</v>
      </c>
      <c r="P196" s="12" t="s">
        <v>1454</v>
      </c>
      <c r="Q196" s="34">
        <v>454</v>
      </c>
      <c r="R196" s="34" t="s">
        <v>103</v>
      </c>
      <c r="S196" s="34" t="s">
        <v>103</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103</v>
      </c>
      <c r="AH196" s="51">
        <v>2.5000000000000001E-2</v>
      </c>
      <c r="AI196" s="12" t="s">
        <v>363</v>
      </c>
      <c r="AJ196" s="10" t="s">
        <v>375</v>
      </c>
      <c r="AK196" s="10" t="s">
        <v>369</v>
      </c>
      <c r="AL196" s="10" t="s">
        <v>1482</v>
      </c>
      <c r="AM196" s="11" t="s">
        <v>1493</v>
      </c>
      <c r="AN196" s="11" t="s">
        <v>1533</v>
      </c>
      <c r="AO196" s="5" t="s">
        <v>367</v>
      </c>
      <c r="AP196" s="11" t="s">
        <v>1483</v>
      </c>
      <c r="AQ196" s="11" t="s">
        <v>1485</v>
      </c>
      <c r="AR196" s="11" t="s">
        <v>1460</v>
      </c>
      <c r="AS196" s="36" t="s">
        <v>1532</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1441</v>
      </c>
      <c r="E197" s="26">
        <v>87220</v>
      </c>
      <c r="F197" s="10" t="s">
        <v>1442</v>
      </c>
      <c r="G197" s="39" t="str">
        <f>Tableau1[[#This Row],[Rue]]&amp;CHAR(10)&amp;Tableau1[[#This Row],[Code Postal]]&amp;" - "&amp;Tableau1[[#This Row],[Ville]]</f>
        <v>Centre commercial Boisseuil
Route de Toulouse
87220 - Boisseuil</v>
      </c>
      <c r="H197" s="15" t="s">
        <v>1440</v>
      </c>
      <c r="I197" s="12" t="s">
        <v>47</v>
      </c>
      <c r="J197" s="12" t="s">
        <v>49</v>
      </c>
      <c r="K197" s="10" t="s">
        <v>103</v>
      </c>
      <c r="L197" s="10"/>
      <c r="M197" s="12" t="s">
        <v>103</v>
      </c>
      <c r="N197" s="36" t="s">
        <v>358</v>
      </c>
      <c r="O197" s="34">
        <v>220</v>
      </c>
      <c r="P197" s="12"/>
      <c r="Q197" s="34">
        <v>454</v>
      </c>
      <c r="R197" s="34" t="s">
        <v>103</v>
      </c>
      <c r="S197" s="34" t="s">
        <v>103</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103</v>
      </c>
      <c r="AH197" s="51">
        <v>2.5000000000000001E-2</v>
      </c>
      <c r="AI197" s="12" t="s">
        <v>363</v>
      </c>
      <c r="AJ197" s="10" t="s">
        <v>375</v>
      </c>
      <c r="AK197" s="10" t="s">
        <v>369</v>
      </c>
      <c r="AL197" s="10" t="s">
        <v>1482</v>
      </c>
      <c r="AM197" s="11" t="s">
        <v>1493</v>
      </c>
      <c r="AN197" s="11" t="s">
        <v>1533</v>
      </c>
      <c r="AO197" s="5" t="s">
        <v>367</v>
      </c>
      <c r="AP197" s="11" t="s">
        <v>1486</v>
      </c>
      <c r="AQ197" s="11" t="s">
        <v>1487</v>
      </c>
      <c r="AR197" s="11" t="s">
        <v>1461</v>
      </c>
      <c r="AS197" s="36" t="s">
        <v>1532</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1441</v>
      </c>
      <c r="E198" s="26">
        <v>87220</v>
      </c>
      <c r="F198" s="10" t="s">
        <v>1442</v>
      </c>
      <c r="G198" s="39" t="str">
        <f>Tableau1[[#This Row],[Rue]]&amp;CHAR(10)&amp;Tableau1[[#This Row],[Code Postal]]&amp;" - "&amp;Tableau1[[#This Row],[Ville]]</f>
        <v>Centre commercial Boisseuil
Route de Toulouse
87220 - Boisseuil</v>
      </c>
      <c r="H198" s="15" t="s">
        <v>1440</v>
      </c>
      <c r="I198" s="12" t="s">
        <v>47</v>
      </c>
      <c r="J198" s="12" t="s">
        <v>49</v>
      </c>
      <c r="K198" s="10" t="s">
        <v>103</v>
      </c>
      <c r="L198" s="10"/>
      <c r="M198" s="12" t="s">
        <v>103</v>
      </c>
      <c r="N198" s="36" t="s">
        <v>1444</v>
      </c>
      <c r="O198" s="34">
        <v>105</v>
      </c>
      <c r="P198" s="12"/>
      <c r="Q198" s="34">
        <v>222</v>
      </c>
      <c r="R198" s="34" t="s">
        <v>103</v>
      </c>
      <c r="S198" s="34" t="s">
        <v>103</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103</v>
      </c>
      <c r="AH198" s="51">
        <v>2.5000000000000001E-2</v>
      </c>
      <c r="AI198" s="12" t="s">
        <v>380</v>
      </c>
      <c r="AJ198" s="10" t="s">
        <v>75</v>
      </c>
      <c r="AK198" s="10" t="s">
        <v>369</v>
      </c>
      <c r="AL198" s="10" t="s">
        <v>1482</v>
      </c>
      <c r="AM198" s="11" t="s">
        <v>1493</v>
      </c>
      <c r="AN198" s="11" t="s">
        <v>1533</v>
      </c>
      <c r="AO198" s="5" t="s">
        <v>367</v>
      </c>
      <c r="AP198" s="11" t="s">
        <v>1488</v>
      </c>
      <c r="AQ198" s="11" t="s">
        <v>1489</v>
      </c>
      <c r="AR198" s="11" t="s">
        <v>1462</v>
      </c>
      <c r="AS198" s="36" t="s">
        <v>1532</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1441</v>
      </c>
      <c r="E199" s="26">
        <v>87220</v>
      </c>
      <c r="F199" s="10" t="s">
        <v>1442</v>
      </c>
      <c r="G199" s="39" t="str">
        <f>Tableau1[[#This Row],[Rue]]&amp;CHAR(10)&amp;Tableau1[[#This Row],[Code Postal]]&amp;" - "&amp;Tableau1[[#This Row],[Ville]]</f>
        <v>Centre commercial Boisseuil
Route de Toulouse
87220 - Boisseuil</v>
      </c>
      <c r="H199" s="15" t="s">
        <v>1440</v>
      </c>
      <c r="I199" s="12" t="s">
        <v>47</v>
      </c>
      <c r="J199" s="12" t="s">
        <v>49</v>
      </c>
      <c r="K199" s="10" t="s">
        <v>103</v>
      </c>
      <c r="L199" s="10"/>
      <c r="M199" s="12" t="s">
        <v>103</v>
      </c>
      <c r="N199" s="36">
        <v>12</v>
      </c>
      <c r="O199" s="34">
        <v>117</v>
      </c>
      <c r="P199" s="12"/>
      <c r="Q199" s="34">
        <v>222</v>
      </c>
      <c r="R199" s="34" t="s">
        <v>103</v>
      </c>
      <c r="S199" s="34" t="s">
        <v>103</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103</v>
      </c>
      <c r="AH199" s="51">
        <v>2.5000000000000001E-2</v>
      </c>
      <c r="AI199" s="12" t="s">
        <v>363</v>
      </c>
      <c r="AJ199" s="10" t="s">
        <v>375</v>
      </c>
      <c r="AK199" s="10" t="s">
        <v>369</v>
      </c>
      <c r="AL199" s="10" t="s">
        <v>1482</v>
      </c>
      <c r="AM199" s="11" t="s">
        <v>1493</v>
      </c>
      <c r="AN199" s="11" t="s">
        <v>1533</v>
      </c>
      <c r="AO199" s="5" t="s">
        <v>367</v>
      </c>
      <c r="AP199" s="11" t="s">
        <v>1490</v>
      </c>
      <c r="AQ199" s="11" t="s">
        <v>1491</v>
      </c>
      <c r="AR199" s="11" t="s">
        <v>1463</v>
      </c>
      <c r="AS199" s="36" t="s">
        <v>1532</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1441</v>
      </c>
      <c r="E200" s="26">
        <v>87220</v>
      </c>
      <c r="F200" s="10" t="s">
        <v>1442</v>
      </c>
      <c r="G200" s="39" t="str">
        <f>Tableau1[[#This Row],[Rue]]&amp;CHAR(10)&amp;Tableau1[[#This Row],[Code Postal]]&amp;" - "&amp;Tableau1[[#This Row],[Ville]]</f>
        <v>Centre commercial Boisseuil
Route de Toulouse
87220 - Boisseuil</v>
      </c>
      <c r="H200" s="15" t="s">
        <v>1440</v>
      </c>
      <c r="I200" s="12" t="s">
        <v>47</v>
      </c>
      <c r="J200" s="12" t="s">
        <v>49</v>
      </c>
      <c r="K200" s="10" t="s">
        <v>103</v>
      </c>
      <c r="L200" s="10"/>
      <c r="M200" s="12" t="s">
        <v>103</v>
      </c>
      <c r="N200" s="36" t="s">
        <v>1492</v>
      </c>
      <c r="O200" s="34">
        <v>124</v>
      </c>
      <c r="P200" s="12"/>
      <c r="Q200" s="34">
        <v>209</v>
      </c>
      <c r="R200" s="34" t="s">
        <v>103</v>
      </c>
      <c r="S200" s="34" t="s">
        <v>103</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103</v>
      </c>
      <c r="AH200" s="51">
        <v>2.5000000000000001E-2</v>
      </c>
      <c r="AI200" s="12" t="s">
        <v>363</v>
      </c>
      <c r="AJ200" s="10" t="s">
        <v>375</v>
      </c>
      <c r="AK200" s="10" t="s">
        <v>369</v>
      </c>
      <c r="AL200" s="10" t="s">
        <v>1482</v>
      </c>
      <c r="AM200" s="11" t="s">
        <v>1493</v>
      </c>
      <c r="AN200" s="11" t="s">
        <v>1533</v>
      </c>
      <c r="AO200" s="5" t="s">
        <v>367</v>
      </c>
      <c r="AP200" s="11" t="s">
        <v>1495</v>
      </c>
      <c r="AQ200" s="11" t="s">
        <v>1496</v>
      </c>
      <c r="AR200" s="11" t="s">
        <v>1464</v>
      </c>
      <c r="AS200" s="36" t="s">
        <v>1532</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1441</v>
      </c>
      <c r="E201" s="26">
        <v>87220</v>
      </c>
      <c r="F201" s="10" t="s">
        <v>1442</v>
      </c>
      <c r="G201" s="39" t="str">
        <f>Tableau1[[#This Row],[Rue]]&amp;CHAR(10)&amp;Tableau1[[#This Row],[Code Postal]]&amp;" - "&amp;Tableau1[[#This Row],[Ville]]</f>
        <v>Centre commercial Boisseuil
Route de Toulouse
87220 - Boisseuil</v>
      </c>
      <c r="H201" s="15" t="s">
        <v>1440</v>
      </c>
      <c r="I201" s="12" t="s">
        <v>47</v>
      </c>
      <c r="J201" s="12" t="s">
        <v>49</v>
      </c>
      <c r="K201" s="10" t="s">
        <v>103</v>
      </c>
      <c r="L201" s="10"/>
      <c r="M201" s="12" t="s">
        <v>103</v>
      </c>
      <c r="N201" s="36" t="s">
        <v>1445</v>
      </c>
      <c r="O201" s="34">
        <v>54</v>
      </c>
      <c r="P201" s="12" t="s">
        <v>1455</v>
      </c>
      <c r="Q201" s="34">
        <v>209</v>
      </c>
      <c r="R201" s="34" t="s">
        <v>103</v>
      </c>
      <c r="S201" s="34" t="s">
        <v>103</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103</v>
      </c>
      <c r="AH201" s="51">
        <v>2.5000000000000001E-2</v>
      </c>
      <c r="AI201" s="12" t="s">
        <v>363</v>
      </c>
      <c r="AJ201" s="10" t="s">
        <v>375</v>
      </c>
      <c r="AK201" s="10" t="s">
        <v>369</v>
      </c>
      <c r="AL201" s="10" t="s">
        <v>1482</v>
      </c>
      <c r="AM201" s="11" t="s">
        <v>1493</v>
      </c>
      <c r="AN201" s="11" t="s">
        <v>1533</v>
      </c>
      <c r="AO201" s="5" t="s">
        <v>367</v>
      </c>
      <c r="AP201" s="11" t="s">
        <v>1484</v>
      </c>
      <c r="AQ201" s="11" t="s">
        <v>1497</v>
      </c>
      <c r="AR201" s="11" t="s">
        <v>1465</v>
      </c>
      <c r="AS201" s="36" t="s">
        <v>1532</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1441</v>
      </c>
      <c r="E202" s="26">
        <v>87220</v>
      </c>
      <c r="F202" s="10" t="s">
        <v>1442</v>
      </c>
      <c r="G202" s="39" t="str">
        <f>Tableau1[[#This Row],[Rue]]&amp;CHAR(10)&amp;Tableau1[[#This Row],[Code Postal]]&amp;" - "&amp;Tableau1[[#This Row],[Ville]]</f>
        <v>Centre commercial Boisseuil
Route de Toulouse
87220 - Boisseuil</v>
      </c>
      <c r="H202" s="15" t="s">
        <v>1440</v>
      </c>
      <c r="I202" s="12" t="s">
        <v>47</v>
      </c>
      <c r="J202" s="12" t="s">
        <v>49</v>
      </c>
      <c r="K202" s="10" t="s">
        <v>103</v>
      </c>
      <c r="L202" s="10"/>
      <c r="M202" s="12" t="s">
        <v>103</v>
      </c>
      <c r="N202" s="36" t="s">
        <v>1446</v>
      </c>
      <c r="O202" s="34">
        <v>31</v>
      </c>
      <c r="P202" s="12"/>
      <c r="Q202" s="34">
        <v>209</v>
      </c>
      <c r="R202" s="34" t="s">
        <v>103</v>
      </c>
      <c r="S202" s="34" t="s">
        <v>103</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103</v>
      </c>
      <c r="AH202" s="51">
        <v>2.5000000000000001E-2</v>
      </c>
      <c r="AI202" s="12" t="s">
        <v>363</v>
      </c>
      <c r="AJ202" s="10" t="s">
        <v>375</v>
      </c>
      <c r="AK202" s="10" t="s">
        <v>369</v>
      </c>
      <c r="AL202" s="10" t="s">
        <v>1482</v>
      </c>
      <c r="AM202" s="11" t="s">
        <v>1493</v>
      </c>
      <c r="AN202" s="11" t="s">
        <v>1533</v>
      </c>
      <c r="AO202" s="5" t="s">
        <v>367</v>
      </c>
      <c r="AP202" s="11" t="s">
        <v>1498</v>
      </c>
      <c r="AQ202" s="11" t="s">
        <v>1499</v>
      </c>
      <c r="AR202" s="11" t="s">
        <v>1466</v>
      </c>
      <c r="AS202" s="36" t="s">
        <v>1532</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1441</v>
      </c>
      <c r="E203" s="26">
        <v>87220</v>
      </c>
      <c r="F203" s="10" t="s">
        <v>1442</v>
      </c>
      <c r="G203" s="39" t="str">
        <f>Tableau1[[#This Row],[Rue]]&amp;CHAR(10)&amp;Tableau1[[#This Row],[Code Postal]]&amp;" - "&amp;Tableau1[[#This Row],[Ville]]</f>
        <v>Centre commercial Boisseuil
Route de Toulouse
87220 - Boisseuil</v>
      </c>
      <c r="H203" s="15" t="s">
        <v>1440</v>
      </c>
      <c r="I203" s="12" t="s">
        <v>47</v>
      </c>
      <c r="J203" s="12" t="s">
        <v>49</v>
      </c>
      <c r="K203" s="10" t="s">
        <v>103</v>
      </c>
      <c r="L203" s="10"/>
      <c r="M203" s="12" t="s">
        <v>103</v>
      </c>
      <c r="N203" s="36" t="s">
        <v>609</v>
      </c>
      <c r="O203" s="34">
        <v>77</v>
      </c>
      <c r="P203" s="12"/>
      <c r="Q203" s="34"/>
      <c r="R203" s="34" t="s">
        <v>103</v>
      </c>
      <c r="S203" s="34" t="s">
        <v>103</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103</v>
      </c>
      <c r="AH203" s="51">
        <v>2.5000000000000001E-2</v>
      </c>
      <c r="AI203" s="12" t="s">
        <v>363</v>
      </c>
      <c r="AJ203" s="10" t="s">
        <v>375</v>
      </c>
      <c r="AK203" s="10" t="s">
        <v>369</v>
      </c>
      <c r="AL203" s="10" t="s">
        <v>1482</v>
      </c>
      <c r="AM203" s="11" t="s">
        <v>1493</v>
      </c>
      <c r="AN203" s="11" t="s">
        <v>1533</v>
      </c>
      <c r="AO203" s="5" t="s">
        <v>367</v>
      </c>
      <c r="AP203" s="11" t="s">
        <v>1500</v>
      </c>
      <c r="AQ203" s="11" t="s">
        <v>1501</v>
      </c>
      <c r="AR203" s="11" t="s">
        <v>1467</v>
      </c>
      <c r="AS203" s="36" t="s">
        <v>1532</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1441</v>
      </c>
      <c r="E204" s="26">
        <v>87220</v>
      </c>
      <c r="F204" s="10" t="s">
        <v>1442</v>
      </c>
      <c r="G204" s="39" t="str">
        <f>Tableau1[[#This Row],[Rue]]&amp;CHAR(10)&amp;Tableau1[[#This Row],[Code Postal]]&amp;" - "&amp;Tableau1[[#This Row],[Ville]]</f>
        <v>Centre commercial Boisseuil
Route de Toulouse
87220 - Boisseuil</v>
      </c>
      <c r="H204" s="15" t="s">
        <v>1440</v>
      </c>
      <c r="I204" s="12" t="s">
        <v>47</v>
      </c>
      <c r="J204" s="12" t="s">
        <v>49</v>
      </c>
      <c r="K204" s="10" t="s">
        <v>103</v>
      </c>
      <c r="L204" s="10"/>
      <c r="M204" s="12" t="s">
        <v>103</v>
      </c>
      <c r="N204" s="36">
        <v>23</v>
      </c>
      <c r="O204" s="34">
        <v>151</v>
      </c>
      <c r="P204" s="12"/>
      <c r="Q204" s="34">
        <v>454</v>
      </c>
      <c r="R204" s="34" t="s">
        <v>103</v>
      </c>
      <c r="S204" s="34" t="s">
        <v>103</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103</v>
      </c>
      <c r="AH204" s="51">
        <v>2.5000000000000001E-2</v>
      </c>
      <c r="AI204" s="12" t="s">
        <v>363</v>
      </c>
      <c r="AJ204" s="10" t="s">
        <v>375</v>
      </c>
      <c r="AK204" s="10" t="s">
        <v>369</v>
      </c>
      <c r="AL204" s="10" t="s">
        <v>1482</v>
      </c>
      <c r="AM204" s="11" t="s">
        <v>1493</v>
      </c>
      <c r="AN204" s="11" t="s">
        <v>1533</v>
      </c>
      <c r="AO204" s="5" t="s">
        <v>367</v>
      </c>
      <c r="AP204" s="11" t="s">
        <v>1502</v>
      </c>
      <c r="AQ204" s="11" t="s">
        <v>1503</v>
      </c>
      <c r="AR204" s="11" t="s">
        <v>1468</v>
      </c>
      <c r="AS204" s="36" t="s">
        <v>1532</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1441</v>
      </c>
      <c r="E205" s="26">
        <v>87220</v>
      </c>
      <c r="F205" s="10" t="s">
        <v>1442</v>
      </c>
      <c r="G205" s="39" t="str">
        <f>Tableau1[[#This Row],[Rue]]&amp;CHAR(10)&amp;Tableau1[[#This Row],[Code Postal]]&amp;" - "&amp;Tableau1[[#This Row],[Ville]]</f>
        <v>Centre commercial Boisseuil
Route de Toulouse
87220 - Boisseuil</v>
      </c>
      <c r="H205" s="15" t="s">
        <v>1440</v>
      </c>
      <c r="I205" s="12" t="s">
        <v>47</v>
      </c>
      <c r="J205" s="12" t="s">
        <v>49</v>
      </c>
      <c r="K205" s="10" t="s">
        <v>103</v>
      </c>
      <c r="L205" s="10"/>
      <c r="M205" s="12" t="s">
        <v>103</v>
      </c>
      <c r="N205" s="36">
        <v>25</v>
      </c>
      <c r="O205" s="34">
        <v>303</v>
      </c>
      <c r="P205" s="12"/>
      <c r="Q205" s="34">
        <v>454</v>
      </c>
      <c r="R205" s="34" t="s">
        <v>103</v>
      </c>
      <c r="S205" s="34" t="s">
        <v>103</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103</v>
      </c>
      <c r="AH205" s="51">
        <v>2.5000000000000001E-2</v>
      </c>
      <c r="AI205" s="12" t="s">
        <v>380</v>
      </c>
      <c r="AJ205" s="10" t="s">
        <v>375</v>
      </c>
      <c r="AK205" s="10" t="s">
        <v>369</v>
      </c>
      <c r="AL205" s="10" t="s">
        <v>1482</v>
      </c>
      <c r="AM205" s="11" t="s">
        <v>1493</v>
      </c>
      <c r="AN205" s="11" t="s">
        <v>1533</v>
      </c>
      <c r="AO205" s="5" t="s">
        <v>367</v>
      </c>
      <c r="AP205" s="11" t="s">
        <v>1504</v>
      </c>
      <c r="AQ205" s="11" t="s">
        <v>1505</v>
      </c>
      <c r="AR205" s="11" t="s">
        <v>1469</v>
      </c>
      <c r="AS205" s="36" t="s">
        <v>1532</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1441</v>
      </c>
      <c r="E206" s="26">
        <v>87220</v>
      </c>
      <c r="F206" s="10" t="s">
        <v>1442</v>
      </c>
      <c r="G206" s="39" t="str">
        <f>Tableau1[[#This Row],[Rue]]&amp;CHAR(10)&amp;Tableau1[[#This Row],[Code Postal]]&amp;" - "&amp;Tableau1[[#This Row],[Ville]]</f>
        <v>Centre commercial Boisseuil
Route de Toulouse
87220 - Boisseuil</v>
      </c>
      <c r="H206" s="15" t="s">
        <v>1440</v>
      </c>
      <c r="I206" s="12" t="s">
        <v>47</v>
      </c>
      <c r="J206" s="12" t="s">
        <v>49</v>
      </c>
      <c r="K206" s="10" t="s">
        <v>103</v>
      </c>
      <c r="L206" s="10"/>
      <c r="M206" s="12" t="s">
        <v>103</v>
      </c>
      <c r="N206" s="36" t="s">
        <v>1447</v>
      </c>
      <c r="O206" s="34">
        <v>185</v>
      </c>
      <c r="P206" s="12"/>
      <c r="Q206" s="34"/>
      <c r="R206" s="34" t="s">
        <v>103</v>
      </c>
      <c r="S206" s="34" t="s">
        <v>103</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103</v>
      </c>
      <c r="AH206" s="51">
        <v>2.5000000000000001E-2</v>
      </c>
      <c r="AI206" s="12" t="s">
        <v>363</v>
      </c>
      <c r="AJ206" s="10" t="s">
        <v>375</v>
      </c>
      <c r="AK206" s="10" t="s">
        <v>369</v>
      </c>
      <c r="AL206" s="10" t="s">
        <v>1482</v>
      </c>
      <c r="AM206" s="11" t="s">
        <v>1493</v>
      </c>
      <c r="AN206" s="11" t="s">
        <v>1533</v>
      </c>
      <c r="AO206" s="5" t="s">
        <v>367</v>
      </c>
      <c r="AP206" s="11" t="s">
        <v>1506</v>
      </c>
      <c r="AQ206" s="11" t="s">
        <v>1507</v>
      </c>
      <c r="AR206" s="11" t="s">
        <v>1470</v>
      </c>
      <c r="AS206" s="36" t="s">
        <v>1532</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1441</v>
      </c>
      <c r="E207" s="26">
        <v>87220</v>
      </c>
      <c r="F207" s="10" t="s">
        <v>1442</v>
      </c>
      <c r="G207" s="39" t="str">
        <f>Tableau1[[#This Row],[Rue]]&amp;CHAR(10)&amp;Tableau1[[#This Row],[Code Postal]]&amp;" - "&amp;Tableau1[[#This Row],[Ville]]</f>
        <v>Centre commercial Boisseuil
Route de Toulouse
87220 - Boisseuil</v>
      </c>
      <c r="H207" s="15" t="s">
        <v>1440</v>
      </c>
      <c r="I207" s="12" t="s">
        <v>47</v>
      </c>
      <c r="J207" s="12" t="s">
        <v>49</v>
      </c>
      <c r="K207" s="10" t="s">
        <v>103</v>
      </c>
      <c r="L207" s="10"/>
      <c r="M207" s="12" t="s">
        <v>103</v>
      </c>
      <c r="N207" s="36" t="s">
        <v>1448</v>
      </c>
      <c r="O207" s="34">
        <v>106</v>
      </c>
      <c r="P207" s="12"/>
      <c r="Q207" s="34">
        <v>265</v>
      </c>
      <c r="R207" s="34" t="s">
        <v>103</v>
      </c>
      <c r="S207" s="34" t="s">
        <v>103</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103</v>
      </c>
      <c r="AH207" s="51">
        <v>2.5000000000000001E-2</v>
      </c>
      <c r="AI207" s="12" t="s">
        <v>380</v>
      </c>
      <c r="AJ207" s="10" t="s">
        <v>375</v>
      </c>
      <c r="AK207" s="10" t="s">
        <v>369</v>
      </c>
      <c r="AL207" s="10" t="s">
        <v>1482</v>
      </c>
      <c r="AM207" s="11" t="s">
        <v>1493</v>
      </c>
      <c r="AN207" s="11" t="s">
        <v>1533</v>
      </c>
      <c r="AO207" s="5" t="s">
        <v>367</v>
      </c>
      <c r="AP207" s="11" t="s">
        <v>1508</v>
      </c>
      <c r="AQ207" s="11" t="s">
        <v>1509</v>
      </c>
      <c r="AR207" s="11" t="s">
        <v>1471</v>
      </c>
      <c r="AS207" s="36" t="s">
        <v>1532</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1441</v>
      </c>
      <c r="E208" s="26">
        <v>87220</v>
      </c>
      <c r="F208" s="10" t="s">
        <v>1442</v>
      </c>
      <c r="G208" s="39" t="str">
        <f>Tableau1[[#This Row],[Rue]]&amp;CHAR(10)&amp;Tableau1[[#This Row],[Code Postal]]&amp;" - "&amp;Tableau1[[#This Row],[Ville]]</f>
        <v>Centre commercial Boisseuil
Route de Toulouse
87220 - Boisseuil</v>
      </c>
      <c r="H208" s="15" t="s">
        <v>1440</v>
      </c>
      <c r="I208" s="12" t="s">
        <v>47</v>
      </c>
      <c r="J208" s="12" t="s">
        <v>49</v>
      </c>
      <c r="K208" s="10" t="s">
        <v>103</v>
      </c>
      <c r="L208" s="10"/>
      <c r="M208" s="12" t="s">
        <v>103</v>
      </c>
      <c r="N208" s="36" t="s">
        <v>1449</v>
      </c>
      <c r="O208" s="34">
        <v>74</v>
      </c>
      <c r="P208" s="12"/>
      <c r="Q208" s="34">
        <v>265</v>
      </c>
      <c r="R208" s="34" t="s">
        <v>103</v>
      </c>
      <c r="S208" s="34" t="s">
        <v>103</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103</v>
      </c>
      <c r="AH208" s="51">
        <v>2.5000000000000001E-2</v>
      </c>
      <c r="AI208" s="12" t="s">
        <v>380</v>
      </c>
      <c r="AJ208" s="10" t="s">
        <v>375</v>
      </c>
      <c r="AK208" s="10" t="s">
        <v>369</v>
      </c>
      <c r="AL208" s="10" t="s">
        <v>1482</v>
      </c>
      <c r="AM208" s="11" t="s">
        <v>1493</v>
      </c>
      <c r="AN208" s="11" t="s">
        <v>1533</v>
      </c>
      <c r="AO208" s="5" t="s">
        <v>367</v>
      </c>
      <c r="AP208" s="11" t="s">
        <v>1510</v>
      </c>
      <c r="AQ208" s="11" t="s">
        <v>1511</v>
      </c>
      <c r="AR208" s="11" t="s">
        <v>1472</v>
      </c>
      <c r="AS208" s="36" t="s">
        <v>1532</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1441</v>
      </c>
      <c r="E209" s="26">
        <v>87220</v>
      </c>
      <c r="F209" s="10" t="s">
        <v>1442</v>
      </c>
      <c r="G209" s="39" t="str">
        <f>Tableau1[[#This Row],[Rue]]&amp;CHAR(10)&amp;Tableau1[[#This Row],[Code Postal]]&amp;" - "&amp;Tableau1[[#This Row],[Ville]]</f>
        <v>Centre commercial Boisseuil
Route de Toulouse
87220 - Boisseuil</v>
      </c>
      <c r="H209" s="15" t="s">
        <v>1440</v>
      </c>
      <c r="I209" s="12" t="s">
        <v>47</v>
      </c>
      <c r="J209" s="12" t="s">
        <v>49</v>
      </c>
      <c r="K209" s="10" t="s">
        <v>103</v>
      </c>
      <c r="L209" s="10"/>
      <c r="M209" s="12" t="s">
        <v>103</v>
      </c>
      <c r="N209" s="36" t="s">
        <v>1450</v>
      </c>
      <c r="O209" s="34">
        <v>85</v>
      </c>
      <c r="P209" s="12"/>
      <c r="Q209" s="34">
        <v>265</v>
      </c>
      <c r="R209" s="34" t="s">
        <v>103</v>
      </c>
      <c r="S209" s="34" t="s">
        <v>103</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103</v>
      </c>
      <c r="AH209" s="51">
        <v>2.5000000000000001E-2</v>
      </c>
      <c r="AI209" s="12" t="s">
        <v>363</v>
      </c>
      <c r="AJ209" s="10" t="s">
        <v>375</v>
      </c>
      <c r="AK209" s="10" t="s">
        <v>369</v>
      </c>
      <c r="AL209" s="10" t="s">
        <v>1482</v>
      </c>
      <c r="AM209" s="11" t="s">
        <v>1493</v>
      </c>
      <c r="AN209" s="11" t="s">
        <v>1533</v>
      </c>
      <c r="AO209" s="5" t="s">
        <v>367</v>
      </c>
      <c r="AP209" s="11" t="s">
        <v>1512</v>
      </c>
      <c r="AQ209" s="11" t="s">
        <v>1513</v>
      </c>
      <c r="AR209" s="11" t="s">
        <v>1473</v>
      </c>
      <c r="AS209" s="36" t="s">
        <v>1532</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1441</v>
      </c>
      <c r="E210" s="26">
        <v>87220</v>
      </c>
      <c r="F210" s="10" t="s">
        <v>1442</v>
      </c>
      <c r="G210" s="39" t="str">
        <f>Tableau1[[#This Row],[Rue]]&amp;CHAR(10)&amp;Tableau1[[#This Row],[Code Postal]]&amp;" - "&amp;Tableau1[[#This Row],[Ville]]</f>
        <v>Centre commercial Boisseuil
Route de Toulouse
87220 - Boisseuil</v>
      </c>
      <c r="H210" s="15" t="s">
        <v>1440</v>
      </c>
      <c r="I210" s="12" t="s">
        <v>47</v>
      </c>
      <c r="J210" s="12" t="s">
        <v>49</v>
      </c>
      <c r="K210" s="10" t="s">
        <v>103</v>
      </c>
      <c r="L210" s="10"/>
      <c r="M210" s="12" t="s">
        <v>103</v>
      </c>
      <c r="N210" s="36" t="s">
        <v>1451</v>
      </c>
      <c r="O210" s="34">
        <v>164</v>
      </c>
      <c r="P210" s="12"/>
      <c r="Q210" s="34"/>
      <c r="R210" s="34" t="s">
        <v>103</v>
      </c>
      <c r="S210" s="34" t="s">
        <v>103</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103</v>
      </c>
      <c r="AH210" s="51">
        <v>2.5000000000000001E-2</v>
      </c>
      <c r="AI210" s="12" t="s">
        <v>363</v>
      </c>
      <c r="AJ210" s="10" t="s">
        <v>375</v>
      </c>
      <c r="AK210" s="10" t="s">
        <v>369</v>
      </c>
      <c r="AL210" s="10" t="s">
        <v>1482</v>
      </c>
      <c r="AM210" s="11" t="s">
        <v>1493</v>
      </c>
      <c r="AN210" s="11" t="s">
        <v>1533</v>
      </c>
      <c r="AO210" s="5" t="s">
        <v>367</v>
      </c>
      <c r="AP210" s="11" t="s">
        <v>1514</v>
      </c>
      <c r="AQ210" s="11" t="s">
        <v>1515</v>
      </c>
      <c r="AR210" s="11" t="s">
        <v>1474</v>
      </c>
      <c r="AS210" s="36" t="s">
        <v>1532</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1441</v>
      </c>
      <c r="E211" s="26">
        <v>87220</v>
      </c>
      <c r="F211" s="10" t="s">
        <v>1442</v>
      </c>
      <c r="G211" s="39" t="str">
        <f>Tableau1[[#This Row],[Rue]]&amp;CHAR(10)&amp;Tableau1[[#This Row],[Code Postal]]&amp;" - "&amp;Tableau1[[#This Row],[Ville]]</f>
        <v>Centre commercial Boisseuil
Route de Toulouse
87220 - Boisseuil</v>
      </c>
      <c r="H211" s="15" t="s">
        <v>1440</v>
      </c>
      <c r="I211" s="12" t="s">
        <v>47</v>
      </c>
      <c r="J211" s="12" t="s">
        <v>49</v>
      </c>
      <c r="K211" s="10" t="s">
        <v>103</v>
      </c>
      <c r="L211" s="10"/>
      <c r="M211" s="12" t="s">
        <v>103</v>
      </c>
      <c r="N211" s="36">
        <v>32</v>
      </c>
      <c r="O211" s="34">
        <v>138</v>
      </c>
      <c r="P211" s="12"/>
      <c r="Q211" s="34"/>
      <c r="R211" s="34" t="s">
        <v>103</v>
      </c>
      <c r="S211" s="34" t="s">
        <v>103</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103</v>
      </c>
      <c r="AH211" s="51">
        <v>2.5000000000000001E-2</v>
      </c>
      <c r="AI211" s="12" t="s">
        <v>363</v>
      </c>
      <c r="AJ211" s="10" t="s">
        <v>375</v>
      </c>
      <c r="AK211" s="10" t="s">
        <v>369</v>
      </c>
      <c r="AL211" s="10" t="s">
        <v>1482</v>
      </c>
      <c r="AM211" s="11" t="s">
        <v>1493</v>
      </c>
      <c r="AN211" s="11" t="s">
        <v>1533</v>
      </c>
      <c r="AO211" s="5" t="s">
        <v>367</v>
      </c>
      <c r="AP211" s="11" t="s">
        <v>1516</v>
      </c>
      <c r="AQ211" s="11" t="s">
        <v>1517</v>
      </c>
      <c r="AR211" s="11" t="s">
        <v>1475</v>
      </c>
      <c r="AS211" s="36" t="s">
        <v>1532</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1441</v>
      </c>
      <c r="E212" s="26">
        <v>87221</v>
      </c>
      <c r="F212" s="10" t="s">
        <v>1442</v>
      </c>
      <c r="G212" s="39" t="str">
        <f>Tableau1[[#This Row],[Rue]]&amp;CHAR(10)&amp;Tableau1[[#This Row],[Code Postal]]&amp;" - "&amp;Tableau1[[#This Row],[Ville]]</f>
        <v>Centre commercial Boisseuil
Route de Toulouse
87221 - Boisseuil</v>
      </c>
      <c r="H212" s="15" t="s">
        <v>1459</v>
      </c>
      <c r="I212" s="12" t="s">
        <v>47</v>
      </c>
      <c r="J212" s="12" t="s">
        <v>49</v>
      </c>
      <c r="K212" s="10" t="s">
        <v>103</v>
      </c>
      <c r="L212" s="10"/>
      <c r="M212" s="12" t="s">
        <v>103</v>
      </c>
      <c r="N212" s="36" t="s">
        <v>1458</v>
      </c>
      <c r="O212" s="34">
        <v>205</v>
      </c>
      <c r="P212" s="12"/>
      <c r="Q212" s="34"/>
      <c r="R212" s="34" t="s">
        <v>103</v>
      </c>
      <c r="S212" s="34" t="s">
        <v>103</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103</v>
      </c>
      <c r="AH212" s="51">
        <v>2.5000000000000001E-2</v>
      </c>
      <c r="AI212" s="12" t="s">
        <v>363</v>
      </c>
      <c r="AJ212" s="10" t="s">
        <v>375</v>
      </c>
      <c r="AK212" s="10" t="s">
        <v>369</v>
      </c>
      <c r="AL212" s="10" t="s">
        <v>1482</v>
      </c>
      <c r="AM212" s="11" t="s">
        <v>1493</v>
      </c>
      <c r="AN212" s="11" t="s">
        <v>1533</v>
      </c>
      <c r="AO212" s="5" t="s">
        <v>367</v>
      </c>
      <c r="AP212" s="11" t="s">
        <v>1518</v>
      </c>
      <c r="AQ212" s="11" t="s">
        <v>1519</v>
      </c>
      <c r="AR212" s="11" t="s">
        <v>1476</v>
      </c>
      <c r="AS212" s="36" t="s">
        <v>1532</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1441</v>
      </c>
      <c r="E213" s="26">
        <v>87220</v>
      </c>
      <c r="F213" s="10" t="s">
        <v>1442</v>
      </c>
      <c r="G213" s="39" t="str">
        <f>Tableau1[[#This Row],[Rue]]&amp;CHAR(10)&amp;Tableau1[[#This Row],[Code Postal]]&amp;" - "&amp;Tableau1[[#This Row],[Ville]]</f>
        <v>Centre commercial Boisseuil
Route de Toulouse
87220 - Boisseuil</v>
      </c>
      <c r="H213" s="15" t="s">
        <v>1440</v>
      </c>
      <c r="I213" s="12" t="s">
        <v>47</v>
      </c>
      <c r="J213" s="12" t="s">
        <v>49</v>
      </c>
      <c r="K213" s="10" t="s">
        <v>103</v>
      </c>
      <c r="L213" s="10"/>
      <c r="M213" s="12" t="s">
        <v>103</v>
      </c>
      <c r="N213" s="36" t="s">
        <v>1452</v>
      </c>
      <c r="O213" s="34">
        <v>468</v>
      </c>
      <c r="P213" s="12" t="s">
        <v>1456</v>
      </c>
      <c r="Q213" s="34"/>
      <c r="R213" s="34" t="s">
        <v>103</v>
      </c>
      <c r="S213" s="34" t="s">
        <v>103</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103</v>
      </c>
      <c r="AH213" s="51">
        <v>2.5000000000000001E-2</v>
      </c>
      <c r="AI213" s="12" t="s">
        <v>363</v>
      </c>
      <c r="AJ213" s="10" t="s">
        <v>375</v>
      </c>
      <c r="AK213" s="10" t="s">
        <v>369</v>
      </c>
      <c r="AL213" s="10" t="s">
        <v>1482</v>
      </c>
      <c r="AM213" s="11" t="s">
        <v>1493</v>
      </c>
      <c r="AN213" s="11" t="s">
        <v>1533</v>
      </c>
      <c r="AO213" s="5" t="s">
        <v>367</v>
      </c>
      <c r="AP213" s="11" t="s">
        <v>1520</v>
      </c>
      <c r="AQ213" s="11" t="s">
        <v>1521</v>
      </c>
      <c r="AR213" s="11" t="s">
        <v>1477</v>
      </c>
      <c r="AS213" s="36" t="s">
        <v>1532</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1441</v>
      </c>
      <c r="E214" s="26">
        <v>87220</v>
      </c>
      <c r="F214" s="10" t="s">
        <v>1442</v>
      </c>
      <c r="G214" s="39" t="str">
        <f>Tableau1[[#This Row],[Rue]]&amp;CHAR(10)&amp;Tableau1[[#This Row],[Code Postal]]&amp;" - "&amp;Tableau1[[#This Row],[Ville]]</f>
        <v>Centre commercial Boisseuil
Route de Toulouse
87220 - Boisseuil</v>
      </c>
      <c r="H214" s="15" t="s">
        <v>1440</v>
      </c>
      <c r="I214" s="12" t="s">
        <v>47</v>
      </c>
      <c r="J214" s="12" t="s">
        <v>49</v>
      </c>
      <c r="K214" s="10" t="s">
        <v>103</v>
      </c>
      <c r="L214" s="10"/>
      <c r="M214" s="12" t="s">
        <v>103</v>
      </c>
      <c r="N214" s="36">
        <v>42</v>
      </c>
      <c r="O214" s="34">
        <v>229</v>
      </c>
      <c r="P214" s="12"/>
      <c r="Q214" s="34"/>
      <c r="R214" s="34" t="s">
        <v>103</v>
      </c>
      <c r="S214" s="34" t="s">
        <v>103</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103</v>
      </c>
      <c r="AH214" s="51">
        <v>2.5000000000000001E-2</v>
      </c>
      <c r="AI214" s="12" t="s">
        <v>380</v>
      </c>
      <c r="AJ214" s="10" t="s">
        <v>375</v>
      </c>
      <c r="AK214" s="10" t="s">
        <v>369</v>
      </c>
      <c r="AL214" s="10" t="s">
        <v>1482</v>
      </c>
      <c r="AM214" s="11" t="s">
        <v>1493</v>
      </c>
      <c r="AN214" s="11" t="s">
        <v>1533</v>
      </c>
      <c r="AO214" s="5" t="s">
        <v>367</v>
      </c>
      <c r="AP214" s="11" t="s">
        <v>1522</v>
      </c>
      <c r="AQ214" s="11" t="s">
        <v>1523</v>
      </c>
      <c r="AR214" s="11" t="s">
        <v>1478</v>
      </c>
      <c r="AS214" s="36" t="s">
        <v>1532</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1441</v>
      </c>
      <c r="E215" s="26">
        <v>87220</v>
      </c>
      <c r="F215" s="10" t="s">
        <v>1442</v>
      </c>
      <c r="G215" s="39" t="str">
        <f>Tableau1[[#This Row],[Rue]]&amp;CHAR(10)&amp;Tableau1[[#This Row],[Code Postal]]&amp;" - "&amp;Tableau1[[#This Row],[Ville]]</f>
        <v>Centre commercial Boisseuil
Route de Toulouse
87220 - Boisseuil</v>
      </c>
      <c r="H215" s="15" t="s">
        <v>1440</v>
      </c>
      <c r="I215" s="12" t="s">
        <v>47</v>
      </c>
      <c r="J215" s="12" t="s">
        <v>49</v>
      </c>
      <c r="K215" s="10" t="s">
        <v>103</v>
      </c>
      <c r="L215" s="10"/>
      <c r="M215" s="12" t="s">
        <v>103</v>
      </c>
      <c r="N215" s="36">
        <v>47</v>
      </c>
      <c r="O215" s="34">
        <v>90</v>
      </c>
      <c r="P215" s="12"/>
      <c r="Q215" s="34"/>
      <c r="R215" s="34" t="s">
        <v>103</v>
      </c>
      <c r="S215" s="34" t="s">
        <v>103</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103</v>
      </c>
      <c r="AH215" s="51">
        <v>2.5000000000000001E-2</v>
      </c>
      <c r="AI215" s="12" t="s">
        <v>363</v>
      </c>
      <c r="AJ215" s="10" t="s">
        <v>375</v>
      </c>
      <c r="AK215" s="10" t="s">
        <v>369</v>
      </c>
      <c r="AL215" s="10" t="s">
        <v>1482</v>
      </c>
      <c r="AM215" s="11" t="s">
        <v>1493</v>
      </c>
      <c r="AN215" s="11" t="s">
        <v>1533</v>
      </c>
      <c r="AO215" s="5" t="s">
        <v>367</v>
      </c>
      <c r="AP215" s="11" t="s">
        <v>1524</v>
      </c>
      <c r="AQ215" s="11" t="s">
        <v>1525</v>
      </c>
      <c r="AR215" s="11" t="s">
        <v>1479</v>
      </c>
      <c r="AS215" s="36" t="s">
        <v>1532</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1441</v>
      </c>
      <c r="E216" s="26">
        <v>87220</v>
      </c>
      <c r="F216" s="10" t="s">
        <v>1442</v>
      </c>
      <c r="G216" s="39" t="str">
        <f>Tableau1[[#This Row],[Rue]]&amp;CHAR(10)&amp;Tableau1[[#This Row],[Code Postal]]&amp;" - "&amp;Tableau1[[#This Row],[Ville]]</f>
        <v>Centre commercial Boisseuil
Route de Toulouse
87220 - Boisseuil</v>
      </c>
      <c r="H216" s="15" t="s">
        <v>1440</v>
      </c>
      <c r="I216" s="12" t="s">
        <v>47</v>
      </c>
      <c r="J216" s="12" t="s">
        <v>49</v>
      </c>
      <c r="K216" s="10" t="s">
        <v>103</v>
      </c>
      <c r="L216" s="10"/>
      <c r="M216" s="12" t="s">
        <v>103</v>
      </c>
      <c r="N216" s="36">
        <v>48</v>
      </c>
      <c r="O216" s="34">
        <v>174</v>
      </c>
      <c r="P216" s="12">
        <v>358</v>
      </c>
      <c r="Q216" s="34"/>
      <c r="R216" s="34" t="s">
        <v>103</v>
      </c>
      <c r="S216" s="34" t="s">
        <v>103</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103</v>
      </c>
      <c r="AH216" s="51">
        <v>2.5000000000000001E-2</v>
      </c>
      <c r="AI216" s="12" t="s">
        <v>363</v>
      </c>
      <c r="AJ216" s="10" t="s">
        <v>375</v>
      </c>
      <c r="AK216" s="10" t="s">
        <v>369</v>
      </c>
      <c r="AL216" s="10" t="s">
        <v>1482</v>
      </c>
      <c r="AM216" s="11" t="s">
        <v>1493</v>
      </c>
      <c r="AN216" s="11" t="s">
        <v>1533</v>
      </c>
      <c r="AO216" s="5" t="s">
        <v>367</v>
      </c>
      <c r="AP216" s="11" t="s">
        <v>1526</v>
      </c>
      <c r="AQ216" s="11" t="s">
        <v>1527</v>
      </c>
      <c r="AR216" s="11" t="s">
        <v>1480</v>
      </c>
      <c r="AS216" s="36" t="s">
        <v>1532</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1441</v>
      </c>
      <c r="E217" s="26">
        <v>87220</v>
      </c>
      <c r="F217" s="10" t="s">
        <v>1442</v>
      </c>
      <c r="G217" s="39" t="str">
        <f>Tableau1[[#This Row],[Rue]]&amp;CHAR(10)&amp;Tableau1[[#This Row],[Code Postal]]&amp;" - "&amp;Tableau1[[#This Row],[Ville]]</f>
        <v>Centre commercial Boisseuil
Route de Toulouse
87220 - Boisseuil</v>
      </c>
      <c r="H217" s="15" t="s">
        <v>1440</v>
      </c>
      <c r="I217" s="12" t="s">
        <v>47</v>
      </c>
      <c r="J217" s="12" t="s">
        <v>49</v>
      </c>
      <c r="K217" s="10" t="s">
        <v>103</v>
      </c>
      <c r="L217" s="10"/>
      <c r="M217" s="12" t="s">
        <v>103</v>
      </c>
      <c r="N217" s="36">
        <v>49</v>
      </c>
      <c r="O217" s="34">
        <v>184</v>
      </c>
      <c r="P217" s="12">
        <v>358</v>
      </c>
      <c r="Q217" s="34"/>
      <c r="R217" s="34" t="s">
        <v>103</v>
      </c>
      <c r="S217" s="34" t="s">
        <v>103</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103</v>
      </c>
      <c r="AH217" s="51">
        <v>2.5000000000000001E-2</v>
      </c>
      <c r="AI217" s="12" t="s">
        <v>363</v>
      </c>
      <c r="AJ217" s="10" t="s">
        <v>375</v>
      </c>
      <c r="AK217" s="10" t="s">
        <v>369</v>
      </c>
      <c r="AL217" s="10" t="s">
        <v>1482</v>
      </c>
      <c r="AM217" s="11" t="s">
        <v>1493</v>
      </c>
      <c r="AN217" s="11" t="s">
        <v>1533</v>
      </c>
      <c r="AO217" s="5" t="s">
        <v>367</v>
      </c>
      <c r="AP217" s="11" t="s">
        <v>1528</v>
      </c>
      <c r="AQ217" s="11" t="s">
        <v>1529</v>
      </c>
      <c r="AR217" s="11" t="s">
        <v>1481</v>
      </c>
      <c r="AS217" s="36" t="s">
        <v>1532</v>
      </c>
      <c r="AT217" s="11" t="s">
        <v>75</v>
      </c>
      <c r="AU217" s="11" t="s">
        <v>376</v>
      </c>
      <c r="AV217" s="13" t="s">
        <v>74</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1441</v>
      </c>
      <c r="E218" s="26">
        <v>87220</v>
      </c>
      <c r="F218" s="10" t="s">
        <v>1442</v>
      </c>
      <c r="G218" s="39" t="str">
        <f>Tableau1[[#This Row],[Rue]]&amp;CHAR(10)&amp;Tableau1[[#This Row],[Code Postal]]&amp;" - "&amp;Tableau1[[#This Row],[Ville]]</f>
        <v>Centre commercial Boisseuil
Route de Toulouse
87220 - Boisseuil</v>
      </c>
      <c r="H218" s="15" t="s">
        <v>1440</v>
      </c>
      <c r="I218" s="12" t="s">
        <v>47</v>
      </c>
      <c r="J218" s="12" t="s">
        <v>49</v>
      </c>
      <c r="K218" s="10" t="s">
        <v>1278</v>
      </c>
      <c r="L218" s="10"/>
      <c r="M218" s="12" t="s">
        <v>103</v>
      </c>
      <c r="N218" s="36" t="s">
        <v>1453</v>
      </c>
      <c r="O218" s="34">
        <v>48</v>
      </c>
      <c r="P218" s="12" t="s">
        <v>1457</v>
      </c>
      <c r="Q218" s="34"/>
      <c r="R218" s="34" t="s">
        <v>103</v>
      </c>
      <c r="S218" s="34" t="s">
        <v>103</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103</v>
      </c>
      <c r="AH218" s="51">
        <v>2.5000000000000001E-2</v>
      </c>
      <c r="AI218" s="12" t="s">
        <v>363</v>
      </c>
      <c r="AJ218" s="10" t="s">
        <v>375</v>
      </c>
      <c r="AK218" s="10" t="s">
        <v>369</v>
      </c>
      <c r="AL218" s="10" t="s">
        <v>1482</v>
      </c>
      <c r="AM218" s="11" t="s">
        <v>1493</v>
      </c>
      <c r="AN218" s="11" t="s">
        <v>1533</v>
      </c>
      <c r="AO218" s="5" t="s">
        <v>367</v>
      </c>
      <c r="AP218" s="11" t="s">
        <v>1530</v>
      </c>
      <c r="AQ218" s="11" t="s">
        <v>1531</v>
      </c>
      <c r="AR218" s="11" t="s">
        <v>1494</v>
      </c>
      <c r="AS218" s="36" t="s">
        <v>1532</v>
      </c>
      <c r="AT218" s="11" t="s">
        <v>75</v>
      </c>
      <c r="AU218" s="11" t="s">
        <v>376</v>
      </c>
      <c r="AV218" s="13" t="s">
        <v>74</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1539</v>
      </c>
      <c r="E219" s="26">
        <v>68730</v>
      </c>
      <c r="F219" s="42" t="s">
        <v>1540</v>
      </c>
      <c r="G219" s="39" t="str">
        <f>Tableau1[[#This Row],[Rue]]&amp;CHAR(10)&amp;Tableau1[[#This Row],[Code Postal]]&amp;" - "&amp;Tableau1[[#This Row],[Ville]]</f>
        <v>Hyper Leclerc Blotzheim
5 bis rue Pierre Clostermann
68730 - Blotzheim</v>
      </c>
      <c r="H219" s="15" t="s">
        <v>1541</v>
      </c>
      <c r="I219" s="12" t="s">
        <v>47</v>
      </c>
      <c r="J219" s="12" t="s">
        <v>50</v>
      </c>
      <c r="K219" s="10" t="s">
        <v>103</v>
      </c>
      <c r="L219" s="53" t="s">
        <v>1542</v>
      </c>
      <c r="M219" s="12" t="s">
        <v>103</v>
      </c>
      <c r="N219" s="36"/>
      <c r="O219" s="34">
        <v>446</v>
      </c>
      <c r="P219" s="12"/>
      <c r="Q219" s="34"/>
      <c r="R219" s="34" t="s">
        <v>103</v>
      </c>
      <c r="S219" s="34" t="s">
        <v>103</v>
      </c>
      <c r="T219" s="12">
        <f>Tableau1[[#This Row],[Loyer €/m²]]*Tableau1[[#This Row],[Surface GLA]]</f>
        <v>66900</v>
      </c>
      <c r="U219" s="12">
        <f>IFERROR(Tableau1[[#This Row],[Loyer annuel]]/12,"")</f>
        <v>5575</v>
      </c>
      <c r="V219" s="12">
        <v>150</v>
      </c>
      <c r="W219" s="34" t="s">
        <v>103</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103</v>
      </c>
      <c r="AE219" s="12">
        <f>IFERROR(Tableau1[[#This Row],[Loyer annuel]]+Tableau1[[#This Row],[Charges annuelles]]+Tableau1[[#This Row],[Taxe foncière]]+Tableau1[[#This Row],[Marketing]],"")</f>
        <v>73144</v>
      </c>
      <c r="AF219" s="12"/>
      <c r="AG219" s="6" t="s">
        <v>103</v>
      </c>
      <c r="AH219" s="6" t="s">
        <v>103</v>
      </c>
      <c r="AI219" s="12" t="s">
        <v>380</v>
      </c>
      <c r="AJ219" s="10" t="s">
        <v>375</v>
      </c>
      <c r="AK219" s="10" t="s">
        <v>369</v>
      </c>
      <c r="AL219" s="10"/>
      <c r="AM219" s="11"/>
      <c r="AN219" s="11" t="s">
        <v>103</v>
      </c>
      <c r="AO219" s="5" t="s">
        <v>367</v>
      </c>
      <c r="AP219" s="11" t="s">
        <v>1561</v>
      </c>
      <c r="AQ219" s="11" t="s">
        <v>1562</v>
      </c>
      <c r="AR219" s="11">
        <v>64</v>
      </c>
      <c r="AS219" s="36" t="s">
        <v>1557</v>
      </c>
      <c r="AT219" s="11" t="s">
        <v>75</v>
      </c>
      <c r="AU219" s="11" t="s">
        <v>1671</v>
      </c>
      <c r="AV219" s="13" t="s">
        <v>1034</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1543</v>
      </c>
      <c r="E220" s="26">
        <v>68330</v>
      </c>
      <c r="F220" s="42" t="s">
        <v>889</v>
      </c>
      <c r="G220" s="39" t="str">
        <f>Tableau1[[#This Row],[Rue]]&amp;CHAR(10)&amp;Tableau1[[#This Row],[Code Postal]]&amp;" - "&amp;Tableau1[[#This Row],[Ville]]</f>
        <v>Les galeries d'Huningue
9 avenue d'Alsace
68330 - Huningue</v>
      </c>
      <c r="H220" s="15" t="s">
        <v>1545</v>
      </c>
      <c r="I220" s="12" t="s">
        <v>47</v>
      </c>
      <c r="J220" s="12" t="s">
        <v>50</v>
      </c>
      <c r="K220" s="10" t="s">
        <v>103</v>
      </c>
      <c r="L220" s="53" t="s">
        <v>1542</v>
      </c>
      <c r="M220" s="12" t="s">
        <v>103</v>
      </c>
      <c r="N220" s="36" t="s">
        <v>1556</v>
      </c>
      <c r="O220" s="34">
        <v>300</v>
      </c>
      <c r="P220" s="12"/>
      <c r="Q220" s="34"/>
      <c r="R220" s="34" t="s">
        <v>103</v>
      </c>
      <c r="S220" s="34" t="s">
        <v>103</v>
      </c>
      <c r="T220" s="12">
        <f>Tableau1[[#This Row],[Loyer €/m²]]*Tableau1[[#This Row],[Surface GLA]]</f>
        <v>60000</v>
      </c>
      <c r="U220" s="12">
        <f>IFERROR(Tableau1[[#This Row],[Loyer annuel]]/12,"")</f>
        <v>5000</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60000</v>
      </c>
      <c r="AF220" s="12"/>
      <c r="AG220" s="6" t="s">
        <v>103</v>
      </c>
      <c r="AH220" s="6" t="s">
        <v>103</v>
      </c>
      <c r="AI220" s="12" t="s">
        <v>380</v>
      </c>
      <c r="AJ220" s="10" t="s">
        <v>375</v>
      </c>
      <c r="AK220" s="10" t="s">
        <v>369</v>
      </c>
      <c r="AL220" s="10"/>
      <c r="AM220" s="11" t="s">
        <v>1036</v>
      </c>
      <c r="AN220" s="11" t="s">
        <v>103</v>
      </c>
      <c r="AO220" s="5" t="s">
        <v>367</v>
      </c>
      <c r="AP220" s="11" t="s">
        <v>1026</v>
      </c>
      <c r="AQ220" s="11" t="s">
        <v>1027</v>
      </c>
      <c r="AR220" s="11" t="s">
        <v>1553</v>
      </c>
      <c r="AS220" s="36" t="s">
        <v>1558</v>
      </c>
      <c r="AT220" s="11" t="s">
        <v>75</v>
      </c>
      <c r="AU220" s="11" t="s">
        <v>1672</v>
      </c>
      <c r="AV220" s="13" t="s">
        <v>1034</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1544</v>
      </c>
      <c r="E221" s="26">
        <v>68331</v>
      </c>
      <c r="F221" s="42" t="s">
        <v>889</v>
      </c>
      <c r="G221" s="39" t="str">
        <f>Tableau1[[#This Row],[Rue]]&amp;CHAR(10)&amp;Tableau1[[#This Row],[Code Postal]]&amp;" - "&amp;Tableau1[[#This Row],[Ville]]</f>
        <v>Les galeries d'Huningue
7 avenue d'Alsace
68331 - Huningue</v>
      </c>
      <c r="H221" s="15" t="s">
        <v>1546</v>
      </c>
      <c r="I221" s="12" t="s">
        <v>47</v>
      </c>
      <c r="J221" s="12" t="s">
        <v>50</v>
      </c>
      <c r="K221" s="10" t="s">
        <v>103</v>
      </c>
      <c r="L221" s="53" t="s">
        <v>1542</v>
      </c>
      <c r="M221" s="12" t="s">
        <v>1175</v>
      </c>
      <c r="N221" s="36"/>
      <c r="O221" s="34">
        <v>608</v>
      </c>
      <c r="P221" s="12"/>
      <c r="Q221" s="34"/>
      <c r="R221" s="34" t="s">
        <v>103</v>
      </c>
      <c r="S221" s="34" t="s">
        <v>103</v>
      </c>
      <c r="T221" s="12">
        <f>Tableau1[[#This Row],[Loyer €/m²]]*Tableau1[[#This Row],[Surface GLA]]</f>
        <v>121600</v>
      </c>
      <c r="U221" s="12">
        <f>IFERROR(Tableau1[[#This Row],[Loyer annuel]]/12,"")</f>
        <v>10133.333333333334</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121600</v>
      </c>
      <c r="AF221" s="12"/>
      <c r="AG221" s="6" t="s">
        <v>103</v>
      </c>
      <c r="AH221" s="6" t="s">
        <v>103</v>
      </c>
      <c r="AI221" s="12" t="s">
        <v>380</v>
      </c>
      <c r="AJ221" s="10" t="s">
        <v>375</v>
      </c>
      <c r="AK221" s="10" t="s">
        <v>369</v>
      </c>
      <c r="AL221" s="10"/>
      <c r="AM221" s="11" t="s">
        <v>1555</v>
      </c>
      <c r="AN221" s="11" t="s">
        <v>103</v>
      </c>
      <c r="AO221" s="5" t="s">
        <v>367</v>
      </c>
      <c r="AP221" s="11" t="s">
        <v>1563</v>
      </c>
      <c r="AQ221" s="11" t="s">
        <v>1564</v>
      </c>
      <c r="AR221" s="11" t="s">
        <v>1554</v>
      </c>
      <c r="AS221" s="36" t="s">
        <v>1559</v>
      </c>
      <c r="AT221" s="11" t="s">
        <v>75</v>
      </c>
      <c r="AU221" s="11" t="s">
        <v>1673</v>
      </c>
      <c r="AV221" s="13" t="s">
        <v>1034</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1547</v>
      </c>
      <c r="E222" s="26">
        <v>68220</v>
      </c>
      <c r="F222" s="42" t="s">
        <v>1548</v>
      </c>
      <c r="G222" s="39" t="str">
        <f>Tableau1[[#This Row],[Rue]]&amp;CHAR(10)&amp;Tableau1[[#This Row],[Code Postal]]&amp;" - "&amp;Tableau1[[#This Row],[Ville]]</f>
        <v>Les galeries d'Hegenheim
Rue d'Alschwill
68220 - Hegenheim</v>
      </c>
      <c r="H222" s="52"/>
      <c r="I222" s="12"/>
      <c r="J222" s="12"/>
      <c r="K222" s="10" t="s">
        <v>103</v>
      </c>
      <c r="L222" s="53" t="s">
        <v>1542</v>
      </c>
      <c r="M222" s="12" t="s">
        <v>103</v>
      </c>
      <c r="N222" s="36"/>
      <c r="O222" s="34">
        <v>257</v>
      </c>
      <c r="P222" s="12"/>
      <c r="Q222" s="34"/>
      <c r="R222" s="34" t="s">
        <v>103</v>
      </c>
      <c r="S222" s="34" t="s">
        <v>103</v>
      </c>
      <c r="T222" s="12">
        <f>Tableau1[[#This Row],[Loyer €/m²]]*Tableau1[[#This Row],[Surface GLA]]</f>
        <v>51400</v>
      </c>
      <c r="U222" s="12">
        <f>IFERROR(Tableau1[[#This Row],[Loyer annuel]]/12,"")</f>
        <v>4283.333333333333</v>
      </c>
      <c r="V222" s="12">
        <v>200</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51400</v>
      </c>
      <c r="AF222" s="12"/>
      <c r="AG222" s="6" t="s">
        <v>103</v>
      </c>
      <c r="AH222" s="6" t="s">
        <v>103</v>
      </c>
      <c r="AI222" s="12" t="s">
        <v>380</v>
      </c>
      <c r="AJ222" s="10" t="s">
        <v>375</v>
      </c>
      <c r="AK222" s="10" t="s">
        <v>369</v>
      </c>
      <c r="AL222" s="10"/>
      <c r="AM222" s="11"/>
      <c r="AN222" s="11" t="s">
        <v>103</v>
      </c>
      <c r="AO222" s="5" t="s">
        <v>367</v>
      </c>
      <c r="AP222" s="11"/>
      <c r="AQ222" s="11"/>
      <c r="AR222" s="11">
        <v>66</v>
      </c>
      <c r="AS222" s="36" t="s">
        <v>1560</v>
      </c>
      <c r="AT222" s="11" t="s">
        <v>75</v>
      </c>
      <c r="AU222" s="11" t="s">
        <v>1674</v>
      </c>
      <c r="AV222" s="13" t="s">
        <v>1034</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1549</v>
      </c>
      <c r="E223" s="26">
        <v>68300</v>
      </c>
      <c r="F223" s="42" t="s">
        <v>1550</v>
      </c>
      <c r="G223" s="39" t="str">
        <f>Tableau1[[#This Row],[Rue]]&amp;CHAR(10)&amp;Tableau1[[#This Row],[Code Postal]]&amp;" - "&amp;Tableau1[[#This Row],[Ville]]</f>
        <v>10 rue Alexandre Freund
68300 - Saint-Louis</v>
      </c>
      <c r="H223" s="15" t="s">
        <v>1551</v>
      </c>
      <c r="I223" s="12" t="s">
        <v>47</v>
      </c>
      <c r="J223" s="12"/>
      <c r="K223" s="10" t="s">
        <v>1202</v>
      </c>
      <c r="L223" s="10"/>
      <c r="M223" s="12" t="s">
        <v>103</v>
      </c>
      <c r="N223" s="36"/>
      <c r="O223" s="34">
        <v>250</v>
      </c>
      <c r="P223" s="12"/>
      <c r="Q223" s="34"/>
      <c r="R223" s="34" t="s">
        <v>103</v>
      </c>
      <c r="S223" s="34" t="s">
        <v>103</v>
      </c>
      <c r="T223" s="12">
        <f>Tableau1[[#This Row],[Loyer €/m²]]*Tableau1[[#This Row],[Surface GLA]]</f>
        <v>43750</v>
      </c>
      <c r="U223" s="12">
        <f>IFERROR(Tableau1[[#This Row],[Loyer annuel]]/12,"")</f>
        <v>3645.8333333333335</v>
      </c>
      <c r="V223" s="12">
        <v>175</v>
      </c>
      <c r="W223" s="34" t="s">
        <v>103</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103</v>
      </c>
      <c r="AE223" s="12">
        <f>IFERROR(Tableau1[[#This Row],[Loyer annuel]]+Tableau1[[#This Row],[Charges annuelles]]+Tableau1[[#This Row],[Taxe foncière]]+Tableau1[[#This Row],[Marketing]],"")</f>
        <v>45750</v>
      </c>
      <c r="AF223" s="12"/>
      <c r="AG223" s="6" t="s">
        <v>103</v>
      </c>
      <c r="AH223" s="6" t="s">
        <v>103</v>
      </c>
      <c r="AI223" s="12" t="s">
        <v>363</v>
      </c>
      <c r="AJ223" s="10" t="s">
        <v>53</v>
      </c>
      <c r="AK223" s="10" t="s">
        <v>103</v>
      </c>
      <c r="AL223" s="10"/>
      <c r="AM223" s="11" t="s">
        <v>1552</v>
      </c>
      <c r="AN223" s="11" t="s">
        <v>103</v>
      </c>
      <c r="AO223" s="5" t="s">
        <v>367</v>
      </c>
      <c r="AP223" s="11" t="s">
        <v>1565</v>
      </c>
      <c r="AQ223" s="11" t="s">
        <v>1566</v>
      </c>
      <c r="AR223" s="11">
        <v>67</v>
      </c>
      <c r="AS223" s="36"/>
      <c r="AT223" s="11" t="s">
        <v>75</v>
      </c>
      <c r="AU223" s="11" t="s">
        <v>1675</v>
      </c>
      <c r="AV223" s="13" t="s">
        <v>1034</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1534</v>
      </c>
      <c r="E224" s="26">
        <v>48000</v>
      </c>
      <c r="F224" s="10" t="s">
        <v>1535</v>
      </c>
      <c r="G224" s="39" t="str">
        <f>Tableau1[[#This Row],[Rue]]&amp;CHAR(10)&amp;Tableau1[[#This Row],[Code Postal]]&amp;" - "&amp;Tableau1[[#This Row],[Ville]]</f>
        <v>Centre commercial Cœur Lozère
Avenue de Ramilles
48000 - Mende</v>
      </c>
      <c r="H224" s="15" t="s">
        <v>1536</v>
      </c>
      <c r="I224" s="12" t="s">
        <v>47</v>
      </c>
      <c r="J224" s="12" t="s">
        <v>49</v>
      </c>
      <c r="K224" s="10" t="s">
        <v>103</v>
      </c>
      <c r="L224" s="10"/>
      <c r="M224" s="12" t="s">
        <v>1175</v>
      </c>
      <c r="N224" s="36" t="s">
        <v>358</v>
      </c>
      <c r="O224" s="34">
        <v>558</v>
      </c>
      <c r="P224" s="12" t="s">
        <v>1829</v>
      </c>
      <c r="Q224" s="34"/>
      <c r="R224" s="34" t="s">
        <v>103</v>
      </c>
      <c r="S224" s="34" t="s">
        <v>103</v>
      </c>
      <c r="T224" s="12">
        <f>Tableau1[[#This Row],[Loyer €/m²]]*Tableau1[[#This Row],[Surface GLA]]</f>
        <v>83700</v>
      </c>
      <c r="U224" s="12">
        <f>IFERROR(Tableau1[[#This Row],[Loyer annuel]]/12,"")</f>
        <v>6975</v>
      </c>
      <c r="V224" s="12">
        <v>150</v>
      </c>
      <c r="W224" s="34" t="s">
        <v>103</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103</v>
      </c>
      <c r="AE224" s="12">
        <f>IFERROR(Tableau1[[#This Row],[Loyer annuel]]+Tableau1[[#This Row],[Charges annuelles]]+Tableau1[[#This Row],[Taxe foncière]]+Tableau1[[#This Row],[Marketing]],"")</f>
        <v>105741</v>
      </c>
      <c r="AF224" s="12" t="str">
        <f t="shared" ref="AF224" si="11">"3 mois = "&amp;TEXT(ROUND(3/12*T224,0),"### ### ##0 €")</f>
        <v>3 mois = 20 925 €</v>
      </c>
      <c r="AG224" s="6" t="s">
        <v>103</v>
      </c>
      <c r="AH224" s="6" t="s">
        <v>103</v>
      </c>
      <c r="AI224" s="12" t="s">
        <v>363</v>
      </c>
      <c r="AJ224" s="10" t="s">
        <v>375</v>
      </c>
      <c r="AK224" s="10" t="s">
        <v>369</v>
      </c>
      <c r="AL224" s="10" t="s">
        <v>1664</v>
      </c>
      <c r="AM224" s="11" t="s">
        <v>1669</v>
      </c>
      <c r="AN224" s="11" t="s">
        <v>103</v>
      </c>
      <c r="AO224" s="5" t="s">
        <v>367</v>
      </c>
      <c r="AP224" s="11" t="s">
        <v>1658</v>
      </c>
      <c r="AQ224" s="11" t="s">
        <v>1659</v>
      </c>
      <c r="AR224" s="11" t="s">
        <v>1604</v>
      </c>
      <c r="AS224" s="36" t="s">
        <v>1830</v>
      </c>
      <c r="AT224" s="11" t="s">
        <v>75</v>
      </c>
      <c r="AU224" s="11" t="s">
        <v>1676</v>
      </c>
      <c r="AV224" s="13" t="s">
        <v>1608</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1534</v>
      </c>
      <c r="E225" s="26">
        <v>48000</v>
      </c>
      <c r="F225" s="10" t="s">
        <v>1535</v>
      </c>
      <c r="G225" s="39" t="str">
        <f>Tableau1[[#This Row],[Rue]]&amp;CHAR(10)&amp;Tableau1[[#This Row],[Code Postal]]&amp;" - "&amp;Tableau1[[#This Row],[Ville]]</f>
        <v>Centre commercial Cœur Lozère
Avenue de Ramilles
48000 - Mende</v>
      </c>
      <c r="H225" s="15" t="s">
        <v>1537</v>
      </c>
      <c r="I225" s="12" t="s">
        <v>47</v>
      </c>
      <c r="J225" s="12" t="s">
        <v>49</v>
      </c>
      <c r="K225" s="10" t="s">
        <v>103</v>
      </c>
      <c r="L225" s="53" t="s">
        <v>1542</v>
      </c>
      <c r="M225" s="12" t="s">
        <v>1175</v>
      </c>
      <c r="N225" s="36" t="s">
        <v>359</v>
      </c>
      <c r="O225" s="34">
        <v>380</v>
      </c>
      <c r="P225" s="12" t="s">
        <v>1666</v>
      </c>
      <c r="Q225" s="34" t="s">
        <v>103</v>
      </c>
      <c r="R225" s="34" t="s">
        <v>103</v>
      </c>
      <c r="S225" s="34" t="s">
        <v>103</v>
      </c>
      <c r="T225" s="12">
        <f>Tableau1[[#This Row],[Loyer €/m²]]*Tableau1[[#This Row],[Surface GLA]]</f>
        <v>66500</v>
      </c>
      <c r="U225" s="12">
        <f>IFERROR(Tableau1[[#This Row],[Loyer annuel]]/12,"")</f>
        <v>5541.666666666667</v>
      </c>
      <c r="V225" s="12">
        <v>175</v>
      </c>
      <c r="W225" s="34" t="s">
        <v>103</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103</v>
      </c>
      <c r="AE225" s="12">
        <f>IFERROR(Tableau1[[#This Row],[Loyer annuel]]+Tableau1[[#This Row],[Charges annuelles]]+Tableau1[[#This Row],[Taxe foncière]]+Tableau1[[#This Row],[Marketing]],"")</f>
        <v>81320</v>
      </c>
      <c r="AF225" s="12" t="str">
        <f t="shared" ref="AF225:AF255" si="12">"3 mois = "&amp;TEXT(ROUND(3/12*T225,0),"### ### ##0 €")</f>
        <v>3 mois = 16 625 €</v>
      </c>
      <c r="AG225" s="6" t="s">
        <v>103</v>
      </c>
      <c r="AH225" s="6" t="s">
        <v>103</v>
      </c>
      <c r="AI225" s="12" t="s">
        <v>363</v>
      </c>
      <c r="AJ225" s="10" t="s">
        <v>375</v>
      </c>
      <c r="AK225" s="10" t="s">
        <v>369</v>
      </c>
      <c r="AL225" s="10" t="s">
        <v>1664</v>
      </c>
      <c r="AM225" s="11" t="s">
        <v>1667</v>
      </c>
      <c r="AN225" s="11" t="s">
        <v>103</v>
      </c>
      <c r="AO225" s="5" t="s">
        <v>367</v>
      </c>
      <c r="AP225" s="11" t="s">
        <v>1660</v>
      </c>
      <c r="AQ225" s="11" t="s">
        <v>1661</v>
      </c>
      <c r="AR225" s="11" t="s">
        <v>1605</v>
      </c>
      <c r="AS225" s="36" t="s">
        <v>1668</v>
      </c>
      <c r="AT225" s="11" t="s">
        <v>75</v>
      </c>
      <c r="AU225" s="11" t="s">
        <v>1670</v>
      </c>
      <c r="AV225" s="13" t="s">
        <v>1608</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1534</v>
      </c>
      <c r="E226" s="26">
        <v>48000</v>
      </c>
      <c r="F226" s="42" t="s">
        <v>1535</v>
      </c>
      <c r="G226" s="39" t="str">
        <f>Tableau1[[#This Row],[Rue]]&amp;CHAR(10)&amp;Tableau1[[#This Row],[Code Postal]]&amp;" - "&amp;Tableau1[[#This Row],[Ville]]</f>
        <v>Centre commercial Cœur Lozère
Avenue de Ramilles
48000 - Mende</v>
      </c>
      <c r="H226" s="15" t="s">
        <v>1538</v>
      </c>
      <c r="I226" s="12" t="s">
        <v>47</v>
      </c>
      <c r="J226" s="12" t="s">
        <v>49</v>
      </c>
      <c r="K226" s="10" t="s">
        <v>1278</v>
      </c>
      <c r="L226" s="10"/>
      <c r="M226" s="12" t="s">
        <v>103</v>
      </c>
      <c r="N226" s="36"/>
      <c r="O226" s="34">
        <v>45</v>
      </c>
      <c r="P226" s="6" t="s">
        <v>103</v>
      </c>
      <c r="Q226" s="34" t="s">
        <v>103</v>
      </c>
      <c r="R226" s="34" t="s">
        <v>103</v>
      </c>
      <c r="S226" s="6" t="s">
        <v>103</v>
      </c>
      <c r="T226" s="12">
        <f>Tableau1[[#This Row],[Loyer €/m²]]*Tableau1[[#This Row],[Surface GLA]]</f>
        <v>22500</v>
      </c>
      <c r="U226" s="12">
        <f>IFERROR(Tableau1[[#This Row],[Loyer annuel]]/12,"")</f>
        <v>1875</v>
      </c>
      <c r="V226" s="12">
        <v>500</v>
      </c>
      <c r="W226" s="34" t="s">
        <v>103</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103</v>
      </c>
      <c r="AE226" s="12">
        <f>IFERROR(Tableau1[[#This Row],[Loyer annuel]]+Tableau1[[#This Row],[Charges annuelles]]+Tableau1[[#This Row],[Taxe foncière]]+Tableau1[[#This Row],[Marketing]],"")</f>
        <v>24300</v>
      </c>
      <c r="AF226" s="12" t="str">
        <f t="shared" si="12"/>
        <v>3 mois = 5 625 €</v>
      </c>
      <c r="AG226" s="6" t="s">
        <v>103</v>
      </c>
      <c r="AH226" s="6" t="s">
        <v>103</v>
      </c>
      <c r="AI226" s="12" t="s">
        <v>363</v>
      </c>
      <c r="AJ226" s="10" t="s">
        <v>53</v>
      </c>
      <c r="AK226" s="10" t="s">
        <v>368</v>
      </c>
      <c r="AL226" s="10" t="s">
        <v>1664</v>
      </c>
      <c r="AM226" s="11" t="s">
        <v>1665</v>
      </c>
      <c r="AN226" s="11" t="s">
        <v>103</v>
      </c>
      <c r="AO226" s="5" t="s">
        <v>367</v>
      </c>
      <c r="AP226" s="11" t="s">
        <v>1662</v>
      </c>
      <c r="AQ226" s="11" t="s">
        <v>1663</v>
      </c>
      <c r="AR226" s="11" t="s">
        <v>1607</v>
      </c>
      <c r="AS226" s="36" t="s">
        <v>1668</v>
      </c>
      <c r="AT226" s="11" t="s">
        <v>75</v>
      </c>
      <c r="AU226" s="11" t="s">
        <v>1677</v>
      </c>
      <c r="AV226" s="13" t="s">
        <v>1608</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1567</v>
      </c>
      <c r="E227" s="26">
        <v>94140</v>
      </c>
      <c r="F227" s="42" t="s">
        <v>1568</v>
      </c>
      <c r="G227" s="39" t="str">
        <f>Tableau1[[#This Row],[Rue]]&amp;CHAR(10)&amp;Tableau1[[#This Row],[Code Postal]]&amp;" - "&amp;Tableau1[[#This Row],[Ville]]</f>
        <v>5 rue Victor Hugo
94140 - Alfortville</v>
      </c>
      <c r="H227" s="15" t="s">
        <v>1787</v>
      </c>
      <c r="I227" s="12" t="s">
        <v>45</v>
      </c>
      <c r="J227" s="12" t="s">
        <v>44</v>
      </c>
      <c r="K227" s="10" t="s">
        <v>103</v>
      </c>
      <c r="L227" s="53" t="s">
        <v>1542</v>
      </c>
      <c r="M227" s="12" t="s">
        <v>103</v>
      </c>
      <c r="N227" s="36"/>
      <c r="O227" s="34">
        <v>143</v>
      </c>
      <c r="P227" s="6" t="s">
        <v>103</v>
      </c>
      <c r="Q227" s="34" t="s">
        <v>103</v>
      </c>
      <c r="R227" s="34" t="s">
        <v>103</v>
      </c>
      <c r="S227" s="6" t="s">
        <v>103</v>
      </c>
      <c r="T227" s="12">
        <f>Tableau1[[#This Row],[Loyer €/m²]]*Tableau1[[#This Row],[Surface GLA]]</f>
        <v>42900</v>
      </c>
      <c r="U227" s="12">
        <f>IFERROR(Tableau1[[#This Row],[Loyer annuel]]/12,"")</f>
        <v>3575</v>
      </c>
      <c r="V227" s="12">
        <v>300</v>
      </c>
      <c r="W227" s="34" t="s">
        <v>103</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45579.82</v>
      </c>
      <c r="AF227" s="12" t="str">
        <f t="shared" si="12"/>
        <v>3 mois = 10 725 €</v>
      </c>
      <c r="AG227" s="12" t="s">
        <v>103</v>
      </c>
      <c r="AH227" s="51">
        <v>1.4999999999999999E-2</v>
      </c>
      <c r="AI227" s="12" t="s">
        <v>380</v>
      </c>
      <c r="AJ227" s="10" t="s">
        <v>75</v>
      </c>
      <c r="AK227" s="10" t="s">
        <v>369</v>
      </c>
      <c r="AL227" s="10"/>
      <c r="AM227" s="11"/>
      <c r="AN227" s="11" t="s">
        <v>1571</v>
      </c>
      <c r="AO227" s="5" t="s">
        <v>367</v>
      </c>
      <c r="AP227" s="11" t="s">
        <v>1788</v>
      </c>
      <c r="AQ227" s="11" t="s">
        <v>1789</v>
      </c>
      <c r="AR227" s="11">
        <v>69</v>
      </c>
      <c r="AS227" s="36" t="s">
        <v>1828</v>
      </c>
      <c r="AT227" s="11" t="s">
        <v>75</v>
      </c>
      <c r="AU227" s="11" t="s">
        <v>1610</v>
      </c>
      <c r="AV227" s="13" t="s">
        <v>1609</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1570</v>
      </c>
      <c r="E228" s="26">
        <v>69500</v>
      </c>
      <c r="F228" s="54" t="s">
        <v>1569</v>
      </c>
      <c r="G228" s="39" t="str">
        <f>Tableau1[[#This Row],[Rue]]&amp;CHAR(10)&amp;Tableau1[[#This Row],[Code Postal]]&amp;" - "&amp;Tableau1[[#This Row],[Ville]]</f>
        <v>Place du général Jean Raby
69500 - Bron</v>
      </c>
      <c r="H228" s="15" t="s">
        <v>1785</v>
      </c>
      <c r="I228" s="12" t="s">
        <v>45</v>
      </c>
      <c r="J228" s="12" t="s">
        <v>44</v>
      </c>
      <c r="K228" s="10" t="s">
        <v>103</v>
      </c>
      <c r="L228" s="53" t="s">
        <v>1542</v>
      </c>
      <c r="M228" s="12" t="s">
        <v>103</v>
      </c>
      <c r="N228" s="36" t="s">
        <v>336</v>
      </c>
      <c r="O228" s="34">
        <v>228</v>
      </c>
      <c r="P228" s="6" t="s">
        <v>103</v>
      </c>
      <c r="Q228" s="34" t="s">
        <v>103</v>
      </c>
      <c r="R228" s="34" t="s">
        <v>103</v>
      </c>
      <c r="S228" s="6" t="s">
        <v>103</v>
      </c>
      <c r="T228" s="12">
        <f>Tableau1[[#This Row],[Loyer €/m²]]*Tableau1[[#This Row],[Surface GLA]]</f>
        <v>45600</v>
      </c>
      <c r="U228" s="12">
        <f>IFERROR(Tableau1[[#This Row],[Loyer annuel]]/12,"")</f>
        <v>3800</v>
      </c>
      <c r="V228" s="12">
        <v>200</v>
      </c>
      <c r="W228" s="34" t="s">
        <v>103</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48912.84</v>
      </c>
      <c r="AF228" s="12" t="str">
        <f t="shared" si="12"/>
        <v>3 mois = 11 400 €</v>
      </c>
      <c r="AG228" s="12" t="s">
        <v>103</v>
      </c>
      <c r="AH228" s="51">
        <v>1.4999999999999999E-2</v>
      </c>
      <c r="AI228" s="12" t="s">
        <v>380</v>
      </c>
      <c r="AJ228" s="10" t="s">
        <v>75</v>
      </c>
      <c r="AK228" s="10" t="s">
        <v>369</v>
      </c>
      <c r="AL228" s="10"/>
      <c r="AM228" s="11"/>
      <c r="AN228" s="11" t="s">
        <v>1571</v>
      </c>
      <c r="AO228" s="5" t="s">
        <v>367</v>
      </c>
      <c r="AP228" s="11" t="s">
        <v>1759</v>
      </c>
      <c r="AQ228" s="11" t="s">
        <v>1760</v>
      </c>
      <c r="AR228" s="11" t="s">
        <v>1636</v>
      </c>
      <c r="AS228" s="36" t="s">
        <v>1771</v>
      </c>
      <c r="AT228" s="11" t="s">
        <v>75</v>
      </c>
      <c r="AU228" s="11" t="s">
        <v>1611</v>
      </c>
      <c r="AV228" s="13" t="s">
        <v>1609</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1596</v>
      </c>
      <c r="E229" s="26">
        <v>69500</v>
      </c>
      <c r="F229" s="54" t="s">
        <v>1569</v>
      </c>
      <c r="G229" s="39" t="str">
        <f>Tableau1[[#This Row],[Rue]]&amp;CHAR(10)&amp;Tableau1[[#This Row],[Code Postal]]&amp;" - "&amp;Tableau1[[#This Row],[Ville]]</f>
        <v>rue du Colonel Arnaud Beltrame
69500 - Bron</v>
      </c>
      <c r="H229" s="15" t="s">
        <v>1786</v>
      </c>
      <c r="I229" s="12" t="s">
        <v>45</v>
      </c>
      <c r="J229" s="12" t="s">
        <v>44</v>
      </c>
      <c r="K229" s="10" t="s">
        <v>103</v>
      </c>
      <c r="L229" s="53" t="s">
        <v>1542</v>
      </c>
      <c r="M229" s="12" t="s">
        <v>103</v>
      </c>
      <c r="N229" s="36" t="s">
        <v>1183</v>
      </c>
      <c r="O229" s="34">
        <v>363</v>
      </c>
      <c r="P229" s="6" t="s">
        <v>103</v>
      </c>
      <c r="Q229" s="34" t="s">
        <v>103</v>
      </c>
      <c r="R229" s="34" t="s">
        <v>103</v>
      </c>
      <c r="S229" s="6" t="s">
        <v>103</v>
      </c>
      <c r="T229" s="12">
        <f>Tableau1[[#This Row],[Loyer €/m²]]*Tableau1[[#This Row],[Surface GLA]]</f>
        <v>54450</v>
      </c>
      <c r="U229" s="12">
        <f>IFERROR(Tableau1[[#This Row],[Loyer annuel]]/12,"")</f>
        <v>4537.5</v>
      </c>
      <c r="V229" s="12">
        <v>150</v>
      </c>
      <c r="W229" s="34" t="s">
        <v>103</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55640.639999999999</v>
      </c>
      <c r="AF229" s="12" t="str">
        <f t="shared" si="12"/>
        <v>3 mois = 13 613 €</v>
      </c>
      <c r="AG229" s="12" t="s">
        <v>103</v>
      </c>
      <c r="AH229" s="51">
        <v>1.4999999999999999E-2</v>
      </c>
      <c r="AI229" s="12" t="s">
        <v>380</v>
      </c>
      <c r="AJ229" s="10" t="s">
        <v>75</v>
      </c>
      <c r="AK229" s="10" t="s">
        <v>369</v>
      </c>
      <c r="AL229" s="10"/>
      <c r="AM229" s="11"/>
      <c r="AN229" s="11" t="s">
        <v>1571</v>
      </c>
      <c r="AO229" s="5" t="s">
        <v>367</v>
      </c>
      <c r="AP229" s="11" t="s">
        <v>1761</v>
      </c>
      <c r="AQ229" s="11" t="s">
        <v>1762</v>
      </c>
      <c r="AR229" s="11" t="s">
        <v>1637</v>
      </c>
      <c r="AS229" s="36" t="s">
        <v>1772</v>
      </c>
      <c r="AT229" s="11" t="s">
        <v>75</v>
      </c>
      <c r="AU229" s="11" t="s">
        <v>1612</v>
      </c>
      <c r="AV229" s="13" t="s">
        <v>1609</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1596</v>
      </c>
      <c r="E230" s="26">
        <v>69500</v>
      </c>
      <c r="F230" s="54" t="s">
        <v>1569</v>
      </c>
      <c r="G230" s="39" t="str">
        <f>Tableau1[[#This Row],[Rue]]&amp;CHAR(10)&amp;Tableau1[[#This Row],[Code Postal]]&amp;" - "&amp;Tableau1[[#This Row],[Ville]]</f>
        <v>rue du Colonel Arnaud Beltrame
69500 - Bron</v>
      </c>
      <c r="H230" s="15" t="s">
        <v>1786</v>
      </c>
      <c r="I230" s="12" t="s">
        <v>45</v>
      </c>
      <c r="J230" s="12" t="s">
        <v>44</v>
      </c>
      <c r="K230" s="10" t="s">
        <v>103</v>
      </c>
      <c r="L230" s="53" t="s">
        <v>1542</v>
      </c>
      <c r="M230" s="12" t="s">
        <v>103</v>
      </c>
      <c r="N230" s="36" t="s">
        <v>1581</v>
      </c>
      <c r="O230" s="34">
        <v>110</v>
      </c>
      <c r="P230" s="6" t="s">
        <v>103</v>
      </c>
      <c r="Q230" s="34">
        <v>222</v>
      </c>
      <c r="R230" s="34" t="s">
        <v>103</v>
      </c>
      <c r="S230" s="6" t="s">
        <v>103</v>
      </c>
      <c r="T230" s="12">
        <f>Tableau1[[#This Row],[Loyer €/m²]]*Tableau1[[#This Row],[Surface GLA]]</f>
        <v>27500</v>
      </c>
      <c r="U230" s="12">
        <f>IFERROR(Tableau1[[#This Row],[Loyer annuel]]/12,"")</f>
        <v>2291.6666666666665</v>
      </c>
      <c r="V230" s="12">
        <v>250</v>
      </c>
      <c r="W230" s="34" t="s">
        <v>103</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27859.7</v>
      </c>
      <c r="AF230" s="12" t="str">
        <f t="shared" si="12"/>
        <v>3 mois = 6 875 €</v>
      </c>
      <c r="AG230" s="12" t="s">
        <v>103</v>
      </c>
      <c r="AH230" s="51">
        <v>1.4999999999999999E-2</v>
      </c>
      <c r="AI230" s="12" t="s">
        <v>380</v>
      </c>
      <c r="AJ230" s="10" t="s">
        <v>75</v>
      </c>
      <c r="AK230" s="10" t="s">
        <v>369</v>
      </c>
      <c r="AL230" s="10"/>
      <c r="AM230" s="11"/>
      <c r="AN230" s="11" t="s">
        <v>1571</v>
      </c>
      <c r="AO230" s="5" t="s">
        <v>367</v>
      </c>
      <c r="AP230" s="11" t="s">
        <v>1763</v>
      </c>
      <c r="AQ230" s="11" t="s">
        <v>1764</v>
      </c>
      <c r="AR230" s="11" t="s">
        <v>1638</v>
      </c>
      <c r="AS230" s="36" t="s">
        <v>1773</v>
      </c>
      <c r="AT230" s="11" t="s">
        <v>75</v>
      </c>
      <c r="AU230" s="11" t="s">
        <v>1613</v>
      </c>
      <c r="AV230" s="13" t="s">
        <v>1609</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1596</v>
      </c>
      <c r="E231" s="26">
        <v>69500</v>
      </c>
      <c r="F231" s="54" t="s">
        <v>1569</v>
      </c>
      <c r="G231" s="39" t="str">
        <f>Tableau1[[#This Row],[Rue]]&amp;CHAR(10)&amp;Tableau1[[#This Row],[Code Postal]]&amp;" - "&amp;Tableau1[[#This Row],[Ville]]</f>
        <v>rue du Colonel Arnaud Beltrame
69500 - Bron</v>
      </c>
      <c r="H231" s="15" t="s">
        <v>1786</v>
      </c>
      <c r="I231" s="12" t="s">
        <v>45</v>
      </c>
      <c r="J231" s="12" t="s">
        <v>44</v>
      </c>
      <c r="K231" s="10" t="s">
        <v>103</v>
      </c>
      <c r="L231" s="53" t="s">
        <v>1542</v>
      </c>
      <c r="M231" s="12" t="s">
        <v>103</v>
      </c>
      <c r="N231" s="36" t="s">
        <v>1196</v>
      </c>
      <c r="O231" s="34">
        <v>112</v>
      </c>
      <c r="P231" s="6" t="s">
        <v>103</v>
      </c>
      <c r="Q231" s="34">
        <v>222</v>
      </c>
      <c r="R231" s="34" t="s">
        <v>103</v>
      </c>
      <c r="S231" s="6" t="s">
        <v>103</v>
      </c>
      <c r="T231" s="12">
        <f>Tableau1[[#This Row],[Loyer €/m²]]*Tableau1[[#This Row],[Surface GLA]]</f>
        <v>28000</v>
      </c>
      <c r="U231" s="12">
        <f>IFERROR(Tableau1[[#This Row],[Loyer annuel]]/12,"")</f>
        <v>2333.3333333333335</v>
      </c>
      <c r="V231" s="12">
        <v>250</v>
      </c>
      <c r="W231" s="34" t="s">
        <v>103</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28243.040000000001</v>
      </c>
      <c r="AF231" s="12" t="str">
        <f t="shared" si="12"/>
        <v>3 mois = 7 000 €</v>
      </c>
      <c r="AG231" s="12" t="s">
        <v>103</v>
      </c>
      <c r="AH231" s="51">
        <v>1.4999999999999999E-2</v>
      </c>
      <c r="AI231" s="12" t="s">
        <v>380</v>
      </c>
      <c r="AJ231" s="10" t="s">
        <v>75</v>
      </c>
      <c r="AK231" s="10" t="s">
        <v>369</v>
      </c>
      <c r="AL231" s="10"/>
      <c r="AM231" s="11"/>
      <c r="AN231" s="11" t="s">
        <v>1571</v>
      </c>
      <c r="AO231" s="5" t="s">
        <v>367</v>
      </c>
      <c r="AP231" s="11" t="s">
        <v>1765</v>
      </c>
      <c r="AQ231" s="11" t="s">
        <v>1766</v>
      </c>
      <c r="AR231" s="11" t="s">
        <v>1639</v>
      </c>
      <c r="AS231" s="36" t="s">
        <v>1773</v>
      </c>
      <c r="AT231" s="11" t="s">
        <v>75</v>
      </c>
      <c r="AU231" s="11" t="s">
        <v>1614</v>
      </c>
      <c r="AV231" s="13" t="s">
        <v>1609</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1596</v>
      </c>
      <c r="E232" s="26">
        <v>69500</v>
      </c>
      <c r="F232" s="54" t="s">
        <v>1569</v>
      </c>
      <c r="G232" s="39" t="str">
        <f>Tableau1[[#This Row],[Rue]]&amp;CHAR(10)&amp;Tableau1[[#This Row],[Code Postal]]&amp;" - "&amp;Tableau1[[#This Row],[Ville]]</f>
        <v>rue du Colonel Arnaud Beltrame
69500 - Bron</v>
      </c>
      <c r="H232" s="15" t="s">
        <v>1786</v>
      </c>
      <c r="I232" s="12" t="s">
        <v>45</v>
      </c>
      <c r="J232" s="12" t="s">
        <v>44</v>
      </c>
      <c r="K232" s="10" t="s">
        <v>103</v>
      </c>
      <c r="L232" s="53" t="s">
        <v>1542</v>
      </c>
      <c r="M232" s="12" t="s">
        <v>103</v>
      </c>
      <c r="N232" s="36" t="s">
        <v>1582</v>
      </c>
      <c r="O232" s="34">
        <v>86</v>
      </c>
      <c r="P232" s="6" t="s">
        <v>103</v>
      </c>
      <c r="Q232" s="34">
        <v>179</v>
      </c>
      <c r="R232" s="34" t="s">
        <v>103</v>
      </c>
      <c r="S232" s="6" t="s">
        <v>103</v>
      </c>
      <c r="T232" s="12">
        <f>Tableau1[[#This Row],[Loyer €/m²]]*Tableau1[[#This Row],[Surface GLA]]</f>
        <v>21500</v>
      </c>
      <c r="U232" s="12">
        <f>IFERROR(Tableau1[[#This Row],[Loyer annuel]]/12,"")</f>
        <v>1791.6666666666667</v>
      </c>
      <c r="V232" s="12">
        <v>250</v>
      </c>
      <c r="W232" s="34" t="s">
        <v>103</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21783.8</v>
      </c>
      <c r="AF232" s="12" t="str">
        <f t="shared" si="12"/>
        <v>3 mois = 5 375 €</v>
      </c>
      <c r="AG232" s="12" t="s">
        <v>103</v>
      </c>
      <c r="AH232" s="51">
        <v>1.4999999999999999E-2</v>
      </c>
      <c r="AI232" s="12" t="s">
        <v>380</v>
      </c>
      <c r="AJ232" s="10" t="s">
        <v>75</v>
      </c>
      <c r="AK232" s="10" t="s">
        <v>369</v>
      </c>
      <c r="AL232" s="10"/>
      <c r="AM232" s="11"/>
      <c r="AN232" s="11" t="s">
        <v>1571</v>
      </c>
      <c r="AO232" s="5" t="s">
        <v>367</v>
      </c>
      <c r="AP232" s="11" t="s">
        <v>1767</v>
      </c>
      <c r="AQ232" s="11" t="s">
        <v>1768</v>
      </c>
      <c r="AR232" s="11" t="s">
        <v>1640</v>
      </c>
      <c r="AS232" s="36" t="s">
        <v>1774</v>
      </c>
      <c r="AT232" s="11" t="s">
        <v>75</v>
      </c>
      <c r="AU232" s="11" t="s">
        <v>1679</v>
      </c>
      <c r="AV232" s="13" t="s">
        <v>1609</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1596</v>
      </c>
      <c r="E233" s="26">
        <v>69500</v>
      </c>
      <c r="F233" s="54" t="s">
        <v>1569</v>
      </c>
      <c r="G233" s="39" t="str">
        <f>Tableau1[[#This Row],[Rue]]&amp;CHAR(10)&amp;Tableau1[[#This Row],[Code Postal]]&amp;" - "&amp;Tableau1[[#This Row],[Ville]]</f>
        <v>rue du Colonel Arnaud Beltrame
69500 - Bron</v>
      </c>
      <c r="H233" s="15" t="s">
        <v>1786</v>
      </c>
      <c r="I233" s="12" t="s">
        <v>45</v>
      </c>
      <c r="J233" s="12" t="s">
        <v>44</v>
      </c>
      <c r="K233" s="10" t="s">
        <v>103</v>
      </c>
      <c r="L233" s="53" t="s">
        <v>1542</v>
      </c>
      <c r="M233" s="12" t="s">
        <v>103</v>
      </c>
      <c r="N233" s="36" t="s">
        <v>1583</v>
      </c>
      <c r="O233" s="34">
        <v>91</v>
      </c>
      <c r="P233" s="6" t="s">
        <v>103</v>
      </c>
      <c r="Q233" s="34">
        <v>179</v>
      </c>
      <c r="R233" s="34" t="s">
        <v>103</v>
      </c>
      <c r="S233" s="6" t="s">
        <v>103</v>
      </c>
      <c r="T233" s="12">
        <f>Tableau1[[#This Row],[Loyer €/m²]]*Tableau1[[#This Row],[Surface GLA]]</f>
        <v>22750</v>
      </c>
      <c r="U233" s="12">
        <f>IFERROR(Tableau1[[#This Row],[Loyer annuel]]/12,"")</f>
        <v>1895.8333333333333</v>
      </c>
      <c r="V233" s="12">
        <v>250</v>
      </c>
      <c r="W233" s="34" t="s">
        <v>103</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23072.14</v>
      </c>
      <c r="AF233" s="12" t="str">
        <f t="shared" si="12"/>
        <v>3 mois = 5 688 €</v>
      </c>
      <c r="AG233" s="12" t="s">
        <v>103</v>
      </c>
      <c r="AH233" s="51">
        <v>1.4999999999999999E-2</v>
      </c>
      <c r="AI233" s="12" t="s">
        <v>380</v>
      </c>
      <c r="AJ233" s="10" t="s">
        <v>75</v>
      </c>
      <c r="AK233" s="10" t="s">
        <v>369</v>
      </c>
      <c r="AL233" s="10"/>
      <c r="AM233" s="11"/>
      <c r="AN233" s="11" t="s">
        <v>1571</v>
      </c>
      <c r="AO233" s="5" t="s">
        <v>367</v>
      </c>
      <c r="AP233" s="11" t="s">
        <v>1769</v>
      </c>
      <c r="AQ233" s="11" t="s">
        <v>1770</v>
      </c>
      <c r="AR233" s="11" t="s">
        <v>1641</v>
      </c>
      <c r="AS233" s="36" t="s">
        <v>1774</v>
      </c>
      <c r="AT233" s="11" t="s">
        <v>75</v>
      </c>
      <c r="AU233" s="11" t="s">
        <v>1680</v>
      </c>
      <c r="AV233" s="13" t="s">
        <v>1609</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1596</v>
      </c>
      <c r="E234" s="26">
        <v>69500</v>
      </c>
      <c r="F234" s="54" t="s">
        <v>1569</v>
      </c>
      <c r="G234" s="39" t="str">
        <f>Tableau1[[#This Row],[Rue]]&amp;CHAR(10)&amp;Tableau1[[#This Row],[Code Postal]]&amp;" - "&amp;Tableau1[[#This Row],[Ville]]</f>
        <v>rue du Colonel Arnaud Beltrame
69500 - Bron</v>
      </c>
      <c r="H234" s="15" t="s">
        <v>1784</v>
      </c>
      <c r="I234" s="12" t="s">
        <v>45</v>
      </c>
      <c r="J234" s="12" t="s">
        <v>44</v>
      </c>
      <c r="K234" s="10" t="s">
        <v>103</v>
      </c>
      <c r="L234" s="53" t="s">
        <v>1542</v>
      </c>
      <c r="M234" s="12" t="s">
        <v>103</v>
      </c>
      <c r="N234" s="36" t="s">
        <v>1584</v>
      </c>
      <c r="O234" s="34">
        <v>167</v>
      </c>
      <c r="P234" s="6" t="s">
        <v>103</v>
      </c>
      <c r="Q234" s="34">
        <v>260</v>
      </c>
      <c r="R234" s="34" t="s">
        <v>103</v>
      </c>
      <c r="S234" s="6" t="s">
        <v>103</v>
      </c>
      <c r="T234" s="12">
        <f>Tableau1[[#This Row],[Loyer €/m²]]*Tableau1[[#This Row],[Surface GLA]]</f>
        <v>33400</v>
      </c>
      <c r="U234" s="12">
        <f>IFERROR(Tableau1[[#This Row],[Loyer annuel]]/12,"")</f>
        <v>2783.3333333333335</v>
      </c>
      <c r="V234" s="12">
        <v>200</v>
      </c>
      <c r="W234" s="34" t="s">
        <v>103</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34046.29</v>
      </c>
      <c r="AF234" s="12" t="str">
        <f t="shared" si="12"/>
        <v>3 mois = 8 350 €</v>
      </c>
      <c r="AG234" s="12" t="s">
        <v>103</v>
      </c>
      <c r="AH234" s="51">
        <v>1.4999999999999999E-2</v>
      </c>
      <c r="AI234" s="12" t="s">
        <v>380</v>
      </c>
      <c r="AJ234" s="10" t="s">
        <v>75</v>
      </c>
      <c r="AK234" s="10" t="s">
        <v>369</v>
      </c>
      <c r="AL234" s="10"/>
      <c r="AM234" s="11"/>
      <c r="AN234" s="11" t="s">
        <v>1571</v>
      </c>
      <c r="AO234" s="5" t="s">
        <v>367</v>
      </c>
      <c r="AP234" s="11" t="s">
        <v>1775</v>
      </c>
      <c r="AQ234" s="11" t="s">
        <v>1776</v>
      </c>
      <c r="AR234" s="11" t="s">
        <v>1642</v>
      </c>
      <c r="AS234" s="36" t="s">
        <v>1781</v>
      </c>
      <c r="AT234" s="11" t="s">
        <v>75</v>
      </c>
      <c r="AU234" s="11" t="s">
        <v>1615</v>
      </c>
      <c r="AV234" s="13" t="s">
        <v>1609</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1596</v>
      </c>
      <c r="E235" s="26">
        <v>69501</v>
      </c>
      <c r="F235" s="54" t="s">
        <v>1569</v>
      </c>
      <c r="G235" s="39" t="str">
        <f>Tableau1[[#This Row],[Rue]]&amp;CHAR(10)&amp;Tableau1[[#This Row],[Code Postal]]&amp;" - "&amp;Tableau1[[#This Row],[Ville]]</f>
        <v>rue du Colonel Arnaud Beltrame
69501 - Bron</v>
      </c>
      <c r="H235" s="15" t="s">
        <v>1784</v>
      </c>
      <c r="I235" s="12" t="s">
        <v>45</v>
      </c>
      <c r="J235" s="12" t="s">
        <v>44</v>
      </c>
      <c r="K235" s="10" t="s">
        <v>103</v>
      </c>
      <c r="L235" s="53" t="s">
        <v>1542</v>
      </c>
      <c r="M235" s="12" t="s">
        <v>103</v>
      </c>
      <c r="N235" s="36" t="s">
        <v>1685</v>
      </c>
      <c r="O235" s="34">
        <v>93</v>
      </c>
      <c r="P235" s="6" t="s">
        <v>103</v>
      </c>
      <c r="Q235" s="34">
        <v>260</v>
      </c>
      <c r="R235" s="34" t="s">
        <v>103</v>
      </c>
      <c r="S235" s="6" t="s">
        <v>103</v>
      </c>
      <c r="T235" s="12">
        <f>Tableau1[[#This Row],[Loyer €/m²]]*Tableau1[[#This Row],[Surface GLA]]</f>
        <v>18600</v>
      </c>
      <c r="U235" s="12">
        <f>IFERROR(Tableau1[[#This Row],[Loyer annuel]]/12,"")</f>
        <v>1550</v>
      </c>
      <c r="V235" s="12">
        <v>200</v>
      </c>
      <c r="W235" s="34" t="s">
        <v>103</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103</v>
      </c>
      <c r="AH235" s="51">
        <v>1.4999999999999999E-2</v>
      </c>
      <c r="AI235" s="12" t="s">
        <v>380</v>
      </c>
      <c r="AJ235" s="10" t="s">
        <v>75</v>
      </c>
      <c r="AK235" s="10" t="s">
        <v>369</v>
      </c>
      <c r="AL235" s="10"/>
      <c r="AM235" s="11"/>
      <c r="AN235" s="11" t="s">
        <v>1686</v>
      </c>
      <c r="AO235" s="5" t="s">
        <v>367</v>
      </c>
      <c r="AP235" s="11" t="s">
        <v>1777</v>
      </c>
      <c r="AQ235" s="11" t="s">
        <v>1778</v>
      </c>
      <c r="AR235" s="11" t="s">
        <v>1643</v>
      </c>
      <c r="AS235" s="36" t="s">
        <v>1782</v>
      </c>
      <c r="AT235" s="11" t="s">
        <v>75</v>
      </c>
      <c r="AU235" s="11" t="s">
        <v>1688</v>
      </c>
      <c r="AV235" s="13" t="s">
        <v>1609</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1596</v>
      </c>
      <c r="E236" s="26">
        <v>69500</v>
      </c>
      <c r="F236" s="54" t="s">
        <v>1569</v>
      </c>
      <c r="G236" s="39" t="str">
        <f>Tableau1[[#This Row],[Rue]]&amp;CHAR(10)&amp;Tableau1[[#This Row],[Code Postal]]&amp;" - "&amp;Tableau1[[#This Row],[Ville]]</f>
        <v>rue du Colonel Arnaud Beltrame
69500 - Bron</v>
      </c>
      <c r="H236" s="15" t="s">
        <v>1784</v>
      </c>
      <c r="I236" s="12" t="s">
        <v>45</v>
      </c>
      <c r="J236" s="12" t="s">
        <v>44</v>
      </c>
      <c r="K236" s="10" t="s">
        <v>103</v>
      </c>
      <c r="L236" s="53" t="s">
        <v>1542</v>
      </c>
      <c r="M236" s="12" t="s">
        <v>103</v>
      </c>
      <c r="N236" s="36" t="s">
        <v>170</v>
      </c>
      <c r="O236" s="34">
        <v>123</v>
      </c>
      <c r="P236" s="6" t="s">
        <v>103</v>
      </c>
      <c r="Q236" s="34" t="s">
        <v>103</v>
      </c>
      <c r="R236" s="34" t="s">
        <v>103</v>
      </c>
      <c r="S236" s="6" t="s">
        <v>103</v>
      </c>
      <c r="T236" s="12">
        <f>Tableau1[[#This Row],[Loyer €/m²]]*Tableau1[[#This Row],[Surface GLA]]</f>
        <v>24600</v>
      </c>
      <c r="U236" s="12">
        <f>IFERROR(Tableau1[[#This Row],[Loyer annuel]]/12,"")</f>
        <v>2050</v>
      </c>
      <c r="V236" s="12">
        <v>200</v>
      </c>
      <c r="W236" s="34" t="s">
        <v>103</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25076.01</v>
      </c>
      <c r="AF236" s="12" t="str">
        <f t="shared" si="12"/>
        <v>3 mois = 6 150 €</v>
      </c>
      <c r="AG236" s="12" t="s">
        <v>103</v>
      </c>
      <c r="AH236" s="51">
        <v>1.4999999999999999E-2</v>
      </c>
      <c r="AI236" s="12" t="s">
        <v>380</v>
      </c>
      <c r="AJ236" s="10" t="s">
        <v>75</v>
      </c>
      <c r="AK236" s="10" t="s">
        <v>369</v>
      </c>
      <c r="AL236" s="10"/>
      <c r="AM236" s="11"/>
      <c r="AN236" s="11" t="s">
        <v>1571</v>
      </c>
      <c r="AO236" s="5" t="s">
        <v>367</v>
      </c>
      <c r="AP236" s="11" t="s">
        <v>1779</v>
      </c>
      <c r="AQ236" s="11" t="s">
        <v>1780</v>
      </c>
      <c r="AR236" s="11" t="s">
        <v>1687</v>
      </c>
      <c r="AS236" s="36" t="s">
        <v>1783</v>
      </c>
      <c r="AT236" s="11" t="s">
        <v>75</v>
      </c>
      <c r="AU236" s="11" t="s">
        <v>1616</v>
      </c>
      <c r="AV236" s="13" t="s">
        <v>1609</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1690</v>
      </c>
      <c r="E237" s="26">
        <v>92700</v>
      </c>
      <c r="F237" s="54" t="s">
        <v>1572</v>
      </c>
      <c r="G237" s="39" t="str">
        <f>Tableau1[[#This Row],[Rue]]&amp;CHAR(10)&amp;Tableau1[[#This Row],[Code Postal]]&amp;" - "&amp;Tableau1[[#This Row],[Ville]]</f>
        <v>165 rue des Entrepreneurs
92700 - Colombes</v>
      </c>
      <c r="H237" s="15" t="s">
        <v>1689</v>
      </c>
      <c r="I237" s="12" t="s">
        <v>45</v>
      </c>
      <c r="J237" s="12" t="s">
        <v>44</v>
      </c>
      <c r="K237" s="10" t="s">
        <v>103</v>
      </c>
      <c r="L237" s="53" t="s">
        <v>1542</v>
      </c>
      <c r="M237" s="12" t="s">
        <v>103</v>
      </c>
      <c r="N237" s="36" t="s">
        <v>357</v>
      </c>
      <c r="O237" s="34">
        <v>200</v>
      </c>
      <c r="P237" s="6" t="s">
        <v>103</v>
      </c>
      <c r="Q237" s="34" t="s">
        <v>103</v>
      </c>
      <c r="R237" s="34" t="s">
        <v>103</v>
      </c>
      <c r="S237" s="6" t="s">
        <v>103</v>
      </c>
      <c r="T237" s="12">
        <f>Tableau1[[#This Row],[Loyer €/m²]]*Tableau1[[#This Row],[Surface GLA]]</f>
        <v>30000</v>
      </c>
      <c r="U237" s="12">
        <f>IFERROR(Tableau1[[#This Row],[Loyer annuel]]/12,"")</f>
        <v>2500</v>
      </c>
      <c r="V237" s="12">
        <v>150</v>
      </c>
      <c r="W237" s="34" t="s">
        <v>103</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30000</v>
      </c>
      <c r="AF237" s="12" t="str">
        <f t="shared" si="12"/>
        <v>3 mois = 7 500 €</v>
      </c>
      <c r="AG237" s="12" t="s">
        <v>103</v>
      </c>
      <c r="AH237" s="51">
        <v>1.4999999999999999E-2</v>
      </c>
      <c r="AI237" s="12" t="s">
        <v>380</v>
      </c>
      <c r="AJ237" s="10" t="s">
        <v>75</v>
      </c>
      <c r="AK237" s="10" t="s">
        <v>369</v>
      </c>
      <c r="AL237" s="10"/>
      <c r="AM237" s="11"/>
      <c r="AN237" s="11" t="s">
        <v>1571</v>
      </c>
      <c r="AO237" s="5" t="s">
        <v>367</v>
      </c>
      <c r="AP237" s="11" t="s">
        <v>1691</v>
      </c>
      <c r="AQ237" s="11" t="s">
        <v>1692</v>
      </c>
      <c r="AR237" s="11">
        <v>71</v>
      </c>
      <c r="AS237" s="36" t="s">
        <v>1693</v>
      </c>
      <c r="AT237" s="11" t="s">
        <v>75</v>
      </c>
      <c r="AU237" s="11" t="s">
        <v>1617</v>
      </c>
      <c r="AV237" s="13" t="s">
        <v>1609</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1682</v>
      </c>
      <c r="E238" s="26">
        <v>37300</v>
      </c>
      <c r="F238" s="42" t="s">
        <v>1573</v>
      </c>
      <c r="G238" s="39" t="str">
        <f>Tableau1[[#This Row],[Rue]]&amp;CHAR(10)&amp;Tableau1[[#This Row],[Code Postal]]&amp;" - "&amp;Tableau1[[#This Row],[Ville]]</f>
        <v>18 rue de la rotière
37300 - Joué les Tours</v>
      </c>
      <c r="H238" s="15" t="s">
        <v>1681</v>
      </c>
      <c r="I238" s="12" t="s">
        <v>45</v>
      </c>
      <c r="J238" s="12" t="s">
        <v>44</v>
      </c>
      <c r="K238" s="10" t="s">
        <v>103</v>
      </c>
      <c r="L238" s="53" t="s">
        <v>1542</v>
      </c>
      <c r="M238" s="12" t="s">
        <v>103</v>
      </c>
      <c r="N238" s="36"/>
      <c r="O238" s="34">
        <v>54</v>
      </c>
      <c r="P238" s="6" t="s">
        <v>103</v>
      </c>
      <c r="Q238" s="34" t="s">
        <v>103</v>
      </c>
      <c r="R238" s="34" t="s">
        <v>103</v>
      </c>
      <c r="S238" s="6" t="s">
        <v>103</v>
      </c>
      <c r="T238" s="12">
        <f>Tableau1[[#This Row],[Loyer €/m²]]*Tableau1[[#This Row],[Surface GLA]]</f>
        <v>10800</v>
      </c>
      <c r="U238" s="12">
        <f>IFERROR(Tableau1[[#This Row],[Loyer annuel]]/12,"")</f>
        <v>900</v>
      </c>
      <c r="V238" s="12">
        <v>200</v>
      </c>
      <c r="W238" s="34" t="s">
        <v>103</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10899.36</v>
      </c>
      <c r="AF238" s="12" t="str">
        <f t="shared" si="12"/>
        <v>3 mois = 2 700 €</v>
      </c>
      <c r="AG238" s="12" t="s">
        <v>103</v>
      </c>
      <c r="AH238" s="51">
        <v>1.4999999999999999E-2</v>
      </c>
      <c r="AI238" s="12" t="s">
        <v>380</v>
      </c>
      <c r="AJ238" s="10" t="s">
        <v>75</v>
      </c>
      <c r="AK238" s="10" t="s">
        <v>369</v>
      </c>
      <c r="AL238" s="10"/>
      <c r="AM238" s="11"/>
      <c r="AN238" s="11" t="s">
        <v>1571</v>
      </c>
      <c r="AO238" s="5" t="s">
        <v>367</v>
      </c>
      <c r="AP238" s="11" t="s">
        <v>1790</v>
      </c>
      <c r="AQ238" s="11" t="s">
        <v>1791</v>
      </c>
      <c r="AR238" s="11">
        <v>72</v>
      </c>
      <c r="AS238" s="36"/>
      <c r="AT238" s="11" t="s">
        <v>75</v>
      </c>
      <c r="AU238" s="11" t="s">
        <v>1618</v>
      </c>
      <c r="AV238" s="13" t="s">
        <v>1609</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1683</v>
      </c>
      <c r="E239" s="26">
        <v>59800</v>
      </c>
      <c r="F239" s="54" t="s">
        <v>1574</v>
      </c>
      <c r="G239" s="39" t="str">
        <f>Tableau1[[#This Row],[Rue]]&amp;CHAR(10)&amp;Tableau1[[#This Row],[Code Postal]]&amp;" - "&amp;Tableau1[[#This Row],[Ville]]</f>
        <v>12 rue des chaudronniers
59800 - Lille Fives</v>
      </c>
      <c r="H239" s="15" t="s">
        <v>1694</v>
      </c>
      <c r="I239" s="12" t="s">
        <v>45</v>
      </c>
      <c r="J239" s="12" t="s">
        <v>44</v>
      </c>
      <c r="K239" s="10" t="s">
        <v>103</v>
      </c>
      <c r="L239" s="53" t="s">
        <v>1542</v>
      </c>
      <c r="M239" s="12" t="s">
        <v>103</v>
      </c>
      <c r="N239" s="36" t="s">
        <v>335</v>
      </c>
      <c r="O239" s="34">
        <v>150</v>
      </c>
      <c r="P239" s="6" t="s">
        <v>103</v>
      </c>
      <c r="Q239" s="34" t="s">
        <v>103</v>
      </c>
      <c r="R239" s="34" t="s">
        <v>103</v>
      </c>
      <c r="S239" s="6" t="s">
        <v>103</v>
      </c>
      <c r="T239" s="12">
        <f>Tableau1[[#This Row],[Loyer €/m²]]*Tableau1[[#This Row],[Surface GLA]]</f>
        <v>30000</v>
      </c>
      <c r="U239" s="12">
        <f>IFERROR(Tableau1[[#This Row],[Loyer annuel]]/12,"")</f>
        <v>2500</v>
      </c>
      <c r="V239" s="12">
        <v>200</v>
      </c>
      <c r="W239" s="34" t="s">
        <v>103</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30877.5</v>
      </c>
      <c r="AF239" s="12" t="str">
        <f t="shared" si="12"/>
        <v>3 mois = 7 500 €</v>
      </c>
      <c r="AG239" s="12" t="s">
        <v>103</v>
      </c>
      <c r="AH239" s="51">
        <v>1.4999999999999999E-2</v>
      </c>
      <c r="AI239" s="12" t="s">
        <v>380</v>
      </c>
      <c r="AJ239" s="10" t="s">
        <v>75</v>
      </c>
      <c r="AK239" s="10" t="s">
        <v>369</v>
      </c>
      <c r="AL239" s="10"/>
      <c r="AM239" s="11"/>
      <c r="AN239" s="11" t="s">
        <v>1571</v>
      </c>
      <c r="AO239" s="5" t="s">
        <v>367</v>
      </c>
      <c r="AP239" s="11" t="s">
        <v>1696</v>
      </c>
      <c r="AQ239" s="11" t="s">
        <v>1695</v>
      </c>
      <c r="AR239" s="11">
        <v>73</v>
      </c>
      <c r="AS239" s="36" t="s">
        <v>1697</v>
      </c>
      <c r="AT239" s="11" t="s">
        <v>75</v>
      </c>
      <c r="AU239" s="11" t="s">
        <v>1619</v>
      </c>
      <c r="AV239" s="13" t="s">
        <v>1609</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1597</v>
      </c>
      <c r="E240" s="26">
        <v>59800</v>
      </c>
      <c r="F240" s="54" t="s">
        <v>1575</v>
      </c>
      <c r="G240" s="39" t="str">
        <f>Tableau1[[#This Row],[Rue]]&amp;CHAR(10)&amp;Tableau1[[#This Row],[Code Postal]]&amp;" - "&amp;Tableau1[[#This Row],[Ville]]</f>
        <v>178 rue Faidherbes
59800 - Lille Hellemmes</v>
      </c>
      <c r="H240" s="15" t="s">
        <v>1598</v>
      </c>
      <c r="I240" s="12" t="s">
        <v>45</v>
      </c>
      <c r="J240" s="12" t="s">
        <v>44</v>
      </c>
      <c r="K240" s="10" t="s">
        <v>103</v>
      </c>
      <c r="L240" s="53" t="s">
        <v>1542</v>
      </c>
      <c r="M240" s="12" t="s">
        <v>103</v>
      </c>
      <c r="N240" s="36" t="s">
        <v>1585</v>
      </c>
      <c r="O240" s="34">
        <v>173</v>
      </c>
      <c r="P240" s="6" t="s">
        <v>103</v>
      </c>
      <c r="Q240" s="34" t="s">
        <v>103</v>
      </c>
      <c r="R240" s="34" t="s">
        <v>103</v>
      </c>
      <c r="S240" s="6" t="s">
        <v>103</v>
      </c>
      <c r="T240" s="12">
        <f>Tableau1[[#This Row],[Loyer €/m²]]*Tableau1[[#This Row],[Surface GLA]]</f>
        <v>34600</v>
      </c>
      <c r="U240" s="12">
        <f>IFERROR(Tableau1[[#This Row],[Loyer annuel]]/12,"")</f>
        <v>2883.3333333333335</v>
      </c>
      <c r="V240" s="12">
        <v>200</v>
      </c>
      <c r="W240" s="34" t="s">
        <v>103</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43805.33</v>
      </c>
      <c r="AF240" s="12" t="str">
        <f t="shared" si="12"/>
        <v>3 mois = 8 650 €</v>
      </c>
      <c r="AG240" s="12" t="s">
        <v>103</v>
      </c>
      <c r="AH240" s="51">
        <v>1.4999999999999999E-2</v>
      </c>
      <c r="AI240" s="12" t="s">
        <v>380</v>
      </c>
      <c r="AJ240" s="10" t="s">
        <v>75</v>
      </c>
      <c r="AK240" s="10" t="s">
        <v>369</v>
      </c>
      <c r="AL240" s="10"/>
      <c r="AM240" s="11"/>
      <c r="AN240" s="11" t="s">
        <v>1571</v>
      </c>
      <c r="AO240" s="5" t="s">
        <v>367</v>
      </c>
      <c r="AP240" s="11" t="s">
        <v>1698</v>
      </c>
      <c r="AQ240" s="11" t="s">
        <v>1699</v>
      </c>
      <c r="AR240" s="11" t="s">
        <v>1644</v>
      </c>
      <c r="AS240" s="36" t="s">
        <v>1703</v>
      </c>
      <c r="AT240" s="11" t="s">
        <v>75</v>
      </c>
      <c r="AU240" s="11" t="s">
        <v>1622</v>
      </c>
      <c r="AV240" s="13" t="s">
        <v>1609</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1597</v>
      </c>
      <c r="E241" s="26">
        <v>59800</v>
      </c>
      <c r="F241" s="54" t="s">
        <v>1575</v>
      </c>
      <c r="G241" s="39" t="str">
        <f>Tableau1[[#This Row],[Rue]]&amp;CHAR(10)&amp;Tableau1[[#This Row],[Code Postal]]&amp;" - "&amp;Tableau1[[#This Row],[Ville]]</f>
        <v>178 rue Faidherbes
59800 - Lille Hellemmes</v>
      </c>
      <c r="H241" s="15" t="s">
        <v>1598</v>
      </c>
      <c r="I241" s="12" t="s">
        <v>45</v>
      </c>
      <c r="J241" s="12" t="s">
        <v>44</v>
      </c>
      <c r="K241" s="10" t="s">
        <v>103</v>
      </c>
      <c r="L241" s="53" t="s">
        <v>1542</v>
      </c>
      <c r="M241" s="12" t="s">
        <v>103</v>
      </c>
      <c r="N241" s="36" t="s">
        <v>1586</v>
      </c>
      <c r="O241" s="34">
        <v>52</v>
      </c>
      <c r="P241" s="6" t="s">
        <v>103</v>
      </c>
      <c r="Q241" s="34">
        <v>211</v>
      </c>
      <c r="R241" s="34" t="s">
        <v>103</v>
      </c>
      <c r="S241" s="6" t="s">
        <v>103</v>
      </c>
      <c r="T241" s="12">
        <f>Tableau1[[#This Row],[Loyer €/m²]]*Tableau1[[#This Row],[Surface GLA]]</f>
        <v>13000</v>
      </c>
      <c r="U241" s="12">
        <f>IFERROR(Tableau1[[#This Row],[Loyer annuel]]/12,"")</f>
        <v>1083.3333333333333</v>
      </c>
      <c r="V241" s="12">
        <v>250</v>
      </c>
      <c r="W241" s="34" t="s">
        <v>103</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13982.28</v>
      </c>
      <c r="AF241" s="12" t="str">
        <f t="shared" si="12"/>
        <v>3 mois = 3 250 €</v>
      </c>
      <c r="AG241" s="12" t="s">
        <v>103</v>
      </c>
      <c r="AH241" s="51">
        <v>1.4999999999999999E-2</v>
      </c>
      <c r="AI241" s="12" t="s">
        <v>380</v>
      </c>
      <c r="AJ241" s="10" t="s">
        <v>75</v>
      </c>
      <c r="AK241" s="10" t="s">
        <v>369</v>
      </c>
      <c r="AL241" s="10"/>
      <c r="AM241" s="11"/>
      <c r="AN241" s="11" t="s">
        <v>1571</v>
      </c>
      <c r="AO241" s="5" t="s">
        <v>367</v>
      </c>
      <c r="AP241" s="11" t="s">
        <v>1700</v>
      </c>
      <c r="AQ241" s="11" t="s">
        <v>1699</v>
      </c>
      <c r="AR241" s="11" t="s">
        <v>1645</v>
      </c>
      <c r="AS241" s="36" t="s">
        <v>1704</v>
      </c>
      <c r="AT241" s="11" t="s">
        <v>75</v>
      </c>
      <c r="AU241" s="11" t="s">
        <v>1620</v>
      </c>
      <c r="AV241" s="13" t="s">
        <v>1609</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1597</v>
      </c>
      <c r="E242" s="26">
        <v>59800</v>
      </c>
      <c r="F242" s="54" t="s">
        <v>1575</v>
      </c>
      <c r="G242" s="39" t="str">
        <f>Tableau1[[#This Row],[Rue]]&amp;CHAR(10)&amp;Tableau1[[#This Row],[Code Postal]]&amp;" - "&amp;Tableau1[[#This Row],[Ville]]</f>
        <v>178 rue Faidherbes
59800 - Lille Hellemmes</v>
      </c>
      <c r="H242" s="15" t="s">
        <v>1598</v>
      </c>
      <c r="I242" s="12" t="s">
        <v>45</v>
      </c>
      <c r="J242" s="12" t="s">
        <v>44</v>
      </c>
      <c r="K242" s="10" t="s">
        <v>103</v>
      </c>
      <c r="L242" s="53" t="s">
        <v>1542</v>
      </c>
      <c r="M242" s="12" t="s">
        <v>103</v>
      </c>
      <c r="N242" s="36" t="s">
        <v>1587</v>
      </c>
      <c r="O242" s="34">
        <v>38</v>
      </c>
      <c r="P242" s="6" t="s">
        <v>103</v>
      </c>
      <c r="Q242" s="34">
        <v>211</v>
      </c>
      <c r="R242" s="34" t="s">
        <v>103</v>
      </c>
      <c r="S242" s="6" t="s">
        <v>103</v>
      </c>
      <c r="T242" s="12">
        <f>Tableau1[[#This Row],[Loyer €/m²]]*Tableau1[[#This Row],[Surface GLA]]</f>
        <v>9500</v>
      </c>
      <c r="U242" s="12">
        <f>IFERROR(Tableau1[[#This Row],[Loyer annuel]]/12,"")</f>
        <v>791.66666666666663</v>
      </c>
      <c r="V242" s="12">
        <v>250</v>
      </c>
      <c r="W242" s="34" t="s">
        <v>103</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9623.1200000000008</v>
      </c>
      <c r="AF242" s="12" t="str">
        <f t="shared" si="12"/>
        <v>3 mois = 2 375 €</v>
      </c>
      <c r="AG242" s="12" t="s">
        <v>103</v>
      </c>
      <c r="AH242" s="51">
        <v>1.4999999999999999E-2</v>
      </c>
      <c r="AI242" s="12" t="s">
        <v>380</v>
      </c>
      <c r="AJ242" s="10" t="s">
        <v>75</v>
      </c>
      <c r="AK242" s="10" t="s">
        <v>369</v>
      </c>
      <c r="AL242" s="10"/>
      <c r="AM242" s="11"/>
      <c r="AN242" s="11" t="s">
        <v>1571</v>
      </c>
      <c r="AO242" s="5" t="s">
        <v>367</v>
      </c>
      <c r="AP242" s="11" t="s">
        <v>1701</v>
      </c>
      <c r="AQ242" s="11" t="s">
        <v>1702</v>
      </c>
      <c r="AR242" s="11" t="s">
        <v>1646</v>
      </c>
      <c r="AS242" s="36" t="s">
        <v>1705</v>
      </c>
      <c r="AT242" s="11" t="s">
        <v>75</v>
      </c>
      <c r="AU242" s="11" t="s">
        <v>1621</v>
      </c>
      <c r="AV242" s="13" t="s">
        <v>1609</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1599</v>
      </c>
      <c r="E243" s="26">
        <v>93100</v>
      </c>
      <c r="F243" s="54" t="s">
        <v>1576</v>
      </c>
      <c r="G243" s="39" t="str">
        <f>Tableau1[[#This Row],[Rue]]&amp;CHAR(10)&amp;Tableau1[[#This Row],[Code Postal]]&amp;" - "&amp;Tableau1[[#This Row],[Ville]]</f>
        <v>299 rue de Rosny
93100 - Montreuil</v>
      </c>
      <c r="H243" s="15" t="s">
        <v>1706</v>
      </c>
      <c r="I243" s="12" t="s">
        <v>45</v>
      </c>
      <c r="J243" s="12" t="s">
        <v>44</v>
      </c>
      <c r="K243" s="10" t="s">
        <v>103</v>
      </c>
      <c r="L243" s="53" t="s">
        <v>1542</v>
      </c>
      <c r="M243" s="12" t="s">
        <v>103</v>
      </c>
      <c r="N243" s="36" t="s">
        <v>1588</v>
      </c>
      <c r="O243" s="34">
        <v>320</v>
      </c>
      <c r="P243" s="6" t="s">
        <v>103</v>
      </c>
      <c r="Q243" s="34">
        <v>600</v>
      </c>
      <c r="R243" s="34" t="s">
        <v>103</v>
      </c>
      <c r="S243" s="6" t="s">
        <v>103</v>
      </c>
      <c r="T243" s="12">
        <f>Tableau1[[#This Row],[Loyer €/m²]]*Tableau1[[#This Row],[Surface GLA]]</f>
        <v>64000</v>
      </c>
      <c r="U243" s="12">
        <f>IFERROR(Tableau1[[#This Row],[Loyer annuel]]/12,"")</f>
        <v>5333.333333333333</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64000</v>
      </c>
      <c r="AF243" s="12" t="str">
        <f t="shared" si="12"/>
        <v>3 mois = 16 000 €</v>
      </c>
      <c r="AG243" s="12" t="s">
        <v>103</v>
      </c>
      <c r="AH243" s="51">
        <v>1.4999999999999999E-2</v>
      </c>
      <c r="AI243" s="12" t="s">
        <v>380</v>
      </c>
      <c r="AJ243" s="10" t="s">
        <v>75</v>
      </c>
      <c r="AK243" s="10" t="s">
        <v>369</v>
      </c>
      <c r="AL243" s="10"/>
      <c r="AM243" s="11"/>
      <c r="AN243" s="11" t="s">
        <v>1571</v>
      </c>
      <c r="AO243" s="5" t="s">
        <v>367</v>
      </c>
      <c r="AP243" s="11" t="s">
        <v>1709</v>
      </c>
      <c r="AQ243" s="11" t="s">
        <v>1710</v>
      </c>
      <c r="AR243" s="11" t="s">
        <v>1647</v>
      </c>
      <c r="AS243" s="36" t="s">
        <v>1707</v>
      </c>
      <c r="AT243" s="11" t="s">
        <v>75</v>
      </c>
      <c r="AU243" s="11" t="s">
        <v>1623</v>
      </c>
      <c r="AV243" s="13" t="s">
        <v>1609</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1599</v>
      </c>
      <c r="E244" s="26">
        <v>93100</v>
      </c>
      <c r="F244" s="54" t="s">
        <v>1576</v>
      </c>
      <c r="G244" s="39" t="str">
        <f>Tableau1[[#This Row],[Rue]]&amp;CHAR(10)&amp;Tableau1[[#This Row],[Code Postal]]&amp;" - "&amp;Tableau1[[#This Row],[Ville]]</f>
        <v>299 rue de Rosny
93100 - Montreuil</v>
      </c>
      <c r="H244" s="15" t="s">
        <v>1706</v>
      </c>
      <c r="I244" s="12" t="s">
        <v>45</v>
      </c>
      <c r="J244" s="12" t="s">
        <v>44</v>
      </c>
      <c r="K244" s="10" t="s">
        <v>103</v>
      </c>
      <c r="L244" s="53" t="s">
        <v>1542</v>
      </c>
      <c r="M244" s="12" t="s">
        <v>103</v>
      </c>
      <c r="N244" s="36" t="s">
        <v>1589</v>
      </c>
      <c r="O244" s="34">
        <v>280</v>
      </c>
      <c r="P244" s="6" t="s">
        <v>103</v>
      </c>
      <c r="Q244" s="34">
        <v>600</v>
      </c>
      <c r="R244" s="34" t="s">
        <v>103</v>
      </c>
      <c r="S244" s="6" t="s">
        <v>103</v>
      </c>
      <c r="T244" s="12">
        <f>Tableau1[[#This Row],[Loyer €/m²]]*Tableau1[[#This Row],[Surface GLA]]</f>
        <v>56000</v>
      </c>
      <c r="U244" s="12">
        <f>IFERROR(Tableau1[[#This Row],[Loyer annuel]]/12,"")</f>
        <v>4666.666666666667</v>
      </c>
      <c r="V244" s="12">
        <v>200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56000</v>
      </c>
      <c r="AF244" s="12" t="str">
        <f t="shared" si="12"/>
        <v>3 mois = 14 000 €</v>
      </c>
      <c r="AG244" s="12" t="s">
        <v>103</v>
      </c>
      <c r="AH244" s="51">
        <v>1.4999999999999999E-2</v>
      </c>
      <c r="AI244" s="12" t="s">
        <v>380</v>
      </c>
      <c r="AJ244" s="10" t="s">
        <v>75</v>
      </c>
      <c r="AK244" s="10" t="s">
        <v>369</v>
      </c>
      <c r="AL244" s="10"/>
      <c r="AM244" s="11"/>
      <c r="AN244" s="11" t="s">
        <v>1571</v>
      </c>
      <c r="AO244" s="5" t="s">
        <v>367</v>
      </c>
      <c r="AP244" s="11" t="s">
        <v>1711</v>
      </c>
      <c r="AQ244" s="11" t="s">
        <v>1712</v>
      </c>
      <c r="AR244" s="11" t="s">
        <v>1648</v>
      </c>
      <c r="AS244" s="36" t="s">
        <v>1708</v>
      </c>
      <c r="AT244" s="11" t="s">
        <v>75</v>
      </c>
      <c r="AU244" s="11" t="s">
        <v>1624</v>
      </c>
      <c r="AV244" s="13" t="s">
        <v>1609</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1600</v>
      </c>
      <c r="E245" s="26">
        <v>78300</v>
      </c>
      <c r="F245" s="54" t="s">
        <v>1577</v>
      </c>
      <c r="G245" s="39" t="str">
        <f>Tableau1[[#This Row],[Rue]]&amp;CHAR(10)&amp;Tableau1[[#This Row],[Code Postal]]&amp;" - "&amp;Tableau1[[#This Row],[Ville]]</f>
        <v>30 rue Maurice Clerc
78300 - Poissy</v>
      </c>
      <c r="H245" s="15" t="s">
        <v>1714</v>
      </c>
      <c r="I245" s="12" t="s">
        <v>45</v>
      </c>
      <c r="J245" s="12" t="s">
        <v>44</v>
      </c>
      <c r="K245" s="10" t="s">
        <v>103</v>
      </c>
      <c r="L245" s="53" t="s">
        <v>1542</v>
      </c>
      <c r="M245" s="12" t="s">
        <v>103</v>
      </c>
      <c r="N245" s="36" t="s">
        <v>1590</v>
      </c>
      <c r="O245" s="34">
        <v>132</v>
      </c>
      <c r="P245" s="6" t="s">
        <v>103</v>
      </c>
      <c r="Q245" s="34" t="s">
        <v>103</v>
      </c>
      <c r="R245" s="34" t="s">
        <v>103</v>
      </c>
      <c r="S245" s="6" t="s">
        <v>103</v>
      </c>
      <c r="T245" s="12">
        <f>Tableau1[[#This Row],[Loyer €/m²]]*Tableau1[[#This Row],[Surface GLA]]</f>
        <v>33000</v>
      </c>
      <c r="U245" s="12">
        <f>IFERROR(Tableau1[[#This Row],[Loyer annuel]]/12,"")</f>
        <v>2750</v>
      </c>
      <c r="V245" s="12">
        <v>250</v>
      </c>
      <c r="W245" s="34" t="s">
        <v>103</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34222.32</v>
      </c>
      <c r="AF245" s="12" t="str">
        <f t="shared" si="12"/>
        <v>3 mois = 8 250 €</v>
      </c>
      <c r="AG245" s="12" t="s">
        <v>103</v>
      </c>
      <c r="AH245" s="51">
        <v>1.4999999999999999E-2</v>
      </c>
      <c r="AI245" s="12" t="s">
        <v>380</v>
      </c>
      <c r="AJ245" s="10" t="s">
        <v>75</v>
      </c>
      <c r="AK245" s="10" t="s">
        <v>369</v>
      </c>
      <c r="AL245" s="10"/>
      <c r="AM245" s="11"/>
      <c r="AN245" s="11" t="s">
        <v>1571</v>
      </c>
      <c r="AO245" s="5" t="s">
        <v>367</v>
      </c>
      <c r="AP245" s="11" t="s">
        <v>1716</v>
      </c>
      <c r="AQ245" s="11" t="s">
        <v>1717</v>
      </c>
      <c r="AR245" s="11" t="s">
        <v>1649</v>
      </c>
      <c r="AS245" s="36" t="s">
        <v>1720</v>
      </c>
      <c r="AT245" s="11" t="s">
        <v>75</v>
      </c>
      <c r="AU245" s="11" t="s">
        <v>1625</v>
      </c>
      <c r="AV245" s="13" t="s">
        <v>1609</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1713</v>
      </c>
      <c r="E246" s="26">
        <v>78300</v>
      </c>
      <c r="F246" s="54" t="s">
        <v>1577</v>
      </c>
      <c r="G246" s="39" t="str">
        <f>Tableau1[[#This Row],[Rue]]&amp;CHAR(10)&amp;Tableau1[[#This Row],[Code Postal]]&amp;" - "&amp;Tableau1[[#This Row],[Ville]]</f>
        <v>23 rue Maurice Clerc
78300 - Poissy</v>
      </c>
      <c r="H246" s="15" t="s">
        <v>1715</v>
      </c>
      <c r="I246" s="12" t="s">
        <v>45</v>
      </c>
      <c r="J246" s="12" t="s">
        <v>44</v>
      </c>
      <c r="K246" s="10" t="s">
        <v>103</v>
      </c>
      <c r="L246" s="53" t="s">
        <v>1542</v>
      </c>
      <c r="M246" s="12" t="s">
        <v>103</v>
      </c>
      <c r="N246" s="36" t="s">
        <v>1591</v>
      </c>
      <c r="O246" s="34">
        <v>111</v>
      </c>
      <c r="P246" s="6" t="s">
        <v>103</v>
      </c>
      <c r="Q246" s="34" t="s">
        <v>103</v>
      </c>
      <c r="R246" s="34" t="s">
        <v>103</v>
      </c>
      <c r="S246" s="6" t="s">
        <v>103</v>
      </c>
      <c r="T246" s="12">
        <f>Tableau1[[#This Row],[Loyer €/m²]]*Tableau1[[#This Row],[Surface GLA]]</f>
        <v>27750</v>
      </c>
      <c r="U246" s="12">
        <f>IFERROR(Tableau1[[#This Row],[Loyer annuel]]/12,"")</f>
        <v>2312.5</v>
      </c>
      <c r="V246" s="12">
        <v>250</v>
      </c>
      <c r="W246" s="34" t="s">
        <v>103</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29029.83</v>
      </c>
      <c r="AF246" s="12" t="str">
        <f t="shared" si="12"/>
        <v>3 mois = 6 938 €</v>
      </c>
      <c r="AG246" s="12" t="s">
        <v>103</v>
      </c>
      <c r="AH246" s="51">
        <v>1.4999999999999999E-2</v>
      </c>
      <c r="AI246" s="12" t="s">
        <v>380</v>
      </c>
      <c r="AJ246" s="10" t="s">
        <v>75</v>
      </c>
      <c r="AK246" s="10" t="s">
        <v>369</v>
      </c>
      <c r="AL246" s="10"/>
      <c r="AM246" s="11"/>
      <c r="AN246" s="11" t="s">
        <v>1571</v>
      </c>
      <c r="AO246" s="5" t="s">
        <v>367</v>
      </c>
      <c r="AP246" s="11" t="s">
        <v>1718</v>
      </c>
      <c r="AQ246" s="11" t="s">
        <v>1719</v>
      </c>
      <c r="AR246" s="11" t="s">
        <v>1650</v>
      </c>
      <c r="AS246" s="36" t="s">
        <v>1721</v>
      </c>
      <c r="AT246" s="11" t="s">
        <v>75</v>
      </c>
      <c r="AU246" s="11" t="s">
        <v>1626</v>
      </c>
      <c r="AV246" s="13" t="s">
        <v>1609</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1601</v>
      </c>
      <c r="E247" s="26">
        <v>93400</v>
      </c>
      <c r="F247" s="54" t="s">
        <v>1578</v>
      </c>
      <c r="G247" s="39" t="str">
        <f>Tableau1[[#This Row],[Rue]]&amp;CHAR(10)&amp;Tableau1[[#This Row],[Code Postal]]&amp;" - "&amp;Tableau1[[#This Row],[Ville]]</f>
        <v>12 bis rue des Bateliers
93400 - Saint-Ouen</v>
      </c>
      <c r="H247" s="15" t="s">
        <v>1684</v>
      </c>
      <c r="I247" s="12" t="s">
        <v>45</v>
      </c>
      <c r="J247" s="12" t="s">
        <v>44</v>
      </c>
      <c r="K247" s="10" t="s">
        <v>103</v>
      </c>
      <c r="L247" s="53" t="s">
        <v>1542</v>
      </c>
      <c r="M247" s="12" t="s">
        <v>103</v>
      </c>
      <c r="N247" s="36" t="s">
        <v>335</v>
      </c>
      <c r="O247" s="34">
        <v>142</v>
      </c>
      <c r="P247" s="6" t="s">
        <v>1722</v>
      </c>
      <c r="Q247" s="34" t="s">
        <v>103</v>
      </c>
      <c r="R247" s="34" t="s">
        <v>103</v>
      </c>
      <c r="S247" s="6" t="s">
        <v>103</v>
      </c>
      <c r="T247" s="12">
        <f>Tableau1[[#This Row],[Loyer €/m²]]*Tableau1[[#This Row],[Surface GLA]]</f>
        <v>49700</v>
      </c>
      <c r="U247" s="12">
        <f>IFERROR(Tableau1[[#This Row],[Loyer annuel]]/12,"")</f>
        <v>4141.666666666667</v>
      </c>
      <c r="V247" s="12">
        <v>350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49700</v>
      </c>
      <c r="AF247" s="12" t="str">
        <f t="shared" si="12"/>
        <v>3 mois = 12 425 €</v>
      </c>
      <c r="AG247" s="12" t="s">
        <v>103</v>
      </c>
      <c r="AH247" s="51">
        <v>1.4999999999999999E-2</v>
      </c>
      <c r="AI247" s="12" t="s">
        <v>380</v>
      </c>
      <c r="AJ247" s="10" t="s">
        <v>75</v>
      </c>
      <c r="AK247" s="10" t="s">
        <v>369</v>
      </c>
      <c r="AL247" s="10"/>
      <c r="AM247" s="11"/>
      <c r="AN247" s="11" t="s">
        <v>1571</v>
      </c>
      <c r="AO247" s="5" t="s">
        <v>367</v>
      </c>
      <c r="AP247" s="11" t="s">
        <v>1725</v>
      </c>
      <c r="AQ247" s="11" t="s">
        <v>1724</v>
      </c>
      <c r="AR247" s="11">
        <v>77</v>
      </c>
      <c r="AS247" s="36" t="s">
        <v>1723</v>
      </c>
      <c r="AT247" s="11" t="s">
        <v>75</v>
      </c>
      <c r="AU247" s="11" t="s">
        <v>1627</v>
      </c>
      <c r="AV247" s="13" t="s">
        <v>1609</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1602</v>
      </c>
      <c r="E248" s="26">
        <v>94513</v>
      </c>
      <c r="F248" s="54" t="s">
        <v>1579</v>
      </c>
      <c r="G248" s="39" t="str">
        <f>Tableau1[[#This Row],[Rue]]&amp;CHAR(10)&amp;Tableau1[[#This Row],[Code Postal]]&amp;" - "&amp;Tableau1[[#This Row],[Ville]]</f>
        <v>rue Dunoyer de Segonzac
94513 - La Queue en Brie</v>
      </c>
      <c r="H248" s="15" t="s">
        <v>1727</v>
      </c>
      <c r="I248" s="12" t="s">
        <v>45</v>
      </c>
      <c r="J248" s="12" t="s">
        <v>44</v>
      </c>
      <c r="K248" s="10" t="s">
        <v>103</v>
      </c>
      <c r="L248" s="53" t="s">
        <v>1542</v>
      </c>
      <c r="M248" s="12" t="s">
        <v>103</v>
      </c>
      <c r="N248" s="36" t="s">
        <v>357</v>
      </c>
      <c r="O248" s="34">
        <v>38</v>
      </c>
      <c r="P248" s="6" t="s">
        <v>103</v>
      </c>
      <c r="Q248" s="34" t="s">
        <v>103</v>
      </c>
      <c r="R248" s="34" t="s">
        <v>103</v>
      </c>
      <c r="S248" s="6" t="s">
        <v>103</v>
      </c>
      <c r="T248" s="12">
        <f>Tableau1[[#This Row],[Loyer €/m²]]*Tableau1[[#This Row],[Surface GLA]]</f>
        <v>11400</v>
      </c>
      <c r="U248" s="12">
        <f>IFERROR(Tableau1[[#This Row],[Loyer annuel]]/12,"")</f>
        <v>950</v>
      </c>
      <c r="V248" s="12">
        <v>300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11400</v>
      </c>
      <c r="AF248" s="12" t="str">
        <f>"3 mois = "&amp;TEXT(ROUND(3/12*T248,0),"### ### ##0 €")</f>
        <v>3 mois = 2 850 €</v>
      </c>
      <c r="AG248" s="12" t="s">
        <v>103</v>
      </c>
      <c r="AH248" s="51">
        <v>1.4999999999999999E-2</v>
      </c>
      <c r="AI248" s="12" t="s">
        <v>380</v>
      </c>
      <c r="AJ248" s="10" t="s">
        <v>75</v>
      </c>
      <c r="AK248" s="10" t="s">
        <v>369</v>
      </c>
      <c r="AL248" s="10"/>
      <c r="AM248" s="11"/>
      <c r="AN248" s="11" t="s">
        <v>1571</v>
      </c>
      <c r="AO248" s="5" t="s">
        <v>367</v>
      </c>
      <c r="AP248" s="11" t="s">
        <v>1732</v>
      </c>
      <c r="AQ248" s="11" t="s">
        <v>1733</v>
      </c>
      <c r="AR248" s="11" t="s">
        <v>1651</v>
      </c>
      <c r="AS248" s="36" t="s">
        <v>1728</v>
      </c>
      <c r="AT248" s="11" t="s">
        <v>75</v>
      </c>
      <c r="AU248" s="11" t="s">
        <v>1631</v>
      </c>
      <c r="AV248" s="13" t="s">
        <v>1609</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1602</v>
      </c>
      <c r="E249" s="26">
        <v>94512</v>
      </c>
      <c r="F249" s="54" t="s">
        <v>1579</v>
      </c>
      <c r="G249" s="39" t="str">
        <f>Tableau1[[#This Row],[Rue]]&amp;CHAR(10)&amp;Tableau1[[#This Row],[Code Postal]]&amp;" - "&amp;Tableau1[[#This Row],[Ville]]</f>
        <v>rue Dunoyer de Segonzac
94512 - La Queue en Brie</v>
      </c>
      <c r="H249" s="15" t="s">
        <v>1727</v>
      </c>
      <c r="I249" s="12" t="s">
        <v>45</v>
      </c>
      <c r="J249" s="12" t="s">
        <v>44</v>
      </c>
      <c r="K249" s="10" t="s">
        <v>103</v>
      </c>
      <c r="L249" s="53" t="s">
        <v>1542</v>
      </c>
      <c r="M249" s="12" t="s">
        <v>103</v>
      </c>
      <c r="N249" s="36" t="s">
        <v>358</v>
      </c>
      <c r="O249" s="34">
        <v>95</v>
      </c>
      <c r="P249" s="6" t="s">
        <v>103</v>
      </c>
      <c r="Q249" s="34" t="s">
        <v>103</v>
      </c>
      <c r="R249" s="34" t="s">
        <v>103</v>
      </c>
      <c r="S249" s="6" t="s">
        <v>103</v>
      </c>
      <c r="T249" s="12">
        <f>Tableau1[[#This Row],[Loyer €/m²]]*Tableau1[[#This Row],[Surface GLA]]</f>
        <v>23750</v>
      </c>
      <c r="U249" s="12">
        <f>IFERROR(Tableau1[[#This Row],[Loyer annuel]]/12,"")</f>
        <v>1979.1666666666667</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23750</v>
      </c>
      <c r="AF249" s="12" t="str">
        <f>"3 mois = "&amp;TEXT(ROUND(3/12*T249,0),"### ### ##0 €")</f>
        <v>3 mois = 5 938 €</v>
      </c>
      <c r="AG249" s="12" t="s">
        <v>103</v>
      </c>
      <c r="AH249" s="51">
        <v>1.4999999999999999E-2</v>
      </c>
      <c r="AI249" s="12" t="s">
        <v>380</v>
      </c>
      <c r="AJ249" s="10" t="s">
        <v>75</v>
      </c>
      <c r="AK249" s="10" t="s">
        <v>369</v>
      </c>
      <c r="AL249" s="10"/>
      <c r="AM249" s="11"/>
      <c r="AN249" s="11" t="s">
        <v>1571</v>
      </c>
      <c r="AO249" s="5" t="s">
        <v>367</v>
      </c>
      <c r="AP249" s="11" t="s">
        <v>1734</v>
      </c>
      <c r="AQ249" s="11" t="s">
        <v>1735</v>
      </c>
      <c r="AR249" s="11" t="s">
        <v>1606</v>
      </c>
      <c r="AS249" s="36" t="s">
        <v>1729</v>
      </c>
      <c r="AT249" s="11" t="s">
        <v>75</v>
      </c>
      <c r="AU249" s="11" t="s">
        <v>1630</v>
      </c>
      <c r="AV249" s="13" t="s">
        <v>1609</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1602</v>
      </c>
      <c r="E250" s="26">
        <v>94511</v>
      </c>
      <c r="F250" s="54" t="s">
        <v>1579</v>
      </c>
      <c r="G250" s="39" t="str">
        <f>Tableau1[[#This Row],[Rue]]&amp;CHAR(10)&amp;Tableau1[[#This Row],[Code Postal]]&amp;" - "&amp;Tableau1[[#This Row],[Ville]]</f>
        <v>rue Dunoyer de Segonzac
94511 - La Queue en Brie</v>
      </c>
      <c r="H250" s="15" t="s">
        <v>1727</v>
      </c>
      <c r="I250" s="12" t="s">
        <v>45</v>
      </c>
      <c r="J250" s="12" t="s">
        <v>44</v>
      </c>
      <c r="K250" s="10" t="s">
        <v>103</v>
      </c>
      <c r="L250" s="53" t="s">
        <v>1542</v>
      </c>
      <c r="M250" s="12" t="s">
        <v>103</v>
      </c>
      <c r="N250" s="36" t="s">
        <v>359</v>
      </c>
      <c r="O250" s="34">
        <v>152</v>
      </c>
      <c r="P250" s="6" t="s">
        <v>103</v>
      </c>
      <c r="Q250" s="34">
        <v>205</v>
      </c>
      <c r="R250" s="34" t="s">
        <v>103</v>
      </c>
      <c r="S250" s="6" t="s">
        <v>103</v>
      </c>
      <c r="T250" s="12">
        <f>Tableau1[[#This Row],[Loyer €/m²]]*Tableau1[[#This Row],[Surface GLA]]</f>
        <v>38000</v>
      </c>
      <c r="U250" s="12">
        <f>IFERROR(Tableau1[[#This Row],[Loyer annuel]]/12,"")</f>
        <v>3166.6666666666665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38000</v>
      </c>
      <c r="AF250" s="12" t="str">
        <f>"3 mois = "&amp;TEXT(ROUND(3/12*T250,0),"### ### ##0 €")</f>
        <v>3 mois = 9 500 €</v>
      </c>
      <c r="AG250" s="12" t="s">
        <v>103</v>
      </c>
      <c r="AH250" s="51">
        <v>1.4999999999999999E-2</v>
      </c>
      <c r="AI250" s="12" t="s">
        <v>380</v>
      </c>
      <c r="AJ250" s="10" t="s">
        <v>75</v>
      </c>
      <c r="AK250" s="10" t="s">
        <v>369</v>
      </c>
      <c r="AL250" s="10"/>
      <c r="AM250" s="11"/>
      <c r="AN250" s="11" t="s">
        <v>1571</v>
      </c>
      <c r="AO250" s="5" t="s">
        <v>367</v>
      </c>
      <c r="AP250" s="11" t="s">
        <v>1736</v>
      </c>
      <c r="AQ250" s="11" t="s">
        <v>1737</v>
      </c>
      <c r="AR250" s="11" t="s">
        <v>1652</v>
      </c>
      <c r="AS250" s="36" t="s">
        <v>1730</v>
      </c>
      <c r="AT250" s="11" t="s">
        <v>75</v>
      </c>
      <c r="AU250" s="11" t="s">
        <v>1629</v>
      </c>
      <c r="AV250" s="13" t="s">
        <v>1609</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1602</v>
      </c>
      <c r="E251" s="26">
        <v>94510</v>
      </c>
      <c r="F251" s="54" t="s">
        <v>1579</v>
      </c>
      <c r="G251" s="39" t="str">
        <f>Tableau1[[#This Row],[Rue]]&amp;CHAR(10)&amp;Tableau1[[#This Row],[Code Postal]]&amp;" - "&amp;Tableau1[[#This Row],[Ville]]</f>
        <v>rue Dunoyer de Segonzac
94510 - La Queue en Brie</v>
      </c>
      <c r="H251" s="15" t="s">
        <v>1726</v>
      </c>
      <c r="I251" s="12" t="s">
        <v>45</v>
      </c>
      <c r="J251" s="12" t="s">
        <v>44</v>
      </c>
      <c r="K251" s="10" t="s">
        <v>103</v>
      </c>
      <c r="L251" s="53" t="s">
        <v>1542</v>
      </c>
      <c r="M251" s="12" t="s">
        <v>103</v>
      </c>
      <c r="N251" s="36" t="s">
        <v>360</v>
      </c>
      <c r="O251" s="34">
        <v>53</v>
      </c>
      <c r="P251" s="6" t="s">
        <v>103</v>
      </c>
      <c r="Q251" s="34">
        <v>205</v>
      </c>
      <c r="R251" s="34" t="s">
        <v>103</v>
      </c>
      <c r="S251" s="6" t="s">
        <v>103</v>
      </c>
      <c r="T251" s="12">
        <f>Tableau1[[#This Row],[Loyer €/m²]]*Tableau1[[#This Row],[Surface GLA]]</f>
        <v>15900</v>
      </c>
      <c r="U251" s="12">
        <f>IFERROR(Tableau1[[#This Row],[Loyer annuel]]/12,"")</f>
        <v>1325</v>
      </c>
      <c r="V251" s="12">
        <v>300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15900</v>
      </c>
      <c r="AF251" s="12" t="str">
        <f t="shared" si="12"/>
        <v>3 mois = 3 975 €</v>
      </c>
      <c r="AG251" s="12" t="s">
        <v>103</v>
      </c>
      <c r="AH251" s="51">
        <v>1.4999999999999999E-2</v>
      </c>
      <c r="AI251" s="12" t="s">
        <v>380</v>
      </c>
      <c r="AJ251" s="10" t="s">
        <v>75</v>
      </c>
      <c r="AK251" s="10" t="s">
        <v>369</v>
      </c>
      <c r="AL251" s="10"/>
      <c r="AM251" s="11"/>
      <c r="AN251" s="11" t="s">
        <v>1571</v>
      </c>
      <c r="AO251" s="5" t="s">
        <v>367</v>
      </c>
      <c r="AP251" s="11" t="s">
        <v>1738</v>
      </c>
      <c r="AQ251" s="11" t="s">
        <v>1739</v>
      </c>
      <c r="AR251" s="11" t="s">
        <v>1653</v>
      </c>
      <c r="AS251" s="36" t="s">
        <v>1731</v>
      </c>
      <c r="AT251" s="11" t="s">
        <v>75</v>
      </c>
      <c r="AU251" s="11" t="s">
        <v>1628</v>
      </c>
      <c r="AV251" s="13" t="s">
        <v>1609</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1603</v>
      </c>
      <c r="E252" s="26">
        <v>69002</v>
      </c>
      <c r="F252" s="54" t="s">
        <v>1580</v>
      </c>
      <c r="G252" s="39" t="str">
        <f>Tableau1[[#This Row],[Rue]]&amp;CHAR(10)&amp;Tableau1[[#This Row],[Code Postal]]&amp;" - "&amp;Tableau1[[#This Row],[Ville]]</f>
        <v>Allée Louis Thomas Achille
69002 - Lyon Confluence</v>
      </c>
      <c r="H252" s="15" t="s">
        <v>1750</v>
      </c>
      <c r="I252" s="12" t="s">
        <v>45</v>
      </c>
      <c r="J252" s="12" t="s">
        <v>44</v>
      </c>
      <c r="K252" s="10" t="s">
        <v>103</v>
      </c>
      <c r="L252" s="53" t="s">
        <v>1542</v>
      </c>
      <c r="M252" s="12" t="s">
        <v>103</v>
      </c>
      <c r="N252" s="36" t="s">
        <v>1592</v>
      </c>
      <c r="O252" s="34">
        <v>248</v>
      </c>
      <c r="P252" s="6" t="s">
        <v>1740</v>
      </c>
      <c r="Q252" s="34">
        <v>512</v>
      </c>
      <c r="R252" s="34">
        <v>240</v>
      </c>
      <c r="S252" s="6" t="s">
        <v>1741</v>
      </c>
      <c r="T252" s="12">
        <f>Tableau1[[#This Row],[Loyer €/m²]]*Tableau1[[#This Row],[Surface GLA]]</f>
        <v>62000</v>
      </c>
      <c r="U252" s="12">
        <f>IFERROR(Tableau1[[#This Row],[Loyer annuel]]/12,"")</f>
        <v>5166.666666666667</v>
      </c>
      <c r="V252" s="12">
        <v>250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62000</v>
      </c>
      <c r="AF252" s="12" t="str">
        <f t="shared" si="12"/>
        <v>3 mois = 15 500 €</v>
      </c>
      <c r="AG252" s="12" t="s">
        <v>103</v>
      </c>
      <c r="AH252" s="51">
        <v>1.4999999999999999E-2</v>
      </c>
      <c r="AI252" s="12" t="s">
        <v>380</v>
      </c>
      <c r="AJ252" s="10" t="s">
        <v>75</v>
      </c>
      <c r="AK252" s="10" t="s">
        <v>369</v>
      </c>
      <c r="AL252" s="10"/>
      <c r="AM252" s="11"/>
      <c r="AN252" s="11" t="s">
        <v>1571</v>
      </c>
      <c r="AO252" s="5" t="s">
        <v>367</v>
      </c>
      <c r="AP252" s="11" t="s">
        <v>1751</v>
      </c>
      <c r="AQ252" s="11" t="s">
        <v>1752</v>
      </c>
      <c r="AR252" s="11" t="s">
        <v>1654</v>
      </c>
      <c r="AS252" s="36" t="s">
        <v>1746</v>
      </c>
      <c r="AT252" s="11" t="s">
        <v>75</v>
      </c>
      <c r="AU252" s="11" t="s">
        <v>1632</v>
      </c>
      <c r="AV252" s="13" t="s">
        <v>1609</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1603</v>
      </c>
      <c r="E253" s="26">
        <v>69002</v>
      </c>
      <c r="F253" s="54" t="s">
        <v>1580</v>
      </c>
      <c r="G253" s="39" t="str">
        <f>Tableau1[[#This Row],[Rue]]&amp;CHAR(10)&amp;Tableau1[[#This Row],[Code Postal]]&amp;" - "&amp;Tableau1[[#This Row],[Ville]]</f>
        <v>Allée Louis Thomas Achille
69002 - Lyon Confluence</v>
      </c>
      <c r="H253" s="15" t="s">
        <v>1750</v>
      </c>
      <c r="I253" s="12" t="s">
        <v>45</v>
      </c>
      <c r="J253" s="12" t="s">
        <v>44</v>
      </c>
      <c r="K253" s="10" t="s">
        <v>103</v>
      </c>
      <c r="L253" s="53" t="s">
        <v>1542</v>
      </c>
      <c r="M253" s="12" t="s">
        <v>103</v>
      </c>
      <c r="N253" s="36" t="s">
        <v>1593</v>
      </c>
      <c r="O253" s="34">
        <v>264</v>
      </c>
      <c r="P253" s="6" t="s">
        <v>1742</v>
      </c>
      <c r="Q253" s="34">
        <v>512</v>
      </c>
      <c r="R253" s="34">
        <v>252</v>
      </c>
      <c r="S253" s="6" t="s">
        <v>1743</v>
      </c>
      <c r="T253" s="12">
        <f>Tableau1[[#This Row],[Loyer €/m²]]*Tableau1[[#This Row],[Surface GLA]]</f>
        <v>52800</v>
      </c>
      <c r="U253" s="12">
        <f>IFERROR(Tableau1[[#This Row],[Loyer annuel]]/12,"")</f>
        <v>4400</v>
      </c>
      <c r="V253" s="12">
        <v>200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52800</v>
      </c>
      <c r="AF253" s="12" t="str">
        <f t="shared" si="12"/>
        <v>3 mois = 13 200 €</v>
      </c>
      <c r="AG253" s="12" t="s">
        <v>103</v>
      </c>
      <c r="AH253" s="51">
        <v>1.4999999999999999E-2</v>
      </c>
      <c r="AI253" s="12" t="s">
        <v>380</v>
      </c>
      <c r="AJ253" s="10" t="s">
        <v>75</v>
      </c>
      <c r="AK253" s="10" t="s">
        <v>369</v>
      </c>
      <c r="AL253" s="10"/>
      <c r="AM253" s="11"/>
      <c r="AN253" s="11" t="s">
        <v>1571</v>
      </c>
      <c r="AO253" s="5" t="s">
        <v>367</v>
      </c>
      <c r="AP253" s="11" t="s">
        <v>1753</v>
      </c>
      <c r="AQ253" s="11" t="s">
        <v>1754</v>
      </c>
      <c r="AR253" s="11" t="s">
        <v>1655</v>
      </c>
      <c r="AS253" s="36" t="s">
        <v>1747</v>
      </c>
      <c r="AT253" s="11" t="s">
        <v>75</v>
      </c>
      <c r="AU253" s="11" t="s">
        <v>1633</v>
      </c>
      <c r="AV253" s="13" t="s">
        <v>1609</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1603</v>
      </c>
      <c r="E254" s="26">
        <v>69002</v>
      </c>
      <c r="F254" s="54" t="s">
        <v>1580</v>
      </c>
      <c r="G254" s="39" t="str">
        <f>Tableau1[[#This Row],[Rue]]&amp;CHAR(10)&amp;Tableau1[[#This Row],[Code Postal]]&amp;" - "&amp;Tableau1[[#This Row],[Ville]]</f>
        <v>Allée Louis Thomas Achille
69002 - Lyon Confluence</v>
      </c>
      <c r="H254" s="15" t="s">
        <v>1750</v>
      </c>
      <c r="I254" s="12" t="s">
        <v>45</v>
      </c>
      <c r="J254" s="12" t="s">
        <v>44</v>
      </c>
      <c r="K254" s="10" t="s">
        <v>103</v>
      </c>
      <c r="L254" s="53" t="s">
        <v>1542</v>
      </c>
      <c r="M254" s="12" t="s">
        <v>103</v>
      </c>
      <c r="N254" s="36" t="s">
        <v>1594</v>
      </c>
      <c r="O254" s="34">
        <v>174</v>
      </c>
      <c r="P254" s="6" t="s">
        <v>103</v>
      </c>
      <c r="Q254" s="34" t="s">
        <v>103</v>
      </c>
      <c r="R254" s="34">
        <v>168</v>
      </c>
      <c r="S254" s="6" t="s">
        <v>103</v>
      </c>
      <c r="T254" s="12">
        <f>Tableau1[[#This Row],[Loyer €/m²]]*Tableau1[[#This Row],[Surface GLA]]</f>
        <v>43500</v>
      </c>
      <c r="U254" s="12">
        <f>IFERROR(Tableau1[[#This Row],[Loyer annuel]]/12,"")</f>
        <v>3625</v>
      </c>
      <c r="V254" s="12">
        <v>250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43500</v>
      </c>
      <c r="AF254" s="12" t="str">
        <f t="shared" si="12"/>
        <v>3 mois = 10 875 €</v>
      </c>
      <c r="AG254" s="12" t="s">
        <v>103</v>
      </c>
      <c r="AH254" s="51">
        <v>1.4999999999999999E-2</v>
      </c>
      <c r="AI254" s="12" t="s">
        <v>380</v>
      </c>
      <c r="AJ254" s="10" t="s">
        <v>75</v>
      </c>
      <c r="AK254" s="10" t="s">
        <v>369</v>
      </c>
      <c r="AL254" s="10"/>
      <c r="AM254" s="11"/>
      <c r="AN254" s="11" t="s">
        <v>1571</v>
      </c>
      <c r="AO254" s="5" t="s">
        <v>367</v>
      </c>
      <c r="AP254" s="11" t="s">
        <v>1755</v>
      </c>
      <c r="AQ254" s="11" t="s">
        <v>1756</v>
      </c>
      <c r="AR254" s="11" t="s">
        <v>1656</v>
      </c>
      <c r="AS254" s="36" t="s">
        <v>1748</v>
      </c>
      <c r="AT254" s="11" t="s">
        <v>75</v>
      </c>
      <c r="AU254" s="11" t="s">
        <v>1634</v>
      </c>
      <c r="AV254" s="13" t="s">
        <v>1609</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1603</v>
      </c>
      <c r="E255" s="26">
        <v>69002</v>
      </c>
      <c r="F255" s="54" t="s">
        <v>1580</v>
      </c>
      <c r="G255" s="39" t="str">
        <f>Tableau1[[#This Row],[Rue]]&amp;CHAR(10)&amp;Tableau1[[#This Row],[Code Postal]]&amp;" - "&amp;Tableau1[[#This Row],[Ville]]</f>
        <v>Allée Louis Thomas Achille
69002 - Lyon Confluence</v>
      </c>
      <c r="H255" s="15" t="s">
        <v>1750</v>
      </c>
      <c r="I255" s="12" t="s">
        <v>45</v>
      </c>
      <c r="J255" s="12" t="s">
        <v>44</v>
      </c>
      <c r="K255" s="10" t="s">
        <v>103</v>
      </c>
      <c r="L255" s="53" t="s">
        <v>1542</v>
      </c>
      <c r="M255" s="12" t="s">
        <v>103</v>
      </c>
      <c r="N255" s="36" t="s">
        <v>1595</v>
      </c>
      <c r="O255" s="34">
        <v>239</v>
      </c>
      <c r="P255" s="6" t="s">
        <v>1744</v>
      </c>
      <c r="Q255" s="34" t="s">
        <v>103</v>
      </c>
      <c r="R255" s="34">
        <v>235</v>
      </c>
      <c r="S255" s="6" t="s">
        <v>1745</v>
      </c>
      <c r="T255" s="12">
        <f>Tableau1[[#This Row],[Loyer €/m²]]*Tableau1[[#This Row],[Surface GLA]]</f>
        <v>47800</v>
      </c>
      <c r="U255" s="12">
        <f>IFERROR(Tableau1[[#This Row],[Loyer annuel]]/12,"")</f>
        <v>3983.3333333333335</v>
      </c>
      <c r="V255" s="12">
        <v>200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47800</v>
      </c>
      <c r="AF255" s="12" t="str">
        <f t="shared" si="12"/>
        <v>3 mois = 11 950 €</v>
      </c>
      <c r="AG255" s="12" t="s">
        <v>103</v>
      </c>
      <c r="AH255" s="51">
        <v>1.4999999999999999E-2</v>
      </c>
      <c r="AI255" s="12" t="s">
        <v>380</v>
      </c>
      <c r="AJ255" s="10" t="s">
        <v>75</v>
      </c>
      <c r="AK255" s="10" t="s">
        <v>369</v>
      </c>
      <c r="AL255" s="10"/>
      <c r="AM255" s="11"/>
      <c r="AN255" s="11" t="s">
        <v>1571</v>
      </c>
      <c r="AO255" s="5" t="s">
        <v>367</v>
      </c>
      <c r="AP255" s="11" t="s">
        <v>1757</v>
      </c>
      <c r="AQ255" s="11" t="s">
        <v>1758</v>
      </c>
      <c r="AR255" s="11" t="s">
        <v>1657</v>
      </c>
      <c r="AS255" s="36" t="s">
        <v>1749</v>
      </c>
      <c r="AT255" s="11" t="s">
        <v>75</v>
      </c>
      <c r="AU255" s="11" t="s">
        <v>1635</v>
      </c>
      <c r="AV255" s="13" t="s">
        <v>1609</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1808</v>
      </c>
      <c r="E256" s="26">
        <v>30130</v>
      </c>
      <c r="F256" s="10" t="s">
        <v>1809</v>
      </c>
      <c r="G256" s="39" t="str">
        <f>Tableau1[[#This Row],[Rue]]&amp;CHAR(10)&amp;Tableau1[[#This Row],[Code Postal]]&amp;" - "&amp;Tableau1[[#This Row],[Ville]]</f>
        <v>Avenue du Général de Gaulle
30130 - Pont-Saint-Esprit</v>
      </c>
      <c r="H256" s="15" t="s">
        <v>1810</v>
      </c>
      <c r="I256" s="12" t="s">
        <v>47</v>
      </c>
      <c r="J256" s="12" t="s">
        <v>50</v>
      </c>
      <c r="K256" s="10" t="s">
        <v>103</v>
      </c>
      <c r="L256" s="12" t="s">
        <v>103</v>
      </c>
      <c r="M256" s="12" t="s">
        <v>103</v>
      </c>
      <c r="N256" s="12" t="s">
        <v>103</v>
      </c>
      <c r="O256" s="34">
        <v>76</v>
      </c>
      <c r="P256" s="6" t="s">
        <v>103</v>
      </c>
      <c r="Q256" s="34" t="s">
        <v>103</v>
      </c>
      <c r="R256" s="34" t="s">
        <v>103</v>
      </c>
      <c r="S256" s="6" t="s">
        <v>103</v>
      </c>
      <c r="T256" s="12">
        <f>Tableau1[[#This Row],[Loyer €/m²]]*Tableau1[[#This Row],[Surface GLA]]</f>
        <v>22800</v>
      </c>
      <c r="U256" s="12">
        <f>IFERROR(Tableau1[[#This Row],[Loyer annuel]]/12,"")</f>
        <v>1900</v>
      </c>
      <c r="V256" s="12">
        <v>300</v>
      </c>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22800</v>
      </c>
      <c r="AF256" s="12"/>
      <c r="AG256" s="12" t="s">
        <v>103</v>
      </c>
      <c r="AH256" s="12" t="s">
        <v>103</v>
      </c>
      <c r="AI256" s="12" t="s">
        <v>363</v>
      </c>
      <c r="AJ256" s="10" t="s">
        <v>375</v>
      </c>
      <c r="AK256" s="10" t="s">
        <v>369</v>
      </c>
      <c r="AL256" s="10"/>
      <c r="AM256" s="11" t="s">
        <v>1811</v>
      </c>
      <c r="AN256" s="11"/>
      <c r="AO256" s="5" t="s">
        <v>367</v>
      </c>
      <c r="AP256" s="11" t="s">
        <v>1813</v>
      </c>
      <c r="AQ256" s="11" t="s">
        <v>1814</v>
      </c>
      <c r="AR256" s="11">
        <v>80</v>
      </c>
      <c r="AS256" s="36" t="s">
        <v>1815</v>
      </c>
      <c r="AT256" s="11" t="s">
        <v>75</v>
      </c>
      <c r="AU256" s="11" t="s">
        <v>1812</v>
      </c>
      <c r="AV256" s="13" t="s">
        <v>1816</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1820</v>
      </c>
      <c r="E257" s="26">
        <v>30100</v>
      </c>
      <c r="F257" s="54" t="s">
        <v>1819</v>
      </c>
      <c r="G257" s="39" t="str">
        <f>Tableau1[[#This Row],[Rue]]&amp;CHAR(10)&amp;Tableau1[[#This Row],[Code Postal]]&amp;" - "&amp;Tableau1[[#This Row],[Ville]]</f>
        <v>Zone Commerciale Porte Sud
1585 Quai du Mas d'Hours
30100 - Alès</v>
      </c>
      <c r="H257" s="15" t="s">
        <v>1818</v>
      </c>
      <c r="I257" s="12" t="s">
        <v>47</v>
      </c>
      <c r="J257" s="12" t="s">
        <v>50</v>
      </c>
      <c r="K257" s="10" t="s">
        <v>103</v>
      </c>
      <c r="L257" s="12" t="s">
        <v>103</v>
      </c>
      <c r="M257" s="12" t="s">
        <v>103</v>
      </c>
      <c r="N257" s="12" t="s">
        <v>103</v>
      </c>
      <c r="O257" s="34">
        <v>533</v>
      </c>
      <c r="P257" s="6" t="s">
        <v>103</v>
      </c>
      <c r="Q257" s="34" t="s">
        <v>103</v>
      </c>
      <c r="R257" s="34" t="s">
        <v>103</v>
      </c>
      <c r="S257" s="6" t="s">
        <v>103</v>
      </c>
      <c r="T257" s="12">
        <f>Tableau1[[#This Row],[Loyer €/m²]]*Tableau1[[#This Row],[Surface GLA]]</f>
        <v>0</v>
      </c>
      <c r="U257" s="12">
        <f>IFERROR(Tableau1[[#This Row],[Loyer annuel]]/12,"")</f>
        <v>0</v>
      </c>
      <c r="V257" s="12"/>
      <c r="W257" s="34" t="s">
        <v>103</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0</v>
      </c>
      <c r="AF257" s="12"/>
      <c r="AG257" s="12" t="s">
        <v>103</v>
      </c>
      <c r="AH257" s="12" t="s">
        <v>103</v>
      </c>
      <c r="AI257" s="12" t="s">
        <v>363</v>
      </c>
      <c r="AJ257" s="10" t="s">
        <v>375</v>
      </c>
      <c r="AK257" s="10" t="s">
        <v>369</v>
      </c>
      <c r="AL257" s="10"/>
      <c r="AM257" s="11"/>
      <c r="AN257" s="11"/>
      <c r="AO257" s="5" t="s">
        <v>367</v>
      </c>
      <c r="AP257" s="11" t="s">
        <v>1821</v>
      </c>
      <c r="AQ257" s="11" t="s">
        <v>1822</v>
      </c>
      <c r="AR257" s="11">
        <v>81</v>
      </c>
      <c r="AS257" s="36" t="s">
        <v>1817</v>
      </c>
      <c r="AT257" s="11" t="s">
        <v>75</v>
      </c>
      <c r="AU257" s="11"/>
      <c r="AV257" s="13" t="s">
        <v>1816</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1824</v>
      </c>
      <c r="E258" s="26">
        <v>95290</v>
      </c>
      <c r="F258" s="54" t="s">
        <v>979</v>
      </c>
      <c r="G258" s="39" t="str">
        <f>Tableau1[[#This Row],[Rue]]&amp;CHAR(10)&amp;Tableau1[[#This Row],[Code Postal]]&amp;" - "&amp;Tableau1[[#This Row],[Ville]]</f>
        <v>Boulevard de Tilsit - Carrefour ZAC du Pont des Rayons
95290 - L'Isle-Adam</v>
      </c>
      <c r="H258" s="15" t="s">
        <v>1823</v>
      </c>
      <c r="I258" s="12" t="s">
        <v>47</v>
      </c>
      <c r="J258" s="12" t="s">
        <v>50</v>
      </c>
      <c r="K258" s="10" t="s">
        <v>103</v>
      </c>
      <c r="L258" s="12" t="s">
        <v>103</v>
      </c>
      <c r="M258" s="12" t="s">
        <v>103</v>
      </c>
      <c r="N258" s="12" t="s">
        <v>292</v>
      </c>
      <c r="O258" s="34">
        <v>760</v>
      </c>
      <c r="P258" s="6" t="s">
        <v>103</v>
      </c>
      <c r="Q258" s="34" t="s">
        <v>103</v>
      </c>
      <c r="R258" s="34" t="s">
        <v>103</v>
      </c>
      <c r="S258" s="6" t="s">
        <v>103</v>
      </c>
      <c r="T258" s="12">
        <f>Tableau1[[#This Row],[Loyer €/m²]]*Tableau1[[#This Row],[Surface GLA]]</f>
        <v>0</v>
      </c>
      <c r="U258" s="12">
        <f>IFERROR(Tableau1[[#This Row],[Loyer annuel]]/12,"")</f>
        <v>0</v>
      </c>
      <c r="V258" s="12"/>
      <c r="W258" s="34" t="s">
        <v>103</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103</v>
      </c>
      <c r="AE258" s="12">
        <f>IFERROR(Tableau1[[#This Row],[Loyer annuel]]+Tableau1[[#This Row],[Charges annuelles]]+Tableau1[[#This Row],[Taxe foncière]]+Tableau1[[#This Row],[Marketing]],"")</f>
        <v>31160</v>
      </c>
      <c r="AF258" s="12"/>
      <c r="AG258" s="12" t="s">
        <v>103</v>
      </c>
      <c r="AH258" s="12" t="s">
        <v>103</v>
      </c>
      <c r="AI258" s="12" t="s">
        <v>103</v>
      </c>
      <c r="AJ258" s="10" t="s">
        <v>375</v>
      </c>
      <c r="AK258" s="10" t="s">
        <v>369</v>
      </c>
      <c r="AL258" s="10"/>
      <c r="AM258" s="11"/>
      <c r="AN258" s="11"/>
      <c r="AO258" s="5" t="s">
        <v>367</v>
      </c>
      <c r="AP258" s="11" t="s">
        <v>1825</v>
      </c>
      <c r="AQ258" s="11" t="s">
        <v>1826</v>
      </c>
      <c r="AR258" s="11">
        <v>82</v>
      </c>
      <c r="AS258" s="36" t="s">
        <v>1827</v>
      </c>
      <c r="AT258" s="11" t="s">
        <v>75</v>
      </c>
      <c r="AU258" s="11"/>
      <c r="AV258" s="13" t="s">
        <v>942</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1834</v>
      </c>
      <c r="E259" s="26">
        <v>92370</v>
      </c>
      <c r="F259" s="54" t="s">
        <v>1836</v>
      </c>
      <c r="G259" s="39" t="str">
        <f>Tableau1[[#This Row],[Rue]]&amp;CHAR(10)&amp;Tableau1[[#This Row],[Code Postal]]&amp;" - "&amp;Tableau1[[#This Row],[Ville]]</f>
        <v>34 rue Carnot
92370 - Chaville</v>
      </c>
      <c r="H259" s="15" t="s">
        <v>1835</v>
      </c>
      <c r="I259" s="12" t="s">
        <v>45</v>
      </c>
      <c r="J259" s="12" t="s">
        <v>44</v>
      </c>
      <c r="K259" s="10" t="s">
        <v>103</v>
      </c>
      <c r="L259" s="53" t="s">
        <v>1542</v>
      </c>
      <c r="M259" s="12" t="s">
        <v>103</v>
      </c>
      <c r="N259" s="36"/>
      <c r="O259" s="34">
        <v>255</v>
      </c>
      <c r="P259" s="6" t="s">
        <v>103</v>
      </c>
      <c r="Q259" s="34" t="s">
        <v>103</v>
      </c>
      <c r="R259" s="34" t="s">
        <v>103</v>
      </c>
      <c r="S259" s="6" t="s">
        <v>103</v>
      </c>
      <c r="T259" s="12">
        <f>Tableau1[[#This Row],[Loyer €/m²]]*Tableau1[[#This Row],[Surface GLA]]</f>
        <v>89250</v>
      </c>
      <c r="U259" s="12">
        <f>IFERROR(Tableau1[[#This Row],[Loyer annuel]]/12,"")</f>
        <v>7437.5</v>
      </c>
      <c r="V259" s="12">
        <v>350</v>
      </c>
      <c r="W259" s="34" t="s">
        <v>103</v>
      </c>
      <c r="X259" s="12"/>
      <c r="Y259" s="12">
        <f>Tableau1[[#This Row],[Charges annuelles]]/12</f>
        <v>0</v>
      </c>
      <c r="Z259" s="12"/>
      <c r="AA259" s="12">
        <f>IFERROR(Tableau1[[#This Row],[Taxe foncière €/m²]]*Tableau1[[#This Row],[Surface GLA]],)</f>
        <v>0</v>
      </c>
      <c r="AB259" s="12"/>
      <c r="AC259" s="12">
        <f>IFERROR(Tableau1[[#This Row],[Marketing €/m²]]*Tableau1[[#This Row],[Surface GLA]],)</f>
        <v>0</v>
      </c>
      <c r="AD259" s="12" t="s">
        <v>103</v>
      </c>
      <c r="AE259" s="12">
        <f>IFERROR(Tableau1[[#This Row],[Loyer annuel]]+Tableau1[[#This Row],[Charges annuelles]]+Tableau1[[#This Row],[Taxe foncière]]+Tableau1[[#This Row],[Marketing]],"")</f>
        <v>89250</v>
      </c>
      <c r="AF259" s="12" t="str">
        <f t="shared" ref="AF259" si="14">"3 mois = "&amp;TEXT(ROUND(3/12*T259,0),"### ### ##0 €")</f>
        <v>3 mois = 22 313 €</v>
      </c>
      <c r="AG259" s="12" t="s">
        <v>103</v>
      </c>
      <c r="AH259" s="51">
        <v>1.4999999999999999E-2</v>
      </c>
      <c r="AI259" s="12" t="s">
        <v>363</v>
      </c>
      <c r="AJ259" s="10" t="s">
        <v>375</v>
      </c>
      <c r="AK259" s="10" t="s">
        <v>369</v>
      </c>
      <c r="AL259" s="10"/>
      <c r="AM259" s="11"/>
      <c r="AN259" s="11" t="s">
        <v>1837</v>
      </c>
      <c r="AO259" s="5" t="s">
        <v>367</v>
      </c>
      <c r="AP259" s="11" t="s">
        <v>1839</v>
      </c>
      <c r="AQ259" s="11" t="s">
        <v>1840</v>
      </c>
      <c r="AR259" s="11">
        <v>83</v>
      </c>
      <c r="AS259" s="36" t="s">
        <v>1841</v>
      </c>
      <c r="AT259" s="11" t="s">
        <v>75</v>
      </c>
      <c r="AU259" s="11" t="s">
        <v>1838</v>
      </c>
      <c r="AV259" s="13" t="s">
        <v>1609</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1853</v>
      </c>
      <c r="E260" s="26">
        <v>28260</v>
      </c>
      <c r="F260" s="10" t="s">
        <v>1852</v>
      </c>
      <c r="G260" s="39" t="str">
        <f>Tableau1[[#This Row],[Rue]]&amp;CHAR(10)&amp;Tableau1[[#This Row],[Code Postal]]&amp;" - "&amp;Tableau1[[#This Row],[Ville]]</f>
        <v>Leclerc Anet
28260 - Anet</v>
      </c>
      <c r="H260" s="15" t="s">
        <v>1854</v>
      </c>
      <c r="I260" s="12" t="s">
        <v>47</v>
      </c>
      <c r="J260" s="12" t="s">
        <v>51</v>
      </c>
      <c r="K260" s="10" t="s">
        <v>103</v>
      </c>
      <c r="L260" s="12" t="s">
        <v>103</v>
      </c>
      <c r="M260" s="12" t="s">
        <v>103</v>
      </c>
      <c r="N260" s="36"/>
      <c r="O260" s="34">
        <v>120</v>
      </c>
      <c r="P260" s="6" t="s">
        <v>103</v>
      </c>
      <c r="Q260" s="34" t="s">
        <v>103</v>
      </c>
      <c r="R260" s="34" t="s">
        <v>103</v>
      </c>
      <c r="S260" s="6" t="s">
        <v>103</v>
      </c>
      <c r="T260" s="12">
        <f>Tableau1[[#This Row],[Loyer €/m²]]*Tableau1[[#This Row],[Surface GLA]]</f>
        <v>42000</v>
      </c>
      <c r="U260" s="12">
        <f>IFERROR(Tableau1[[#This Row],[Loyer annuel]]/12,"")</f>
        <v>3500</v>
      </c>
      <c r="V260" s="12">
        <v>350</v>
      </c>
      <c r="W260" s="34" t="s">
        <v>103</v>
      </c>
      <c r="X260" s="12"/>
      <c r="Y260" s="12">
        <f>Tableau1[[#This Row],[Charges annuelles]]/12</f>
        <v>0</v>
      </c>
      <c r="Z260" s="12"/>
      <c r="AA260" s="12">
        <f>IFERROR(Tableau1[[#This Row],[Taxe foncière €/m²]]*Tableau1[[#This Row],[Surface GLA]],)</f>
        <v>0</v>
      </c>
      <c r="AB260" s="12"/>
      <c r="AC260" s="12">
        <f>IFERROR(Tableau1[[#This Row],[Marketing €/m²]]*Tableau1[[#This Row],[Surface GLA]],)</f>
        <v>0</v>
      </c>
      <c r="AD260" s="12" t="s">
        <v>103</v>
      </c>
      <c r="AE260" s="12">
        <f>IFERROR(Tableau1[[#This Row],[Loyer annuel]]+Tableau1[[#This Row],[Charges annuelles]]+Tableau1[[#This Row],[Taxe foncière]]+Tableau1[[#This Row],[Marketing]],"")</f>
        <v>42000</v>
      </c>
      <c r="AF260" s="12"/>
      <c r="AG260" s="12" t="s">
        <v>103</v>
      </c>
      <c r="AH260" s="12" t="s">
        <v>103</v>
      </c>
      <c r="AI260" s="12" t="s">
        <v>363</v>
      </c>
      <c r="AJ260" s="10" t="s">
        <v>53</v>
      </c>
      <c r="AK260" s="10" t="s">
        <v>368</v>
      </c>
      <c r="AL260" s="10"/>
      <c r="AM260" s="11" t="s">
        <v>1857</v>
      </c>
      <c r="AN260" s="11"/>
      <c r="AO260" s="5" t="s">
        <v>367</v>
      </c>
      <c r="AP260" s="11" t="s">
        <v>1855</v>
      </c>
      <c r="AQ260" s="11" t="s">
        <v>1856</v>
      </c>
      <c r="AR260" s="11">
        <v>84</v>
      </c>
      <c r="AS260" s="36" t="s">
        <v>1858</v>
      </c>
      <c r="AT260" s="11" t="s">
        <v>75</v>
      </c>
      <c r="AU260" s="11"/>
      <c r="AV260" s="13" t="s">
        <v>1853</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1859</v>
      </c>
      <c r="E261" s="26">
        <v>28260</v>
      </c>
      <c r="F261" s="10" t="s">
        <v>1852</v>
      </c>
      <c r="G261" s="39" t="str">
        <f>Tableau1[[#This Row],[Rue]]&amp;CHAR(10)&amp;Tableau1[[#This Row],[Code Postal]]&amp;" - "&amp;Tableau1[[#This Row],[Ville]]</f>
        <v>11 rue Diane de Poitiers
28260 - Anet</v>
      </c>
      <c r="H261" s="15" t="s">
        <v>1860</v>
      </c>
      <c r="I261" s="12" t="s">
        <v>45</v>
      </c>
      <c r="J261" s="12" t="s">
        <v>44</v>
      </c>
      <c r="K261" s="10" t="s">
        <v>103</v>
      </c>
      <c r="L261" s="12" t="s">
        <v>103</v>
      </c>
      <c r="M261" s="12" t="s">
        <v>103</v>
      </c>
      <c r="N261" s="36"/>
      <c r="O261" s="34">
        <v>190</v>
      </c>
      <c r="P261" s="6" t="s">
        <v>103</v>
      </c>
      <c r="Q261" s="34" t="s">
        <v>103</v>
      </c>
      <c r="R261" s="34" t="s">
        <v>103</v>
      </c>
      <c r="S261" s="6" t="s">
        <v>103</v>
      </c>
      <c r="T261" s="12"/>
      <c r="U261" s="12">
        <f>IFERROR(Tableau1[[#This Row],[Loyer annuel]]/12,"")</f>
        <v>0</v>
      </c>
      <c r="V261" s="12"/>
      <c r="W261" s="34" t="s">
        <v>103</v>
      </c>
      <c r="X261" s="12"/>
      <c r="Y261" s="12">
        <f>Tableau1[[#This Row],[Charges annuelles]]/12</f>
        <v>0</v>
      </c>
      <c r="Z261" s="12"/>
      <c r="AA261" s="12">
        <f>IFERROR(Tableau1[[#This Row],[Taxe foncière €/m²]]*Tableau1[[#This Row],[Surface GLA]],)</f>
        <v>0</v>
      </c>
      <c r="AB261" s="12"/>
      <c r="AC261" s="12">
        <f>IFERROR(Tableau1[[#This Row],[Marketing €/m²]]*Tableau1[[#This Row],[Surface GLA]],)</f>
        <v>0</v>
      </c>
      <c r="AD261" s="12" t="s">
        <v>103</v>
      </c>
      <c r="AE261" s="12">
        <f>IFERROR(Tableau1[[#This Row],[Loyer annuel]]+Tableau1[[#This Row],[Charges annuelles]]+Tableau1[[#This Row],[Taxe foncière]]+Tableau1[[#This Row],[Marketing]],"")</f>
        <v>0</v>
      </c>
      <c r="AF261" s="12"/>
      <c r="AG261" s="12" t="s">
        <v>103</v>
      </c>
      <c r="AH261" s="12" t="s">
        <v>103</v>
      </c>
      <c r="AI261" s="12" t="s">
        <v>380</v>
      </c>
      <c r="AJ261" s="10" t="s">
        <v>53</v>
      </c>
      <c r="AK261" s="10" t="s">
        <v>53</v>
      </c>
      <c r="AL261" s="10" t="s">
        <v>1862</v>
      </c>
      <c r="AM261" s="11" t="s">
        <v>1861</v>
      </c>
      <c r="AN261" s="11"/>
      <c r="AO261" s="5" t="s">
        <v>367</v>
      </c>
      <c r="AP261" s="11" t="s">
        <v>1864</v>
      </c>
      <c r="AQ261" s="11" t="s">
        <v>1865</v>
      </c>
      <c r="AR261" s="11">
        <v>85</v>
      </c>
      <c r="AS261" s="36" t="s">
        <v>1866</v>
      </c>
      <c r="AT261" s="11" t="s">
        <v>75</v>
      </c>
      <c r="AU261" s="11"/>
      <c r="AV261" s="13" t="s">
        <v>1863</v>
      </c>
      <c r="AW261" s="14"/>
      <c r="AX261" s="44">
        <v>46132</v>
      </c>
    </row>
    <row r="271" spans="1:50">
      <c r="F271" s="1" t="s">
        <v>1018</v>
      </c>
    </row>
    <row r="272" spans="1:50">
      <c r="F272" s="1" t="s">
        <v>1019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2026-04-20T17:54:04Z</dcterms:modified>
</cp:coreProperties>
</file>