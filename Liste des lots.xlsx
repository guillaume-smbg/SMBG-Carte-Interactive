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MYCLOUD-0C8EDF\Kettenmeyer\SMBG Conseil\Recherches\"/>
    </mc:Choice>
  </mc:AlternateContent>
  <xr:revisionPtr revIDLastSave="0" documentId="13_ncr:1_{353912B3-0DEB-40B1-A731-7AC221D1572C}" xr6:coauthVersionLast="47" xr6:coauthVersionMax="47" xr10:uidLastSave="{00000000-0000-0000-0000-000000000000}"/>
  <bookViews>
    <workbookView xWindow="-120" yWindow="-120" windowWidth="29040" windowHeight="15720" xr2:uid="{169502BA-60CD-4080-B99D-F957FB39AAC1}"/>
  </bookViews>
  <sheets>
    <sheet name="Tableau recherche" sheetId="2" r:id="rId1"/>
    <sheet name="Présentation" sheetId="3" r:id="rId2"/>
    <sheet name="Feuil1" sheetId="4" r:id="rId3"/>
    <sheet name="Feuil2" sheetId="5" r:id="rId4"/>
  </sheets>
  <definedNames>
    <definedName name="Tableau">Tableau1[]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306" i="2" l="1"/>
  <c r="AF307" i="2"/>
  <c r="AF308" i="2"/>
  <c r="AF309" i="2"/>
  <c r="AF310" i="2"/>
  <c r="X306" i="2"/>
  <c r="Y306" i="2"/>
  <c r="X307" i="2"/>
  <c r="Y307" i="2" s="1"/>
  <c r="X308" i="2"/>
  <c r="Y308" i="2"/>
  <c r="X309" i="2"/>
  <c r="Y309" i="2"/>
  <c r="X310" i="2"/>
  <c r="Y310" i="2" s="1"/>
  <c r="T306" i="2"/>
  <c r="U306" i="2"/>
  <c r="T307" i="2"/>
  <c r="U307" i="2" s="1"/>
  <c r="T308" i="2"/>
  <c r="U308" i="2" s="1"/>
  <c r="T309" i="2"/>
  <c r="U309" i="2"/>
  <c r="T310" i="2"/>
  <c r="U310" i="2"/>
  <c r="G307" i="2"/>
  <c r="G308" i="2"/>
  <c r="G309" i="2"/>
  <c r="G310" i="2"/>
  <c r="G311" i="2"/>
  <c r="G312" i="2"/>
  <c r="G313" i="2"/>
  <c r="G314" i="2"/>
  <c r="G315" i="2"/>
  <c r="G316" i="2"/>
  <c r="G317" i="2"/>
  <c r="AF302" i="2"/>
  <c r="AF305" i="2"/>
  <c r="X302" i="2"/>
  <c r="Y302" i="2" s="1"/>
  <c r="X303" i="2"/>
  <c r="Y303" i="2" s="1"/>
  <c r="X304" i="2"/>
  <c r="Y304" i="2"/>
  <c r="X305" i="2"/>
  <c r="Y305" i="2" s="1"/>
  <c r="T302" i="2"/>
  <c r="U302" i="2" s="1"/>
  <c r="T303" i="2"/>
  <c r="U303" i="2" s="1"/>
  <c r="T304" i="2"/>
  <c r="U304" i="2" s="1"/>
  <c r="T305" i="2"/>
  <c r="U305" i="2"/>
  <c r="G305" i="2"/>
  <c r="G304" i="2"/>
  <c r="G303" i="2"/>
  <c r="C318" i="2"/>
  <c r="A318" i="2" s="1"/>
  <c r="H318" i="2" a="1"/>
  <c r="H318" i="2" s="1"/>
  <c r="U318" i="2"/>
  <c r="Y318" i="2"/>
  <c r="AA318" i="2"/>
  <c r="AC318" i="2"/>
  <c r="AE318" i="2" s="1"/>
  <c r="G302" i="2"/>
  <c r="G306" i="2"/>
  <c r="G318" i="2"/>
  <c r="X294" i="2"/>
  <c r="Y294" i="2" s="1"/>
  <c r="X295" i="2"/>
  <c r="Y295" i="2" s="1"/>
  <c r="X296" i="2"/>
  <c r="Y296" i="2" s="1"/>
  <c r="X297" i="2"/>
  <c r="Y297" i="2" s="1"/>
  <c r="X298" i="2"/>
  <c r="Y298" i="2" s="1"/>
  <c r="X299" i="2"/>
  <c r="Y299" i="2" s="1"/>
  <c r="X300" i="2"/>
  <c r="Y300" i="2" s="1"/>
  <c r="X301" i="2"/>
  <c r="Y301" i="2" s="1"/>
  <c r="T294" i="2"/>
  <c r="U294" i="2" s="1"/>
  <c r="T295" i="2"/>
  <c r="U295" i="2" s="1"/>
  <c r="T296" i="2"/>
  <c r="U296" i="2" s="1"/>
  <c r="T297" i="2"/>
  <c r="U297" i="2" s="1"/>
  <c r="T298" i="2"/>
  <c r="AF298" i="2" s="1"/>
  <c r="T299" i="2"/>
  <c r="U299" i="2" s="1"/>
  <c r="T300" i="2"/>
  <c r="U300" i="2" s="1"/>
  <c r="T301" i="2"/>
  <c r="AF301" i="2" s="1"/>
  <c r="C296" i="2"/>
  <c r="A296" i="2" s="1"/>
  <c r="C297" i="2"/>
  <c r="A297" i="2" s="1"/>
  <c r="C298" i="2"/>
  <c r="A298" i="2" s="1"/>
  <c r="C299" i="2"/>
  <c r="B299" i="2" s="1"/>
  <c r="C300" i="2"/>
  <c r="B300" i="2" s="1"/>
  <c r="C301" i="2"/>
  <c r="A301" i="2" s="1"/>
  <c r="C302" i="2"/>
  <c r="B302" i="2" s="1"/>
  <c r="C303" i="2"/>
  <c r="B303" i="2" s="1"/>
  <c r="C304" i="2"/>
  <c r="A304" i="2" s="1"/>
  <c r="C305" i="2"/>
  <c r="A305" i="2" s="1"/>
  <c r="C306" i="2"/>
  <c r="B306" i="2" s="1"/>
  <c r="C307" i="2"/>
  <c r="B307" i="2" s="1"/>
  <c r="C308" i="2"/>
  <c r="A308" i="2" s="1"/>
  <c r="C309" i="2"/>
  <c r="A309" i="2" s="1"/>
  <c r="C310" i="2"/>
  <c r="A310" i="2" s="1"/>
  <c r="C311" i="2"/>
  <c r="B311" i="2" s="1"/>
  <c r="C312" i="2"/>
  <c r="A312" i="2" s="1"/>
  <c r="C313" i="2"/>
  <c r="A313" i="2" s="1"/>
  <c r="C314" i="2"/>
  <c r="B314" i="2" s="1"/>
  <c r="C315" i="2"/>
  <c r="B315" i="2" s="1"/>
  <c r="C316" i="2"/>
  <c r="B316" i="2" s="1"/>
  <c r="C317" i="2"/>
  <c r="A317" i="2" s="1"/>
  <c r="U311" i="2"/>
  <c r="U312" i="2"/>
  <c r="U313" i="2"/>
  <c r="U314" i="2"/>
  <c r="U315" i="2"/>
  <c r="U316" i="2"/>
  <c r="U317" i="2"/>
  <c r="Y311" i="2"/>
  <c r="Y312" i="2"/>
  <c r="Y313" i="2"/>
  <c r="Y314" i="2"/>
  <c r="Y315" i="2"/>
  <c r="Y316" i="2"/>
  <c r="Y317" i="2"/>
  <c r="AA296" i="2"/>
  <c r="AA297" i="2"/>
  <c r="AA298" i="2"/>
  <c r="AA299" i="2"/>
  <c r="AA300" i="2"/>
  <c r="AA301" i="2"/>
  <c r="AA302" i="2"/>
  <c r="AA303" i="2"/>
  <c r="AA304" i="2"/>
  <c r="AA305" i="2"/>
  <c r="AA306" i="2"/>
  <c r="AA307" i="2"/>
  <c r="AA308" i="2"/>
  <c r="AA309" i="2"/>
  <c r="AA310" i="2"/>
  <c r="AA311" i="2"/>
  <c r="AA312" i="2"/>
  <c r="AA313" i="2"/>
  <c r="AE313" i="2" s="1"/>
  <c r="AA314" i="2"/>
  <c r="AA315" i="2"/>
  <c r="AA316" i="2"/>
  <c r="AA317" i="2"/>
  <c r="AC296" i="2"/>
  <c r="AC297" i="2"/>
  <c r="AC298" i="2"/>
  <c r="AC299" i="2"/>
  <c r="AC300" i="2"/>
  <c r="AC301" i="2"/>
  <c r="AC302" i="2"/>
  <c r="AC303" i="2"/>
  <c r="AC304" i="2"/>
  <c r="AC305" i="2"/>
  <c r="AC306" i="2"/>
  <c r="AC307" i="2"/>
  <c r="AC308" i="2"/>
  <c r="AC309" i="2"/>
  <c r="AC310" i="2"/>
  <c r="AC311" i="2"/>
  <c r="AE311" i="2" s="1"/>
  <c r="AC312" i="2"/>
  <c r="AC313" i="2"/>
  <c r="AC314" i="2"/>
  <c r="AC315" i="2"/>
  <c r="AC316" i="2"/>
  <c r="AC317" i="2"/>
  <c r="AE317" i="2" s="1"/>
  <c r="G296" i="2"/>
  <c r="G297" i="2"/>
  <c r="G298" i="2"/>
  <c r="G299" i="2"/>
  <c r="G300" i="2"/>
  <c r="G301" i="2"/>
  <c r="G295" i="2"/>
  <c r="G294" i="2"/>
  <c r="AC278" i="2"/>
  <c r="AC279" i="2"/>
  <c r="AC280" i="2"/>
  <c r="AC281" i="2"/>
  <c r="AC282" i="2"/>
  <c r="AC283" i="2"/>
  <c r="AC284" i="2"/>
  <c r="AC285" i="2"/>
  <c r="AC286" i="2"/>
  <c r="AC287" i="2"/>
  <c r="AC288" i="2"/>
  <c r="AC289" i="2"/>
  <c r="AC290" i="2"/>
  <c r="AC291" i="2"/>
  <c r="AC292" i="2"/>
  <c r="AC293" i="2"/>
  <c r="X284" i="2"/>
  <c r="Y284" i="2" s="1"/>
  <c r="X285" i="2"/>
  <c r="Y285" i="2" s="1"/>
  <c r="X286" i="2"/>
  <c r="Y286" i="2" s="1"/>
  <c r="X287" i="2"/>
  <c r="Y287" i="2" s="1"/>
  <c r="X288" i="2"/>
  <c r="Y288" i="2" s="1"/>
  <c r="X289" i="2"/>
  <c r="Y289" i="2" s="1"/>
  <c r="X290" i="2"/>
  <c r="Y290" i="2" s="1"/>
  <c r="X291" i="2"/>
  <c r="Y291" i="2" s="1"/>
  <c r="X292" i="2"/>
  <c r="Y292" i="2" s="1"/>
  <c r="X293" i="2"/>
  <c r="Y293" i="2" s="1"/>
  <c r="T281" i="2"/>
  <c r="U281" i="2" s="1"/>
  <c r="T282" i="2"/>
  <c r="U282" i="2" s="1"/>
  <c r="T283" i="2"/>
  <c r="U283" i="2" s="1"/>
  <c r="T284" i="2"/>
  <c r="U284" i="2" s="1"/>
  <c r="T285" i="2"/>
  <c r="U285" i="2" s="1"/>
  <c r="T286" i="2"/>
  <c r="U286" i="2" s="1"/>
  <c r="T287" i="2"/>
  <c r="U287" i="2" s="1"/>
  <c r="T288" i="2"/>
  <c r="AF288" i="2" s="1"/>
  <c r="T289" i="2"/>
  <c r="U289" i="2" s="1"/>
  <c r="T290" i="2"/>
  <c r="U290" i="2" s="1"/>
  <c r="T291" i="2"/>
  <c r="AF291" i="2" s="1"/>
  <c r="T292" i="2"/>
  <c r="U292" i="2" s="1"/>
  <c r="T293" i="2"/>
  <c r="U293" i="2" s="1"/>
  <c r="C285" i="2"/>
  <c r="A285" i="2" s="1"/>
  <c r="C286" i="2"/>
  <c r="B286" i="2" s="1"/>
  <c r="C287" i="2"/>
  <c r="A287" i="2" s="1"/>
  <c r="C288" i="2"/>
  <c r="B288" i="2" s="1"/>
  <c r="C289" i="2"/>
  <c r="B289" i="2" s="1"/>
  <c r="C290" i="2"/>
  <c r="B290" i="2" s="1"/>
  <c r="C291" i="2"/>
  <c r="B291" i="2" s="1"/>
  <c r="C292" i="2"/>
  <c r="A292" i="2" s="1"/>
  <c r="C293" i="2"/>
  <c r="B293" i="2" s="1"/>
  <c r="C294" i="2"/>
  <c r="B294" i="2" s="1"/>
  <c r="C295" i="2"/>
  <c r="B295" i="2" s="1"/>
  <c r="AA285" i="2"/>
  <c r="AA286" i="2"/>
  <c r="AA287" i="2"/>
  <c r="AA288" i="2"/>
  <c r="AA289" i="2"/>
  <c r="AA290" i="2"/>
  <c r="AA291" i="2"/>
  <c r="AA292" i="2"/>
  <c r="AA293" i="2"/>
  <c r="AA294" i="2"/>
  <c r="AA295" i="2"/>
  <c r="AC294" i="2"/>
  <c r="AC295" i="2"/>
  <c r="G280" i="2"/>
  <c r="G281" i="2"/>
  <c r="G282" i="2"/>
  <c r="G283" i="2"/>
  <c r="G284" i="2"/>
  <c r="G285" i="2"/>
  <c r="G286" i="2"/>
  <c r="G287" i="2"/>
  <c r="G288" i="2"/>
  <c r="G289" i="2"/>
  <c r="G290" i="2"/>
  <c r="G291" i="2"/>
  <c r="G292" i="2"/>
  <c r="G293" i="2"/>
  <c r="G279" i="2"/>
  <c r="G278" i="2"/>
  <c r="C284" i="2"/>
  <c r="A284" i="2" s="1"/>
  <c r="AA284" i="2"/>
  <c r="T261" i="2"/>
  <c r="U261" i="2" s="1"/>
  <c r="T262" i="2"/>
  <c r="U262" i="2" s="1"/>
  <c r="T263" i="2"/>
  <c r="U263" i="2" s="1"/>
  <c r="T264" i="2"/>
  <c r="U264" i="2" s="1"/>
  <c r="T265" i="2"/>
  <c r="U265" i="2" s="1"/>
  <c r="T266" i="2"/>
  <c r="AF266" i="2" s="1"/>
  <c r="T267" i="2"/>
  <c r="U267" i="2" s="1"/>
  <c r="T268" i="2"/>
  <c r="U268" i="2" s="1"/>
  <c r="T269" i="2"/>
  <c r="U269" i="2" s="1"/>
  <c r="T270" i="2"/>
  <c r="U270" i="2" s="1"/>
  <c r="T271" i="2"/>
  <c r="U271" i="2" s="1"/>
  <c r="T272" i="2"/>
  <c r="U272" i="2" s="1"/>
  <c r="T273" i="2"/>
  <c r="U273" i="2" s="1"/>
  <c r="T274" i="2"/>
  <c r="U274" i="2" s="1"/>
  <c r="T275" i="2"/>
  <c r="AF275" i="2" s="1"/>
  <c r="T276" i="2"/>
  <c r="AF276" i="2" s="1"/>
  <c r="T277" i="2"/>
  <c r="U277" i="2" s="1"/>
  <c r="T278" i="2"/>
  <c r="U278" i="2" s="1"/>
  <c r="T279" i="2"/>
  <c r="U279" i="2" s="1"/>
  <c r="T280" i="2"/>
  <c r="U280" i="2" s="1"/>
  <c r="X264" i="2"/>
  <c r="Y264" i="2" s="1"/>
  <c r="AA264" i="2"/>
  <c r="AC264" i="2"/>
  <c r="X265" i="2"/>
  <c r="Y265" i="2" s="1"/>
  <c r="AA265" i="2"/>
  <c r="AC265" i="2"/>
  <c r="X266" i="2"/>
  <c r="Y266" i="2" s="1"/>
  <c r="AA266" i="2"/>
  <c r="AC266" i="2"/>
  <c r="X267" i="2"/>
  <c r="Y267" i="2" s="1"/>
  <c r="AA267" i="2"/>
  <c r="AC267" i="2"/>
  <c r="X268" i="2"/>
  <c r="Y268" i="2" s="1"/>
  <c r="AA268" i="2"/>
  <c r="AC268" i="2"/>
  <c r="X269" i="2"/>
  <c r="Y269" i="2" s="1"/>
  <c r="AA269" i="2"/>
  <c r="AC269" i="2"/>
  <c r="X270" i="2"/>
  <c r="Y270" i="2" s="1"/>
  <c r="AA270" i="2"/>
  <c r="AC270" i="2"/>
  <c r="X271" i="2"/>
  <c r="Y271" i="2" s="1"/>
  <c r="AA271" i="2"/>
  <c r="AC271" i="2"/>
  <c r="X272" i="2"/>
  <c r="AA272" i="2"/>
  <c r="AC272" i="2"/>
  <c r="X273" i="2"/>
  <c r="Y273" i="2" s="1"/>
  <c r="AA273" i="2"/>
  <c r="AC273" i="2"/>
  <c r="X274" i="2"/>
  <c r="Y274" i="2" s="1"/>
  <c r="AA274" i="2"/>
  <c r="AC274" i="2"/>
  <c r="X275" i="2"/>
  <c r="Y275" i="2" s="1"/>
  <c r="AA275" i="2"/>
  <c r="AC275" i="2"/>
  <c r="X276" i="2"/>
  <c r="Y276" i="2" s="1"/>
  <c r="AA276" i="2"/>
  <c r="AC276" i="2"/>
  <c r="X277" i="2"/>
  <c r="Y277" i="2" s="1"/>
  <c r="AA277" i="2"/>
  <c r="AC277" i="2"/>
  <c r="X278" i="2"/>
  <c r="AA278" i="2"/>
  <c r="X279" i="2"/>
  <c r="Y279" i="2" s="1"/>
  <c r="AA279" i="2"/>
  <c r="X280" i="2"/>
  <c r="Y280" i="2" s="1"/>
  <c r="AA280" i="2"/>
  <c r="X281" i="2"/>
  <c r="AA281" i="2"/>
  <c r="X263" i="2"/>
  <c r="Y263" i="2" s="1"/>
  <c r="AA263" i="2"/>
  <c r="AC263" i="2"/>
  <c r="X259" i="2"/>
  <c r="Y259" i="2"/>
  <c r="X260" i="2"/>
  <c r="Y260" i="2" s="1"/>
  <c r="X261" i="2"/>
  <c r="Y261" i="2" s="1"/>
  <c r="X262" i="2"/>
  <c r="Y262" i="2" s="1"/>
  <c r="X282" i="2"/>
  <c r="Y282" i="2" s="1"/>
  <c r="X283" i="2"/>
  <c r="Y283" i="2" s="1"/>
  <c r="AA282" i="2"/>
  <c r="AA283" i="2"/>
  <c r="C264" i="2"/>
  <c r="A264" i="2" s="1"/>
  <c r="G264" i="2"/>
  <c r="C265" i="2"/>
  <c r="A265" i="2" s="1"/>
  <c r="G265" i="2"/>
  <c r="C266" i="2"/>
  <c r="A266" i="2" s="1"/>
  <c r="G266" i="2"/>
  <c r="C267" i="2"/>
  <c r="A267" i="2" s="1"/>
  <c r="G267" i="2"/>
  <c r="C268" i="2"/>
  <c r="A268" i="2" s="1"/>
  <c r="G268" i="2"/>
  <c r="C269" i="2"/>
  <c r="A269" i="2" s="1"/>
  <c r="G269" i="2"/>
  <c r="C270" i="2"/>
  <c r="A270" i="2" s="1"/>
  <c r="G270" i="2"/>
  <c r="C271" i="2"/>
  <c r="B271" i="2" s="1"/>
  <c r="G271" i="2"/>
  <c r="C272" i="2"/>
  <c r="B272" i="2" s="1"/>
  <c r="G272" i="2"/>
  <c r="C273" i="2"/>
  <c r="B273" i="2" s="1"/>
  <c r="G273" i="2"/>
  <c r="C274" i="2"/>
  <c r="A274" i="2" s="1"/>
  <c r="G274" i="2"/>
  <c r="C275" i="2"/>
  <c r="B275" i="2" s="1"/>
  <c r="G275" i="2"/>
  <c r="C276" i="2"/>
  <c r="B276" i="2" s="1"/>
  <c r="G276" i="2"/>
  <c r="C277" i="2"/>
  <c r="B277" i="2" s="1"/>
  <c r="G277" i="2"/>
  <c r="C278" i="2"/>
  <c r="B278" i="2" s="1"/>
  <c r="C279" i="2"/>
  <c r="B279" i="2" s="1"/>
  <c r="C280" i="2"/>
  <c r="A280" i="2" s="1"/>
  <c r="C281" i="2"/>
  <c r="B281" i="2" s="1"/>
  <c r="C282" i="2"/>
  <c r="B282" i="2" s="1"/>
  <c r="C283" i="2"/>
  <c r="A283" i="2" s="1"/>
  <c r="G263" i="2"/>
  <c r="C263" i="2"/>
  <c r="A263" i="2" s="1"/>
  <c r="G262" i="2"/>
  <c r="C262" i="2"/>
  <c r="A262" i="2" s="1"/>
  <c r="AA262" i="2"/>
  <c r="AC262" i="2"/>
  <c r="AA50" i="2"/>
  <c r="X50" i="2"/>
  <c r="Y50" i="2" s="1"/>
  <c r="AA261" i="2"/>
  <c r="AC261" i="2"/>
  <c r="C261" i="2"/>
  <c r="A261" i="2" s="1"/>
  <c r="G261" i="2"/>
  <c r="T260" i="2"/>
  <c r="U260" i="2" s="1"/>
  <c r="G260" i="2"/>
  <c r="C260" i="2"/>
  <c r="A260" i="2" s="1"/>
  <c r="AA260" i="2"/>
  <c r="AC260" i="2"/>
  <c r="AC192" i="2"/>
  <c r="X192" i="2"/>
  <c r="Y192" i="2" s="1"/>
  <c r="T192" i="2"/>
  <c r="U192" i="2" s="1"/>
  <c r="C192" i="2"/>
  <c r="A192" i="2" s="1"/>
  <c r="G192" i="2"/>
  <c r="AA192" i="2"/>
  <c r="T257" i="2"/>
  <c r="U257" i="2" s="1"/>
  <c r="T258" i="2"/>
  <c r="U258" i="2" s="1"/>
  <c r="T259" i="2"/>
  <c r="U259" i="2" s="1"/>
  <c r="AA259" i="2"/>
  <c r="AC259" i="2"/>
  <c r="C259" i="2"/>
  <c r="A259" i="2" s="1"/>
  <c r="G259" i="2"/>
  <c r="X225" i="2"/>
  <c r="Y225" i="2" s="1"/>
  <c r="X226" i="2"/>
  <c r="Y226" i="2" s="1"/>
  <c r="G258" i="2"/>
  <c r="X248" i="2"/>
  <c r="Y248" i="2" s="1"/>
  <c r="X249" i="2"/>
  <c r="Y249" i="2" s="1"/>
  <c r="X250" i="2"/>
  <c r="Y250" i="2" s="1"/>
  <c r="X251" i="2"/>
  <c r="Y251" i="2" s="1"/>
  <c r="X252" i="2"/>
  <c r="Y252" i="2" s="1"/>
  <c r="X253" i="2"/>
  <c r="Y253" i="2" s="1"/>
  <c r="X254" i="2"/>
  <c r="Y254" i="2" s="1"/>
  <c r="X255" i="2"/>
  <c r="Y255" i="2" s="1"/>
  <c r="X256" i="2"/>
  <c r="Y256" i="2" s="1"/>
  <c r="X257" i="2"/>
  <c r="Y257" i="2" s="1"/>
  <c r="X258" i="2"/>
  <c r="Y258" i="2" s="1"/>
  <c r="X247" i="2"/>
  <c r="Y247" i="2" s="1"/>
  <c r="C258" i="2"/>
  <c r="A258" i="2" s="1"/>
  <c r="AA258" i="2"/>
  <c r="AC258" i="2"/>
  <c r="G256" i="2"/>
  <c r="G257" i="2"/>
  <c r="C257" i="2"/>
  <c r="A257" i="2" s="1"/>
  <c r="AA257" i="2"/>
  <c r="AC257" i="2"/>
  <c r="T256" i="2"/>
  <c r="U256" i="2" s="1"/>
  <c r="C256" i="2"/>
  <c r="A256" i="2" s="1"/>
  <c r="AA256" i="2"/>
  <c r="AC256" i="2"/>
  <c r="X140" i="2"/>
  <c r="Y140" i="2" s="1"/>
  <c r="X141" i="2"/>
  <c r="Y141" i="2" s="1"/>
  <c r="T140" i="2"/>
  <c r="U140" i="2" s="1"/>
  <c r="T141" i="2"/>
  <c r="U141" i="2" s="1"/>
  <c r="G141" i="2"/>
  <c r="C141" i="2"/>
  <c r="B141" i="2" s="1"/>
  <c r="G140" i="2"/>
  <c r="C140" i="2"/>
  <c r="B140" i="2" s="1"/>
  <c r="AA140" i="2"/>
  <c r="AA141" i="2"/>
  <c r="AC140" i="2"/>
  <c r="AC141" i="2"/>
  <c r="AH104" i="2"/>
  <c r="AH105" i="2"/>
  <c r="AH106" i="2"/>
  <c r="AH107" i="2"/>
  <c r="AH108" i="2"/>
  <c r="AH109" i="2"/>
  <c r="AH110" i="2"/>
  <c r="AH111" i="2"/>
  <c r="AH112" i="2"/>
  <c r="AH113" i="2"/>
  <c r="AH114" i="2"/>
  <c r="AH115" i="2"/>
  <c r="AH116" i="2"/>
  <c r="AH103" i="2"/>
  <c r="X235" i="2"/>
  <c r="Y235" i="2" s="1"/>
  <c r="T235" i="2"/>
  <c r="U235" i="2" s="1"/>
  <c r="C235" i="2"/>
  <c r="A235" i="2" s="1"/>
  <c r="G235" i="2"/>
  <c r="AA235" i="2"/>
  <c r="AC235" i="2"/>
  <c r="X224" i="2"/>
  <c r="Y224" i="2" s="1"/>
  <c r="T224" i="2"/>
  <c r="U224" i="2" s="1"/>
  <c r="T225" i="2"/>
  <c r="U225" i="2" s="1"/>
  <c r="T226" i="2"/>
  <c r="U226" i="2" s="1"/>
  <c r="G227" i="2"/>
  <c r="G228" i="2"/>
  <c r="G229" i="2"/>
  <c r="G230" i="2"/>
  <c r="G231" i="2"/>
  <c r="G232" i="2"/>
  <c r="G233" i="2"/>
  <c r="G234" i="2"/>
  <c r="G236" i="2"/>
  <c r="G237" i="2"/>
  <c r="G238" i="2"/>
  <c r="G239" i="2"/>
  <c r="G240" i="2"/>
  <c r="G241" i="2"/>
  <c r="G242" i="2"/>
  <c r="G243" i="2"/>
  <c r="G244" i="2"/>
  <c r="G245" i="2"/>
  <c r="G246" i="2"/>
  <c r="G247" i="2"/>
  <c r="G251" i="2"/>
  <c r="G250" i="2"/>
  <c r="G249" i="2"/>
  <c r="G248" i="2"/>
  <c r="G252" i="2"/>
  <c r="G253" i="2"/>
  <c r="G254" i="2"/>
  <c r="G255" i="2"/>
  <c r="T251" i="2"/>
  <c r="U251" i="2" s="1"/>
  <c r="AA251" i="2"/>
  <c r="AC251" i="2"/>
  <c r="X228" i="2"/>
  <c r="Y228" i="2" s="1"/>
  <c r="X229" i="2"/>
  <c r="Y229" i="2" s="1"/>
  <c r="X230" i="2"/>
  <c r="Y230" i="2" s="1"/>
  <c r="X231" i="2"/>
  <c r="Y231" i="2" s="1"/>
  <c r="X232" i="2"/>
  <c r="Y232" i="2" s="1"/>
  <c r="X233" i="2"/>
  <c r="Y233" i="2" s="1"/>
  <c r="X234" i="2"/>
  <c r="Y234" i="2" s="1"/>
  <c r="X236" i="2"/>
  <c r="Y236" i="2" s="1"/>
  <c r="X237" i="2"/>
  <c r="Y237" i="2" s="1"/>
  <c r="X238" i="2"/>
  <c r="Y238" i="2" s="1"/>
  <c r="X239" i="2"/>
  <c r="Y239" i="2" s="1"/>
  <c r="X240" i="2"/>
  <c r="Y240" i="2" s="1"/>
  <c r="X241" i="2"/>
  <c r="Y241" i="2" s="1"/>
  <c r="X242" i="2"/>
  <c r="Y242" i="2" s="1"/>
  <c r="X243" i="2"/>
  <c r="Y243" i="2" s="1"/>
  <c r="X244" i="2"/>
  <c r="Y244" i="2" s="1"/>
  <c r="X245" i="2"/>
  <c r="Y245" i="2" s="1"/>
  <c r="X246" i="2"/>
  <c r="Y246" i="2" s="1"/>
  <c r="T228" i="2"/>
  <c r="AF228" i="2" s="1"/>
  <c r="T229" i="2"/>
  <c r="U229" i="2" s="1"/>
  <c r="T230" i="2"/>
  <c r="U230" i="2" s="1"/>
  <c r="T231" i="2"/>
  <c r="U231" i="2" s="1"/>
  <c r="T232" i="2"/>
  <c r="U232" i="2" s="1"/>
  <c r="T233" i="2"/>
  <c r="U233" i="2" s="1"/>
  <c r="T234" i="2"/>
  <c r="U234" i="2" s="1"/>
  <c r="T236" i="2"/>
  <c r="U236" i="2" s="1"/>
  <c r="T237" i="2"/>
  <c r="U237" i="2" s="1"/>
  <c r="T238" i="2"/>
  <c r="AF238" i="2" s="1"/>
  <c r="T239" i="2"/>
  <c r="U239" i="2" s="1"/>
  <c r="T240" i="2"/>
  <c r="U240" i="2" s="1"/>
  <c r="T241" i="2"/>
  <c r="AF241" i="2" s="1"/>
  <c r="T242" i="2"/>
  <c r="U242" i="2" s="1"/>
  <c r="T243" i="2"/>
  <c r="U243" i="2" s="1"/>
  <c r="T244" i="2"/>
  <c r="U244" i="2" s="1"/>
  <c r="T245" i="2"/>
  <c r="U245" i="2" s="1"/>
  <c r="T246" i="2"/>
  <c r="U246" i="2" s="1"/>
  <c r="T247" i="2"/>
  <c r="AF247" i="2" s="1"/>
  <c r="T250" i="2"/>
  <c r="U250" i="2" s="1"/>
  <c r="T249" i="2"/>
  <c r="AF249" i="2" s="1"/>
  <c r="T248" i="2"/>
  <c r="U248" i="2" s="1"/>
  <c r="T252" i="2"/>
  <c r="U252" i="2" s="1"/>
  <c r="T253" i="2"/>
  <c r="AF253" i="2" s="1"/>
  <c r="T254" i="2"/>
  <c r="U254" i="2" s="1"/>
  <c r="T255" i="2"/>
  <c r="U255" i="2" s="1"/>
  <c r="C255" i="2"/>
  <c r="A255" i="2" s="1"/>
  <c r="AA255" i="2"/>
  <c r="AC255" i="2"/>
  <c r="C254" i="2"/>
  <c r="A254" i="2" s="1"/>
  <c r="AA254" i="2"/>
  <c r="AC254" i="2"/>
  <c r="C253" i="2"/>
  <c r="A253" i="2" s="1"/>
  <c r="AA253" i="2"/>
  <c r="AC253" i="2"/>
  <c r="C252" i="2"/>
  <c r="A252" i="2" s="1"/>
  <c r="AA252" i="2"/>
  <c r="AC252" i="2"/>
  <c r="C248" i="2"/>
  <c r="A248" i="2" s="1"/>
  <c r="AA248" i="2"/>
  <c r="AC248" i="2"/>
  <c r="C249" i="2"/>
  <c r="A249" i="2" s="1"/>
  <c r="AA249" i="2"/>
  <c r="AC249" i="2"/>
  <c r="C250" i="2"/>
  <c r="A250" i="2" s="1"/>
  <c r="AA250" i="2"/>
  <c r="AC250" i="2"/>
  <c r="C251" i="2"/>
  <c r="A251" i="2" s="1"/>
  <c r="C247" i="2"/>
  <c r="A247" i="2" s="1"/>
  <c r="AA247" i="2"/>
  <c r="AC247" i="2"/>
  <c r="C246" i="2"/>
  <c r="A246" i="2" s="1"/>
  <c r="AA246" i="2"/>
  <c r="AC246" i="2"/>
  <c r="C245" i="2"/>
  <c r="A245" i="2" s="1"/>
  <c r="AA245" i="2"/>
  <c r="AC245" i="2"/>
  <c r="C244" i="2"/>
  <c r="A244" i="2" s="1"/>
  <c r="AA244" i="2"/>
  <c r="AC244" i="2"/>
  <c r="C243" i="2"/>
  <c r="A243" i="2" s="1"/>
  <c r="AA243" i="2"/>
  <c r="AC243" i="2"/>
  <c r="C242" i="2"/>
  <c r="B242" i="2" s="1"/>
  <c r="AA242" i="2"/>
  <c r="AC242" i="2"/>
  <c r="C241" i="2"/>
  <c r="A241" i="2" s="1"/>
  <c r="AA241" i="2"/>
  <c r="AC241" i="2"/>
  <c r="C240" i="2"/>
  <c r="A240" i="2" s="1"/>
  <c r="AA240" i="2"/>
  <c r="AC240" i="2"/>
  <c r="C239" i="2"/>
  <c r="A239" i="2" s="1"/>
  <c r="AA239" i="2"/>
  <c r="AC239" i="2"/>
  <c r="C238" i="2"/>
  <c r="A238" i="2" s="1"/>
  <c r="AA238" i="2"/>
  <c r="AC238" i="2"/>
  <c r="C237" i="2"/>
  <c r="A237" i="2" s="1"/>
  <c r="AA237" i="2"/>
  <c r="AC237" i="2"/>
  <c r="C236" i="2"/>
  <c r="A236" i="2" s="1"/>
  <c r="AA236" i="2"/>
  <c r="AC236" i="2"/>
  <c r="C234" i="2"/>
  <c r="B234" i="2" s="1"/>
  <c r="AA234" i="2"/>
  <c r="AC234" i="2"/>
  <c r="C233" i="2"/>
  <c r="A233" i="2" s="1"/>
  <c r="AA233" i="2"/>
  <c r="AC233" i="2"/>
  <c r="C232" i="2"/>
  <c r="A232" i="2" s="1"/>
  <c r="AA232" i="2"/>
  <c r="AC232" i="2"/>
  <c r="C231" i="2"/>
  <c r="A231" i="2" s="1"/>
  <c r="AA231" i="2"/>
  <c r="AC231" i="2"/>
  <c r="C230" i="2"/>
  <c r="A230" i="2" s="1"/>
  <c r="AA230" i="2"/>
  <c r="AC230" i="2"/>
  <c r="C229" i="2"/>
  <c r="B229" i="2" s="1"/>
  <c r="AA229" i="2"/>
  <c r="AC229" i="2"/>
  <c r="C228" i="2"/>
  <c r="A228" i="2" s="1"/>
  <c r="AA228" i="2"/>
  <c r="AC228" i="2"/>
  <c r="X227" i="2"/>
  <c r="Y227" i="2" s="1"/>
  <c r="T227" i="2"/>
  <c r="U227" i="2" s="1"/>
  <c r="C227" i="2"/>
  <c r="A227" i="2" s="1"/>
  <c r="AA227" i="2"/>
  <c r="AC227" i="2"/>
  <c r="AF294" i="2" l="1"/>
  <c r="AF304" i="2"/>
  <c r="AE314" i="2"/>
  <c r="AF303" i="2"/>
  <c r="A273" i="2"/>
  <c r="AE302" i="2"/>
  <c r="AE305" i="2"/>
  <c r="AE315" i="2"/>
  <c r="AE303" i="2"/>
  <c r="B312" i="2"/>
  <c r="AE309" i="2"/>
  <c r="AE308" i="2"/>
  <c r="AE301" i="2"/>
  <c r="B317" i="2"/>
  <c r="AE312" i="2"/>
  <c r="A316" i="2"/>
  <c r="U301" i="2"/>
  <c r="AE306" i="2"/>
  <c r="AE316" i="2"/>
  <c r="AE304" i="2"/>
  <c r="B305" i="2"/>
  <c r="B313" i="2"/>
  <c r="AF300" i="2"/>
  <c r="AE295" i="2"/>
  <c r="B310" i="2"/>
  <c r="AF299" i="2"/>
  <c r="AE310" i="2"/>
  <c r="U298" i="2"/>
  <c r="B304" i="2"/>
  <c r="AF297" i="2"/>
  <c r="A271" i="2"/>
  <c r="U288" i="2"/>
  <c r="B301" i="2"/>
  <c r="AF296" i="2"/>
  <c r="AE307" i="2"/>
  <c r="B298" i="2"/>
  <c r="AF295" i="2"/>
  <c r="B318" i="2"/>
  <c r="AE297" i="2"/>
  <c r="AE299" i="2"/>
  <c r="AE298" i="2"/>
  <c r="AE296" i="2"/>
  <c r="AE300" i="2"/>
  <c r="AE294" i="2"/>
  <c r="AF287" i="2"/>
  <c r="B309" i="2"/>
  <c r="B297" i="2"/>
  <c r="A307" i="2"/>
  <c r="AF286" i="2"/>
  <c r="B308" i="2"/>
  <c r="B296" i="2"/>
  <c r="A306" i="2"/>
  <c r="AF285" i="2"/>
  <c r="AF284" i="2"/>
  <c r="A315" i="2"/>
  <c r="A303" i="2"/>
  <c r="A314" i="2"/>
  <c r="A302" i="2"/>
  <c r="AE284" i="2"/>
  <c r="A300" i="2"/>
  <c r="A311" i="2"/>
  <c r="A299" i="2"/>
  <c r="AF289" i="2"/>
  <c r="U291" i="2"/>
  <c r="B274" i="2"/>
  <c r="B292" i="2"/>
  <c r="AF283" i="2"/>
  <c r="B287" i="2"/>
  <c r="AE290" i="2"/>
  <c r="AF282" i="2"/>
  <c r="B285" i="2"/>
  <c r="AF293" i="2"/>
  <c r="AF281" i="2"/>
  <c r="A295" i="2"/>
  <c r="AF292" i="2"/>
  <c r="AF280" i="2"/>
  <c r="A291" i="2"/>
  <c r="AE287" i="2"/>
  <c r="AF279" i="2"/>
  <c r="AF290" i="2"/>
  <c r="AF278" i="2"/>
  <c r="AE293" i="2"/>
  <c r="AE289" i="2"/>
  <c r="AE286" i="2"/>
  <c r="AE285" i="2"/>
  <c r="AE291" i="2"/>
  <c r="AE292" i="2"/>
  <c r="AE288" i="2"/>
  <c r="A294" i="2"/>
  <c r="A293" i="2"/>
  <c r="U276" i="2"/>
  <c r="A290" i="2"/>
  <c r="A289" i="2"/>
  <c r="A288" i="2"/>
  <c r="A286" i="2"/>
  <c r="B280" i="2"/>
  <c r="A279" i="2"/>
  <c r="AF274" i="2"/>
  <c r="AF270" i="2"/>
  <c r="B283" i="2"/>
  <c r="AE282" i="2"/>
  <c r="AF263" i="2"/>
  <c r="A282" i="2"/>
  <c r="U275" i="2"/>
  <c r="A281" i="2"/>
  <c r="A276" i="2"/>
  <c r="AE281" i="2"/>
  <c r="A277" i="2"/>
  <c r="AE283" i="2"/>
  <c r="AF273" i="2"/>
  <c r="AE266" i="2"/>
  <c r="AF272" i="2"/>
  <c r="A272" i="2"/>
  <c r="AF271" i="2"/>
  <c r="A275" i="2"/>
  <c r="AE279" i="2"/>
  <c r="AF269" i="2"/>
  <c r="AF268" i="2"/>
  <c r="A278" i="2"/>
  <c r="AF267" i="2"/>
  <c r="AF262" i="2"/>
  <c r="AE274" i="2"/>
  <c r="AF277" i="2"/>
  <c r="AF265" i="2"/>
  <c r="B284" i="2"/>
  <c r="AF264" i="2"/>
  <c r="AE267" i="2"/>
  <c r="AE273" i="2"/>
  <c r="U266" i="2"/>
  <c r="AE272" i="2"/>
  <c r="AE271" i="2"/>
  <c r="AE278" i="2"/>
  <c r="AE277" i="2"/>
  <c r="Y281" i="2"/>
  <c r="Y278" i="2"/>
  <c r="Y272" i="2"/>
  <c r="AE275" i="2"/>
  <c r="AE280" i="2"/>
  <c r="AE263" i="2"/>
  <c r="AE276" i="2"/>
  <c r="AE270" i="2"/>
  <c r="AE265" i="2"/>
  <c r="AE269" i="2"/>
  <c r="AE264" i="2"/>
  <c r="AE268" i="2"/>
  <c r="B269" i="2"/>
  <c r="B266" i="2"/>
  <c r="B268" i="2"/>
  <c r="B265" i="2"/>
  <c r="B270" i="2"/>
  <c r="B267" i="2"/>
  <c r="B264" i="2"/>
  <c r="AE262" i="2"/>
  <c r="B263" i="2"/>
  <c r="B262" i="2"/>
  <c r="AE261" i="2"/>
  <c r="B261" i="2"/>
  <c r="AE260" i="2"/>
  <c r="B260" i="2"/>
  <c r="AF192" i="2"/>
  <c r="AE192" i="2"/>
  <c r="B192" i="2"/>
  <c r="AF259" i="2"/>
  <c r="AF224" i="2"/>
  <c r="AE259" i="2"/>
  <c r="AF226" i="2"/>
  <c r="B259" i="2"/>
  <c r="AF225" i="2"/>
  <c r="AE258" i="2"/>
  <c r="B258" i="2"/>
  <c r="AE257" i="2"/>
  <c r="AF141" i="2"/>
  <c r="B257" i="2"/>
  <c r="AE256" i="2"/>
  <c r="B256" i="2"/>
  <c r="AF140" i="2"/>
  <c r="AE140" i="2"/>
  <c r="AE141" i="2"/>
  <c r="A141" i="2"/>
  <c r="A140" i="2"/>
  <c r="U228" i="2"/>
  <c r="AF235" i="2"/>
  <c r="AE235" i="2"/>
  <c r="B235" i="2"/>
  <c r="U249" i="2"/>
  <c r="U247" i="2"/>
  <c r="AF251" i="2"/>
  <c r="AF254" i="2"/>
  <c r="AF255" i="2"/>
  <c r="AE255" i="2"/>
  <c r="AF252" i="2"/>
  <c r="U238" i="2"/>
  <c r="AF246" i="2"/>
  <c r="AF240" i="2"/>
  <c r="AF237" i="2"/>
  <c r="AF231" i="2"/>
  <c r="AF229" i="2"/>
  <c r="U253" i="2"/>
  <c r="AF248" i="2"/>
  <c r="AF239" i="2"/>
  <c r="AF244" i="2"/>
  <c r="AF250" i="2"/>
  <c r="AF236" i="2"/>
  <c r="AF234" i="2"/>
  <c r="AF233" i="2"/>
  <c r="AF227" i="2"/>
  <c r="AF245" i="2"/>
  <c r="AF232" i="2"/>
  <c r="AF243" i="2"/>
  <c r="AF230" i="2"/>
  <c r="AF242" i="2"/>
  <c r="U241" i="2"/>
  <c r="AE254" i="2"/>
  <c r="B255" i="2"/>
  <c r="AE253" i="2"/>
  <c r="AE248" i="2"/>
  <c r="B254" i="2"/>
  <c r="AE252" i="2"/>
  <c r="AE249" i="2"/>
  <c r="B253" i="2"/>
  <c r="B252" i="2"/>
  <c r="B248" i="2"/>
  <c r="AE250" i="2"/>
  <c r="B249" i="2"/>
  <c r="AE251" i="2"/>
  <c r="AE247" i="2"/>
  <c r="B250" i="2"/>
  <c r="AE245" i="2"/>
  <c r="B251" i="2"/>
  <c r="AE246" i="2"/>
  <c r="B247" i="2"/>
  <c r="AE243" i="2"/>
  <c r="AE244" i="2"/>
  <c r="B246" i="2"/>
  <c r="AE242" i="2"/>
  <c r="B245" i="2"/>
  <c r="AE241" i="2"/>
  <c r="A242" i="2"/>
  <c r="B244" i="2"/>
  <c r="AE240" i="2"/>
  <c r="B243" i="2"/>
  <c r="AE236" i="2"/>
  <c r="B241" i="2"/>
  <c r="AE239" i="2"/>
  <c r="AE237" i="2"/>
  <c r="AE234" i="2"/>
  <c r="B240" i="2"/>
  <c r="AE238" i="2"/>
  <c r="B239" i="2"/>
  <c r="B238" i="2"/>
  <c r="AE233" i="2"/>
  <c r="B237" i="2"/>
  <c r="A234" i="2"/>
  <c r="AE229" i="2"/>
  <c r="AE230" i="2"/>
  <c r="B236" i="2"/>
  <c r="AE232" i="2"/>
  <c r="B233" i="2"/>
  <c r="AE231" i="2"/>
  <c r="B232" i="2"/>
  <c r="A229" i="2"/>
  <c r="B231" i="2"/>
  <c r="B230" i="2"/>
  <c r="AE228" i="2"/>
  <c r="B228" i="2"/>
  <c r="AE227" i="2"/>
  <c r="B227" i="2"/>
  <c r="C149" i="2" l="1"/>
  <c r="A149" i="2" s="1"/>
  <c r="G149" i="2"/>
  <c r="T149" i="2"/>
  <c r="U149" i="2" s="1"/>
  <c r="X149" i="2"/>
  <c r="Y149" i="2" s="1"/>
  <c r="AA149" i="2"/>
  <c r="AC149" i="2"/>
  <c r="AC223" i="2"/>
  <c r="T223" i="2"/>
  <c r="U223" i="2" s="1"/>
  <c r="G223" i="2"/>
  <c r="T222" i="2"/>
  <c r="U222" i="2" s="1"/>
  <c r="G222" i="2"/>
  <c r="T221" i="2"/>
  <c r="U221" i="2" s="1"/>
  <c r="T220" i="2"/>
  <c r="U220" i="2" s="1"/>
  <c r="G220" i="2"/>
  <c r="G221" i="2"/>
  <c r="G219" i="2"/>
  <c r="X219" i="2"/>
  <c r="Y219" i="2" s="1"/>
  <c r="T219" i="2"/>
  <c r="U219" i="2" s="1"/>
  <c r="C219" i="2"/>
  <c r="A219" i="2" s="1"/>
  <c r="C220" i="2"/>
  <c r="A220" i="2" s="1"/>
  <c r="C221" i="2"/>
  <c r="A221" i="2" s="1"/>
  <c r="C222" i="2"/>
  <c r="A222" i="2" s="1"/>
  <c r="Y220" i="2"/>
  <c r="Y221" i="2"/>
  <c r="Y222" i="2"/>
  <c r="AA219" i="2"/>
  <c r="AA220" i="2"/>
  <c r="AA221" i="2"/>
  <c r="AA222" i="2"/>
  <c r="AC219" i="2"/>
  <c r="AC220" i="2"/>
  <c r="AC221" i="2"/>
  <c r="AC222" i="2"/>
  <c r="C223" i="2"/>
  <c r="A223" i="2" s="1"/>
  <c r="Y223" i="2"/>
  <c r="AA223" i="2"/>
  <c r="G225" i="2"/>
  <c r="G226" i="2"/>
  <c r="C226" i="2"/>
  <c r="A226" i="2" s="1"/>
  <c r="AA226" i="2"/>
  <c r="AC226" i="2"/>
  <c r="C225" i="2"/>
  <c r="B225" i="2" s="1"/>
  <c r="AA225" i="2"/>
  <c r="AC225" i="2"/>
  <c r="G224" i="2"/>
  <c r="C224" i="2"/>
  <c r="A224" i="2" s="1"/>
  <c r="AA224" i="2"/>
  <c r="AC224" i="2"/>
  <c r="AC200" i="2"/>
  <c r="X200" i="2"/>
  <c r="Y200" i="2" s="1"/>
  <c r="T200" i="2"/>
  <c r="U200" i="2" s="1"/>
  <c r="G200" i="2"/>
  <c r="C200" i="2"/>
  <c r="B200" i="2" s="1"/>
  <c r="AA200" i="2"/>
  <c r="AE149" i="2" l="1"/>
  <c r="B149" i="2"/>
  <c r="AE222" i="2"/>
  <c r="AE223" i="2"/>
  <c r="AE225" i="2"/>
  <c r="AE221" i="2"/>
  <c r="AE220" i="2"/>
  <c r="AE226" i="2"/>
  <c r="AE219" i="2"/>
  <c r="B222" i="2"/>
  <c r="B221" i="2"/>
  <c r="B220" i="2"/>
  <c r="B219" i="2"/>
  <c r="B223" i="2"/>
  <c r="AE224" i="2"/>
  <c r="A225" i="2"/>
  <c r="AF200" i="2"/>
  <c r="B226" i="2"/>
  <c r="B224" i="2"/>
  <c r="AE200" i="2"/>
  <c r="A200" i="2"/>
  <c r="X196" i="2"/>
  <c r="Y196" i="2" s="1"/>
  <c r="X197" i="2"/>
  <c r="Y197" i="2" s="1"/>
  <c r="X198" i="2"/>
  <c r="Y198" i="2" s="1"/>
  <c r="X199" i="2"/>
  <c r="Y199" i="2" s="1"/>
  <c r="X201" i="2"/>
  <c r="Y201" i="2" s="1"/>
  <c r="X202" i="2"/>
  <c r="Y202" i="2" s="1"/>
  <c r="X203" i="2"/>
  <c r="Y203" i="2" s="1"/>
  <c r="X204" i="2"/>
  <c r="Y204" i="2" s="1"/>
  <c r="X205" i="2"/>
  <c r="Y205" i="2" s="1"/>
  <c r="X206" i="2"/>
  <c r="Y206" i="2" s="1"/>
  <c r="X207" i="2"/>
  <c r="Y207" i="2" s="1"/>
  <c r="X208" i="2"/>
  <c r="Y208" i="2" s="1"/>
  <c r="X209" i="2"/>
  <c r="Y209" i="2" s="1"/>
  <c r="X210" i="2"/>
  <c r="Y210" i="2" s="1"/>
  <c r="X211" i="2"/>
  <c r="Y211" i="2" s="1"/>
  <c r="X212" i="2"/>
  <c r="Y212" i="2" s="1"/>
  <c r="X213" i="2"/>
  <c r="Y213" i="2" s="1"/>
  <c r="X214" i="2"/>
  <c r="Y214" i="2" s="1"/>
  <c r="X215" i="2"/>
  <c r="Y215" i="2" s="1"/>
  <c r="X216" i="2"/>
  <c r="Y216" i="2" s="1"/>
  <c r="X217" i="2"/>
  <c r="Y217" i="2" s="1"/>
  <c r="X218" i="2"/>
  <c r="Y218" i="2" s="1"/>
  <c r="T212" i="2"/>
  <c r="U212" i="2" s="1"/>
  <c r="C212" i="2"/>
  <c r="B212" i="2" s="1"/>
  <c r="G212" i="2"/>
  <c r="AA212" i="2"/>
  <c r="AC212" i="2"/>
  <c r="T196" i="2"/>
  <c r="U196" i="2" s="1"/>
  <c r="T197" i="2"/>
  <c r="U197" i="2" s="1"/>
  <c r="T198" i="2"/>
  <c r="U198" i="2" s="1"/>
  <c r="T199" i="2"/>
  <c r="U199" i="2" s="1"/>
  <c r="T201" i="2"/>
  <c r="U201" i="2" s="1"/>
  <c r="T202" i="2"/>
  <c r="U202" i="2" s="1"/>
  <c r="T203" i="2"/>
  <c r="U203" i="2" s="1"/>
  <c r="T204" i="2"/>
  <c r="U204" i="2" s="1"/>
  <c r="T205" i="2"/>
  <c r="U205" i="2" s="1"/>
  <c r="T206" i="2"/>
  <c r="U206" i="2" s="1"/>
  <c r="T207" i="2"/>
  <c r="U207" i="2" s="1"/>
  <c r="T208" i="2"/>
  <c r="U208" i="2" s="1"/>
  <c r="T209" i="2"/>
  <c r="U209" i="2" s="1"/>
  <c r="T210" i="2"/>
  <c r="U210" i="2" s="1"/>
  <c r="T211" i="2"/>
  <c r="U211" i="2" s="1"/>
  <c r="T213" i="2"/>
  <c r="U213" i="2" s="1"/>
  <c r="T214" i="2"/>
  <c r="AF214" i="2" s="1"/>
  <c r="T215" i="2"/>
  <c r="U215" i="2" s="1"/>
  <c r="T216" i="2"/>
  <c r="U216" i="2" s="1"/>
  <c r="T217" i="2"/>
  <c r="U217" i="2" s="1"/>
  <c r="T218" i="2"/>
  <c r="U218" i="2" s="1"/>
  <c r="C198" i="2"/>
  <c r="A198" i="2" s="1"/>
  <c r="G198" i="2"/>
  <c r="C199" i="2"/>
  <c r="A199" i="2" s="1"/>
  <c r="G199" i="2"/>
  <c r="C201" i="2"/>
  <c r="A201" i="2" s="1"/>
  <c r="G201" i="2"/>
  <c r="C202" i="2"/>
  <c r="A202" i="2" s="1"/>
  <c r="G202" i="2"/>
  <c r="C203" i="2"/>
  <c r="A203" i="2" s="1"/>
  <c r="G203" i="2"/>
  <c r="C204" i="2"/>
  <c r="A204" i="2" s="1"/>
  <c r="G204" i="2"/>
  <c r="C205" i="2"/>
  <c r="A205" i="2" s="1"/>
  <c r="G205" i="2"/>
  <c r="C206" i="2"/>
  <c r="A206" i="2" s="1"/>
  <c r="G206" i="2"/>
  <c r="C207" i="2"/>
  <c r="A207" i="2" s="1"/>
  <c r="G207" i="2"/>
  <c r="C208" i="2"/>
  <c r="A208" i="2" s="1"/>
  <c r="G208" i="2"/>
  <c r="C209" i="2"/>
  <c r="A209" i="2" s="1"/>
  <c r="G209" i="2"/>
  <c r="C210" i="2"/>
  <c r="A210" i="2" s="1"/>
  <c r="G210" i="2"/>
  <c r="C211" i="2"/>
  <c r="A211" i="2" s="1"/>
  <c r="G211" i="2"/>
  <c r="C213" i="2"/>
  <c r="A213" i="2" s="1"/>
  <c r="G213" i="2"/>
  <c r="C214" i="2"/>
  <c r="A214" i="2" s="1"/>
  <c r="G214" i="2"/>
  <c r="C215" i="2"/>
  <c r="A215" i="2" s="1"/>
  <c r="G215" i="2"/>
  <c r="C216" i="2"/>
  <c r="A216" i="2" s="1"/>
  <c r="G216" i="2"/>
  <c r="C217" i="2"/>
  <c r="A217" i="2" s="1"/>
  <c r="G217" i="2"/>
  <c r="C218" i="2"/>
  <c r="A218" i="2" s="1"/>
  <c r="G218" i="2"/>
  <c r="G197" i="2"/>
  <c r="C197" i="2"/>
  <c r="B197" i="2" s="1"/>
  <c r="AA218" i="2"/>
  <c r="AC218" i="2"/>
  <c r="AA217" i="2"/>
  <c r="AC217" i="2"/>
  <c r="AA216" i="2"/>
  <c r="AC216" i="2"/>
  <c r="AA215" i="2"/>
  <c r="AC215" i="2"/>
  <c r="AA214" i="2"/>
  <c r="AC214" i="2"/>
  <c r="AA213" i="2"/>
  <c r="AC213" i="2"/>
  <c r="AA211" i="2"/>
  <c r="AC211" i="2"/>
  <c r="AA210" i="2"/>
  <c r="AC210" i="2"/>
  <c r="AA209" i="2"/>
  <c r="AC209" i="2"/>
  <c r="AA208" i="2"/>
  <c r="AC208" i="2"/>
  <c r="AA207" i="2"/>
  <c r="AC207" i="2"/>
  <c r="AA206" i="2"/>
  <c r="AC206" i="2"/>
  <c r="AA205" i="2"/>
  <c r="AC205" i="2"/>
  <c r="AA204" i="2"/>
  <c r="AC204" i="2"/>
  <c r="AA203" i="2"/>
  <c r="AC203" i="2"/>
  <c r="AA202" i="2"/>
  <c r="AC202" i="2"/>
  <c r="AA201" i="2"/>
  <c r="AC201" i="2"/>
  <c r="AA199" i="2"/>
  <c r="AC199" i="2"/>
  <c r="AA198" i="2"/>
  <c r="AC198" i="2"/>
  <c r="AA197" i="2"/>
  <c r="AC197" i="2"/>
  <c r="G196" i="2"/>
  <c r="C196" i="2"/>
  <c r="A196" i="2" s="1"/>
  <c r="AA196" i="2"/>
  <c r="AC196" i="2"/>
  <c r="X195" i="2"/>
  <c r="Y195" i="2" s="1"/>
  <c r="X194" i="2"/>
  <c r="Y194" i="2" s="1"/>
  <c r="T194" i="2"/>
  <c r="U194" i="2" s="1"/>
  <c r="T195" i="2"/>
  <c r="U195" i="2" s="1"/>
  <c r="G194" i="2"/>
  <c r="G195" i="2"/>
  <c r="C195" i="2"/>
  <c r="A195" i="2" s="1"/>
  <c r="AA195" i="2"/>
  <c r="AC195" i="2"/>
  <c r="C194" i="2"/>
  <c r="A194" i="2" s="1"/>
  <c r="AA194" i="2"/>
  <c r="AC194" i="2"/>
  <c r="T193" i="2"/>
  <c r="U193" i="2" s="1"/>
  <c r="G191" i="2"/>
  <c r="G193" i="2"/>
  <c r="C193" i="2"/>
  <c r="B193" i="2" s="1"/>
  <c r="Y193" i="2"/>
  <c r="AA193" i="2"/>
  <c r="AC193" i="2"/>
  <c r="AC139" i="2"/>
  <c r="AA139" i="2"/>
  <c r="X139" i="2"/>
  <c r="Y139" i="2" s="1"/>
  <c r="T139" i="2"/>
  <c r="AF139" i="2" s="1"/>
  <c r="G139" i="2"/>
  <c r="C139" i="2"/>
  <c r="A139" i="2" s="1"/>
  <c r="T191" i="2"/>
  <c r="AF191" i="2" s="1"/>
  <c r="X181" i="2"/>
  <c r="Y181" i="2" s="1"/>
  <c r="X182" i="2"/>
  <c r="Y182" i="2" s="1"/>
  <c r="X183" i="2"/>
  <c r="Y183" i="2" s="1"/>
  <c r="X184" i="2"/>
  <c r="Y184" i="2" s="1"/>
  <c r="X185" i="2"/>
  <c r="Y185" i="2" s="1"/>
  <c r="X186" i="2"/>
  <c r="Y186" i="2" s="1"/>
  <c r="X187" i="2"/>
  <c r="Y187" i="2" s="1"/>
  <c r="X188" i="2"/>
  <c r="Y188" i="2" s="1"/>
  <c r="X189" i="2"/>
  <c r="Y189" i="2" s="1"/>
  <c r="X190" i="2"/>
  <c r="Y190" i="2" s="1"/>
  <c r="X191" i="2"/>
  <c r="Y191" i="2" s="1"/>
  <c r="C191" i="2"/>
  <c r="A191" i="2" s="1"/>
  <c r="AA191" i="2"/>
  <c r="AC191" i="2"/>
  <c r="T187" i="2"/>
  <c r="U187" i="2" s="1"/>
  <c r="T188" i="2"/>
  <c r="U188" i="2" s="1"/>
  <c r="T189" i="2"/>
  <c r="U189" i="2" s="1"/>
  <c r="T190" i="2"/>
  <c r="U190" i="2" s="1"/>
  <c r="G182" i="2"/>
  <c r="G183" i="2"/>
  <c r="G184" i="2"/>
  <c r="G185" i="2"/>
  <c r="G186" i="2"/>
  <c r="G187" i="2"/>
  <c r="G188" i="2"/>
  <c r="G189" i="2"/>
  <c r="G190" i="2"/>
  <c r="C190" i="2"/>
  <c r="A190" i="2" s="1"/>
  <c r="AA190" i="2"/>
  <c r="AC190" i="2"/>
  <c r="C189" i="2"/>
  <c r="A189" i="2" s="1"/>
  <c r="AA189" i="2"/>
  <c r="AC189" i="2"/>
  <c r="C188" i="2"/>
  <c r="A188" i="2" s="1"/>
  <c r="AA188" i="2"/>
  <c r="AC188" i="2"/>
  <c r="C187" i="2"/>
  <c r="A187" i="2" s="1"/>
  <c r="AA187" i="2"/>
  <c r="AC187" i="2"/>
  <c r="T183" i="2"/>
  <c r="U183" i="2" s="1"/>
  <c r="T184" i="2"/>
  <c r="U184" i="2" s="1"/>
  <c r="T185" i="2"/>
  <c r="U185" i="2" s="1"/>
  <c r="T186" i="2"/>
  <c r="AF186" i="2" s="1"/>
  <c r="C186" i="2"/>
  <c r="A186" i="2" s="1"/>
  <c r="AA186" i="2"/>
  <c r="AC186" i="2"/>
  <c r="C185" i="2"/>
  <c r="A185" i="2" s="1"/>
  <c r="AA185" i="2"/>
  <c r="AC185" i="2"/>
  <c r="C184" i="2"/>
  <c r="A184" i="2" s="1"/>
  <c r="AA184" i="2"/>
  <c r="AC184" i="2"/>
  <c r="C183" i="2"/>
  <c r="A183" i="2" s="1"/>
  <c r="AA183" i="2"/>
  <c r="AC183" i="2"/>
  <c r="T182" i="2"/>
  <c r="U182" i="2" s="1"/>
  <c r="C182" i="2"/>
  <c r="A182" i="2" s="1"/>
  <c r="AA182" i="2"/>
  <c r="AC182" i="2"/>
  <c r="AF199" i="2" l="1"/>
  <c r="AF206" i="2"/>
  <c r="AF207" i="2"/>
  <c r="AF218" i="2"/>
  <c r="AF217" i="2"/>
  <c r="AF205" i="2"/>
  <c r="AF215" i="2"/>
  <c r="AF203" i="2"/>
  <c r="U214" i="2"/>
  <c r="AF202" i="2"/>
  <c r="AF216" i="2"/>
  <c r="AF213" i="2"/>
  <c r="AF201" i="2"/>
  <c r="AF211" i="2"/>
  <c r="AF198" i="2"/>
  <c r="AF204" i="2"/>
  <c r="AF210" i="2"/>
  <c r="AF197" i="2"/>
  <c r="AF212" i="2"/>
  <c r="AF209" i="2"/>
  <c r="AF196" i="2"/>
  <c r="AF208" i="2"/>
  <c r="AE212" i="2"/>
  <c r="AE217" i="2"/>
  <c r="A212" i="2"/>
  <c r="AE216" i="2"/>
  <c r="B198" i="2"/>
  <c r="B217" i="2"/>
  <c r="B214" i="2"/>
  <c r="B210" i="2"/>
  <c r="B207" i="2"/>
  <c r="B204" i="2"/>
  <c r="B201" i="2"/>
  <c r="B199" i="2"/>
  <c r="B216" i="2"/>
  <c r="B213" i="2"/>
  <c r="B209" i="2"/>
  <c r="B206" i="2"/>
  <c r="B203" i="2"/>
  <c r="B218" i="2"/>
  <c r="B215" i="2"/>
  <c r="B211" i="2"/>
  <c r="B208" i="2"/>
  <c r="B205" i="2"/>
  <c r="B202" i="2"/>
  <c r="A197" i="2"/>
  <c r="AE218" i="2"/>
  <c r="AE213" i="2"/>
  <c r="AE215" i="2"/>
  <c r="AE211" i="2"/>
  <c r="AE214" i="2"/>
  <c r="AE210" i="2"/>
  <c r="AE209" i="2"/>
  <c r="AE206" i="2"/>
  <c r="AE208" i="2"/>
  <c r="AE207" i="2"/>
  <c r="AE204" i="2"/>
  <c r="AE203" i="2"/>
  <c r="AE205" i="2"/>
  <c r="AE202" i="2"/>
  <c r="AE201" i="2"/>
  <c r="AE197" i="2"/>
  <c r="AE199" i="2"/>
  <c r="AE198" i="2"/>
  <c r="AE196" i="2"/>
  <c r="B196" i="2"/>
  <c r="AF193" i="2"/>
  <c r="AF194" i="2"/>
  <c r="AF195" i="2"/>
  <c r="AE195" i="2"/>
  <c r="AE194" i="2"/>
  <c r="B195" i="2"/>
  <c r="B194" i="2"/>
  <c r="AE193" i="2"/>
  <c r="A193" i="2"/>
  <c r="AF188" i="2"/>
  <c r="AF187" i="2"/>
  <c r="U191" i="2"/>
  <c r="U139" i="2"/>
  <c r="AE139" i="2"/>
  <c r="B139" i="2"/>
  <c r="AF190" i="2"/>
  <c r="AF189" i="2"/>
  <c r="AF184" i="2"/>
  <c r="AE191" i="2"/>
  <c r="B191" i="2"/>
  <c r="AF183" i="2"/>
  <c r="AF185" i="2"/>
  <c r="AE188" i="2"/>
  <c r="AE189" i="2"/>
  <c r="AE190" i="2"/>
  <c r="B190" i="2"/>
  <c r="B189" i="2"/>
  <c r="AE186" i="2"/>
  <c r="AE187" i="2"/>
  <c r="B188" i="2"/>
  <c r="B187" i="2"/>
  <c r="U186" i="2"/>
  <c r="AE185" i="2"/>
  <c r="B186" i="2"/>
  <c r="B185" i="2"/>
  <c r="AE184" i="2"/>
  <c r="B184" i="2"/>
  <c r="AE183" i="2"/>
  <c r="AF182" i="2"/>
  <c r="B183" i="2"/>
  <c r="AE182" i="2"/>
  <c r="B182" i="2"/>
  <c r="T181" i="2" l="1"/>
  <c r="U181" i="2" s="1"/>
  <c r="G181" i="2"/>
  <c r="C181" i="2"/>
  <c r="A181" i="2" s="1"/>
  <c r="AA181" i="2"/>
  <c r="AC181" i="2"/>
  <c r="G169" i="2"/>
  <c r="C169" i="2"/>
  <c r="B169" i="2" s="1"/>
  <c r="G168" i="2"/>
  <c r="C168" i="2"/>
  <c r="B168" i="2" s="1"/>
  <c r="G167" i="2"/>
  <c r="C167" i="2"/>
  <c r="B167" i="2" s="1"/>
  <c r="G166" i="2"/>
  <c r="C166" i="2"/>
  <c r="B166" i="2" s="1"/>
  <c r="G165" i="2"/>
  <c r="C165" i="2"/>
  <c r="B165" i="2" s="1"/>
  <c r="X165" i="2"/>
  <c r="Y165" i="2" s="1"/>
  <c r="X166" i="2"/>
  <c r="Y166" i="2" s="1"/>
  <c r="X167" i="2"/>
  <c r="Y167" i="2" s="1"/>
  <c r="X168" i="2"/>
  <c r="Y168" i="2" s="1"/>
  <c r="X169" i="2"/>
  <c r="Y169" i="2" s="1"/>
  <c r="T165" i="2"/>
  <c r="U165" i="2" s="1"/>
  <c r="T166" i="2"/>
  <c r="U166" i="2" s="1"/>
  <c r="T167" i="2"/>
  <c r="U167" i="2" s="1"/>
  <c r="T168" i="2"/>
  <c r="U168" i="2" s="1"/>
  <c r="T169" i="2"/>
  <c r="U169" i="2" s="1"/>
  <c r="AA165" i="2"/>
  <c r="AA166" i="2"/>
  <c r="AA167" i="2"/>
  <c r="AA168" i="2"/>
  <c r="AA169" i="2"/>
  <c r="AC165" i="2"/>
  <c r="AC166" i="2"/>
  <c r="AC167" i="2"/>
  <c r="AC168" i="2"/>
  <c r="AC169" i="2"/>
  <c r="AF181" i="2" l="1"/>
  <c r="AF167" i="2"/>
  <c r="AE181" i="2"/>
  <c r="AF165" i="2"/>
  <c r="AF166" i="2"/>
  <c r="AF169" i="2"/>
  <c r="AF168" i="2"/>
  <c r="B181" i="2"/>
  <c r="A167" i="2"/>
  <c r="A168" i="2"/>
  <c r="A165" i="2"/>
  <c r="A166" i="2"/>
  <c r="A169" i="2"/>
  <c r="AE168" i="2"/>
  <c r="AE165" i="2"/>
  <c r="AE169" i="2"/>
  <c r="AE167" i="2"/>
  <c r="AE166" i="2"/>
  <c r="G176" i="2" l="1"/>
  <c r="C159" i="2"/>
  <c r="A159" i="2" s="1"/>
  <c r="G159" i="2"/>
  <c r="C158" i="2"/>
  <c r="A158" i="2" s="1"/>
  <c r="G158" i="2"/>
  <c r="C157" i="2"/>
  <c r="A157" i="2" s="1"/>
  <c r="G157" i="2"/>
  <c r="X156" i="2"/>
  <c r="Y156" i="2" s="1"/>
  <c r="X157" i="2"/>
  <c r="Y157" i="2" s="1"/>
  <c r="X158" i="2"/>
  <c r="Y158" i="2" s="1"/>
  <c r="X159" i="2"/>
  <c r="Y159" i="2" s="1"/>
  <c r="X160" i="2"/>
  <c r="Y160" i="2" s="1"/>
  <c r="X161" i="2"/>
  <c r="Y161" i="2" s="1"/>
  <c r="X162" i="2"/>
  <c r="Y162" i="2" s="1"/>
  <c r="X163" i="2"/>
  <c r="Y163" i="2" s="1"/>
  <c r="X164" i="2"/>
  <c r="Y164" i="2" s="1"/>
  <c r="X170" i="2"/>
  <c r="Y170" i="2" s="1"/>
  <c r="X171" i="2"/>
  <c r="Y171" i="2" s="1"/>
  <c r="X172" i="2"/>
  <c r="Y172" i="2" s="1"/>
  <c r="X173" i="2"/>
  <c r="Y173" i="2" s="1"/>
  <c r="X174" i="2"/>
  <c r="Y174" i="2" s="1"/>
  <c r="X175" i="2"/>
  <c r="Y175" i="2" s="1"/>
  <c r="X176" i="2"/>
  <c r="Y176" i="2" s="1"/>
  <c r="X177" i="2"/>
  <c r="Y177" i="2" s="1"/>
  <c r="X178" i="2"/>
  <c r="Y178" i="2" s="1"/>
  <c r="X179" i="2"/>
  <c r="Y179" i="2" s="1"/>
  <c r="X180" i="2"/>
  <c r="Y180" i="2" s="1"/>
  <c r="T156" i="2"/>
  <c r="U156" i="2" s="1"/>
  <c r="T157" i="2"/>
  <c r="U157" i="2" s="1"/>
  <c r="T158" i="2"/>
  <c r="U158" i="2" s="1"/>
  <c r="T159" i="2"/>
  <c r="U159" i="2" s="1"/>
  <c r="T160" i="2"/>
  <c r="U160" i="2" s="1"/>
  <c r="T161" i="2"/>
  <c r="AF161" i="2" s="1"/>
  <c r="T162" i="2"/>
  <c r="AF162" i="2" s="1"/>
  <c r="T163" i="2"/>
  <c r="AF163" i="2" s="1"/>
  <c r="T164" i="2"/>
  <c r="U164" i="2" s="1"/>
  <c r="T170" i="2"/>
  <c r="U170" i="2" s="1"/>
  <c r="T171" i="2"/>
  <c r="U171" i="2" s="1"/>
  <c r="T172" i="2"/>
  <c r="U172" i="2" s="1"/>
  <c r="T173" i="2"/>
  <c r="T174" i="2"/>
  <c r="AF174" i="2" s="1"/>
  <c r="T175" i="2"/>
  <c r="AF175" i="2" s="1"/>
  <c r="T176" i="2"/>
  <c r="U176" i="2" s="1"/>
  <c r="T177" i="2"/>
  <c r="U177" i="2" s="1"/>
  <c r="T178" i="2"/>
  <c r="AF178" i="2" s="1"/>
  <c r="T179" i="2"/>
  <c r="AF179" i="2" s="1"/>
  <c r="T180" i="2"/>
  <c r="AF180" i="2" s="1"/>
  <c r="AA157" i="2"/>
  <c r="AA158" i="2"/>
  <c r="AA159" i="2"/>
  <c r="AC157" i="2"/>
  <c r="AC158" i="2"/>
  <c r="AC159" i="2"/>
  <c r="G180" i="2"/>
  <c r="C180" i="2"/>
  <c r="A180" i="2" s="1"/>
  <c r="AA180" i="2"/>
  <c r="AC180" i="2"/>
  <c r="G160" i="2"/>
  <c r="G161" i="2"/>
  <c r="G162" i="2"/>
  <c r="G163" i="2"/>
  <c r="G164" i="2"/>
  <c r="G170" i="2"/>
  <c r="G171" i="2"/>
  <c r="G172" i="2"/>
  <c r="G173" i="2"/>
  <c r="G174" i="2"/>
  <c r="G175" i="2"/>
  <c r="G177" i="2"/>
  <c r="G178" i="2"/>
  <c r="G179" i="2"/>
  <c r="C178" i="2"/>
  <c r="A178" i="2" s="1"/>
  <c r="AA178" i="2"/>
  <c r="AC178" i="2"/>
  <c r="C176" i="2"/>
  <c r="A176" i="2" s="1"/>
  <c r="AA176" i="2"/>
  <c r="AC176" i="2"/>
  <c r="C174" i="2"/>
  <c r="A174" i="2" s="1"/>
  <c r="AA174" i="2"/>
  <c r="AC174" i="2"/>
  <c r="C162" i="2"/>
  <c r="A162" i="2" s="1"/>
  <c r="AA162" i="2"/>
  <c r="AC162" i="2"/>
  <c r="G156" i="2"/>
  <c r="C179" i="2"/>
  <c r="A179" i="2" s="1"/>
  <c r="AA179" i="2"/>
  <c r="AC179" i="2"/>
  <c r="C177" i="2"/>
  <c r="A177" i="2" s="1"/>
  <c r="AA177" i="2"/>
  <c r="AC177" i="2"/>
  <c r="C175" i="2"/>
  <c r="A175" i="2" s="1"/>
  <c r="AA175" i="2"/>
  <c r="AC175" i="2"/>
  <c r="C173" i="2"/>
  <c r="A173" i="2" s="1"/>
  <c r="AA173" i="2"/>
  <c r="AC173" i="2"/>
  <c r="C172" i="2"/>
  <c r="A172" i="2" s="1"/>
  <c r="AA172" i="2"/>
  <c r="AC172" i="2"/>
  <c r="C171" i="2"/>
  <c r="A171" i="2" s="1"/>
  <c r="AA171" i="2"/>
  <c r="AC171" i="2"/>
  <c r="C170" i="2"/>
  <c r="A170" i="2" s="1"/>
  <c r="AA170" i="2"/>
  <c r="AC170" i="2"/>
  <c r="C164" i="2"/>
  <c r="A164" i="2" s="1"/>
  <c r="AA164" i="2"/>
  <c r="AC164" i="2"/>
  <c r="C163" i="2"/>
  <c r="A163" i="2" s="1"/>
  <c r="AA163" i="2"/>
  <c r="AC163" i="2"/>
  <c r="C161" i="2"/>
  <c r="A161" i="2" s="1"/>
  <c r="AA161" i="2"/>
  <c r="AC161" i="2"/>
  <c r="C160" i="2"/>
  <c r="A160" i="2" s="1"/>
  <c r="AA160" i="2"/>
  <c r="C156" i="2"/>
  <c r="A156" i="2" s="1"/>
  <c r="AA156" i="2"/>
  <c r="AC156" i="2"/>
  <c r="X142" i="2"/>
  <c r="Y142" i="2" s="1"/>
  <c r="X143" i="2"/>
  <c r="Y143" i="2" s="1"/>
  <c r="X144" i="2"/>
  <c r="Y144" i="2" s="1"/>
  <c r="X145" i="2"/>
  <c r="Y145" i="2" s="1"/>
  <c r="X146" i="2"/>
  <c r="Y146" i="2" s="1"/>
  <c r="X147" i="2"/>
  <c r="Y147" i="2" s="1"/>
  <c r="X148" i="2"/>
  <c r="Y148" i="2" s="1"/>
  <c r="X150" i="2"/>
  <c r="Y150" i="2" s="1"/>
  <c r="X151" i="2"/>
  <c r="Y151" i="2" s="1"/>
  <c r="X152" i="2"/>
  <c r="Y152" i="2" s="1"/>
  <c r="X153" i="2"/>
  <c r="Y153" i="2" s="1"/>
  <c r="X154" i="2"/>
  <c r="Y154" i="2" s="1"/>
  <c r="X155" i="2"/>
  <c r="T152" i="2"/>
  <c r="U152" i="2" s="1"/>
  <c r="T153" i="2"/>
  <c r="U153" i="2" s="1"/>
  <c r="T154" i="2"/>
  <c r="AF154" i="2" s="1"/>
  <c r="T155" i="2"/>
  <c r="U155" i="2" s="1"/>
  <c r="C152" i="2"/>
  <c r="A152" i="2" s="1"/>
  <c r="G152" i="2"/>
  <c r="C153" i="2"/>
  <c r="A153" i="2" s="1"/>
  <c r="G153" i="2"/>
  <c r="C154" i="2"/>
  <c r="A154" i="2" s="1"/>
  <c r="G154" i="2"/>
  <c r="C155" i="2"/>
  <c r="A155" i="2" s="1"/>
  <c r="G155" i="2"/>
  <c r="M152" i="2"/>
  <c r="M153" i="2"/>
  <c r="M154" i="2"/>
  <c r="M155" i="2"/>
  <c r="AA155" i="2"/>
  <c r="AC155" i="2"/>
  <c r="AA154" i="2"/>
  <c r="AC154" i="2"/>
  <c r="AA153" i="2"/>
  <c r="AC153" i="2"/>
  <c r="AA152" i="2"/>
  <c r="AC152" i="2"/>
  <c r="M151" i="2"/>
  <c r="T147" i="2"/>
  <c r="U147" i="2" s="1"/>
  <c r="T148" i="2"/>
  <c r="U148" i="2" s="1"/>
  <c r="T150" i="2"/>
  <c r="U150" i="2" s="1"/>
  <c r="T151" i="2"/>
  <c r="U151" i="2" s="1"/>
  <c r="AA151" i="2"/>
  <c r="AC151" i="2"/>
  <c r="G151" i="2"/>
  <c r="C151" i="2"/>
  <c r="B151" i="2" s="1"/>
  <c r="G150" i="2"/>
  <c r="C150" i="2"/>
  <c r="A150" i="2" s="1"/>
  <c r="AA150" i="2"/>
  <c r="AC150" i="2"/>
  <c r="T142" i="2"/>
  <c r="T143" i="2"/>
  <c r="T144" i="2"/>
  <c r="T145" i="2"/>
  <c r="T146" i="2"/>
  <c r="U146" i="2" s="1"/>
  <c r="G138" i="2"/>
  <c r="G142" i="2"/>
  <c r="G143" i="2"/>
  <c r="G144" i="2"/>
  <c r="G145" i="2"/>
  <c r="G146" i="2"/>
  <c r="G147" i="2"/>
  <c r="G148" i="2"/>
  <c r="C148" i="2"/>
  <c r="B148" i="2" s="1"/>
  <c r="AA148" i="2"/>
  <c r="AC148" i="2"/>
  <c r="C147" i="2"/>
  <c r="A147" i="2" s="1"/>
  <c r="AA147" i="2"/>
  <c r="AC147" i="2"/>
  <c r="C143" i="2"/>
  <c r="A143" i="2" s="1"/>
  <c r="C144" i="2"/>
  <c r="A144" i="2" s="1"/>
  <c r="C145" i="2"/>
  <c r="A145" i="2" s="1"/>
  <c r="C146" i="2"/>
  <c r="B146" i="2" s="1"/>
  <c r="AA144" i="2"/>
  <c r="AA145" i="2"/>
  <c r="AA146" i="2"/>
  <c r="AC144" i="2"/>
  <c r="AC145" i="2"/>
  <c r="AC146" i="2"/>
  <c r="AA143" i="2"/>
  <c r="AC143" i="2"/>
  <c r="C142" i="2"/>
  <c r="A142" i="2" s="1"/>
  <c r="AA142" i="2"/>
  <c r="AC142" i="2"/>
  <c r="X138" i="2"/>
  <c r="Y138" i="2" s="1"/>
  <c r="T138" i="2"/>
  <c r="U138" i="2" s="1"/>
  <c r="C138" i="2"/>
  <c r="A138" i="2" s="1"/>
  <c r="AA138" i="2"/>
  <c r="AC138" i="2"/>
  <c r="X121" i="2"/>
  <c r="Y121" i="2" s="1"/>
  <c r="X122" i="2"/>
  <c r="Y122" i="2" s="1"/>
  <c r="X123" i="2"/>
  <c r="Y123" i="2" s="1"/>
  <c r="X124" i="2"/>
  <c r="Y124" i="2" s="1"/>
  <c r="X125" i="2"/>
  <c r="Y125" i="2" s="1"/>
  <c r="X126" i="2"/>
  <c r="Y126" i="2" s="1"/>
  <c r="X127" i="2"/>
  <c r="Y127" i="2" s="1"/>
  <c r="X128" i="2"/>
  <c r="Y128" i="2" s="1"/>
  <c r="X129" i="2"/>
  <c r="Y129" i="2" s="1"/>
  <c r="X130" i="2"/>
  <c r="Y130" i="2" s="1"/>
  <c r="X131" i="2"/>
  <c r="Y131" i="2" s="1"/>
  <c r="X132" i="2"/>
  <c r="Y132" i="2" s="1"/>
  <c r="X133" i="2"/>
  <c r="Y133" i="2" s="1"/>
  <c r="X134" i="2"/>
  <c r="Y134" i="2" s="1"/>
  <c r="X135" i="2"/>
  <c r="Y135" i="2" s="1"/>
  <c r="X136" i="2"/>
  <c r="Y136" i="2" s="1"/>
  <c r="X137" i="2"/>
  <c r="Y137" i="2" s="1"/>
  <c r="T121" i="2"/>
  <c r="U121" i="2" s="1"/>
  <c r="T122" i="2"/>
  <c r="U122" i="2" s="1"/>
  <c r="T123" i="2"/>
  <c r="U123" i="2" s="1"/>
  <c r="T124" i="2"/>
  <c r="U124" i="2" s="1"/>
  <c r="T125" i="2"/>
  <c r="U125" i="2" s="1"/>
  <c r="T126" i="2"/>
  <c r="U126" i="2" s="1"/>
  <c r="T127" i="2"/>
  <c r="U127" i="2" s="1"/>
  <c r="T128" i="2"/>
  <c r="U128" i="2" s="1"/>
  <c r="T129" i="2"/>
  <c r="U129" i="2" s="1"/>
  <c r="T130" i="2"/>
  <c r="U130" i="2" s="1"/>
  <c r="T131" i="2"/>
  <c r="U131" i="2" s="1"/>
  <c r="T132" i="2"/>
  <c r="U132" i="2" s="1"/>
  <c r="T133" i="2"/>
  <c r="U133" i="2" s="1"/>
  <c r="T134" i="2"/>
  <c r="U134" i="2" s="1"/>
  <c r="T135" i="2"/>
  <c r="U135" i="2" s="1"/>
  <c r="T136" i="2"/>
  <c r="U136" i="2" s="1"/>
  <c r="T137" i="2"/>
  <c r="U137" i="2" s="1"/>
  <c r="C122" i="2"/>
  <c r="A122" i="2" s="1"/>
  <c r="G122" i="2"/>
  <c r="C123" i="2"/>
  <c r="A123" i="2" s="1"/>
  <c r="G123" i="2"/>
  <c r="C124" i="2"/>
  <c r="A124" i="2" s="1"/>
  <c r="G124" i="2"/>
  <c r="C125" i="2"/>
  <c r="A125" i="2" s="1"/>
  <c r="G125" i="2"/>
  <c r="C126" i="2"/>
  <c r="A126" i="2" s="1"/>
  <c r="G126" i="2"/>
  <c r="C127" i="2"/>
  <c r="A127" i="2" s="1"/>
  <c r="G127" i="2"/>
  <c r="C128" i="2"/>
  <c r="A128" i="2" s="1"/>
  <c r="G128" i="2"/>
  <c r="C129" i="2"/>
  <c r="A129" i="2" s="1"/>
  <c r="G129" i="2"/>
  <c r="C130" i="2"/>
  <c r="B130" i="2" s="1"/>
  <c r="G130" i="2"/>
  <c r="C131" i="2"/>
  <c r="A131" i="2" s="1"/>
  <c r="G131" i="2"/>
  <c r="C132" i="2"/>
  <c r="A132" i="2" s="1"/>
  <c r="G132" i="2"/>
  <c r="C133" i="2"/>
  <c r="B133" i="2" s="1"/>
  <c r="G133" i="2"/>
  <c r="C134" i="2"/>
  <c r="A134" i="2" s="1"/>
  <c r="G134" i="2"/>
  <c r="C135" i="2"/>
  <c r="A135" i="2" s="1"/>
  <c r="G135" i="2"/>
  <c r="C136" i="2"/>
  <c r="A136" i="2" s="1"/>
  <c r="G136" i="2"/>
  <c r="C137" i="2"/>
  <c r="A137" i="2" s="1"/>
  <c r="G137" i="2"/>
  <c r="AA137" i="2"/>
  <c r="AC137" i="2"/>
  <c r="AA136" i="2"/>
  <c r="AC136" i="2"/>
  <c r="AA135" i="2"/>
  <c r="AC135" i="2"/>
  <c r="AA134" i="2"/>
  <c r="AC134" i="2"/>
  <c r="AA133" i="2"/>
  <c r="AC133" i="2"/>
  <c r="AA132" i="2"/>
  <c r="AC132" i="2"/>
  <c r="AA131" i="2"/>
  <c r="AC131" i="2"/>
  <c r="AA130" i="2"/>
  <c r="AC130" i="2"/>
  <c r="AA129" i="2"/>
  <c r="AC129" i="2"/>
  <c r="AA128" i="2"/>
  <c r="AC128" i="2"/>
  <c r="AA127" i="2"/>
  <c r="AC127" i="2"/>
  <c r="AA126" i="2"/>
  <c r="AC126" i="2"/>
  <c r="AA125" i="2"/>
  <c r="AC125" i="2"/>
  <c r="AA124" i="2"/>
  <c r="AC124" i="2"/>
  <c r="AA123" i="2"/>
  <c r="AC123" i="2"/>
  <c r="AA122" i="2"/>
  <c r="AC122" i="2"/>
  <c r="G121" i="2"/>
  <c r="C121" i="2"/>
  <c r="A121" i="2" s="1"/>
  <c r="AA121" i="2"/>
  <c r="AC121" i="2"/>
  <c r="X120" i="2"/>
  <c r="Y120" i="2" s="1"/>
  <c r="T120" i="2"/>
  <c r="U120" i="2" s="1"/>
  <c r="G114" i="2"/>
  <c r="G115" i="2"/>
  <c r="G116" i="2"/>
  <c r="G117" i="2"/>
  <c r="G118" i="2"/>
  <c r="G119" i="2"/>
  <c r="G120" i="2"/>
  <c r="C120" i="2"/>
  <c r="A120" i="2" s="1"/>
  <c r="AA120" i="2"/>
  <c r="AC120" i="2"/>
  <c r="AA119" i="2"/>
  <c r="X119" i="2"/>
  <c r="Y119" i="2" s="1"/>
  <c r="T119" i="2"/>
  <c r="U119" i="2" s="1"/>
  <c r="X118" i="2"/>
  <c r="Y118" i="2" s="1"/>
  <c r="T118" i="2"/>
  <c r="U118" i="2" s="1"/>
  <c r="C119" i="2"/>
  <c r="A119" i="2" s="1"/>
  <c r="AC119" i="2"/>
  <c r="C118" i="2"/>
  <c r="A118" i="2" s="1"/>
  <c r="AA118" i="2"/>
  <c r="AC118" i="2"/>
  <c r="X117" i="2"/>
  <c r="Y117" i="2" s="1"/>
  <c r="T117" i="2"/>
  <c r="U117" i="2" s="1"/>
  <c r="C117" i="2"/>
  <c r="A117" i="2" s="1"/>
  <c r="AA117" i="2"/>
  <c r="AC117" i="2"/>
  <c r="X97" i="2"/>
  <c r="Y97" i="2" s="1"/>
  <c r="T97" i="2"/>
  <c r="U97" i="2" s="1"/>
  <c r="C97" i="2"/>
  <c r="A97" i="2" s="1"/>
  <c r="G97" i="2"/>
  <c r="AA97" i="2"/>
  <c r="AC97" i="2"/>
  <c r="X32" i="2"/>
  <c r="Y32" i="2" s="1"/>
  <c r="T32" i="2"/>
  <c r="U32" i="2" s="1"/>
  <c r="C32" i="2"/>
  <c r="A32" i="2" s="1"/>
  <c r="G32" i="2"/>
  <c r="AA32" i="2"/>
  <c r="AC32" i="2"/>
  <c r="AC2" i="2"/>
  <c r="AC3" i="2"/>
  <c r="AC4" i="2"/>
  <c r="AC5" i="2"/>
  <c r="AC20" i="2"/>
  <c r="AC21" i="2"/>
  <c r="AC22" i="2"/>
  <c r="AC23" i="2"/>
  <c r="AC24" i="2"/>
  <c r="AC25" i="2"/>
  <c r="AC26" i="2"/>
  <c r="AC27" i="2"/>
  <c r="AC28" i="2"/>
  <c r="AC29" i="2"/>
  <c r="AC30" i="2"/>
  <c r="AC31"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8" i="2"/>
  <c r="AC99" i="2"/>
  <c r="AC100" i="2"/>
  <c r="AC101" i="2"/>
  <c r="AC102" i="2"/>
  <c r="AC103" i="2"/>
  <c r="AC104" i="2"/>
  <c r="AC105" i="2"/>
  <c r="AC106" i="2"/>
  <c r="AC107" i="2"/>
  <c r="AC108" i="2"/>
  <c r="AC109" i="2"/>
  <c r="AC110" i="2"/>
  <c r="AC111" i="2"/>
  <c r="AC112" i="2"/>
  <c r="AC113" i="2"/>
  <c r="AC114" i="2"/>
  <c r="AC115" i="2"/>
  <c r="AC116" i="2"/>
  <c r="X103" i="2"/>
  <c r="Y103" i="2" s="1"/>
  <c r="X104" i="2"/>
  <c r="Y104" i="2" s="1"/>
  <c r="X105" i="2"/>
  <c r="Y105" i="2" s="1"/>
  <c r="X106" i="2"/>
  <c r="Y106" i="2" s="1"/>
  <c r="X107" i="2"/>
  <c r="Y107" i="2" s="1"/>
  <c r="X108" i="2"/>
  <c r="Y108" i="2" s="1"/>
  <c r="X109" i="2"/>
  <c r="Y109" i="2" s="1"/>
  <c r="X110" i="2"/>
  <c r="Y110" i="2" s="1"/>
  <c r="X111" i="2"/>
  <c r="Y111" i="2" s="1"/>
  <c r="X112" i="2"/>
  <c r="Y112" i="2" s="1"/>
  <c r="X113" i="2"/>
  <c r="Y113" i="2" s="1"/>
  <c r="X114" i="2"/>
  <c r="Y114" i="2" s="1"/>
  <c r="X115" i="2"/>
  <c r="Y115" i="2" s="1"/>
  <c r="X116" i="2"/>
  <c r="Y116" i="2" s="1"/>
  <c r="T103" i="2"/>
  <c r="T104" i="2"/>
  <c r="T105" i="2"/>
  <c r="T106" i="2"/>
  <c r="T107" i="2"/>
  <c r="T108" i="2"/>
  <c r="T109" i="2"/>
  <c r="T110" i="2"/>
  <c r="T111" i="2"/>
  <c r="T112" i="2"/>
  <c r="T113" i="2"/>
  <c r="T114" i="2"/>
  <c r="T115" i="2"/>
  <c r="T116" i="2"/>
  <c r="AA104" i="2"/>
  <c r="AA105" i="2"/>
  <c r="AA106" i="2"/>
  <c r="AA107" i="2"/>
  <c r="AA108" i="2"/>
  <c r="AA109" i="2"/>
  <c r="AA110" i="2"/>
  <c r="AA111" i="2"/>
  <c r="AA112" i="2"/>
  <c r="AA113" i="2"/>
  <c r="AA114" i="2"/>
  <c r="AA115" i="2"/>
  <c r="AA116" i="2"/>
  <c r="C116" i="2"/>
  <c r="B116" i="2" s="1"/>
  <c r="C115" i="2"/>
  <c r="A115" i="2" s="1"/>
  <c r="C114" i="2"/>
  <c r="B114" i="2" s="1"/>
  <c r="G113" i="2"/>
  <c r="C113" i="2"/>
  <c r="B113" i="2" s="1"/>
  <c r="G112" i="2"/>
  <c r="C112" i="2"/>
  <c r="A112" i="2" s="1"/>
  <c r="G111" i="2"/>
  <c r="C111" i="2"/>
  <c r="B111" i="2" s="1"/>
  <c r="G110" i="2"/>
  <c r="C110" i="2"/>
  <c r="B110" i="2" s="1"/>
  <c r="G109" i="2"/>
  <c r="C109" i="2"/>
  <c r="A109" i="2" s="1"/>
  <c r="G108" i="2"/>
  <c r="C108" i="2"/>
  <c r="B108" i="2" s="1"/>
  <c r="G107" i="2"/>
  <c r="C107" i="2"/>
  <c r="B107" i="2" s="1"/>
  <c r="G106" i="2"/>
  <c r="C106" i="2"/>
  <c r="A106" i="2" s="1"/>
  <c r="G105" i="2"/>
  <c r="C105" i="2"/>
  <c r="B105" i="2" s="1"/>
  <c r="G104" i="2"/>
  <c r="C104" i="2"/>
  <c r="B104" i="2" s="1"/>
  <c r="X98" i="2"/>
  <c r="Y98" i="2" s="1"/>
  <c r="X99" i="2"/>
  <c r="Y99" i="2" s="1"/>
  <c r="X100" i="2"/>
  <c r="Y100" i="2" s="1"/>
  <c r="X101" i="2"/>
  <c r="Y101" i="2" s="1"/>
  <c r="X102" i="2"/>
  <c r="Y102" i="2" s="1"/>
  <c r="T98" i="2"/>
  <c r="U98" i="2" s="1"/>
  <c r="T99" i="2"/>
  <c r="U99" i="2" s="1"/>
  <c r="T100" i="2"/>
  <c r="U100" i="2" s="1"/>
  <c r="T101" i="2"/>
  <c r="U101" i="2" s="1"/>
  <c r="T102" i="2"/>
  <c r="U102" i="2" s="1"/>
  <c r="G102" i="2"/>
  <c r="C102" i="2"/>
  <c r="B102" i="2" s="1"/>
  <c r="G101" i="2"/>
  <c r="C101" i="2"/>
  <c r="B101" i="2" s="1"/>
  <c r="G100" i="2"/>
  <c r="C100" i="2"/>
  <c r="B100" i="2" s="1"/>
  <c r="G99" i="2"/>
  <c r="C99" i="2"/>
  <c r="B99" i="2" s="1"/>
  <c r="AA99" i="2"/>
  <c r="AA100" i="2"/>
  <c r="AA101" i="2"/>
  <c r="AA102" i="2"/>
  <c r="T66" i="2"/>
  <c r="U66" i="2" s="1"/>
  <c r="T65" i="2"/>
  <c r="X65" i="2"/>
  <c r="Y65" i="2" s="1"/>
  <c r="X66" i="2"/>
  <c r="Y66" i="2" s="1"/>
  <c r="X57" i="2"/>
  <c r="Y57" i="2" s="1"/>
  <c r="X58" i="2"/>
  <c r="Y58" i="2" s="1"/>
  <c r="X59" i="2"/>
  <c r="Y59" i="2" s="1"/>
  <c r="X60" i="2"/>
  <c r="Y60" i="2" s="1"/>
  <c r="X61" i="2"/>
  <c r="Y61" i="2" s="1"/>
  <c r="X62" i="2"/>
  <c r="Y62" i="2" s="1"/>
  <c r="X63" i="2"/>
  <c r="Y63" i="2" s="1"/>
  <c r="X64" i="2"/>
  <c r="Y64" i="2" s="1"/>
  <c r="T57" i="2"/>
  <c r="U57" i="2" s="1"/>
  <c r="T58" i="2"/>
  <c r="U58" i="2" s="1"/>
  <c r="T59" i="2"/>
  <c r="U59" i="2" s="1"/>
  <c r="T60" i="2"/>
  <c r="U60" i="2" s="1"/>
  <c r="T61" i="2"/>
  <c r="U61" i="2" s="1"/>
  <c r="T62" i="2"/>
  <c r="U62" i="2" s="1"/>
  <c r="T63" i="2"/>
  <c r="U63" i="2" s="1"/>
  <c r="T64" i="2"/>
  <c r="U64" i="2" s="1"/>
  <c r="X53" i="2"/>
  <c r="X54" i="2"/>
  <c r="X55" i="2"/>
  <c r="X56" i="2"/>
  <c r="X52" i="2"/>
  <c r="X51" i="2"/>
  <c r="T50" i="2"/>
  <c r="T51" i="2"/>
  <c r="U51" i="2" s="1"/>
  <c r="T52" i="2"/>
  <c r="U52" i="2" s="1"/>
  <c r="T53" i="2"/>
  <c r="U53" i="2" s="1"/>
  <c r="T54" i="2"/>
  <c r="U54" i="2" s="1"/>
  <c r="T55" i="2"/>
  <c r="U55" i="2" s="1"/>
  <c r="T56" i="2"/>
  <c r="U56" i="2" s="1"/>
  <c r="T49" i="2"/>
  <c r="U49" i="2" s="1"/>
  <c r="T48" i="2"/>
  <c r="U48" i="2" s="1"/>
  <c r="X49" i="2"/>
  <c r="X47" i="2"/>
  <c r="X48" i="2"/>
  <c r="T47" i="2"/>
  <c r="U47" i="2" s="1"/>
  <c r="T41" i="2"/>
  <c r="U41" i="2" s="1"/>
  <c r="T42" i="2"/>
  <c r="U42" i="2" s="1"/>
  <c r="T43" i="2"/>
  <c r="U43" i="2" s="1"/>
  <c r="T44" i="2"/>
  <c r="U44" i="2" s="1"/>
  <c r="T45" i="2"/>
  <c r="U45" i="2" s="1"/>
  <c r="T46" i="2"/>
  <c r="U46" i="2" s="1"/>
  <c r="X40" i="2"/>
  <c r="AC6" i="2"/>
  <c r="AC7" i="2"/>
  <c r="AC8" i="2"/>
  <c r="AC9" i="2"/>
  <c r="AC10" i="2"/>
  <c r="AC11" i="2"/>
  <c r="AC12" i="2"/>
  <c r="AC13" i="2"/>
  <c r="AC14" i="2"/>
  <c r="AC15" i="2"/>
  <c r="AC16" i="2"/>
  <c r="AC17" i="2"/>
  <c r="AC18" i="2"/>
  <c r="AC19" i="2"/>
  <c r="T3" i="2"/>
  <c r="U3" i="2" s="1"/>
  <c r="T4" i="2"/>
  <c r="U4" i="2" s="1"/>
  <c r="T5" i="2"/>
  <c r="U5" i="2" s="1"/>
  <c r="T6" i="2"/>
  <c r="U6" i="2" s="1"/>
  <c r="T7" i="2"/>
  <c r="U7" i="2" s="1"/>
  <c r="T8" i="2"/>
  <c r="U8" i="2" s="1"/>
  <c r="T9" i="2"/>
  <c r="U9" i="2" s="1"/>
  <c r="T10" i="2"/>
  <c r="U10" i="2" s="1"/>
  <c r="T11" i="2"/>
  <c r="U11" i="2" s="1"/>
  <c r="T12" i="2"/>
  <c r="U12" i="2" s="1"/>
  <c r="T13" i="2"/>
  <c r="U13" i="2" s="1"/>
  <c r="T14" i="2"/>
  <c r="U14" i="2" s="1"/>
  <c r="T15" i="2"/>
  <c r="U15" i="2" s="1"/>
  <c r="T16" i="2"/>
  <c r="U16" i="2" s="1"/>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3" i="2"/>
  <c r="U33" i="2" s="1"/>
  <c r="T34" i="2"/>
  <c r="U34" i="2" s="1"/>
  <c r="T35" i="2"/>
  <c r="U35" i="2" s="1"/>
  <c r="T36" i="2"/>
  <c r="U36" i="2" s="1"/>
  <c r="T37" i="2"/>
  <c r="U37" i="2" s="1"/>
  <c r="T38" i="2"/>
  <c r="U38" i="2" s="1"/>
  <c r="T39" i="2"/>
  <c r="U39" i="2" s="1"/>
  <c r="T40" i="2"/>
  <c r="U40" i="2" s="1"/>
  <c r="T67" i="2"/>
  <c r="U67" i="2" s="1"/>
  <c r="T68" i="2"/>
  <c r="U68" i="2" s="1"/>
  <c r="T69" i="2"/>
  <c r="U69" i="2" s="1"/>
  <c r="T70" i="2"/>
  <c r="U70" i="2" s="1"/>
  <c r="T71" i="2"/>
  <c r="U71" i="2" s="1"/>
  <c r="T72" i="2"/>
  <c r="U72" i="2" s="1"/>
  <c r="T73" i="2"/>
  <c r="U73" i="2" s="1"/>
  <c r="T74" i="2"/>
  <c r="U74" i="2" s="1"/>
  <c r="T75" i="2"/>
  <c r="U75" i="2" s="1"/>
  <c r="T76" i="2"/>
  <c r="U76" i="2" s="1"/>
  <c r="T77" i="2"/>
  <c r="U77" i="2" s="1"/>
  <c r="T78" i="2"/>
  <c r="U78" i="2" s="1"/>
  <c r="T79" i="2"/>
  <c r="U79" i="2" s="1"/>
  <c r="T80" i="2"/>
  <c r="U80" i="2" s="1"/>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U96" i="2" s="1"/>
  <c r="T2" i="2"/>
  <c r="X5" i="2"/>
  <c r="X4" i="2"/>
  <c r="X3" i="2"/>
  <c r="X2" i="2"/>
  <c r="X91" i="2"/>
  <c r="Y91" i="2" s="1"/>
  <c r="AA91" i="2"/>
  <c r="X92" i="2"/>
  <c r="Y92" i="2" s="1"/>
  <c r="AA92" i="2"/>
  <c r="X93" i="2"/>
  <c r="Y93" i="2" s="1"/>
  <c r="AA93" i="2"/>
  <c r="X94" i="2"/>
  <c r="Y94" i="2" s="1"/>
  <c r="AA94" i="2"/>
  <c r="X95" i="2"/>
  <c r="Y95" i="2" s="1"/>
  <c r="AA95" i="2"/>
  <c r="X96" i="2"/>
  <c r="Y96" i="2" s="1"/>
  <c r="AA96" i="2"/>
  <c r="X90" i="2"/>
  <c r="Y90" i="2" s="1"/>
  <c r="G96" i="2"/>
  <c r="C96" i="2"/>
  <c r="B96" i="2" s="1"/>
  <c r="G95" i="2"/>
  <c r="C95" i="2"/>
  <c r="B95" i="2" s="1"/>
  <c r="G94" i="2"/>
  <c r="C94" i="2"/>
  <c r="A94" i="2" s="1"/>
  <c r="G93" i="2"/>
  <c r="C93" i="2"/>
  <c r="B93" i="2" s="1"/>
  <c r="G92" i="2"/>
  <c r="C92" i="2"/>
  <c r="B92" i="2" s="1"/>
  <c r="G91" i="2"/>
  <c r="C91" i="2"/>
  <c r="A91" i="2" s="1"/>
  <c r="X68" i="2"/>
  <c r="Y68" i="2" s="1"/>
  <c r="X69" i="2"/>
  <c r="Y69" i="2" s="1"/>
  <c r="X70" i="2"/>
  <c r="Y70" i="2" s="1"/>
  <c r="X71" i="2"/>
  <c r="Y71" i="2" s="1"/>
  <c r="X72" i="2"/>
  <c r="Y72" i="2" s="1"/>
  <c r="X73" i="2"/>
  <c r="Y73" i="2" s="1"/>
  <c r="X74" i="2"/>
  <c r="Y74" i="2" s="1"/>
  <c r="X75" i="2"/>
  <c r="Y75" i="2" s="1"/>
  <c r="X76" i="2"/>
  <c r="Y76" i="2" s="1"/>
  <c r="X77" i="2"/>
  <c r="Y77" i="2" s="1"/>
  <c r="X78" i="2"/>
  <c r="Y78" i="2" s="1"/>
  <c r="X79" i="2"/>
  <c r="Y79" i="2" s="1"/>
  <c r="X80" i="2"/>
  <c r="Y80" i="2" s="1"/>
  <c r="X81" i="2"/>
  <c r="Y81" i="2" s="1"/>
  <c r="X82" i="2"/>
  <c r="Y82" i="2" s="1"/>
  <c r="X83" i="2"/>
  <c r="Y83" i="2" s="1"/>
  <c r="X84" i="2"/>
  <c r="Y84" i="2" s="1"/>
  <c r="X85" i="2"/>
  <c r="Y85" i="2" s="1"/>
  <c r="X86" i="2"/>
  <c r="Y86" i="2" s="1"/>
  <c r="X87" i="2"/>
  <c r="Y87" i="2" s="1"/>
  <c r="X88" i="2"/>
  <c r="Y88" i="2" s="1"/>
  <c r="X89" i="2"/>
  <c r="Y89" i="2" s="1"/>
  <c r="X67" i="2"/>
  <c r="Y67" i="2" s="1"/>
  <c r="G89" i="2"/>
  <c r="C89" i="2"/>
  <c r="B89" i="2" s="1"/>
  <c r="G88" i="2"/>
  <c r="C88" i="2"/>
  <c r="B88" i="2" s="1"/>
  <c r="G87" i="2"/>
  <c r="C87" i="2"/>
  <c r="A87" i="2" s="1"/>
  <c r="G86" i="2"/>
  <c r="C86" i="2"/>
  <c r="B86" i="2" s="1"/>
  <c r="G85" i="2"/>
  <c r="C85" i="2"/>
  <c r="B85" i="2" s="1"/>
  <c r="G84" i="2"/>
  <c r="C84" i="2"/>
  <c r="A84" i="2" s="1"/>
  <c r="G83" i="2"/>
  <c r="C83" i="2"/>
  <c r="B83" i="2" s="1"/>
  <c r="G82" i="2"/>
  <c r="C82" i="2"/>
  <c r="B82" i="2" s="1"/>
  <c r="G81" i="2"/>
  <c r="C81" i="2"/>
  <c r="A81" i="2" s="1"/>
  <c r="G80" i="2"/>
  <c r="C80" i="2"/>
  <c r="A80" i="2" s="1"/>
  <c r="G79" i="2"/>
  <c r="C79" i="2"/>
  <c r="B79" i="2" s="1"/>
  <c r="G78" i="2"/>
  <c r="C78" i="2"/>
  <c r="A78" i="2" s="1"/>
  <c r="G77" i="2"/>
  <c r="C77" i="2"/>
  <c r="A77" i="2" s="1"/>
  <c r="G76" i="2"/>
  <c r="C76" i="2"/>
  <c r="B76" i="2" s="1"/>
  <c r="G75" i="2"/>
  <c r="C75" i="2"/>
  <c r="A75" i="2" s="1"/>
  <c r="G74" i="2"/>
  <c r="C74" i="2"/>
  <c r="B74" i="2" s="1"/>
  <c r="G73" i="2"/>
  <c r="C73" i="2"/>
  <c r="B73" i="2" s="1"/>
  <c r="G72" i="2"/>
  <c r="C72" i="2"/>
  <c r="A72" i="2" s="1"/>
  <c r="G71" i="2"/>
  <c r="C71" i="2"/>
  <c r="B71" i="2" s="1"/>
  <c r="G70" i="2"/>
  <c r="C70" i="2"/>
  <c r="B70" i="2" s="1"/>
  <c r="G69" i="2"/>
  <c r="C69" i="2"/>
  <c r="A69" i="2" s="1"/>
  <c r="G68" i="2"/>
  <c r="C68" i="2"/>
  <c r="B68" i="2" s="1"/>
  <c r="AA68" i="2"/>
  <c r="AA69" i="2"/>
  <c r="AA70" i="2"/>
  <c r="AA71" i="2"/>
  <c r="AA72" i="2"/>
  <c r="AA73" i="2"/>
  <c r="AA74" i="2"/>
  <c r="AA75" i="2"/>
  <c r="AA76" i="2"/>
  <c r="AA77" i="2"/>
  <c r="AA78" i="2"/>
  <c r="AA79" i="2"/>
  <c r="AA80" i="2"/>
  <c r="AA81" i="2"/>
  <c r="AA82" i="2"/>
  <c r="AA83" i="2"/>
  <c r="AA84" i="2"/>
  <c r="AA85" i="2"/>
  <c r="AA86" i="2"/>
  <c r="AA87" i="2"/>
  <c r="AA88" i="2"/>
  <c r="AA89" i="2"/>
  <c r="G66" i="2"/>
  <c r="C66" i="2"/>
  <c r="B66" i="2" s="1"/>
  <c r="AA66" i="2"/>
  <c r="G64" i="2"/>
  <c r="C64" i="2"/>
  <c r="B64" i="2" s="1"/>
  <c r="G63" i="2"/>
  <c r="C63" i="2"/>
  <c r="B63" i="2" s="1"/>
  <c r="G62" i="2"/>
  <c r="C62" i="2"/>
  <c r="A62" i="2" s="1"/>
  <c r="G61" i="2"/>
  <c r="C61" i="2"/>
  <c r="B61" i="2" s="1"/>
  <c r="G60" i="2"/>
  <c r="C60" i="2"/>
  <c r="B60" i="2" s="1"/>
  <c r="G59" i="2"/>
  <c r="C59" i="2"/>
  <c r="A59" i="2" s="1"/>
  <c r="G58" i="2"/>
  <c r="C58" i="2"/>
  <c r="B58" i="2" s="1"/>
  <c r="AA58" i="2"/>
  <c r="AA59" i="2"/>
  <c r="AA60" i="2"/>
  <c r="AA61" i="2"/>
  <c r="AA62" i="2"/>
  <c r="AA63" i="2"/>
  <c r="AA64" i="2"/>
  <c r="X42" i="2"/>
  <c r="Y42" i="2" s="1"/>
  <c r="X43" i="2"/>
  <c r="Y43" i="2" s="1"/>
  <c r="X44" i="2"/>
  <c r="Y44" i="2" s="1"/>
  <c r="X45" i="2"/>
  <c r="Y45" i="2" s="1"/>
  <c r="X46" i="2"/>
  <c r="Y46" i="2" s="1"/>
  <c r="X41" i="2"/>
  <c r="Y41" i="2" s="1"/>
  <c r="G46" i="2"/>
  <c r="C46" i="2"/>
  <c r="B46" i="2" s="1"/>
  <c r="G45" i="2"/>
  <c r="C45" i="2"/>
  <c r="A45" i="2" s="1"/>
  <c r="G44" i="2"/>
  <c r="C44" i="2"/>
  <c r="B44" i="2" s="1"/>
  <c r="G43" i="2"/>
  <c r="C43" i="2"/>
  <c r="B43" i="2" s="1"/>
  <c r="G42" i="2"/>
  <c r="C42" i="2"/>
  <c r="A42" i="2" s="1"/>
  <c r="AA42" i="2"/>
  <c r="AA43" i="2"/>
  <c r="AA44" i="2"/>
  <c r="AA45" i="2"/>
  <c r="AA46" i="2"/>
  <c r="AA103" i="2"/>
  <c r="AA98" i="2"/>
  <c r="AA90" i="2"/>
  <c r="AA67" i="2"/>
  <c r="AA65" i="2"/>
  <c r="AA57" i="2"/>
  <c r="AA56" i="2"/>
  <c r="AA55" i="2"/>
  <c r="AA54" i="2"/>
  <c r="AA53" i="2"/>
  <c r="AA52" i="2"/>
  <c r="AA51" i="2"/>
  <c r="AA49" i="2"/>
  <c r="AA48" i="2"/>
  <c r="AA47" i="2"/>
  <c r="AA41" i="2"/>
  <c r="AA40" i="2"/>
  <c r="AA39" i="2"/>
  <c r="AA38" i="2"/>
  <c r="AA37" i="2"/>
  <c r="AA36" i="2"/>
  <c r="AA35" i="2"/>
  <c r="AA34" i="2"/>
  <c r="AA33"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X31" i="2"/>
  <c r="Y31" i="2" s="1"/>
  <c r="X33" i="2"/>
  <c r="Y33" i="2" s="1"/>
  <c r="X34" i="2"/>
  <c r="Y34" i="2" s="1"/>
  <c r="X35" i="2"/>
  <c r="Y35" i="2" s="1"/>
  <c r="X36" i="2"/>
  <c r="Y36" i="2" s="1"/>
  <c r="X37" i="2"/>
  <c r="Y37" i="2" s="1"/>
  <c r="X38" i="2"/>
  <c r="Y38" i="2" s="1"/>
  <c r="X39" i="2"/>
  <c r="Y39" i="2" s="1"/>
  <c r="G39" i="2"/>
  <c r="C39" i="2"/>
  <c r="B39" i="2" s="1"/>
  <c r="G38" i="2"/>
  <c r="C38" i="2"/>
  <c r="B38" i="2" s="1"/>
  <c r="G37" i="2"/>
  <c r="C37" i="2"/>
  <c r="B37" i="2" s="1"/>
  <c r="G36" i="2"/>
  <c r="C36" i="2"/>
  <c r="B36" i="2" s="1"/>
  <c r="G35" i="2"/>
  <c r="C35" i="2"/>
  <c r="B35" i="2" s="1"/>
  <c r="G34" i="2"/>
  <c r="C34" i="2"/>
  <c r="B34" i="2" s="1"/>
  <c r="G33" i="2"/>
  <c r="C33" i="2"/>
  <c r="B33" i="2" s="1"/>
  <c r="X6" i="2"/>
  <c r="Y6" i="2" s="1"/>
  <c r="X7" i="2"/>
  <c r="Y7" i="2" s="1"/>
  <c r="X8" i="2"/>
  <c r="Y8" i="2" s="1"/>
  <c r="X9" i="2"/>
  <c r="X10" i="2"/>
  <c r="Y10" i="2" s="1"/>
  <c r="X11" i="2"/>
  <c r="Y11" i="2" s="1"/>
  <c r="X12" i="2"/>
  <c r="X13" i="2"/>
  <c r="X14" i="2"/>
  <c r="X15" i="2"/>
  <c r="X16" i="2"/>
  <c r="X17" i="2"/>
  <c r="X18" i="2"/>
  <c r="Y18" i="2" s="1"/>
  <c r="X19" i="2"/>
  <c r="X20" i="2"/>
  <c r="Y20" i="2" s="1"/>
  <c r="X21" i="2"/>
  <c r="Y21" i="2" s="1"/>
  <c r="X22" i="2"/>
  <c r="Y22" i="2" s="1"/>
  <c r="X23" i="2"/>
  <c r="Y23" i="2" s="1"/>
  <c r="X24" i="2"/>
  <c r="Y24" i="2" s="1"/>
  <c r="X30" i="2"/>
  <c r="Y30" i="2" s="1"/>
  <c r="X29" i="2"/>
  <c r="Y29" i="2" s="1"/>
  <c r="X28" i="2"/>
  <c r="Y28" i="2" s="1"/>
  <c r="X27" i="2"/>
  <c r="Y27" i="2" s="1"/>
  <c r="X26" i="2"/>
  <c r="Y26" i="2" s="1"/>
  <c r="X25" i="2"/>
  <c r="Y25" i="2" s="1"/>
  <c r="G30" i="2"/>
  <c r="C30" i="2"/>
  <c r="B30" i="2" s="1"/>
  <c r="G29" i="2"/>
  <c r="C29" i="2"/>
  <c r="B29" i="2" s="1"/>
  <c r="G28" i="2"/>
  <c r="C28" i="2"/>
  <c r="A28" i="2" s="1"/>
  <c r="G27" i="2"/>
  <c r="C27" i="2"/>
  <c r="B27" i="2" s="1"/>
  <c r="G26" i="2"/>
  <c r="C26" i="2"/>
  <c r="B26" i="2" s="1"/>
  <c r="G25" i="2"/>
  <c r="C25" i="2"/>
  <c r="A25" i="2" s="1"/>
  <c r="G24" i="2"/>
  <c r="C24" i="2"/>
  <c r="B24" i="2" s="1"/>
  <c r="G23" i="2"/>
  <c r="C23" i="2"/>
  <c r="B23" i="2" s="1"/>
  <c r="G22" i="2"/>
  <c r="C22" i="2"/>
  <c r="A22" i="2" s="1"/>
  <c r="G21" i="2"/>
  <c r="C21" i="2"/>
  <c r="B21" i="2" s="1"/>
  <c r="G20" i="2"/>
  <c r="C20" i="2"/>
  <c r="B20" i="2" s="1"/>
  <c r="C7" i="2"/>
  <c r="A7" i="2" s="1"/>
  <c r="G7" i="2"/>
  <c r="C8" i="2"/>
  <c r="A8" i="2" s="1"/>
  <c r="G8" i="2"/>
  <c r="C9" i="2"/>
  <c r="A9" i="2" s="1"/>
  <c r="G9" i="2"/>
  <c r="C10" i="2"/>
  <c r="A10" i="2" s="1"/>
  <c r="G10" i="2"/>
  <c r="C11" i="2"/>
  <c r="A11" i="2" s="1"/>
  <c r="G11" i="2"/>
  <c r="C12" i="2"/>
  <c r="A12" i="2" s="1"/>
  <c r="G12" i="2"/>
  <c r="C13" i="2"/>
  <c r="A13" i="2" s="1"/>
  <c r="G13" i="2"/>
  <c r="C14" i="2"/>
  <c r="A14" i="2" s="1"/>
  <c r="G14" i="2"/>
  <c r="C15" i="2"/>
  <c r="A15" i="2" s="1"/>
  <c r="G15" i="2"/>
  <c r="C16" i="2"/>
  <c r="A16" i="2" s="1"/>
  <c r="G16" i="2"/>
  <c r="C17" i="2"/>
  <c r="A17" i="2" s="1"/>
  <c r="G17" i="2"/>
  <c r="C18" i="2"/>
  <c r="A18" i="2" s="1"/>
  <c r="G18" i="2"/>
  <c r="C2" i="2"/>
  <c r="A2" i="2" s="1"/>
  <c r="C103" i="2"/>
  <c r="A103" i="2" s="1"/>
  <c r="C98" i="2"/>
  <c r="B98" i="2" s="1"/>
  <c r="C90" i="2"/>
  <c r="B90" i="2" s="1"/>
  <c r="C67" i="2"/>
  <c r="A67" i="2" s="1"/>
  <c r="C65" i="2"/>
  <c r="A65" i="2" s="1"/>
  <c r="C57" i="2"/>
  <c r="A57" i="2" s="1"/>
  <c r="C56" i="2"/>
  <c r="A56" i="2" s="1"/>
  <c r="C55" i="2"/>
  <c r="A55" i="2" s="1"/>
  <c r="C54" i="2"/>
  <c r="B54" i="2" s="1"/>
  <c r="C53" i="2"/>
  <c r="B53" i="2" s="1"/>
  <c r="C52" i="2"/>
  <c r="B52" i="2" s="1"/>
  <c r="C51" i="2"/>
  <c r="A51" i="2" s="1"/>
  <c r="C50" i="2"/>
  <c r="B50" i="2" s="1"/>
  <c r="C49" i="2"/>
  <c r="B49" i="2" s="1"/>
  <c r="C48" i="2"/>
  <c r="B48" i="2" s="1"/>
  <c r="C47" i="2"/>
  <c r="B47" i="2" s="1"/>
  <c r="C41" i="2"/>
  <c r="A41" i="2" s="1"/>
  <c r="C40" i="2"/>
  <c r="A40" i="2" s="1"/>
  <c r="C31" i="2"/>
  <c r="B31" i="2" s="1"/>
  <c r="C19" i="2"/>
  <c r="B19" i="2" s="1"/>
  <c r="C6" i="2"/>
  <c r="A6" i="2" s="1"/>
  <c r="C5" i="2"/>
  <c r="B5" i="2" s="1"/>
  <c r="C4" i="2"/>
  <c r="B4" i="2" s="1"/>
  <c r="C3" i="2"/>
  <c r="A3" i="2" s="1"/>
  <c r="I13" i="4"/>
  <c r="L13" i="4"/>
  <c r="J13" i="4" s="1"/>
  <c r="G56" i="2"/>
  <c r="G57" i="2"/>
  <c r="G65" i="2"/>
  <c r="G67" i="2"/>
  <c r="G90" i="2"/>
  <c r="G98" i="2"/>
  <c r="G103" i="2"/>
  <c r="G40" i="2"/>
  <c r="G41" i="2"/>
  <c r="G47" i="2"/>
  <c r="G48" i="2"/>
  <c r="G49" i="2"/>
  <c r="G50" i="2"/>
  <c r="G51" i="2"/>
  <c r="G52" i="2"/>
  <c r="G53" i="2"/>
  <c r="G54" i="2"/>
  <c r="G55" i="2"/>
  <c r="G5" i="2"/>
  <c r="G6" i="2"/>
  <c r="G19" i="2"/>
  <c r="G31" i="2"/>
  <c r="G3" i="2"/>
  <c r="G4" i="2"/>
  <c r="G2" i="2"/>
  <c r="U106" i="2" l="1"/>
  <c r="AF106" i="2"/>
  <c r="U105" i="2"/>
  <c r="AF105" i="2"/>
  <c r="U116" i="2"/>
  <c r="AF116" i="2"/>
  <c r="U104" i="2"/>
  <c r="AF104" i="2"/>
  <c r="U107" i="2"/>
  <c r="AF107" i="2"/>
  <c r="U115" i="2"/>
  <c r="AF115" i="2"/>
  <c r="U103" i="2"/>
  <c r="AF103" i="2"/>
  <c r="U114" i="2"/>
  <c r="AF114" i="2"/>
  <c r="U108" i="2"/>
  <c r="AF108" i="2"/>
  <c r="U113" i="2"/>
  <c r="AF113" i="2"/>
  <c r="U112" i="2"/>
  <c r="AF112" i="2"/>
  <c r="U111" i="2"/>
  <c r="AF111" i="2"/>
  <c r="U110" i="2"/>
  <c r="AF110" i="2"/>
  <c r="U109" i="2"/>
  <c r="AF109" i="2"/>
  <c r="U143" i="2"/>
  <c r="AF143" i="2"/>
  <c r="U144" i="2"/>
  <c r="AF144" i="2"/>
  <c r="U142" i="2"/>
  <c r="AF142" i="2"/>
  <c r="U145" i="2"/>
  <c r="AF145" i="2"/>
  <c r="AF173" i="2"/>
  <c r="AG173" i="2"/>
  <c r="AG178" i="2"/>
  <c r="AG179" i="2"/>
  <c r="AG176" i="2"/>
  <c r="AG177" i="2"/>
  <c r="AG175" i="2"/>
  <c r="AG174" i="2"/>
  <c r="U163" i="2"/>
  <c r="AG160" i="2"/>
  <c r="U178" i="2"/>
  <c r="U161" i="2"/>
  <c r="U175" i="2"/>
  <c r="B159" i="2"/>
  <c r="B158" i="2"/>
  <c r="AF177" i="2"/>
  <c r="AF172" i="2"/>
  <c r="U173" i="2"/>
  <c r="AF171" i="2"/>
  <c r="AF160" i="2"/>
  <c r="U179" i="2"/>
  <c r="AF170" i="2"/>
  <c r="AF164" i="2"/>
  <c r="U180" i="2"/>
  <c r="U174" i="2"/>
  <c r="AE158" i="2"/>
  <c r="U162" i="2"/>
  <c r="AF176" i="2"/>
  <c r="AF159" i="2"/>
  <c r="AF158" i="2"/>
  <c r="AF156" i="2"/>
  <c r="AF157" i="2"/>
  <c r="B157" i="2"/>
  <c r="AE157" i="2"/>
  <c r="AE159" i="2"/>
  <c r="AE180" i="2"/>
  <c r="B180" i="2"/>
  <c r="AF64" i="2"/>
  <c r="AF78" i="2"/>
  <c r="AF59" i="2"/>
  <c r="AF73" i="2"/>
  <c r="AF85" i="2"/>
  <c r="AF60" i="2"/>
  <c r="AF74" i="2"/>
  <c r="AF86" i="2"/>
  <c r="AF61" i="2"/>
  <c r="AF75" i="2"/>
  <c r="AF87" i="2"/>
  <c r="AF62" i="2"/>
  <c r="AF76" i="2"/>
  <c r="AF88" i="2"/>
  <c r="AF63" i="2"/>
  <c r="AF77" i="2"/>
  <c r="AF89" i="2"/>
  <c r="AF98" i="2"/>
  <c r="AF67" i="2"/>
  <c r="AF79" i="2"/>
  <c r="AF99" i="2"/>
  <c r="AF68" i="2"/>
  <c r="AF80" i="2"/>
  <c r="AF100" i="2"/>
  <c r="AF69" i="2"/>
  <c r="AF81" i="2"/>
  <c r="AF101" i="2"/>
  <c r="AF70" i="2"/>
  <c r="AF82" i="2"/>
  <c r="AF102" i="2"/>
  <c r="AF57" i="2"/>
  <c r="AF71" i="2"/>
  <c r="AF83" i="2"/>
  <c r="AF147" i="2"/>
  <c r="AF58" i="2"/>
  <c r="AF72" i="2"/>
  <c r="AF84" i="2"/>
  <c r="AF148" i="2"/>
  <c r="AE178" i="2"/>
  <c r="AE176" i="2"/>
  <c r="B178" i="2"/>
  <c r="B176" i="2"/>
  <c r="AE174" i="2"/>
  <c r="B174" i="2"/>
  <c r="AE162" i="2"/>
  <c r="B162" i="2"/>
  <c r="AE177" i="2"/>
  <c r="AE179" i="2"/>
  <c r="AE173" i="2"/>
  <c r="AE172" i="2"/>
  <c r="B179" i="2"/>
  <c r="AE175" i="2"/>
  <c r="AE171" i="2"/>
  <c r="B177" i="2"/>
  <c r="B175" i="2"/>
  <c r="AE164" i="2"/>
  <c r="B173" i="2"/>
  <c r="B172" i="2"/>
  <c r="AE170" i="2"/>
  <c r="B171" i="2"/>
  <c r="B170" i="2"/>
  <c r="AE163" i="2"/>
  <c r="AF155" i="2"/>
  <c r="AE156" i="2"/>
  <c r="B164" i="2"/>
  <c r="AE161" i="2"/>
  <c r="B163" i="2"/>
  <c r="B161" i="2"/>
  <c r="U154" i="2"/>
  <c r="B160" i="2"/>
  <c r="AF151" i="2"/>
  <c r="AF153" i="2"/>
  <c r="B156" i="2"/>
  <c r="AF152" i="2"/>
  <c r="AE155" i="2"/>
  <c r="Y155" i="2"/>
  <c r="B154" i="2"/>
  <c r="B153" i="2"/>
  <c r="B155" i="2"/>
  <c r="B152" i="2"/>
  <c r="AE154" i="2"/>
  <c r="AE153" i="2"/>
  <c r="AE152" i="2"/>
  <c r="AE151" i="2"/>
  <c r="AF134" i="2"/>
  <c r="AF122" i="2"/>
  <c r="A151" i="2"/>
  <c r="AF150" i="2"/>
  <c r="AE150" i="2"/>
  <c r="B150" i="2"/>
  <c r="AF131" i="2"/>
  <c r="AF118" i="2"/>
  <c r="AF130" i="2"/>
  <c r="AF129" i="2"/>
  <c r="AF128" i="2"/>
  <c r="AF127" i="2"/>
  <c r="AF138" i="2"/>
  <c r="AF126" i="2"/>
  <c r="AF137" i="2"/>
  <c r="AF125" i="2"/>
  <c r="AF136" i="2"/>
  <c r="AF124" i="2"/>
  <c r="AF135" i="2"/>
  <c r="AF123" i="2"/>
  <c r="AF133" i="2"/>
  <c r="AF121" i="2"/>
  <c r="AF132" i="2"/>
  <c r="AF117" i="2"/>
  <c r="AE148" i="2"/>
  <c r="AE147" i="2"/>
  <c r="AE145" i="2"/>
  <c r="AE144" i="2"/>
  <c r="A148" i="2"/>
  <c r="B147" i="2"/>
  <c r="AE146" i="2"/>
  <c r="AE143" i="2"/>
  <c r="A146" i="2"/>
  <c r="B145" i="2"/>
  <c r="B144" i="2"/>
  <c r="B143" i="2"/>
  <c r="AE142" i="2"/>
  <c r="B142" i="2"/>
  <c r="AE138" i="2"/>
  <c r="B138" i="2"/>
  <c r="AE133" i="2"/>
  <c r="AE136" i="2"/>
  <c r="AE137" i="2"/>
  <c r="B124" i="2"/>
  <c r="B136" i="2"/>
  <c r="A133" i="2"/>
  <c r="A130" i="2"/>
  <c r="B127" i="2"/>
  <c r="B135" i="2"/>
  <c r="B132" i="2"/>
  <c r="B129" i="2"/>
  <c r="B126" i="2"/>
  <c r="B123" i="2"/>
  <c r="B137" i="2"/>
  <c r="B134" i="2"/>
  <c r="B131" i="2"/>
  <c r="B128" i="2"/>
  <c r="B125" i="2"/>
  <c r="B122" i="2"/>
  <c r="AE135" i="2"/>
  <c r="AE134" i="2"/>
  <c r="AE132" i="2"/>
  <c r="AE131" i="2"/>
  <c r="AE130" i="2"/>
  <c r="AE129" i="2"/>
  <c r="AE128" i="2"/>
  <c r="AE127" i="2"/>
  <c r="AE123" i="2"/>
  <c r="AE126" i="2"/>
  <c r="AE122" i="2"/>
  <c r="AE125" i="2"/>
  <c r="AE124" i="2"/>
  <c r="AE121" i="2"/>
  <c r="B121" i="2"/>
  <c r="AE120" i="2"/>
  <c r="B120" i="2"/>
  <c r="AE119" i="2"/>
  <c r="AE118" i="2"/>
  <c r="AE97" i="2"/>
  <c r="B119" i="2"/>
  <c r="B118" i="2"/>
  <c r="AE117" i="2"/>
  <c r="B117" i="2"/>
  <c r="B97" i="2"/>
  <c r="AE32" i="2"/>
  <c r="B32" i="2"/>
  <c r="B109" i="2"/>
  <c r="A111" i="2"/>
  <c r="A108" i="2"/>
  <c r="AE3" i="2"/>
  <c r="A105" i="2"/>
  <c r="B112" i="2"/>
  <c r="B106" i="2"/>
  <c r="B115" i="2"/>
  <c r="AE104" i="2"/>
  <c r="A114" i="2"/>
  <c r="AE108" i="2"/>
  <c r="AE116" i="2"/>
  <c r="AE109" i="2"/>
  <c r="AE115" i="2"/>
  <c r="AE111" i="2"/>
  <c r="AE107" i="2"/>
  <c r="AE106" i="2"/>
  <c r="AE114" i="2"/>
  <c r="AE113" i="2"/>
  <c r="AE112" i="2"/>
  <c r="AE110" i="2"/>
  <c r="AE105" i="2"/>
  <c r="AE103" i="2"/>
  <c r="A104" i="2"/>
  <c r="A107" i="2"/>
  <c r="A110" i="2"/>
  <c r="A113" i="2"/>
  <c r="A116" i="2"/>
  <c r="AE98" i="2"/>
  <c r="A82" i="2"/>
  <c r="A71" i="2"/>
  <c r="B91" i="2"/>
  <c r="A100" i="2"/>
  <c r="B80" i="2"/>
  <c r="A101" i="2"/>
  <c r="AE50" i="2"/>
  <c r="AE100" i="2"/>
  <c r="AE102" i="2"/>
  <c r="AE101" i="2"/>
  <c r="AE99" i="2"/>
  <c r="A99" i="2"/>
  <c r="A102" i="2"/>
  <c r="AE92" i="2"/>
  <c r="A76" i="2"/>
  <c r="A93" i="2"/>
  <c r="AE95" i="2"/>
  <c r="AE90" i="2"/>
  <c r="AE94" i="2"/>
  <c r="A73" i="2"/>
  <c r="AE93" i="2"/>
  <c r="AE96" i="2"/>
  <c r="B78" i="2"/>
  <c r="AE91" i="2"/>
  <c r="A96" i="2"/>
  <c r="U50" i="2"/>
  <c r="B75" i="2"/>
  <c r="AE65" i="2"/>
  <c r="AE58" i="2"/>
  <c r="U65" i="2"/>
  <c r="AE66" i="2"/>
  <c r="AE71" i="2"/>
  <c r="AE59" i="2"/>
  <c r="B72" i="2"/>
  <c r="AE61" i="2"/>
  <c r="AE69" i="2"/>
  <c r="B81" i="2"/>
  <c r="AE80" i="2"/>
  <c r="AE68" i="2"/>
  <c r="B94" i="2"/>
  <c r="A74" i="2"/>
  <c r="A95" i="2"/>
  <c r="A83" i="2"/>
  <c r="A92" i="2"/>
  <c r="A70" i="2"/>
  <c r="B77" i="2"/>
  <c r="A88" i="2"/>
  <c r="A85" i="2"/>
  <c r="AE60" i="2"/>
  <c r="A68" i="2"/>
  <c r="A86" i="2"/>
  <c r="AE87" i="2"/>
  <c r="AE75" i="2"/>
  <c r="A79" i="2"/>
  <c r="B69" i="2"/>
  <c r="B87" i="2"/>
  <c r="AE70" i="2"/>
  <c r="B84" i="2"/>
  <c r="AE83" i="2"/>
  <c r="AE82" i="2"/>
  <c r="AE81" i="2"/>
  <c r="AE85" i="2"/>
  <c r="AE79" i="2"/>
  <c r="AE78" i="2"/>
  <c r="AE89" i="2"/>
  <c r="AE86" i="2"/>
  <c r="AE74" i="2"/>
  <c r="AE88" i="2"/>
  <c r="AE84" i="2"/>
  <c r="AE77" i="2"/>
  <c r="AE76" i="2"/>
  <c r="AE73" i="2"/>
  <c r="AE72" i="2"/>
  <c r="A89" i="2"/>
  <c r="AE64" i="2"/>
  <c r="AE63" i="2"/>
  <c r="A66" i="2"/>
  <c r="AE62" i="2"/>
  <c r="B62" i="2"/>
  <c r="B59" i="2"/>
  <c r="A60" i="2"/>
  <c r="A63" i="2"/>
  <c r="A58" i="2"/>
  <c r="A61" i="2"/>
  <c r="A64" i="2"/>
  <c r="AE57" i="2"/>
  <c r="AE41" i="2"/>
  <c r="AE18" i="2"/>
  <c r="AE48" i="2"/>
  <c r="AE33" i="2"/>
  <c r="AE49" i="2"/>
  <c r="AE45" i="2"/>
  <c r="B42" i="2"/>
  <c r="AE31" i="2"/>
  <c r="AE44" i="2"/>
  <c r="B45" i="2"/>
  <c r="AE56" i="2"/>
  <c r="AE42" i="2"/>
  <c r="AE46" i="2"/>
  <c r="AE43" i="2"/>
  <c r="A43" i="2"/>
  <c r="A46" i="2"/>
  <c r="A44" i="2"/>
  <c r="AE67" i="2"/>
  <c r="AE35" i="2"/>
  <c r="AE40" i="2"/>
  <c r="AE7" i="2"/>
  <c r="AE26" i="2"/>
  <c r="AE27" i="2"/>
  <c r="AE36" i="2"/>
  <c r="AE39" i="2"/>
  <c r="AE38" i="2"/>
  <c r="AE34" i="2"/>
  <c r="AE5" i="2"/>
  <c r="AE4" i="2"/>
  <c r="AE2" i="2"/>
  <c r="AE37" i="2"/>
  <c r="AE54" i="2"/>
  <c r="AE53" i="2"/>
  <c r="AE51" i="2"/>
  <c r="AE47" i="2"/>
  <c r="AE55" i="2"/>
  <c r="AE29" i="2"/>
  <c r="AE20" i="2"/>
  <c r="A34" i="2"/>
  <c r="A37" i="2"/>
  <c r="A35" i="2"/>
  <c r="A38" i="2"/>
  <c r="A33" i="2"/>
  <c r="A36" i="2"/>
  <c r="A39" i="2"/>
  <c r="AE23" i="2"/>
  <c r="AE19" i="2"/>
  <c r="AE30" i="2"/>
  <c r="Y19" i="2"/>
  <c r="AE28" i="2"/>
  <c r="AE24" i="2"/>
  <c r="AE25" i="2"/>
  <c r="AE52" i="2"/>
  <c r="AE6" i="2"/>
  <c r="AE12" i="2"/>
  <c r="AE15" i="2"/>
  <c r="AE17" i="2"/>
  <c r="AE13" i="2"/>
  <c r="AE9" i="2"/>
  <c r="AE14" i="2"/>
  <c r="AE8" i="2"/>
  <c r="AE16" i="2"/>
  <c r="Y16" i="2"/>
  <c r="Y17" i="2"/>
  <c r="Y15" i="2"/>
  <c r="Y14" i="2"/>
  <c r="Y13" i="2"/>
  <c r="Y12" i="2"/>
  <c r="AE22" i="2"/>
  <c r="AE21" i="2"/>
  <c r="AE11" i="2"/>
  <c r="Y9" i="2"/>
  <c r="AE10" i="2"/>
  <c r="B22" i="2"/>
  <c r="B25" i="2"/>
  <c r="B28" i="2"/>
  <c r="A20" i="2"/>
  <c r="A23" i="2"/>
  <c r="A26" i="2"/>
  <c r="A29" i="2"/>
  <c r="A21" i="2"/>
  <c r="A24" i="2"/>
  <c r="A27" i="2"/>
  <c r="A30" i="2"/>
  <c r="B15" i="2"/>
  <c r="B9" i="2"/>
  <c r="B18" i="2"/>
  <c r="B12" i="2"/>
  <c r="B17" i="2"/>
  <c r="B14" i="2"/>
  <c r="B11" i="2"/>
  <c r="B8" i="2"/>
  <c r="B16" i="2"/>
  <c r="B13" i="2"/>
  <c r="B10" i="2"/>
  <c r="B7" i="2"/>
  <c r="B103" i="2"/>
  <c r="B41" i="2"/>
  <c r="B57" i="2"/>
  <c r="B40" i="2"/>
  <c r="B65" i="2"/>
  <c r="B6" i="2"/>
  <c r="A52" i="2"/>
  <c r="B56" i="2"/>
  <c r="B55" i="2"/>
  <c r="B3" i="2"/>
  <c r="A53" i="2"/>
  <c r="A5" i="2"/>
  <c r="A4" i="2"/>
  <c r="A98" i="2"/>
  <c r="A49" i="2"/>
  <c r="A50" i="2"/>
  <c r="B67" i="2"/>
  <c r="A90" i="2"/>
  <c r="A48" i="2"/>
  <c r="A47" i="2"/>
  <c r="B51" i="2"/>
  <c r="A31" i="2"/>
  <c r="A19" i="2"/>
  <c r="A54" i="2"/>
  <c r="B2" i="2"/>
  <c r="Y55" i="2"/>
  <c r="Y53" i="2"/>
  <c r="Y56" i="2"/>
  <c r="Y49" i="2"/>
  <c r="Y51" i="2"/>
  <c r="Y52" i="2"/>
  <c r="Y5" i="2"/>
  <c r="Y40" i="2"/>
  <c r="Y47" i="2"/>
  <c r="Y48" i="2"/>
  <c r="Y54" i="2"/>
  <c r="D9" i="3" l="1"/>
  <c r="D24" i="3"/>
  <c r="D7" i="3"/>
  <c r="D13" i="3"/>
  <c r="D19" i="3"/>
  <c r="D14" i="3"/>
  <c r="D15" i="3"/>
  <c r="D25" i="3"/>
  <c r="D17" i="3"/>
  <c r="D18" i="3"/>
  <c r="D8" i="3"/>
  <c r="D20" i="3"/>
  <c r="D22" i="3"/>
  <c r="D11" i="3"/>
  <c r="D21" i="3"/>
  <c r="D12" i="3"/>
  <c r="D16" i="3"/>
  <c r="Y3" i="2"/>
  <c r="Y4" i="2"/>
  <c r="Y2" i="2"/>
  <c r="U2" i="2"/>
  <c r="AC160" i="2"/>
  <c r="AE16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<sst xmlns="http://schemas.openxmlformats.org/spreadsheetml/2006/main" count="8949" uniqueCount="2049">
  <si>
    <t>Contact</t>
  </si>
  <si>
    <t>Commentaires</t>
  </si>
  <si>
    <t>Extraction</t>
  </si>
  <si>
    <t>Charges</t>
  </si>
  <si>
    <t>Loyer</t>
  </si>
  <si>
    <t>Adresse</t>
  </si>
  <si>
    <t>Type</t>
  </si>
  <si>
    <t>Loyer mensuel</t>
  </si>
  <si>
    <t>Charges Mensuelles</t>
  </si>
  <si>
    <t>Numéro</t>
  </si>
  <si>
    <t>Cession / Droit au bail</t>
  </si>
  <si>
    <t>Loyer Mensuel</t>
  </si>
  <si>
    <t>Page Web</t>
  </si>
  <si>
    <t>https://www.google.com/maps/place/53+Rue+Herg%C3%A9,+16000+Angoul%C3%Aame</t>
  </si>
  <si>
    <t>Loyer €/m²</t>
  </si>
  <si>
    <t>Charges €/m²</t>
  </si>
  <si>
    <t>Valeur BP</t>
  </si>
  <si>
    <t>120 €/m² = 50 760 €</t>
  </si>
  <si>
    <t>Praemia</t>
  </si>
  <si>
    <t>Surface GLA</t>
  </si>
  <si>
    <t>Surface Utile</t>
  </si>
  <si>
    <t>https://www.google.com/maps/place/44+Grande+Rue,+25000+Besan%C3%A7on</t>
  </si>
  <si>
    <t>100 €/m² = 32 500 €</t>
  </si>
  <si>
    <t>https://www.google.com/maps/place/90+Rue+du+Commerce,+41000+Blois</t>
  </si>
  <si>
    <t>50 €/m² = 431 400 €</t>
  </si>
  <si>
    <t>https://www.google.com/maps/place/60+Rue+Serpenoise,+57000+Metz</t>
  </si>
  <si>
    <t>100 €/m² = 37 000 €</t>
  </si>
  <si>
    <t>100 €/m² = 48 600 €</t>
  </si>
  <si>
    <t>200 €/m²</t>
  </si>
  <si>
    <t>150 €/m²</t>
  </si>
  <si>
    <t>https://www.google.com/maps/place/25+Av.+de+Saint-Mand%C3%A9,+75012+Paris</t>
  </si>
  <si>
    <t>Gecina</t>
  </si>
  <si>
    <t>588 €/m² = 50 000 €</t>
  </si>
  <si>
    <t>https://www.google.com/maps/place/143+Rue+des+Fauvelles,+92250+La+Garenne-Colombes</t>
  </si>
  <si>
    <t>https://www.google.com/maps/place/30+Rue+de+la+Ronce,+92410+Ville-d'Avray</t>
  </si>
  <si>
    <t>300 €/m² = 73 500 €</t>
  </si>
  <si>
    <t>https://www.google.com/maps/place/18+Rue+du+G%C3%A9n%C3%A9ral+Mouton-Duvernet,+69003+Lyon</t>
  </si>
  <si>
    <t>Altixia</t>
  </si>
  <si>
    <t>Valeurs BP</t>
  </si>
  <si>
    <t>Othrys</t>
  </si>
  <si>
    <t>https://maps.app.goo.gl/HLGbMrDwLnc5Q19B6</t>
  </si>
  <si>
    <t>4 - Exincourt</t>
  </si>
  <si>
    <t>Typologie</t>
  </si>
  <si>
    <t>Emplacement</t>
  </si>
  <si>
    <t>Pied d'immeuble</t>
  </si>
  <si>
    <t>Centre Ville</t>
  </si>
  <si>
    <t>Bailleur</t>
  </si>
  <si>
    <t>Périphérie</t>
  </si>
  <si>
    <t>Boîte</t>
  </si>
  <si>
    <t>Centre Commercial</t>
  </si>
  <si>
    <t>Retail Park</t>
  </si>
  <si>
    <t>Galerie Hyper</t>
  </si>
  <si>
    <t>Quartier résidentiel, bureau et universitaire</t>
  </si>
  <si>
    <t>Non</t>
  </si>
  <si>
    <t>500 €/m²</t>
  </si>
  <si>
    <t>https://maps.app.goo.gl/ngVAd1ZcuWEZcS5U8</t>
  </si>
  <si>
    <t>https://www.google.com/maps/place/32+Rue+Marbeuf,+75008+Paris</t>
  </si>
  <si>
    <t>783 €/m² = 90 000 €</t>
  </si>
  <si>
    <t>Ancien Upper Shoes. 5m de linéaire</t>
  </si>
  <si>
    <t>https://www.google.com/maps/place/204+Quai+de+Jemmapes,+75010+Paris</t>
  </si>
  <si>
    <t>https://www.google.com/maps/place/9+Av.+Ledru+Rollin,+75012+Paris</t>
  </si>
  <si>
    <t>https://www.google.com/maps/place/18+Rue+Treilhard,+75008+Paris</t>
  </si>
  <si>
    <t>672 m² au R-2</t>
  </si>
  <si>
    <t>https://maps.app.goo.gl/eqCTz2HAdE1NfPPD8</t>
  </si>
  <si>
    <t>Quentin Breton</t>
  </si>
  <si>
    <t>https://maps.app.goo.gl/jcUuEcShVcUDuB7A6</t>
  </si>
  <si>
    <t>923 €/m² = 24 000 €</t>
  </si>
  <si>
    <t>Quartier commerçant avec fort flux quotidien. A proximité immédiate de la rue de Passy.</t>
  </si>
  <si>
    <t>https://maps.app.goo.gl/yRNFdK1p6sWPThzm7</t>
  </si>
  <si>
    <t>Twenty Two</t>
  </si>
  <si>
    <t>Oui</t>
  </si>
  <si>
    <t>https://maps.app.goo.gl/jKvNrbE9PyvENUPV6</t>
  </si>
  <si>
    <t>Ville</t>
  </si>
  <si>
    <t>Lien Google Maps</t>
  </si>
  <si>
    <t>Taxe foncière</t>
  </si>
  <si>
    <t>Marketing</t>
  </si>
  <si>
    <t>Gestion</t>
  </si>
  <si>
    <t>Angoulême</t>
  </si>
  <si>
    <t>Besançon</t>
  </si>
  <si>
    <t>Blois</t>
  </si>
  <si>
    <t>Exincourt</t>
  </si>
  <si>
    <t>Hérouville-Saint-Clair</t>
  </si>
  <si>
    <t>La Mézière</t>
  </si>
  <si>
    <t>Le Mans</t>
  </si>
  <si>
    <t>Lyon</t>
  </si>
  <si>
    <t>Maurepas</t>
  </si>
  <si>
    <t>Metz</t>
  </si>
  <si>
    <t>Paris</t>
  </si>
  <si>
    <t>Boulogne-Billancourt</t>
  </si>
  <si>
    <t>Châtenay-Malabry</t>
  </si>
  <si>
    <t>Ville-d'Avray</t>
  </si>
  <si>
    <t>La Garenne-Colombes</t>
  </si>
  <si>
    <t>Pontoise</t>
  </si>
  <si>
    <t>Pérols</t>
  </si>
  <si>
    <t>Etat de livraison</t>
  </si>
  <si>
    <t>Environnement Commercial</t>
  </si>
  <si>
    <t>Loyer variable</t>
  </si>
  <si>
    <t>Loyer annuel</t>
  </si>
  <si>
    <t>/</t>
  </si>
  <si>
    <t>Dépôt de garantie</t>
  </si>
  <si>
    <t>GAPD</t>
  </si>
  <si>
    <t>Latitude</t>
  </si>
  <si>
    <t>Longitude</t>
  </si>
  <si>
    <t>Restauration</t>
  </si>
  <si>
    <t>Actif</t>
  </si>
  <si>
    <t>53 Rue Hergé</t>
  </si>
  <si>
    <t>44 Grande Rue</t>
  </si>
  <si>
    <t>90 Rue du Commerce</t>
  </si>
  <si>
    <t>7 Rue de Sochaux</t>
  </si>
  <si>
    <t>18 Rue du Général Mouton-Duvernet</t>
  </si>
  <si>
    <t>60 Rue Serpenoise</t>
  </si>
  <si>
    <t>204 Quai de Jemmapes</t>
  </si>
  <si>
    <t>14 Rue de Rémusat</t>
  </si>
  <si>
    <t>Rue Stéphane Charbonnier</t>
  </si>
  <si>
    <t>103 Le Val</t>
  </si>
  <si>
    <t>ZAC de Cap Malo</t>
  </si>
  <si>
    <t>18 Avenue Pierre Mendès France</t>
  </si>
  <si>
    <t>3 Avenue Louis Pasteur</t>
  </si>
  <si>
    <t>32 Rue Marbeuf</t>
  </si>
  <si>
    <t>9 Avenue Ledru Rollin</t>
  </si>
  <si>
    <t>25 Avenue de Saint-Mandé</t>
  </si>
  <si>
    <t>16 Avenue Mozart</t>
  </si>
  <si>
    <t>Rue</t>
  </si>
  <si>
    <t>Département</t>
  </si>
  <si>
    <t>Code Postal</t>
  </si>
  <si>
    <t>18 - 20 Rue Treilhard</t>
  </si>
  <si>
    <t>1 Rue de Caumartin</t>
  </si>
  <si>
    <t>Passage Châteaudun</t>
  </si>
  <si>
    <t>143 Rue des Fauvelles</t>
  </si>
  <si>
    <t>Cours du Commerce</t>
  </si>
  <si>
    <t>30 Rue de la Ronce</t>
  </si>
  <si>
    <t>C.C. Auchan Avenue Georges Frêche</t>
  </si>
  <si>
    <t xml:space="preserve">Numéro </t>
  </si>
  <si>
    <t xml:space="preserve">Département </t>
  </si>
  <si>
    <t xml:space="preserve">Région </t>
  </si>
  <si>
    <t>Ain</t>
  </si>
  <si>
    <t>Auvergne-Rhône-Alpes</t>
  </si>
  <si>
    <t>Aisne</t>
  </si>
  <si>
    <t>Hauts-de-France</t>
  </si>
  <si>
    <t>Allier</t>
  </si>
  <si>
    <t>Alpes-de-Haute-Provence</t>
  </si>
  <si>
    <t>Provence-Alpes-Côte d'Azur</t>
  </si>
  <si>
    <t>Hautes-Alpes</t>
  </si>
  <si>
    <t>Alpes-Maritimes</t>
  </si>
  <si>
    <t>Ardèche</t>
  </si>
  <si>
    <t>Ardennes</t>
  </si>
  <si>
    <t>Grand Est</t>
  </si>
  <si>
    <t>Ariège</t>
  </si>
  <si>
    <t>Occitanie</t>
  </si>
  <si>
    <t>Aube</t>
  </si>
  <si>
    <t>Aude</t>
  </si>
  <si>
    <t>Aveyron</t>
  </si>
  <si>
    <t>Bouches-du-Rhône</t>
  </si>
  <si>
    <t>Calvados</t>
  </si>
  <si>
    <t>Normandie</t>
  </si>
  <si>
    <t>Cantal</t>
  </si>
  <si>
    <t>Charente</t>
  </si>
  <si>
    <t>Nouvelle-Aquitaine</t>
  </si>
  <si>
    <t>Charente-Maritime</t>
  </si>
  <si>
    <t>Cher</t>
  </si>
  <si>
    <t>Centre-Val de Loire</t>
  </si>
  <si>
    <t>Corrèze</t>
  </si>
  <si>
    <t>2A</t>
  </si>
  <si>
    <t>Corse-du-Sud</t>
  </si>
  <si>
    <t>Corse</t>
  </si>
  <si>
    <t>2B</t>
  </si>
  <si>
    <t>Haute-Corse</t>
  </si>
  <si>
    <t>Côte-d'Or</t>
  </si>
  <si>
    <t>Bourgogne-Franche-Comté</t>
  </si>
  <si>
    <t>Côtes d'Armor</t>
  </si>
  <si>
    <t>Bretagne</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</si>
  <si>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</si>
  <si>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</si>
  <si>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</si>
  <si>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</si>
  <si>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</si>
  <si>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</si>
  <si>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</si>
  <si>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</si>
  <si>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</si>
  <si>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</si>
  <si>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</si>
  <si>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</si>
  <si>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</si>
  <si>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</si>
  <si>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</si>
  <si>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</si>
  <si>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</si>
  <si>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</si>
  <si>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</si>
  <si>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</si>
  <si>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</si>
  <si>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</si>
  <si>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Pays de la Loire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</si>
  <si>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</si>
  <si>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</si>
  <si>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</si>
  <si>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</si>
  <si>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</si>
  <si>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</si>
  <si>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</si>
  <si>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</si>
  <si>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</si>
  <si>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</si>
  <si>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</si>
  <si>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</si>
  <si>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</si>
  <si>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</si>
  <si>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</si>
  <si>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</si>
  <si>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</si>
  <si>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</si>
  <si>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</si>
  <si>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</si>
  <si>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</si>
  <si>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</si>
  <si>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</si>
  <si>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</si>
  <si>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</si>
  <si>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</si>
  <si>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</si>
  <si>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</si>
  <si>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</si>
  <si>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</si>
  <si>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Ile-de-France</t>
  </si>
  <si>
    <t>Seine-Maritime</t>
  </si>
  <si>
    <t>Seine-et-Marne</t>
  </si>
  <si>
    <t>Yvelines</t>
  </si>
  <si>
    <t>Deux-Sèvres</t>
  </si>
  <si>
    <t>Somme</t>
  </si>
  <si>
    <t>Tarn</t>
  </si>
  <si>
    <t>Tarn-et-Garonne</t>
  </si>
  <si>
    <t>Var</t>
  </si>
  <si>
    <t>Vaucluse</t>
  </si>
  <si>
    <t>Vendée</t>
  </si>
  <si>
    <t>Vienne</t>
  </si>
  <si>
    <t>Haute-Vienne</t>
  </si>
  <si>
    <t>Vosges</t>
  </si>
  <si>
    <t>Yonne</t>
  </si>
  <si>
    <t>Territoire-de-Belfort</t>
  </si>
  <si>
    <t>Essonne</t>
  </si>
  <si>
    <t>Hauts-de-Seine</t>
  </si>
  <si>
    <t>Seine-Saint-Denis</t>
  </si>
  <si>
    <t>Val-de-Marne</t>
  </si>
  <si>
    <t>Val-D'Oise</t>
  </si>
  <si>
    <t>Guadeloupe</t>
  </si>
  <si>
    <t>Martinique</t>
  </si>
  <si>
    <t>Guyane</t>
  </si>
  <si>
    <t>La Réunion</t>
  </si>
  <si>
    <t>Mayotte</t>
  </si>
  <si>
    <t>Région</t>
  </si>
  <si>
    <t>N° Département</t>
  </si>
  <si>
    <t>Photos annonce</t>
  </si>
  <si>
    <t>Référence annonce</t>
  </si>
  <si>
    <t>Répartition surface GLA</t>
  </si>
  <si>
    <t>Surface utile</t>
  </si>
  <si>
    <t>Répartition surface utile</t>
  </si>
  <si>
    <t>357 + 40 + 21 + 31</t>
  </si>
  <si>
    <t>214 (SS) + 110</t>
  </si>
  <si>
    <t>205 + 59</t>
  </si>
  <si>
    <t>127 (SS) + 242</t>
  </si>
  <si>
    <t>255 (SS) + 231</t>
  </si>
  <si>
    <t>436 m² + 245 réserve déportée</t>
  </si>
  <si>
    <t>30 (SS) + 85</t>
  </si>
  <si>
    <t>72 (SS) + 117</t>
  </si>
  <si>
    <t>12 (SS) + 14</t>
  </si>
  <si>
    <t>342 + 34 + 17 + 28</t>
  </si>
  <si>
    <t>190 + 54</t>
  </si>
  <si>
    <t>2 843 (SS) + 2 870 + 2 871 (R+1) + 44 (mezz)</t>
  </si>
  <si>
    <t>https://maps.app.goo.gl/YuAJQRM2HM3gYVyJ6</t>
  </si>
  <si>
    <t>https://maps.app.goo.gl/wJkBLPh5R3fTCHhg8</t>
  </si>
  <si>
    <t>https://maps.app.goo.gl/TpC5354fvwyNN33v5</t>
  </si>
  <si>
    <t>https://maps.app.goo.gl/bRUcnSM5Cuttscrc9</t>
  </si>
  <si>
    <t>https://maps.app.goo.gl/yRNFdK1p6sWPThzm8</t>
  </si>
  <si>
    <t>https://maps.app.goo.gl/yRNFdK1p6sWPThzm9</t>
  </si>
  <si>
    <t>https://maps.app.goo.gl/yRNFdK1p6sWPThzm10</t>
  </si>
  <si>
    <t>https://maps.app.goo.gl/yRNFdK1p6sWPThzm11</t>
  </si>
  <si>
    <t>https://maps.app.goo.gl/yRNFdK1p6sWPThzm12</t>
  </si>
  <si>
    <t>https://maps.app.goo.gl/yRNFdK1p6sWPThzm13</t>
  </si>
  <si>
    <t>https://maps.app.goo.gl/yRNFdK1p6sWPThzm14</t>
  </si>
  <si>
    <t>https://maps.app.goo.gl/yRNFdK1p6sWPThzm15</t>
  </si>
  <si>
    <t>https://maps.app.goo.gl/yRNFdK1p6sWPThzm16</t>
  </si>
  <si>
    <t>https://maps.app.goo.gl/yRNFdK1p6sWPThzm17</t>
  </si>
  <si>
    <t>https://maps.app.goo.gl/yRNFdK1p6sWPThzm18</t>
  </si>
  <si>
    <t>https://maps.app.goo.gl/yRNFdK1p6sWPThzm19</t>
  </si>
  <si>
    <t>B6</t>
  </si>
  <si>
    <t>B2</t>
  </si>
  <si>
    <t>B4</t>
  </si>
  <si>
    <t>B7</t>
  </si>
  <si>
    <t>B9</t>
  </si>
  <si>
    <t>B11</t>
  </si>
  <si>
    <t>B12</t>
  </si>
  <si>
    <t>B14A</t>
  </si>
  <si>
    <t>B14B</t>
  </si>
  <si>
    <t>B21</t>
  </si>
  <si>
    <t>B23B</t>
  </si>
  <si>
    <t>B20</t>
  </si>
  <si>
    <t>B26B</t>
  </si>
  <si>
    <t>Numéro de lot</t>
  </si>
  <si>
    <t>Taxe foncière €/m²</t>
  </si>
  <si>
    <t>Marketing €/m²</t>
  </si>
  <si>
    <t>Total (L+C+M)</t>
  </si>
  <si>
    <t>12</t>
  </si>
  <si>
    <t>26</t>
  </si>
  <si>
    <t>32</t>
  </si>
  <si>
    <t>40</t>
  </si>
  <si>
    <t>50</t>
  </si>
  <si>
    <t>53</t>
  </si>
  <si>
    <t>68A</t>
  </si>
  <si>
    <t>78</t>
  </si>
  <si>
    <t>116</t>
  </si>
  <si>
    <t>141 + 27</t>
  </si>
  <si>
    <t>131 + 25</t>
  </si>
  <si>
    <t>106</t>
  </si>
  <si>
    <t>105</t>
  </si>
  <si>
    <t>123</t>
  </si>
  <si>
    <t>121</t>
  </si>
  <si>
    <t>210 + 26</t>
  </si>
  <si>
    <t>195 + 26</t>
  </si>
  <si>
    <t>219 + 16</t>
  </si>
  <si>
    <t>204 + 14</t>
  </si>
  <si>
    <t>A</t>
  </si>
  <si>
    <t>B</t>
  </si>
  <si>
    <t>C</t>
  </si>
  <si>
    <t>D1</t>
  </si>
  <si>
    <t>D2</t>
  </si>
  <si>
    <t>D3</t>
  </si>
  <si>
    <t>E</t>
  </si>
  <si>
    <t>F</t>
  </si>
  <si>
    <t>1</t>
  </si>
  <si>
    <t>2</t>
  </si>
  <si>
    <t>P2 Com.1</t>
  </si>
  <si>
    <t>P2 Com.2</t>
  </si>
  <si>
    <t>P3</t>
  </si>
  <si>
    <t>P4</t>
  </si>
  <si>
    <t>P4.5A</t>
  </si>
  <si>
    <t>P4 Com.6</t>
  </si>
  <si>
    <t>P4 Act.1</t>
  </si>
  <si>
    <t>R2</t>
  </si>
  <si>
    <t>J3</t>
  </si>
  <si>
    <t>J5</t>
  </si>
  <si>
    <t>N1</t>
  </si>
  <si>
    <t>N3</t>
  </si>
  <si>
    <t>N4</t>
  </si>
  <si>
    <t>N5</t>
  </si>
  <si>
    <t>N6</t>
  </si>
  <si>
    <t>I1</t>
  </si>
  <si>
    <t>I2</t>
  </si>
  <si>
    <t>I3</t>
  </si>
  <si>
    <t>I4</t>
  </si>
  <si>
    <t>Quartier neuf mixte. 40 000 m² de bureaux commercialisés. Nouveau siège de Lidl France. Les charges incluent la taxe foncière</t>
  </si>
  <si>
    <t>3</t>
  </si>
  <si>
    <t>4</t>
  </si>
  <si>
    <t>5</t>
  </si>
  <si>
    <t>6</t>
  </si>
  <si>
    <t>9</t>
  </si>
  <si>
    <t>En plein centre-ville. Ancien Sephora. RDC + 3 niveaux. Taxes comprises</t>
  </si>
  <si>
    <t>En l'état du précédent locataire</t>
  </si>
  <si>
    <t>Ancien cabinet médical. Local voisin de Bagelstein. Taxes comprises</t>
  </si>
  <si>
    <t>Ancien Etam. Local en parfait état, utilisé en BDD. Verrière intérieur. Taxes comprises</t>
  </si>
  <si>
    <t>Ancien Maison Depôt. Quai de livraison et monte-charge. Taxes comprises</t>
  </si>
  <si>
    <t>30% du loyer facial avec un minimum de 15 000 € HT</t>
  </si>
  <si>
    <t>Froide</t>
  </si>
  <si>
    <t>Chaude et froide</t>
  </si>
  <si>
    <t>Foot Locker, Free, SFR, Avril Cosmétique, Tamaris, Devred, Damart, American Vintage, Restauration</t>
  </si>
  <si>
    <t>Avril Cosmétique, Générale d'Optique, Darjeeling, Pimkie, Promod, Calzedonia, Eram, SFR, Le Comptoir de Mathilde, Restauration</t>
  </si>
  <si>
    <t>My Candle Shop, Naf Naf, Petit Bateau, Armand Thierry, Maison 123, Jott, Calzedonia, Caroll, Pimkie, Restauration</t>
  </si>
  <si>
    <t>Ma Jardinerie, Electro Dépôt, Centrakor, La Boucherie, Kya</t>
  </si>
  <si>
    <t>Basic Fit, Normal, Micromania, Okaïdi, Marionnaud, Promod, Rougegorge, Mcdonald's</t>
  </si>
  <si>
    <t>A étudier</t>
  </si>
  <si>
    <t>Au BP</t>
  </si>
  <si>
    <t>1 000 places de parking.</t>
  </si>
  <si>
    <t>Cash Piscine, Lyre, Kraft, Vib's, Cache Cache, Grain de Malice, Bréal, Canadian Store</t>
  </si>
  <si>
    <t>Brut de béton</t>
  </si>
  <si>
    <t>En plein cœur de Lyon</t>
  </si>
  <si>
    <t>Fitness, Esthétique, La Vie Claire, Padel, Bowling, Restaurant, bar</t>
  </si>
  <si>
    <t>Retail Park dans une belle zone commerciale : Auchan, Gemo, Burger King, Kiabi, Noz, Intersport, Automobile. Taxes comprises</t>
  </si>
  <si>
    <t>Ancien Kim K. Taxes comprises</t>
  </si>
  <si>
    <t>Ancien Sacha. Taxes comprises</t>
  </si>
  <si>
    <t>Devred, Burger King, Peggy Sage, Alain Afflelou, Promod, Eram, Madura, Maison 123</t>
  </si>
  <si>
    <t>Vilebrequin, Kiton, Marbeuf Optique, Franprix, Berluti, Façonnable, Samlto, Restaurant</t>
  </si>
  <si>
    <t>Proximité Champs-Elysées. 8M de flux devant avec 11m de linéaire et 3 de hauteur sous plafond</t>
  </si>
  <si>
    <t>Restaurant, bureaux, Keepcool, Supermarché</t>
  </si>
  <si>
    <t>Canal Saint-Martin, Restaurant</t>
  </si>
  <si>
    <t>Action, bureaux, chaussures, Atelier Doma, boulangerie</t>
  </si>
  <si>
    <t>Restaurant, supermaché</t>
  </si>
  <si>
    <t>Librairie, onglerie, restaurant, supermarché, vêtement,s chaussures, bijouterie</t>
  </si>
  <si>
    <t>Carrefour City, Pressing, Meuble, Epicerie fine, Quincaillerie, Restaurant</t>
  </si>
  <si>
    <t>Rue de quartier complétement réhabilitée avec 120 nouveaux logements et commerces</t>
  </si>
  <si>
    <t>Logement, bureaux et restaurants</t>
  </si>
  <si>
    <t>A002</t>
  </si>
  <si>
    <t>B002</t>
  </si>
  <si>
    <t>B001</t>
  </si>
  <si>
    <t>D001</t>
  </si>
  <si>
    <t>E001</t>
  </si>
  <si>
    <t>275 €/m²</t>
  </si>
  <si>
    <t>300 €/m²</t>
  </si>
  <si>
    <t>225 €/m²</t>
  </si>
  <si>
    <t>Quartier neuf résidentiel à côté de la gare de Pontoise</t>
  </si>
  <si>
    <t>Franprix, épicerie, restaurant, crèche</t>
  </si>
  <si>
    <t>Local d'activité. Quartier neuf résidentiel à côté de la gare de Pontoise</t>
  </si>
  <si>
    <t>https://maps.app.goo.gl/kMFypL5FgsVNonvo8</t>
  </si>
  <si>
    <t>https://maps.app.goo.gl/J4fXB1FqZux6N87x9</t>
  </si>
  <si>
    <t>https://maps.app.goo.gl/v7DEsxhAawsjJmEcA</t>
  </si>
  <si>
    <t>https://maps.app.goo.gl/ZuAXVZPWMRQoosJq9</t>
  </si>
  <si>
    <t>https://maps.app.goo.gl/zkvMgjGRX8Yn5yvJ9</t>
  </si>
  <si>
    <t>89</t>
  </si>
  <si>
    <t>90</t>
  </si>
  <si>
    <t>96</t>
  </si>
  <si>
    <t>51</t>
  </si>
  <si>
    <t>52</t>
  </si>
  <si>
    <t>58</t>
  </si>
  <si>
    <t>91</t>
  </si>
  <si>
    <t>84</t>
  </si>
  <si>
    <t>74</t>
  </si>
  <si>
    <t>77</t>
  </si>
  <si>
    <t>Nocibé, Marionnaud, Jeff de Bruges, Christine Laure, Grain de Malice, Jules, Jean-Louis David</t>
  </si>
  <si>
    <t>Fnac, Natures et Découvertes, C&amp;A, Sostrene Grene, Nocibé, Devred, Micormania, Franck Provost, Moa, Adopt</t>
  </si>
  <si>
    <t>Charges annuelles</t>
  </si>
  <si>
    <t>5.1</t>
  </si>
  <si>
    <t>5.2</t>
  </si>
  <si>
    <t>5.3</t>
  </si>
  <si>
    <t>5.4</t>
  </si>
  <si>
    <t>5.5</t>
  </si>
  <si>
    <t>5.6</t>
  </si>
  <si>
    <t>5.7</t>
  </si>
  <si>
    <t>5.8</t>
  </si>
  <si>
    <t>5.9</t>
  </si>
  <si>
    <t>5.10</t>
  </si>
  <si>
    <t>5.11</t>
  </si>
  <si>
    <t>5.12</t>
  </si>
  <si>
    <t>5.13</t>
  </si>
  <si>
    <t>6.1</t>
  </si>
  <si>
    <t>6.2</t>
  </si>
  <si>
    <t>6.3</t>
  </si>
  <si>
    <t>6.4</t>
  </si>
  <si>
    <t>6.5</t>
  </si>
  <si>
    <t>6.6</t>
  </si>
  <si>
    <t>6.7</t>
  </si>
  <si>
    <t>6.8</t>
  </si>
  <si>
    <t>6.9</t>
  </si>
  <si>
    <t>6.10</t>
  </si>
  <si>
    <t>6.11</t>
  </si>
  <si>
    <t>6.12</t>
  </si>
  <si>
    <t>7.1</t>
  </si>
  <si>
    <t>7.2</t>
  </si>
  <si>
    <t>7.3</t>
  </si>
  <si>
    <t>7.4</t>
  </si>
  <si>
    <t>7.5</t>
  </si>
  <si>
    <t>7.6</t>
  </si>
  <si>
    <t>7.7</t>
  </si>
  <si>
    <t>7.8</t>
  </si>
  <si>
    <t>8</t>
  </si>
  <si>
    <t>9.1</t>
  </si>
  <si>
    <t>9.2</t>
  </si>
  <si>
    <t>9.3</t>
  </si>
  <si>
    <t>9.4</t>
  </si>
  <si>
    <t>9.5</t>
  </si>
  <si>
    <t>9.6</t>
  </si>
  <si>
    <t>10.1</t>
  </si>
  <si>
    <t>10.2</t>
  </si>
  <si>
    <t>11</t>
  </si>
  <si>
    <t>13</t>
  </si>
  <si>
    <t>14</t>
  </si>
  <si>
    <t>15</t>
  </si>
  <si>
    <t>16</t>
  </si>
  <si>
    <t>17</t>
  </si>
  <si>
    <t>18</t>
  </si>
  <si>
    <t>19.1</t>
  </si>
  <si>
    <t>19.2</t>
  </si>
  <si>
    <t>19.3</t>
  </si>
  <si>
    <t>19.4</t>
  </si>
  <si>
    <t>19.5</t>
  </si>
  <si>
    <t>19.6</t>
  </si>
  <si>
    <t>19.7</t>
  </si>
  <si>
    <t>19.8</t>
  </si>
  <si>
    <t>20.1</t>
  </si>
  <si>
    <t>20.2</t>
  </si>
  <si>
    <t>21.1</t>
  </si>
  <si>
    <t>21.2</t>
  </si>
  <si>
    <t>21.3</t>
  </si>
  <si>
    <t>21.4</t>
  </si>
  <si>
    <t>21.5</t>
  </si>
  <si>
    <t>21.6</t>
  </si>
  <si>
    <t>21.7</t>
  </si>
  <si>
    <t>21.8</t>
  </si>
  <si>
    <t>21.9</t>
  </si>
  <si>
    <t>21.10</t>
  </si>
  <si>
    <t>21.11</t>
  </si>
  <si>
    <t>21.12</t>
  </si>
  <si>
    <t>21.13</t>
  </si>
  <si>
    <t>21.14</t>
  </si>
  <si>
    <t>21.15</t>
  </si>
  <si>
    <t>21.16</t>
  </si>
  <si>
    <t>21.17</t>
  </si>
  <si>
    <t>21.18</t>
  </si>
  <si>
    <t>21.19</t>
  </si>
  <si>
    <t>21.20</t>
  </si>
  <si>
    <t>21.21</t>
  </si>
  <si>
    <t>21.22</t>
  </si>
  <si>
    <t>21.23</t>
  </si>
  <si>
    <t>22.1</t>
  </si>
  <si>
    <t>22.2</t>
  </si>
  <si>
    <t>22.3</t>
  </si>
  <si>
    <t>22.4</t>
  </si>
  <si>
    <t>22.5</t>
  </si>
  <si>
    <t>22.6</t>
  </si>
  <si>
    <t>22.7</t>
  </si>
  <si>
    <t>23.1</t>
  </si>
  <si>
    <t>23.2</t>
  </si>
  <si>
    <t>23.3</t>
  </si>
  <si>
    <t>23.4</t>
  </si>
  <si>
    <t>23.5</t>
  </si>
  <si>
    <t>24.1</t>
  </si>
  <si>
    <t>24.2</t>
  </si>
  <si>
    <t>24.3</t>
  </si>
  <si>
    <t>24.4</t>
  </si>
  <si>
    <t>24.5</t>
  </si>
  <si>
    <t>24.6</t>
  </si>
  <si>
    <t>24.7</t>
  </si>
  <si>
    <t>24.8</t>
  </si>
  <si>
    <t>24.9</t>
  </si>
  <si>
    <t>24.10</t>
  </si>
  <si>
    <t>24.11</t>
  </si>
  <si>
    <t>24.12</t>
  </si>
  <si>
    <t>24.13</t>
  </si>
  <si>
    <t>24.14</t>
  </si>
  <si>
    <t>45.648526</t>
  </si>
  <si>
    <t>0.158468</t>
  </si>
  <si>
    <t>47.586994</t>
  </si>
  <si>
    <t>1.331958</t>
  </si>
  <si>
    <t>47.505019</t>
  </si>
  <si>
    <t>6.844836</t>
  </si>
  <si>
    <t>49.205819</t>
  </si>
  <si>
    <t>-0.328482</t>
  </si>
  <si>
    <t>49.205645</t>
  </si>
  <si>
    <t>-0.328361</t>
  </si>
  <si>
    <t>49.206029</t>
  </si>
  <si>
    <t>-0.328616</t>
  </si>
  <si>
    <t>49.206122</t>
  </si>
  <si>
    <t>-0.328394</t>
  </si>
  <si>
    <t>49.206071</t>
  </si>
  <si>
    <t>-0.328211</t>
  </si>
  <si>
    <t>49.206257</t>
  </si>
  <si>
    <t>-0.327930</t>
  </si>
  <si>
    <t>49.206164</t>
  </si>
  <si>
    <t>-0.327884</t>
  </si>
  <si>
    <t>49.206310</t>
  </si>
  <si>
    <t>-0.327702</t>
  </si>
  <si>
    <t>49.206238</t>
  </si>
  <si>
    <t>-0.327648</t>
  </si>
  <si>
    <t>49.206083</t>
  </si>
  <si>
    <t>-0.327479</t>
  </si>
  <si>
    <t>-0.327589</t>
  </si>
  <si>
    <t>49.205982</t>
  </si>
  <si>
    <t>-0.327975</t>
  </si>
  <si>
    <t>49.205712</t>
  </si>
  <si>
    <t>-0.328139</t>
  </si>
  <si>
    <t>48.197608</t>
  </si>
  <si>
    <t>-1.725854</t>
  </si>
  <si>
    <t>48.197772</t>
  </si>
  <si>
    <t>-1.725999</t>
  </si>
  <si>
    <t>48.198039</t>
  </si>
  <si>
    <t>-1.726240</t>
  </si>
  <si>
    <t>48.198166</t>
  </si>
  <si>
    <t>-1.726390</t>
  </si>
  <si>
    <t>48.198348</t>
  </si>
  <si>
    <t>-1.726557</t>
  </si>
  <si>
    <t>48.198452</t>
  </si>
  <si>
    <t>-1.726667</t>
  </si>
  <si>
    <t>48.198584</t>
  </si>
  <si>
    <t>-1.726814</t>
  </si>
  <si>
    <t>48.198731</t>
  </si>
  <si>
    <t>-1.726769</t>
  </si>
  <si>
    <t>48.198775</t>
  </si>
  <si>
    <t>-1.726648</t>
  </si>
  <si>
    <t>48.198827</t>
  </si>
  <si>
    <t>-1.726519</t>
  </si>
  <si>
    <t>48.199004</t>
  </si>
  <si>
    <t>-1.726162</t>
  </si>
  <si>
    <t>48.199088</t>
  </si>
  <si>
    <t>-1.725948</t>
  </si>
  <si>
    <t>Local situé au niveau inférieur. Centre commercial en cœur de ville. Toutes charges incluses</t>
  </si>
  <si>
    <t>Local situé au niveau supérieur. Centre commercial en cœur de ville. Toutes charges incluses</t>
  </si>
  <si>
    <t>Kiosque situé au niveau inférieur. Centre commercial en cœur de ville. Toutes charges incluses</t>
  </si>
  <si>
    <t>19 Avenue Pierre Mendès France</t>
  </si>
  <si>
    <t>https://maps.app.goo.gl/ngVAd1ZcuWEZcS5U9</t>
  </si>
  <si>
    <t>19</t>
  </si>
  <si>
    <t>7.9</t>
  </si>
  <si>
    <t>48.006866</t>
  </si>
  <si>
    <t>0.198918</t>
  </si>
  <si>
    <t>48.006664</t>
  </si>
  <si>
    <t>0.199208</t>
  </si>
  <si>
    <t>48.006755</t>
  </si>
  <si>
    <t>0.199409</t>
  </si>
  <si>
    <t>48.006917</t>
  </si>
  <si>
    <t>0.198996</t>
  </si>
  <si>
    <t>48.006669</t>
  </si>
  <si>
    <t>0.199009</t>
  </si>
  <si>
    <t>48.006018</t>
  </si>
  <si>
    <t>0.199543</t>
  </si>
  <si>
    <t>48.005872</t>
  </si>
  <si>
    <t>0.199548</t>
  </si>
  <si>
    <t>48.006380</t>
  </si>
  <si>
    <t>0.199481</t>
  </si>
  <si>
    <t>48.006694</t>
  </si>
  <si>
    <t>0.199414</t>
  </si>
  <si>
    <t>45.753459</t>
  </si>
  <si>
    <t>4.861311</t>
  </si>
  <si>
    <t>48.761808</t>
  </si>
  <si>
    <t>1.912911</t>
  </si>
  <si>
    <t>48.761497</t>
  </si>
  <si>
    <t>1.912919</t>
  </si>
  <si>
    <t>48.761274</t>
  </si>
  <si>
    <t>1.913268</t>
  </si>
  <si>
    <t>48.761218</t>
  </si>
  <si>
    <t>1.913512</t>
  </si>
  <si>
    <t>48.761691</t>
  </si>
  <si>
    <t>1.913319</t>
  </si>
  <si>
    <t>48.761626</t>
  </si>
  <si>
    <t>1.913576</t>
  </si>
  <si>
    <t>49.115823</t>
  </si>
  <si>
    <t>6.174367</t>
  </si>
  <si>
    <t>49.115904</t>
  </si>
  <si>
    <t>6.174453</t>
  </si>
  <si>
    <t>48.869316</t>
  </si>
  <si>
    <t>2.305064</t>
  </si>
  <si>
    <t>48.877116</t>
  </si>
  <si>
    <t>2.313703</t>
  </si>
  <si>
    <t>48.870287</t>
  </si>
  <si>
    <t>2.327921</t>
  </si>
  <si>
    <t>48.880875</t>
  </si>
  <si>
    <t>2.369469</t>
  </si>
  <si>
    <t>48.846523</t>
  </si>
  <si>
    <t>2.368460</t>
  </si>
  <si>
    <t>48.845406</t>
  </si>
  <si>
    <t>2.399531</t>
  </si>
  <si>
    <t>48.857212</t>
  </si>
  <si>
    <t>2.272657</t>
  </si>
  <si>
    <t>48.848202</t>
  </si>
  <si>
    <t>2.271099</t>
  </si>
  <si>
    <t>48.839245</t>
  </si>
  <si>
    <t>2.236142</t>
  </si>
  <si>
    <t>48.839286</t>
  </si>
  <si>
    <t>2.236471</t>
  </si>
  <si>
    <t>48.839353</t>
  </si>
  <si>
    <t>2.236992</t>
  </si>
  <si>
    <t>48.839392</t>
  </si>
  <si>
    <t>2.237437</t>
  </si>
  <si>
    <t>48.839450</t>
  </si>
  <si>
    <t>2.237432</t>
  </si>
  <si>
    <t>48.839512</t>
  </si>
  <si>
    <t>48.839090</t>
  </si>
  <si>
    <t>2.236187</t>
  </si>
  <si>
    <t>48.839178</t>
  </si>
  <si>
    <t>2.236960</t>
  </si>
  <si>
    <t>48.900598</t>
  </si>
  <si>
    <t>2.231909</t>
  </si>
  <si>
    <t>48.900566</t>
  </si>
  <si>
    <t>2.231869</t>
  </si>
  <si>
    <t>10</t>
  </si>
  <si>
    <t>Boulangerie, Franprix</t>
  </si>
  <si>
    <t>48.822274</t>
  </si>
  <si>
    <t>2.189029</t>
  </si>
  <si>
    <t>48.822302</t>
  </si>
  <si>
    <t>2.189139</t>
  </si>
  <si>
    <t>48.822321</t>
  </si>
  <si>
    <t>2.189262</t>
  </si>
  <si>
    <t>2.189538</t>
  </si>
  <si>
    <t>48.822327</t>
  </si>
  <si>
    <t>2.189656</t>
  </si>
  <si>
    <t>48.822357</t>
  </si>
  <si>
    <t>2.189809</t>
  </si>
  <si>
    <t>48.822518</t>
  </si>
  <si>
    <t>2.190614</t>
  </si>
  <si>
    <t>48.822412</t>
  </si>
  <si>
    <t>2.190252</t>
  </si>
  <si>
    <t>22.8</t>
  </si>
  <si>
    <t>180 €/m² = 98 460 €</t>
  </si>
  <si>
    <t>49.047761</t>
  </si>
  <si>
    <t>2.092592</t>
  </si>
  <si>
    <t>49.047425</t>
  </si>
  <si>
    <t>2.094475</t>
  </si>
  <si>
    <t>49.047541</t>
  </si>
  <si>
    <t>2.094068</t>
  </si>
  <si>
    <t>49.047881</t>
  </si>
  <si>
    <t>2.093934</t>
  </si>
  <si>
    <t>49.047782</t>
  </si>
  <si>
    <t>2.094183</t>
  </si>
  <si>
    <t>43.571660</t>
  </si>
  <si>
    <t>3.940264</t>
  </si>
  <si>
    <t>43.571763</t>
  </si>
  <si>
    <t>3.940417</t>
  </si>
  <si>
    <t>43.571868</t>
  </si>
  <si>
    <t>3.940656</t>
  </si>
  <si>
    <t>43.572028</t>
  </si>
  <si>
    <t>3.940825</t>
  </si>
  <si>
    <t>43.572131</t>
  </si>
  <si>
    <t>3.941206</t>
  </si>
  <si>
    <t>43.572167</t>
  </si>
  <si>
    <t>3.941257</t>
  </si>
  <si>
    <t>43.572405</t>
  </si>
  <si>
    <t>3.941699</t>
  </si>
  <si>
    <t>43.572521</t>
  </si>
  <si>
    <t>3.941895</t>
  </si>
  <si>
    <t>43.572581</t>
  </si>
  <si>
    <t>3.941978</t>
  </si>
  <si>
    <t>43.572634</t>
  </si>
  <si>
    <t>3.942048</t>
  </si>
  <si>
    <t>43.572686</t>
  </si>
  <si>
    <t>3.942139</t>
  </si>
  <si>
    <t>43.572721</t>
  </si>
  <si>
    <t>3.942769</t>
  </si>
  <si>
    <t>43.572680</t>
  </si>
  <si>
    <t>3.942681</t>
  </si>
  <si>
    <t>43.572560</t>
  </si>
  <si>
    <t>3.942464</t>
  </si>
  <si>
    <t>https://pub-843c46afc4cb41489909bce00c9b143d.r2.dev/1%20-%20Angoul%C3%AAme/1.jpg; https://pub-843c46afc4cb41489909bce00c9b143d.r2.dev/1%20-%20Angoul%C3%AAme/2.jpg; https://pub-843c46afc4cb41489909bce00c9b143d.r2.dev/1%20-%20Angoul%C3%AAme/3.jpg; https://pub-843c46afc4cb41489909bce00c9b143d.r2.dev/1%20-%20Angoul%C3%AAme/4%20ANGOULEME%207%20-%20RC%20SEPHORA.jpg; https://pub-843c46afc4cb41489909bce00c9b143d.r2.dev/1%20-%20Angoul%C3%AAme/5%20ANGOULEME%207%20-%201er%20Etage%2053-55%20rue%20herg%C3%A9.jpg; https://pub-843c46afc4cb41489909bce00c9b143d.r2.dev/1%20-%20Angoul%C3%AAme/6%20ANGOULEME%207%20-%202e%20Etage%2053-55%20rue%20herg%C3%A9.jpg; https://pub-843c46afc4cb41489909bce00c9b143d.r2.dev/1%20-%20Angoul%C3%AAme/7%20ANGOULEME%207%20-%203e%20Etage%2053-55%20rue%20herg%C3%A9.jpg</t>
  </si>
  <si>
    <t>https://pub-843c46afc4cb41489909bce00c9b143d.r2.dev/2%20-%20Besan%C3%A7on/1.jpg; https://pub-843c46afc4cb41489909bce00c9b143d.r2.dev/2%20-%20Besan%C3%A7on/2.jpg; https://pub-843c46afc4cb41489909bce00c9b143d.r2.dev/2%20-%20Besan%C3%A7on/3.jpg; https://pub-843c46afc4cb41489909bce00c9b143d.r2.dev/2%20-%20Besan%C3%A7on/4%20Plan%20RDC.jpg; https://pub-843c46afc4cb41489909bce00c9b143d.r2.dev/2%20-%20Besan%C3%A7on/5%20Plan%20R-1.jpg</t>
  </si>
  <si>
    <t>https://pub-843c46afc4cb41489909bce00c9b143d.r2.dev/3%20-%20Blois/1.jpg; https://pub-843c46afc4cb41489909bce00c9b143d.r2.dev/3%20-%20Blois/2.jpg; https://pub-843c46afc4cb41489909bce00c9b143d.r2.dev/3%20-%20Blois/3.jpg; https://pub-843c46afc4cb41489909bce00c9b143d.r2.dev/3%20-%20Blois/4.jpg; https://pub-843c46afc4cb41489909bce00c9b143d.r2.dev/3%20-%20Blois/5%20Plan%20RDC.jpg; https://pub-843c46afc4cb41489909bce00c9b143d.r2.dev/3%20-%20Blois/6%20Plan%20R%2B1.jpg</t>
  </si>
  <si>
    <t>https://pub-843c46afc4cb41489909bce00c9b143d.r2.dev/4%20-%20Exincourt/1.jpg; https://pub-843c46afc4cb41489909bce00c9b143d.r2.dev/4%20-%20Exincourt/2.jpg; https://pub-843c46afc4cb41489909bce00c9b143d.r2.dev/4%20-%20Exincourt/3%20Plan%20R-1.jpg; https://pub-843c46afc4cb41489909bce00c9b143d.r2.dev/4%20-%20Exincourt/4%20Plan%20RDC.jpg; https://pub-843c46afc4cb41489909bce00c9b143d.r2.dev/4%20-%20Exincourt/5%20Plan%20R%2B1.jpg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</si>
  <si>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https://pub-843c46afc4cb41489909bce00c9b143d.r2.dev/5.1%20-%20H%C3%A9rouville-Saint-Clair/5%20B1-B2%20-%20Division%202022%20-%20GO%20Cloison-Pr%C3%A9sentation%20AT%20(1)%20-%20La_Casa_de_la_Carcasas.jpg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</si>
  <si>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https://pub-843c46afc4cb41489909bce00c9b143d.r2.dev/5.2%20-%20H%C3%A9rouville-Saint-Clair/5%20B4%20-%205372-GLA-2019.07.12.jpg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</si>
  <si>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https://pub-843c46afc4cb41489909bce00c9b143d.r2.dev/5.3%20-%20H%C3%A9rouville-Saint-Clair/5%20B6%20-%205372%20-%20GLA-2017.12.04.jpg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</si>
  <si>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https://pub-843c46afc4cb41489909bce00c9b143d.r2.dev/5.4%20-%20H%C3%A9rouville-Saint-Clair/5%20B7%20-%205372-GLA-2019.07.12.jpg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</si>
  <si>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https://pub-843c46afc4cb41489909bce00c9b143d.r2.dev/5.5%20-%20H%C3%A9rouville-Saint-Clair/5%20B9%20-%205372-GLA-2019.07.12.jpg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</si>
  <si>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https://pub-843c46afc4cb41489909bce00c9b143d.r2.dev/5.6%20-%20H%C3%A9rouville-Saint-Clair/5%20B11%20(ex%20Cama%C3%AFeu)%20(nouveau%20B69)%20-%205372-GLA-2019.07.12.jpg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</si>
  <si>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https://pub-843c46afc4cb41489909bce00c9b143d.r2.dev/5.7%20-%20H%C3%A9rouville-Saint-Clair/5%20B12%20-%205372-GLA-2019.07.12.jpg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</si>
  <si>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https://pub-843c46afc4cb41489909bce00c9b143d.r2.dev/5.8%20-%20H%C3%A9rouville-Saint-Clair/5%20B14A%20-%205372-GLA-2019.07.12.jpg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</si>
  <si>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https://pub-843c46afc4cb41489909bce00c9b143d.r2.dev/5.9%20-%20H%C3%A9rouville-Saint-Clair/5%20B14B%20-%205372-GLA-2019.07.12.jpg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</si>
  <si>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https://pub-843c46afc4cb41489909bce00c9b143d.r2.dev/5.10%20-%20H%C3%A9rouville-Saint-Clair/5%20B21%20-%205372%20-%20GLA-2017.12.04.jpg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</si>
  <si>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https://pub-843c46afc4cb41489909bce00c9b143d.r2.dev/5.11%20-%20H%C3%A9rouville-Saint-Clair/5%20B23B%20-%205372%20-%20GLA-2017.12.04.jpg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</si>
  <si>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https://pub-843c46afc4cb41489909bce00c9b143d.r2.dev/5.12%20-%20H%C3%A9rouville-Saint-Clair/5%20B20%20-%205372%20-%20GLA-2017.12.04.jpg</t>
  </si>
  <si>
    <t>https://pub-843c46afc4cb41489909bce00c9b143d.r2.dev/5.1%20-%20H%C3%A9rouville-Saint-Clair/1.jpg; https://pub-843c46afc4cb41489909bce00c9b143d.r2.dev/5.1%20-%20H%C3%A9rouville-Saint-Clair/2.jpg; https://pub-843c46afc4cb41489909bce00c9b143d.r2.dev/5.1%20-%20H%C3%A9rouville-Saint-Clair/3.jpg; https://pub-843c46afc4cb41489909bce00c9b143d.r2.dev/5.1%20-%20H%C3%A9rouville-Saint-Clair/4.jpg; https://pub-843c46afc4cb41489909bce00c9b143d.r2.dev/5.13%20-%20H%C3%A9rouville-Saint-Clair/5%20B24%20et%20B26A%20et%20B%20-%205372-GLA-2019.07.12.jpg</t>
  </si>
  <si>
    <t>https://pub-843c46afc4cb41489909bce00c9b143d.r2.dev/6.1%20-%20La%20M%C3%A9zi%C3%A8re/1.jpg</t>
  </si>
  <si>
    <t>https://pub-843c46afc4cb41489909bce00c9b143d.r2.dev/6.2%20-%20La%20M%C3%A9zi%C3%A8re/1.jpg</t>
  </si>
  <si>
    <t>https://pub-843c46afc4cb41489909bce00c9b143d.r2.dev/6.3%20-%20La%20M%C3%A9zi%C3%A8re/1.jpg</t>
  </si>
  <si>
    <t>https://pub-843c46afc4cb41489909bce00c9b143d.r2.dev/6.4%20-%20La%20M%C3%A9zi%C3%A8re/1.jpg</t>
  </si>
  <si>
    <t>https://pub-843c46afc4cb41489909bce00c9b143d.r2.dev/6.5%20-%20La%20M%C3%A9zi%C3%A8re/1.jpg</t>
  </si>
  <si>
    <t>https://pub-843c46afc4cb41489909bce00c9b143d.r2.dev/6.6%20-%20La%20M%C3%A9zi%C3%A8re/1.jpg</t>
  </si>
  <si>
    <t>https://pub-843c46afc4cb41489909bce00c9b143d.r2.dev/6.7%20-%20La%20M%C3%A9zi%C3%A8re/1.jpg</t>
  </si>
  <si>
    <t>https://pub-843c46afc4cb41489909bce00c9b143d.r2.dev/6.8%20-%20La%20M%C3%A9zi%C3%A8re/1.jpg</t>
  </si>
  <si>
    <t>https://pub-843c46afc4cb41489909bce00c9b143d.r2.dev/6.9%20-%20La%20M%C3%A9zi%C3%A8re/1.jpg</t>
  </si>
  <si>
    <t>https://pub-843c46afc4cb41489909bce00c9b143d.r2.dev/6.10%20-%20La%20M%C3%A9zi%C3%A8re/1.jpg</t>
  </si>
  <si>
    <t>https://pub-843c46afc4cb41489909bce00c9b143d.r2.dev/6.11%20-%20La%20M%C3%A9zi%C3%A8re/1.jpg; https://pub-843c46afc4cb41489909bce00c9b143d.r2.dev/6.11%20-%20La%20M%C3%A9zi%C3%A8re/2.jpg</t>
  </si>
  <si>
    <t>https://pub-843c46afc4cb41489909bce00c9b143d.r2.dev/6.12%20-%20La%20M%C3%A9zi%C3%A8re/1.jpg; https://pub-843c46afc4cb41489909bce00c9b143d.r2.dev/6.12%20-%20La%20M%C3%A9zi%C3%A8re/2.jpg</t>
  </si>
  <si>
    <t>https://pub-843c46afc4cb41489909bce00c9b143d.r2.dev/7.1%20-%20Le%20Mans/1.jpg; https://pub-843c46afc4cb41489909bce00c9b143d.r2.dev/7.1%20-%20Le%20Mans/2.jpg; https://pub-843c46afc4cb41489909bce00c9b143d.r2.dev/7.1%20-%20Le%20Mans/3.jpg; https://pub-843c46afc4cb41489909bce00c9b143d.r2.dev/7.1%20-%20Le%20Mans/4.jpg; https://pub-843c46afc4cb41489909bce00c9b143d.r2.dev/7.1%20-%20Le%20Mans/5%20Niveau%20inf%C3%A9rieur.jpg; https://pub-843c46afc4cb41489909bce00c9b143d.r2.dev/7.1%20-%20Le%20Mans/6%20Niveau%20sup%C3%A9rieur.jpg</t>
  </si>
  <si>
    <t>https://pub-843c46afc4cb41489909bce00c9b143d.r2.dev/8%20-%20Lyon/1%20Vue%20d'ensemble.jpg; https://pub-843c46afc4cb41489909bce00c9b143d.r2.dev/8%20-%20Lyon/2.jpg; https://pub-843c46afc4cb41489909bce00c9b143d.r2.dev/8%20-%20Lyon/3.jpg; https://pub-843c46afc4cb41489909bce00c9b143d.r2.dev/8%20-%20Lyon/4%20Plan.jpg</t>
  </si>
  <si>
    <t>https://pub-843c46afc4cb41489909bce00c9b143d.r2.dev/9.1%20-%20Maurepas/1%20Vue%20d'ensemble.jpg; https://pub-843c46afc4cb41489909bce00c9b143d.r2.dev/9.1%20-%20Maurepas/2.jpg; https://pub-843c46afc4cb41489909bce00c9b143d.r2.dev/9.1%20-%20Maurepas/3%20Plan.PNG</t>
  </si>
  <si>
    <t>https://pub-843c46afc4cb41489909bce00c9b143d.r2.dev/9.1%20-%20Maurepas/1%20Vue%20d'ensemble.jpg; https://pub-843c46afc4cb41489909bce00c9b143d.r2.dev/9.2%20-%20Maurepas/2.jpg; https://pub-843c46afc4cb41489909bce00c9b143d.r2.dev/9.2%20-%20Maurepas/3%20Plan.PNG</t>
  </si>
  <si>
    <t>https://pub-843c46afc4cb41489909bce00c9b143d.r2.dev/9.1%20-%20Maurepas/1%20Vue%20d'ensemble.jpg; https://pub-843c46afc4cb41489909bce00c9b143d.r2.dev/9.3%20-%20Maurepas/2.jpg; https://pub-843c46afc4cb41489909bce00c9b143d.r2.dev/9.3%20-%20Maurepas/3%20Plan.PNG</t>
  </si>
  <si>
    <t>https://pub-843c46afc4cb41489909bce00c9b143d.r2.dev/9.1%20-%20Maurepas/1%20Vue%20d'ensemble.jpg; https://pub-843c46afc4cb41489909bce00c9b143d.r2.dev/9.4%20-%20Maurepas/2.jpg; https://pub-843c46afc4cb41489909bce00c9b143d.r2.dev/9.4%20-%20Maurepas/3%20Plan.PNG</t>
  </si>
  <si>
    <t>https://pub-843c46afc4cb41489909bce00c9b143d.r2.dev/9.1%20-%20Maurepas/1%20Vue%20d'ensemble.jpg; https://pub-843c46afc4cb41489909bce00c9b143d.r2.dev/9.5%20-%20Maurepas/2.jpg; https://pub-843c46afc4cb41489909bce00c9b143d.r2.dev/9.5%20-%20Maurepas/3%20Plan.PNG</t>
  </si>
  <si>
    <t>https://pub-843c46afc4cb41489909bce00c9b143d.r2.dev/9.1%20-%20Maurepas/1%20Vue%20d'ensemble.jpg; https://pub-843c46afc4cb41489909bce00c9b143d.r2.dev/9.6%20-%20Maurepas/2.jpg; https://pub-843c46afc4cb41489909bce00c9b143d.r2.dev/9.6%20-%20Maurepas/3%20Plan.PNG</t>
  </si>
  <si>
    <t>https://pub-843c46afc4cb41489909bce00c9b143d.r2.dev/10.1%20-%20Metz/1.jpg; https://pub-843c46afc4cb41489909bce00c9b143d.r2.dev/10.1%20-%20Metz/2%20Plan%20R-1.jpg; https://pub-843c46afc4cb41489909bce00c9b143d.r2.dev/10.1%20-%20Metz/3%20Plan%20RDC.jpg</t>
  </si>
  <si>
    <t>https://pub-843c46afc4cb41489909bce00c9b143d.r2.dev/10.2%20-%20Metz/1.jpg; https://pub-843c46afc4cb41489909bce00c9b143d.r2.dev/10.2%20-%20Metz/2.jpg; https://pub-843c46afc4cb41489909bce00c9b143d.r2.dev/10.2%20-%20Metz/3%20Plan%20R-1.jpg; https://pub-843c46afc4cb41489909bce00c9b143d.r2.dev/10.2%20-%20Metz/4%20Plan%20RDC.jpg</t>
  </si>
  <si>
    <t>https://pub-843c46afc4cb41489909bce00c9b143d.r2.dev/11%20-%20Paris/1.jpg; https://pub-843c46afc4cb41489909bce00c9b143d.r2.dev/11%20-%20Paris/2.jpg; https://pub-843c46afc4cb41489909bce00c9b143d.r2.dev/11%20-%20Paris/3%20Plan%20RDC.jpg; https://pub-843c46afc4cb41489909bce00c9b143d.r2.dev/11%20-%20Paris/4%20Plan%20R%C3%A9serves%20d%C3%A9port%C3%A9es%20R%20-2.jpg</t>
  </si>
  <si>
    <t>https://pub-843c46afc4cb41489909bce00c9b143d.r2.dev/14%20-%20Paris/1.jpg; https://pub-843c46afc4cb41489909bce00c9b143d.r2.dev/14%20-%20Paris/2.jpg; https://pub-843c46afc4cb41489909bce00c9b143d.r2.dev/14%20-%20Paris/3.jpg; https://pub-843c46afc4cb41489909bce00c9b143d.r2.dev/14%20-%20Paris/4%20Plan%20R%20-1.jpg; https://pub-843c46afc4cb41489909bce00c9b143d.r2.dev/14%20-%20Paris/5%20Plan%20RDC.jpg</t>
  </si>
  <si>
    <t>https://pub-843c46afc4cb41489909bce00c9b143d.r2.dev/15%20-%20Paris/1%20Vue%20d'ensemble.jpg; https://pub-843c46afc4cb41489909bce00c9b143d.r2.dev/15%20-%20Paris/2.jpg; https://pub-843c46afc4cb41489909bce00c9b143d.r2.dev/15%20-%20Paris/3%20Plan%20R-1.jpg; https://pub-843c46afc4cb41489909bce00c9b143d.r2.dev/15%20-%20Paris/4%20Plan%20RDC.jpg</t>
  </si>
  <si>
    <t>https://pub-843c46afc4cb41489909bce00c9b143d.r2.dev/16%20-%20Paris/1%20Immeuble.jpg; https://pub-843c46afc4cb41489909bce00c9b143d.r2.dev/16%20-%20Paris/2.jpg; https://pub-843c46afc4cb41489909bce00c9b143d.r2.dev/16%20-%20Paris/3.jpg; https://pub-843c46afc4cb41489909bce00c9b143d.r2.dev/16%20-%20Paris/4.jpg; https://pub-843c46afc4cb41489909bce00c9b143d.r2.dev/16%20-%20Paris/5.jpg; https://pub-843c46afc4cb41489909bce00c9b143d.r2.dev/16%20-%20Paris/6%20Plan.jpg</t>
  </si>
  <si>
    <t>https://pub-843c46afc4cb41489909bce00c9b143d.r2.dev/17%20-%20Paris/1.jpg</t>
  </si>
  <si>
    <t>https://pub-843c46afc4cb41489909bce00c9b143d.r2.dev/18%20-%20Paris/1.jpg; https://pub-843c46afc4cb41489909bce00c9b143d.r2.dev/18%20-%20Paris/2%20Plan%20R-1.jpg; https://pub-843c46afc4cb41489909bce00c9b143d.r2.dev/18%20-%20Paris/3%20Plan%20RDC.jpg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</si>
  <si>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https://pub-843c46afc4cb41489909bce00c9b143d.r2.dev/19.1%20-%20Boulogne-Billancourt/4%20Plan.jpg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</si>
  <si>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https://pub-843c46afc4cb41489909bce00c9b143d.r2.dev/19.2%20-%20Boulogne-Billancourt/4%20Plan.jpg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</si>
  <si>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https://pub-843c46afc4cb41489909bce00c9b143d.r2.dev/19.3%20-%20Boulogne-Billancourt/4%20Plan.jpg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</si>
  <si>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https://pub-843c46afc4cb41489909bce00c9b143d.r2.dev/19.4%20-%20Boulogne-Billancourt/4%20Plan.jpg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</si>
  <si>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https://pub-843c46afc4cb41489909bce00c9b143d.r2.dev/19.5%20-%20Boulogne-Billancourt/4%20Plan.jpg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</si>
  <si>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https://pub-843c46afc4cb41489909bce00c9b143d.r2.dev/19.6%20-%20Boulogne-Billancourt/4%20Plan.jpg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</si>
  <si>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https://pub-843c46afc4cb41489909bce00c9b143d.r2.dev/19.7%20-%20Boulogne-Billancourt/4%20Plan.jpg</t>
  </si>
  <si>
    <t>https://pub-843c46afc4cb41489909bce00c9b143d.r2.dev/19.1%20-%20Boulogne-Billancourt/1%20Vue%20d'ensemble.jpg; https://pub-843c46afc4cb41489909bce00c9b143d.r2.dev/19.1%20-%20Boulogne-Billancourt/2%20Plan%20de%20quartier.jpg; https://pub-843c46afc4cb41489909bce00c9b143d.r2.dev/19.1%20-%20Boulogne-Billancourt/3%20Plan%20de%20masse.jpg; https://pub-843c46afc4cb41489909bce00c9b143d.r2.dev/19.8%20-%20Boulogne-Billancourt/4%20Plan.jpg</t>
  </si>
  <si>
    <t>https://pub-843c46afc4cb41489909bce00c9b143d.r2.dev/20.1%20-%20La%20Garenne-Colombes/1%20Vue%20d'ensemble.jpg; https://pub-843c46afc4cb41489909bce00c9b143d.r2.dev/20.1%20-%20La%20Garenne-Colombes/2%20Plan.jpg</t>
  </si>
  <si>
    <t>https://pub-843c46afc4cb41489909bce00c9b143d.r2.dev/20.1%20-%20La%20Garenne-Colombes/1%20Vue%20d'ensemble.jpg; https://pub-843c46afc4cb41489909bce00c9b143d.r2.dev/20.2%20-%20La%20Garenne-Colombes/2%20Plan.jpg</t>
  </si>
  <si>
    <t>https://pub-843c46afc4cb41489909bce00c9b143d.r2.dev/22.1%20-%20Ville-d'Avray/1%20Vu%20d'ensemble.jpg; https://pub-843c46afc4cb41489909bce00c9b143d.r2.dev/22.1%20-%20Ville-d'Avray/2%20Plan%20d'ensemble.jpg; https://pub-843c46afc4cb41489909bce00c9b143d.r2.dev/22.1%20-%20Ville-d'Avray/3%20Plan%20d'ensemble%20-%20Fusion%201%2B2%2B3.jpg; https://pub-843c46afc4cb41489909bce00c9b143d.r2.dev/22.1%20-%20Ville-d'Avray/4%20.jpg; https://pub-843c46afc4cb41489909bce00c9b143d.r2.dev/22.1%20-%20Ville-d'Avray/5%20Plan.jpg</t>
  </si>
  <si>
    <t>https://pub-843c46afc4cb41489909bce00c9b143d.r2.dev/22.1%20-%20Ville-d'Avray/1%20Vu%20d'ensemble.jpg; https://pub-843c46afc4cb41489909bce00c9b143d.r2.dev/22.1%20-%20Ville-d'Avray/2%20Plan%20d'ensemble.jpg; https://pub-843c46afc4cb41489909bce00c9b143d.r2.dev/22.1%20-%20Ville-d'Avray/3%20Plan%20d'ensemble%20-%20Fusion%201%2B2%2B3.jpg; https://pub-843c46afc4cb41489909bce00c9b143d.r2.dev/22.2%20-%20Ville-d'Avray/4.jpg; https://pub-843c46afc4cb41489909bce00c9b143d.r2.dev/22.2%20-%20Ville-d'Avray/5%20Plan.jpg</t>
  </si>
  <si>
    <t>https://pub-843c46afc4cb41489909bce00c9b143d.r2.dev/22.1%20-%20Ville-d'Avray/1%20Vu%20d'ensemble.jpg; https://pub-843c46afc4cb41489909bce00c9b143d.r2.dev/22.1%20-%20Ville-d'Avray/2%20Plan%20d'ensemble.jpg; https://pub-843c46afc4cb41489909bce00c9b143d.r2.dev/22.1%20-%20Ville-d'Avray/3%20Plan%20d'ensemble%20-%20Fusion%201%2B2%2B3.jpg; https://pub-843c46afc4cb41489909bce00c9b143d.r2.dev/22.3%20-%20Ville-d'Avray/4.jpg; https://pub-843c46afc4cb41489909bce00c9b143d.r2.dev/22.3%20-%20Ville-d'Avray/5%20Plan.jpg</t>
  </si>
  <si>
    <t>https://pub-843c46afc4cb41489909bce00c9b143d.r2.dev/22.1%20-%20Ville-d'Avray/1%20Vu%20d'ensemble.jpg; https://pub-843c46afc4cb41489909bce00c9b143d.r2.dev/22.1%20-%20Ville-d'Avray/2%20Plan%20d'ensemble.jpg; https://pub-843c46afc4cb41489909bce00c9b143d.r2.dev/22.4%20-%20Ville-d'Avray/3%20Plan%20d'ensemble%20-%20Fusion%204%2B5.jpg; https://pub-843c46afc4cb41489909bce00c9b143d.r2.dev/22.4%20-%20Ville-d'Avray/4%20Plan%20d'ensemble%20-%20Fusion%204%2B5%2B10.jpg; https://pub-843c46afc4cb41489909bce00c9b143d.r2.dev/22.4%20-%20Ville-d'Avray/5%20Plan%20d'ensemble%20-%20Fusion%204%2B5%2B10%2B6.jpg; https://pub-843c46afc4cb41489909bce00c9b143d.r2.dev/22.4%20-%20Ville-d'Avray/6.jpg; https://pub-843c46afc4cb41489909bce00c9b143d.r2.dev/22.4%20-%20Ville-d'Avray/7%20Plan.jpg</t>
  </si>
  <si>
    <t>https://pub-843c46afc4cb41489909bce00c9b143d.r2.dev/22.1%20-%20Ville-d'Avray/1%20Vu%20d'ensemble.jpg; https://pub-843c46afc4cb41489909bce00c9b143d.r2.dev/22.1%20-%20Ville-d'Avray/2%20Plan%20d'ensemble.jpg; https://pub-843c46afc4cb41489909bce00c9b143d.r2.dev/22.4%20-%20Ville-d'Avray/3%20Plan%20d'ensemble%20-%20Fusion%204%2B5.jpg; https://pub-843c46afc4cb41489909bce00c9b143d.r2.dev/22.4%20-%20Ville-d'Avray/4%20Plan%20d'ensemble%20-%20Fusion%204%2B5%2B10.jpg; https://pub-843c46afc4cb41489909bce00c9b143d.r2.dev/22.4%20-%20Ville-d'Avray/5%20Plan%20d'ensemble%20-%20Fusion%204%2B5%2B10%2B6.jpg; https://pub-843c46afc4cb41489909bce00c9b143d.r2.dev/22.5%20-%20Ville-d'Avray/6.jpg; https://pub-843c46afc4cb41489909bce00c9b143d.r2.dev/22.5%20-%20Ville-d'Avray/7%20Plan.jpg</t>
  </si>
  <si>
    <t>https://pub-843c46afc4cb41489909bce00c9b143d.r2.dev/22.1%20-%20Ville-d'Avray/1%20Vu%20d'ensemble.jpg; https://pub-843c46afc4cb41489909bce00c9b143d.r2.dev/22.1%20-%20Ville-d'Avray/2%20Plan%20d'ensemble.jpg; https://pub-843c46afc4cb41489909bce00c9b143d.r2.dev/22.4%20-%20Ville-d'Avray/3%20Plan%20d'ensemble%20-%20Fusion%204%2B5.jpg; https://pub-843c46afc4cb41489909bce00c9b143d.r2.dev/22.4%20-%20Ville-d'Avray/4%20Plan%20d'ensemble%20-%20Fusion%204%2B5%2B10.jpg; https://pub-843c46afc4cb41489909bce00c9b143d.r2.dev/22.4%20-%20Ville-d'Avray/5%20Plan%20d'ensemble%20-%20Fusion%204%2B5%2B10%2B6.jpg; https://pub-843c46afc4cb41489909bce00c9b143d.r2.dev/22.6%20-%20Ville-d'Avray/6.jpg; https://pub-843c46afc4cb41489909bce00c9b143d.r2.dev/22.6%20-%20Ville-d'Avray/7%20Plan.jpg</t>
  </si>
  <si>
    <t>https://pub-843c46afc4cb41489909bce00c9b143d.r2.dev/22.1%20-%20Ville-d'Avray/1%20Vu%20d'ensemble.jpg; https://pub-843c46afc4cb41489909bce00c9b143d.r2.dev/22.1%20-%20Ville-d'Avray/2%20Plan%20d'ensemble.jpg; https://pub-843c46afc4cb41489909bce00c9b143d.r2.dev/22.4%20-%20Ville-d'Avray/3%20Plan%20d'ensemble%20-%20Fusion%204%2B5.jpg; https://pub-843c46afc4cb41489909bce00c9b143d.r2.dev/22.4%20-%20Ville-d'Avray/4%20Plan%20d'ensemble%20-%20Fusion%204%2B5%2B10.jpg; https://pub-843c46afc4cb41489909bce00c9b143d.r2.dev/22.4%20-%20Ville-d'Avray/5%20Plan%20d'ensemble%20-%20Fusion%204%2B5%2B10%2B6.jpg; https://pub-843c46afc4cb41489909bce00c9b143d.r2.dev/22.7%20-%20Ville-d'Avray/6.jpghttps://pub-843c46afc4cb41489909bce00c9b143d.r2.dev/22.7%20-%20Ville-d'Avray/7%20Plan.jpg</t>
  </si>
  <si>
    <t>https://pub-843c46afc4cb41489909bce00c9b143d.r2.dev/22.1%20-%20Ville-d'Avray/1%20Vu%20d'ensemble.jpg; https://pub-843c46afc4cb41489909bce00c9b143d.r2.dev/22.1%20-%20Ville-d'Avray/2%20Plan%20d'ensemble.jpg; https://pub-843c46afc4cb41489909bce00c9b143d.r2.dev/22.4%20-%20Ville-d'Avray/3%20Plan%20d'ensemble%20-%20Fusion%204%2B5.jpg; https://pub-843c46afc4cb41489909bce00c9b143d.r2.dev/22.4%20-%20Ville-d'Avray/4%20Plan%20d'ensemble%20-%20Fusion%204%2B5%2B10.jpg; https://pub-843c46afc4cb41489909bce00c9b143d.r2.dev/22.4%20-%20Ville-d'Avray/5%20Plan%20d'ensemble%20-%20Fusion%204%2B5%2B10%2B6.jpg; https://pub-843c46afc4cb41489909bce00c9b143d.r2.dev/22.8%20-%20Ville-d'Avray/6.jpg</t>
  </si>
  <si>
    <t>https://pub-843c46afc4cb41489909bce00c9b143d.r2.dev/23.1%20-%20Pontoise/1%20Vue%20d'ensemble.jpg; https://pub-843c46afc4cb41489909bce00c9b143d.r2.dev/23.1%20-%20Pontoise/2.jpg; https://pub-843c46afc4cb41489909bce00c9b143d.r2.dev/23.1%20-%20Pontoise/3.jpg; https://pub-843c46afc4cb41489909bce00c9b143d.r2.dev/23.1%20-%20Pontoise/4%20Plan.jpg</t>
  </si>
  <si>
    <t>https://pub-843c46afc4cb41489909bce00c9b143d.r2.dev/23.1%20-%20Pontoise/1%20Vue%20d'ensemble.jpg; https://pub-843c46afc4cb41489909bce00c9b143d.r2.dev/23.2%20-%20Pontoise/2.jpg; https://pub-843c46afc4cb41489909bce00c9b143d.r2.dev/23.2%20-%20Pontoise/3.jpg; https://pub-843c46afc4cb41489909bce00c9b143d.r2.dev/23.2%20-%20Pontoise/4%20Plan.jpg</t>
  </si>
  <si>
    <t>https://pub-843c46afc4cb41489909bce00c9b143d.r2.dev/23.1%20-%20Pontoise/1%20Vue%20d'ensemble.jpg; https://pub-843c46afc4cb41489909bce00c9b143d.r2.dev/23.3%20-%20Pontoise/2.jpg; https://pub-843c46afc4cb41489909bce00c9b143d.r2.dev/23.3%20-%20Pontoise/3%20Plan.jpg</t>
  </si>
  <si>
    <t>https://pub-843c46afc4cb41489909bce00c9b143d.r2.dev/23.1%20-%20Pontoise/1%20Vue%20d'ensemble.jpg; https://pub-843c46afc4cb41489909bce00c9b143d.r2.dev/23.4%20-%20Pontoise/2.jpg; https://pub-843c46afc4cb41489909bce00c9b143d.r2.dev/23.4%20-%20Pontoise/3.jpg; https://pub-843c46afc4cb41489909bce00c9b143d.r2.dev/23.4%20-%20Pontoise/4.jpg; https://pub-843c46afc4cb41489909bce00c9b143d.r2.dev/23.4%20-%20Pontoise/5%20Plan.jpg</t>
  </si>
  <si>
    <t>https://pub-843c46afc4cb41489909bce00c9b143d.r2.dev/23.1%20-%20Pontoise/1%20Vue%20d'ensemble.jpg; https://pub-843c46afc4cb41489909bce00c9b143d.r2.dev/23.5%20-%20Pontoise/2.jpg; https://pub-843c46afc4cb41489909bce00c9b143d.r2.dev/23.5%20-%20Pontoise/3.jpg; https://pub-843c46afc4cb41489909bce00c9b143d.r2.dev/23.5%20-%20Pontoise/4.jpg; https://pub-843c46afc4cb41489909bce00c9b143d.r2.dev/23.5%20-%20Pontoise/5%20Plan.jpg</t>
  </si>
  <si>
    <t>https://pub-843c46afc4cb41489909bce00c9b143d.r2.dev/24.1%20-%20P%C3%A9rols/1.jpg; https://pub-843c46afc4cb41489909bce00c9b143d.r2.dev/24.1%20-%20P%C3%A9rols/2.jpg; https://pub-843c46afc4cb41489909bce00c9b143d.r2.dev/24.1%20-%20P%C3%A9rols/3.jpg; https://pub-843c46afc4cb41489909bce00c9b143d.r2.dev/24.1%20-%20P%C3%A9rols/4.jpg; https://pub-843c46afc4cb41489909bce00c9b143d.r2.dev/24.1%20-%20P%C3%A9rols/5%20Plan%20de%20commercialisation.jpg</t>
  </si>
  <si>
    <t>48.764732</t>
  </si>
  <si>
    <t>2.287726</t>
  </si>
  <si>
    <t>48.763380</t>
  </si>
  <si>
    <t>2.288689</t>
  </si>
  <si>
    <t>48.763102</t>
  </si>
  <si>
    <t>2.288906</t>
  </si>
  <si>
    <t>48.762966</t>
  </si>
  <si>
    <t>2.289037</t>
  </si>
  <si>
    <t>48.762637</t>
  </si>
  <si>
    <t>2.289306</t>
  </si>
  <si>
    <t>48.762503</t>
  </si>
  <si>
    <t>2.289424</t>
  </si>
  <si>
    <t>48.762446</t>
  </si>
  <si>
    <t>2.289491</t>
  </si>
  <si>
    <t>48.762275</t>
  </si>
  <si>
    <t>2.289619</t>
  </si>
  <si>
    <t>48.763811</t>
  </si>
  <si>
    <t>2.289622</t>
  </si>
  <si>
    <t>48.763848</t>
  </si>
  <si>
    <t>2.289904</t>
  </si>
  <si>
    <t>48.763871</t>
  </si>
  <si>
    <t>2.290067</t>
  </si>
  <si>
    <t>48.763898</t>
  </si>
  <si>
    <t>2.290236</t>
  </si>
  <si>
    <t>48.762632</t>
  </si>
  <si>
    <t>2.288876</t>
  </si>
  <si>
    <t>48.762872</t>
  </si>
  <si>
    <t>2.287981</t>
  </si>
  <si>
    <t>48.762731</t>
  </si>
  <si>
    <t>2.288117</t>
  </si>
  <si>
    <t>48.762201</t>
  </si>
  <si>
    <t>2.289236</t>
  </si>
  <si>
    <t>48.761981</t>
  </si>
  <si>
    <t>2.289442</t>
  </si>
  <si>
    <t>48.761762</t>
  </si>
  <si>
    <t>2.289501</t>
  </si>
  <si>
    <t>48.761767</t>
  </si>
  <si>
    <t>2.289147</t>
  </si>
  <si>
    <t>G2 - A</t>
  </si>
  <si>
    <t>G2 - B</t>
  </si>
  <si>
    <t>G4</t>
  </si>
  <si>
    <t>G7</t>
  </si>
  <si>
    <t>48.764103</t>
  </si>
  <si>
    <t>2.288061</t>
  </si>
  <si>
    <t>48.764022</t>
  </si>
  <si>
    <t>2.288136</t>
  </si>
  <si>
    <t>48.763691</t>
  </si>
  <si>
    <t>2.288439</t>
  </si>
  <si>
    <t>48.763755</t>
  </si>
  <si>
    <t>2.289204</t>
  </si>
  <si>
    <t>Basic Fit, Gifi, Lidl, Carrefour Market, Optical Center, Emjo, Perene, restaurants, coiffeur, centre de santé</t>
  </si>
  <si>
    <t>https://maps.app.goo.gl/2ebht3ajwGmy4Qai6</t>
  </si>
  <si>
    <t>https://maps.app.goo.gl/raUgf8ugtMCj225m9</t>
  </si>
  <si>
    <t>https://maps.app.goo.gl/B5ESPn9FHHSgMeq69</t>
  </si>
  <si>
    <t>https://maps.app.goo.gl/RPqrEKJTBqHmUoWo7</t>
  </si>
  <si>
    <t>https://maps.app.goo.gl/AUmyb5nmLTZPwTV36</t>
  </si>
  <si>
    <t>https://maps.app.goo.gl/UFPwUo755xa7tVqYA</t>
  </si>
  <si>
    <t>https://maps.app.goo.gl/Uu7o9RHGMfsXKgKS9</t>
  </si>
  <si>
    <t>https://maps.app.goo.gl/sQqVfKSNDubT4wGy5</t>
  </si>
  <si>
    <t>https://maps.app.goo.gl/BRbRB8BHCUqZw3tw6</t>
  </si>
  <si>
    <t>https://maps.app.goo.gl/Wgcg9ZVPkw8KPksN8</t>
  </si>
  <si>
    <t>https://maps.app.goo.gl/icDCmPg1Rg6epARE7</t>
  </si>
  <si>
    <t>https://maps.app.goo.gl/EgHpuCgxC6TJd3Eq5</t>
  </si>
  <si>
    <t>https://maps.app.goo.gl/GAP3zTYsHWpG2CNx6</t>
  </si>
  <si>
    <t>https://maps.app.goo.gl/nWNgBe5rerG3NUQU9</t>
  </si>
  <si>
    <t>https://maps.app.goo.gl/3q4ueN36XbyF5HTRA</t>
  </si>
  <si>
    <t>https://maps.app.goo.gl/sYCyeBo7oshd6xP9A</t>
  </si>
  <si>
    <t>https://maps.app.goo.gl/zhHoKNc1L5kuLZKz7</t>
  </si>
  <si>
    <t>https://maps.app.goo.gl/nkEGTbhEvRAfemWj9</t>
  </si>
  <si>
    <t>https://maps.app.goo.gl/X5qXY3FumwgCAPSZ9</t>
  </si>
  <si>
    <t>https://maps.app.goo.gl/GmdN2AVwT3ygeUeg8</t>
  </si>
  <si>
    <t>https://maps.app.goo.gl/GbjLcfXKvoPHqUjX6</t>
  </si>
  <si>
    <t>Sélestat</t>
  </si>
  <si>
    <t>https://maps.app.goo.gl/7cJ6w9VTriZkhuhU7</t>
  </si>
  <si>
    <t>3 - 4</t>
  </si>
  <si>
    <t>Taxe foncière comprise. Petite galerie de service située en cœur de ville</t>
  </si>
  <si>
    <t>48.264225</t>
  </si>
  <si>
    <t>7.440311</t>
  </si>
  <si>
    <t>Leclerc</t>
  </si>
  <si>
    <t>Supermarché Leclerc 30 M€, Poulaillon, fleuriste, pharmacie, coordonerie, photomaton</t>
  </si>
  <si>
    <t>https://pub-843c46afc4cb41489909bce00c9b143d.r2.dev/25%20-%20S%C3%A9lestat%20Ouest/1.jpg; https://pub-843c46afc4cb41489909bce00c9b143d.r2.dev/25%20-%20S%C3%A9lestat%20Ouest/2.jpg; https://pub-843c46afc4cb41489909bce00c9b143d.r2.dev/25%20-%20S%C3%A9lestat%20Ouest/3%20Plan%20de%20masse.jpg; https://pub-843c46afc4cb41489909bce00c9b143d.r2.dev/25%20-%20S%C3%A9lestat%20Ouest/4%20Plan%20d'am%C3%A9nagement%20Projet%C3%A9.jpg</t>
  </si>
  <si>
    <t>Huningue</t>
  </si>
  <si>
    <t>Loches</t>
  </si>
  <si>
    <t>Bollène</t>
  </si>
  <si>
    <t>https://maps.app.goo.gl/2fpHWxNDsVVkt78Y6</t>
  </si>
  <si>
    <t>Supermarché Leclerc Ouest Heyden, All. de la Lohmuhle</t>
  </si>
  <si>
    <t>Hypermarché Leclerc Bollène, 1 Route de Saint-Paul-trois-Châteaux</t>
  </si>
  <si>
    <t>Hyper Leclerc 100 M€, Nocibé, Histoire d'Or, Afflelou, Marionnaud, mode, chaussures, coiffure, pressing</t>
  </si>
  <si>
    <t>Très bon environnement commercial autour de l'hyper. Siègte de la central Leclerc avec 5 000 salariés</t>
  </si>
  <si>
    <t>44.321106</t>
  </si>
  <si>
    <t>4.744133</t>
  </si>
  <si>
    <t>80 €/m² = 90 000 €</t>
  </si>
  <si>
    <t>https://pub-843c46afc4cb41489909bce00c9b143d.r2.dev/26%20-%20Leclerc%20Boll%C3%A8ne/1.jpg; https://pub-843c46afc4cb41489909bce00c9b143d.r2.dev/26%20-%20Leclerc%20Boll%C3%A8ne/2.jpg; https://pub-843c46afc4cb41489909bce00c9b143d.r2.dev/26%20-%20Leclerc%20Boll%C3%A8ne/3.jpg; https://pub-843c46afc4cb41489909bce00c9b143d.r2.dev/26%20-%20Leclerc%20Boll%C3%A8ne/4.jpg; https://pub-843c46afc4cb41489909bce00c9b143d.r2.dev/26%20-%20Leclerc%20Boll%C3%A8ne/5.jpg; https://pub-843c46afc4cb41489909bce00c9b143d.r2.dev/26%20-%20Leclerc%20Boll%C3%A8ne/6.jpg; https://pub-843c46afc4cb41489909bce00c9b143d.r2.dev/26%20-%20Leclerc%20Boll%C3%A8ne/7.jpg; https://pub-843c46afc4cb41489909bce00c9b143d.r2.dev/26%20-%20Leclerc%20Boll%C3%A8ne/8.jpg; https://pub-843c46afc4cb41489909bce00c9b143d.r2.dev/26%20-%20Leclerc%20Boll%C3%A8ne/9%20Interieur%202025%20_RDC.jpg; https://pub-843c46afc4cb41489909bce00c9b143d.r2.dev/26%20-%20Leclerc%20Boll%C3%A8ne/10%20Interieur%202025%20_ETAGE.jpg; https://pub-843c46afc4cb41489909bce00c9b143d.r2.dev/26%20-%20Leclerc%20Boll%C3%A8ne/11%20Plan%20Caf%C3%A9t%C3%A9ria.jpg</t>
  </si>
  <si>
    <t>https://maps.app.goo.gl/ZFPNAHuwNEArGrKa6</t>
  </si>
  <si>
    <t>5003</t>
  </si>
  <si>
    <t>30 Cours de l'Île Seguin</t>
  </si>
  <si>
    <t>48.827624</t>
  </si>
  <si>
    <t>2.234114</t>
  </si>
  <si>
    <t>61 rue de Bagnolet</t>
  </si>
  <si>
    <t>https://maps.app.goo.gl/eane6JKXW5qxAH5H7</t>
  </si>
  <si>
    <t>Fitness Park, Intermarché, restaurants, opticiens</t>
  </si>
  <si>
    <t>48.857483</t>
  </si>
  <si>
    <t>2.398809</t>
  </si>
  <si>
    <t>https://pub-843c46afc4cb41489909bce00c9b143d.r2.dev/27%20-%20Boulogne-Billancourt/1%20Vue%20d'ensemble.jpg; https://pub-843c46afc4cb41489909bce00c9b143d.r2.dev/27%20-%20Boulogne-Billancourt/2.jpg; https://pub-843c46afc4cb41489909bce00c9b143d.r2.dev/27%20-%20Boulogne-Billancourt/3.jpg; https://pub-843c46afc4cb41489909bce00c9b143d.r2.dev/27%20-%20Boulogne-Billancourt/4.jpg</t>
  </si>
  <si>
    <t>https://pub-843c46afc4cb41489909bce00c9b143d.r2.dev/28%20-%20Bagnolet/1.jpg; https://pub-843c46afc4cb41489909bce00c9b143d.r2.dev/28%20-%20Bagnolet/2.jpg; https://pub-843c46afc4cb41489909bce00c9b143d.r2.dev/28%20-%20Bagnolet/3.jpg</t>
  </si>
  <si>
    <t>Ancienne librairie avec un très bon linéaire. Pied d'immeuble dans un quartier résidentiel de Paris</t>
  </si>
  <si>
    <t>Villetaneuse</t>
  </si>
  <si>
    <t>8 Route de Saint-Leu</t>
  </si>
  <si>
    <t>https://maps.app.goo.gl/8iiLWsQkZab33zJR9</t>
  </si>
  <si>
    <t>4 - 5</t>
  </si>
  <si>
    <t>17 - 17B - 18 B</t>
  </si>
  <si>
    <t>24 - 25</t>
  </si>
  <si>
    <t>30 - 31</t>
  </si>
  <si>
    <t>54 - 55</t>
  </si>
  <si>
    <t>29.1</t>
  </si>
  <si>
    <t>29.2</t>
  </si>
  <si>
    <t>29.3</t>
  </si>
  <si>
    <t>29.4</t>
  </si>
  <si>
    <t>29.5</t>
  </si>
  <si>
    <t>29.6</t>
  </si>
  <si>
    <t>29.7</t>
  </si>
  <si>
    <t>29.8</t>
  </si>
  <si>
    <t>29.9</t>
  </si>
  <si>
    <t>29.10</t>
  </si>
  <si>
    <t>29.11</t>
  </si>
  <si>
    <t>29.12</t>
  </si>
  <si>
    <t>29.13</t>
  </si>
  <si>
    <t>29.14</t>
  </si>
  <si>
    <t>29.15</t>
  </si>
  <si>
    <t>29.16</t>
  </si>
  <si>
    <t>29.17</t>
  </si>
  <si>
    <t>Lidl, B&amp;M, Basic Fit, Electro Depot, Smyths Toys, Ange, Afflelou, décoration, mode</t>
  </si>
  <si>
    <t>Entre 220 et 330 €/m²</t>
  </si>
  <si>
    <t>La Fontaine</t>
  </si>
  <si>
    <t>48.949996</t>
  </si>
  <si>
    <t>2.343543</t>
  </si>
  <si>
    <t>48.949672</t>
  </si>
  <si>
    <t>2.343602</t>
  </si>
  <si>
    <t>48.949617</t>
  </si>
  <si>
    <t>2.343669</t>
  </si>
  <si>
    <t>48.949108</t>
  </si>
  <si>
    <t>2.344173</t>
  </si>
  <si>
    <t>48.949404</t>
  </si>
  <si>
    <t>2.344932</t>
  </si>
  <si>
    <t>48.949691</t>
  </si>
  <si>
    <t>2.344355</t>
  </si>
  <si>
    <t>48.949653</t>
  </si>
  <si>
    <t>2.344422</t>
  </si>
  <si>
    <t>48.949602</t>
  </si>
  <si>
    <t>2.344497</t>
  </si>
  <si>
    <t>48.949536</t>
  </si>
  <si>
    <t>2.344578</t>
  </si>
  <si>
    <t>48.949892</t>
  </si>
  <si>
    <t>2.344261</t>
  </si>
  <si>
    <t>48.949966</t>
  </si>
  <si>
    <t>2.344184</t>
  </si>
  <si>
    <t>48.950047</t>
  </si>
  <si>
    <t>2.344079</t>
  </si>
  <si>
    <t>48.949908</t>
  </si>
  <si>
    <t>2.343851</t>
  </si>
  <si>
    <t>48.949841</t>
  </si>
  <si>
    <t>2.343765</t>
  </si>
  <si>
    <t>48.949675</t>
  </si>
  <si>
    <t>2.343835</t>
  </si>
  <si>
    <t>48.949598</t>
  </si>
  <si>
    <t>2.343940</t>
  </si>
  <si>
    <t>48.949323</t>
  </si>
  <si>
    <t>2.344484</t>
  </si>
  <si>
    <t>Charges Taxes comprises. Centre commercial dans un quartier résidentiel avec Action, Brico Dépôt, KFC.</t>
  </si>
  <si>
    <t>Charges Taxes comprises. Local avec extraction et double entrée. Centre commercial dans un quartier résidentiel avec Action, Brico Dépôt, KFC.</t>
  </si>
  <si>
    <t>L'Isle-Adam</t>
  </si>
  <si>
    <t>Centre Commercial le Grand Val, Boulevard de Tilsit</t>
  </si>
  <si>
    <t>https://maps.app.goo.gl/brvAXB8JH7CUWKEZ8</t>
  </si>
  <si>
    <t>Hyper Carrefour, Sephora, Nocibé, Chevignon, Histoire d'Or, Yves Rocher, Armand Thierry, Micromania</t>
  </si>
  <si>
    <t>Entre 350 et 600 €/m²</t>
  </si>
  <si>
    <t>Charges taxes comprises. Zone commercial en périphérie d'une très belle zone du Vexin avec Décathlon, La Grande Récré, Kiabi, Naturalia, Mc Donald's.</t>
  </si>
  <si>
    <t>Mours</t>
  </si>
  <si>
    <t>Parc d’activités Col’Vert Rue du Kiosque</t>
  </si>
  <si>
    <t>31.1</t>
  </si>
  <si>
    <t>31.2</t>
  </si>
  <si>
    <t>31.3</t>
  </si>
  <si>
    <t>31.4</t>
  </si>
  <si>
    <t>31.5</t>
  </si>
  <si>
    <t>https://maps.app.goo.gl/vpxnjtFKHndYSbgW9</t>
  </si>
  <si>
    <t>Urba City, Mondovélo, Les Foulées, La Grande Récrée, Cultura, Terra Kids, Basic Fit</t>
  </si>
  <si>
    <t>Nouvelle commercialisation dans une zone très qualitative et commerciale (Darty, Décathlon, Naturalia, McDonald's). Projet modulable, car bâtiment à construire. Possibilité d'acheter le terrain.</t>
  </si>
  <si>
    <t>49.128119</t>
  </si>
  <si>
    <t>2.247133</t>
  </si>
  <si>
    <t>49.128018</t>
  </si>
  <si>
    <t>2.247074</t>
  </si>
  <si>
    <t>49.127912</t>
  </si>
  <si>
    <t>2.247010</t>
  </si>
  <si>
    <t>49.127810</t>
  </si>
  <si>
    <t>2.246935</t>
  </si>
  <si>
    <t>49.126782</t>
  </si>
  <si>
    <t>2.251495</t>
  </si>
  <si>
    <t>32.1</t>
  </si>
  <si>
    <t>32.2</t>
  </si>
  <si>
    <t>https://maps.app.goo.gl/EzBX5XpF18D7UW9o7</t>
  </si>
  <si>
    <t>15 Boulevard Léon Bureau</t>
  </si>
  <si>
    <t>Nantes</t>
  </si>
  <si>
    <t>375 €/m² = 106 875 €</t>
  </si>
  <si>
    <t>310 €/m² = 69 440 €</t>
  </si>
  <si>
    <t>47.206248</t>
  </si>
  <si>
    <t>-1.563567</t>
  </si>
  <si>
    <t>47.206310</t>
  </si>
  <si>
    <t>-1.563098</t>
  </si>
  <si>
    <t>Restaurants, commerce de proximité</t>
  </si>
  <si>
    <t>https://pub-843c46afc4cb41489909bce00c9b143d.r2.dev/32.1%20-%20Nantes/1%20Vue%20d'ensemble.jpg; https://pub-843c46afc4cb41489909bce00c9b143d.r2.dev/32.2%20-%20Nantes/2.jpg</t>
  </si>
  <si>
    <t>Avant Cap</t>
  </si>
  <si>
    <t>Lipkin</t>
  </si>
  <si>
    <t>https://pub-843c46afc4cb41489909bce00c9b143d.r2.dev/32.1%20-%20Nantes/1%20Vue%20d'ensemble.jpg; https://pub-843c46afc4cb41489909bce00c9b143d.r2.dev/32.1%20-%20Nantes/2.jpg; https://pub-843c46afc4cb41489909bce00c9b143d.r2.dev/32.1%20-%20Nantes/3.jpg</t>
  </si>
  <si>
    <t>https://pub-843c46afc4cb41489909bce00c9b143d.r2.dev/31.1%20-%20Mours/1%20Vue%20d'ensemble.jpg; https://pub-843c46afc4cb41489909bce00c9b143d.r2.dev/31.1%20-%20Mours/2%20Plan%20de%20masse.jpg; https://pub-843c46afc4cb41489909bce00c9b143d.r2.dev/31.1%20-%20Mours/3.jpg; https://pub-843c46afc4cb41489909bce00c9b143d.r2.dev/31.1%20-%20Mours/4.jpg</t>
  </si>
  <si>
    <t>https://pub-843c46afc4cb41489909bce00c9b143d.r2.dev/31.1%20-%20Mours/1%20Vue%20d'ensemble.jpg; https://pub-843c46afc4cb41489909bce00c9b143d.r2.dev/31.1%20-%20Mours/2%20Plan%20de%20masse.jpg; https://pub-843c46afc4cb41489909bce00c9b143d.r2.dev/31.1%20-%20Mours/3.jpg; https://pub-843c46afc4cb41489909bce00c9b143d.r2.dev/31.5%20-%20Mours/4.jpg</t>
  </si>
  <si>
    <t>5 avenue d'Alsace</t>
  </si>
  <si>
    <t>C1</t>
  </si>
  <si>
    <t>https://maps.app.goo.gl/Li1LEavQXMdoEcnp6</t>
  </si>
  <si>
    <t>47.596972</t>
  </si>
  <si>
    <t>7.583361</t>
  </si>
  <si>
    <t>https://maps.app.goo.gl/x6dcSwrDVoZjnYt46</t>
  </si>
  <si>
    <t>Super U 38 Route de Vauzelles, Rue du Bon Raisin</t>
  </si>
  <si>
    <t>Coiffeur, Restaurant, Atol, services</t>
  </si>
  <si>
    <t>47.134859</t>
  </si>
  <si>
    <t>0.981750</t>
  </si>
  <si>
    <t>Super U Loches</t>
  </si>
  <si>
    <t>Leclerc Saint-Louis</t>
  </si>
  <si>
    <t>300 €/m² = 21 900 €</t>
  </si>
  <si>
    <t>Dans un retail Park avec drive Leclerc, à la frontière avec l'Allemagne et la Suisse</t>
  </si>
  <si>
    <t>https://pub-843c46afc4cb41489909bce00c9b143d.r2.dev/33%20-%20Huningue/1.jpg; https://pub-843c46afc4cb41489909bce00c9b143d.r2.dev/33%20-%20Huningue/2.jpg; https://pub-843c46afc4cb41489909bce00c9b143d.r2.dev/33%20-%20Huningue/3.png</t>
  </si>
  <si>
    <t>https://maps.app.goo.gl/K9R5sQxCB3Rf4pa6A</t>
  </si>
  <si>
    <t>Extension de 7 000 m² d'un retail Park commercialisé à 100 % autour d'un supermarché U de 50 M€ hors essence Intersport, Bricomarché, V&amp;B, Maxizoo, Chaussea, Optical Centre, etc.</t>
  </si>
  <si>
    <t>35.1</t>
  </si>
  <si>
    <t>135 €/m²</t>
  </si>
  <si>
    <t>Projet à définir</t>
  </si>
  <si>
    <t>35.2</t>
  </si>
  <si>
    <t>35.3</t>
  </si>
  <si>
    <t>35.4</t>
  </si>
  <si>
    <t>35.5</t>
  </si>
  <si>
    <t>47.134100</t>
  </si>
  <si>
    <t>0.980457</t>
  </si>
  <si>
    <t>47.134252</t>
  </si>
  <si>
    <t>0.980154</t>
  </si>
  <si>
    <t>47.134410</t>
  </si>
  <si>
    <t>0.979889</t>
  </si>
  <si>
    <t>47.134735</t>
  </si>
  <si>
    <t>0.979787</t>
  </si>
  <si>
    <t>47.134934</t>
  </si>
  <si>
    <t>0.980034</t>
  </si>
  <si>
    <t>https://pub-843c46afc4cb41489909bce00c9b143d.r2.dev/35.1%20Loches/1.jpg; https://pub-843c46afc4cb41489909bce00c9b143d.r2.dev/35.1%20Loches/2%20Aper%C3%A7u%20Projet%20Retail%20Park%20Loches.jpg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</si>
  <si>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</si>
  <si>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https://pub-843c46afc4cb41489909bce00c9b143d.r2.dev/21.2%20-%20Ch%C3%A2tenay-Malabry/4.jpg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</si>
  <si>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https://pub-843c46afc4cb41489909bce00c9b143d.r2.dev/21.3%20-%20Ch%C3%A2tenay-Malabry/4.jpg; https://pub-843c46afc4cb41489909bce00c9b143d.r2.dev/21.3%20-%20Ch%C3%A2tenay-Malabry/5.jpg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</si>
  <si>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https://pub-843c46afc4cb41489909bce00c9b143d.r2.dev/21.4%20-%20Ch%C3%A2tenay-Malabry/4.jpg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</si>
  <si>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https://pub-843c46afc4cb41489909bce00c9b143d.r2.dev/21.5%20-%20Ch%C3%A2tenay-Malabry/4.jpg; https://pub-843c46afc4cb41489909bce00c9b143d.r2.dev/21.5%20-%20Ch%C3%A2tenay-Malabry/5.jpg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</si>
  <si>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https://pub-843c46afc4cb41489909bce00c9b143d.r2.dev/21.6%20-%20Ch%C3%A2tenay-Malabry/4.jpg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</si>
  <si>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https://pub-843c46afc4cb41489909bce00c9b143d.r2.dev/21.7%20-%20Ch%C3%A2tenay-Malabry/4.jpg; https://pub-843c46afc4cb41489909bce00c9b143d.r2.dev/21.7%20-%20Ch%C3%A2tenay-Malabry/5.jpg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</si>
  <si>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https://pub-843c46afc4cb41489909bce00c9b143d.r2.dev/21.8%20-%20Ch%C3%A2tenay-Malabry/4.jpg; https://pub-843c46afc4cb41489909bce00c9b143d.r2.dev/21.8%20-%20Ch%C3%A2tenay-Malabry/5.jpg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</si>
  <si>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https://pub-843c46afc4cb41489909bce00c9b143d.r2.dev/21.9%20-%20Ch%C3%A2tenay-Malabry/4.jpg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</si>
  <si>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https://pub-843c46afc4cb41489909bce00c9b143d.r2.dev/21.10%20-%20Ch%C3%A2tenay-Malabry/4.jpg; https://pub-843c46afc4cb41489909bce00c9b143d.r2.dev/21.10%20-%20Ch%C3%A2tenay-Malabry/5.jpg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</si>
  <si>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https://pub-843c46afc4cb41489909bce00c9b143d.r2.dev/21.11%20-%20Ch%C3%A2tenay-Malabry/4.jpg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</si>
  <si>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https://pub-843c46afc4cb41489909bce00c9b143d.r2.dev/21.12%20-%20Ch%C3%A2tenay-Malabry/4.jpg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</si>
  <si>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https://pub-843c46afc4cb41489909bce00c9b143d.r2.dev/21.13%20-%20Ch%C3%A2tenay-Malabry/4.jpg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</si>
  <si>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https://pub-843c46afc4cb41489909bce00c9b143d.r2.dev/21.14%20-%20Ch%C3%A2tenay-Malabry/4.jpg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</si>
  <si>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https://pub-843c46afc4cb41489909bce00c9b143d.r2.dev/21.15%20-%20Ch%C3%A2tenay-Malabry/4.jpg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</si>
  <si>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https://pub-843c46afc4cb41489909bce00c9b143d.r2.dev/21.16%20-%20Ch%C3%A2tenay-Malabry/4.jpg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</si>
  <si>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https://pub-843c46afc4cb41489909bce00c9b143d.r2.dev/21.17%20-%20Ch%C3%A2tenay-Malabry/4.jpg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</si>
  <si>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https://pub-843c46afc4cb41489909bce00c9b143d.r2.dev/21.18%20-%20Ch%C3%A2tenay-Malabry/4.jpg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</si>
  <si>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https://pub-843c46afc4cb41489909bce00c9b143d.r2.dev/21.19%20-%20Ch%C3%A2tenay-Malabry/4.jpg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</si>
  <si>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https://pub-843c46afc4cb41489909bce00c9b143d.r2.dev/21.20%20-%20Ch%C3%A2tenay-Malabry/4.jpg; https://pub-843c46afc4cb41489909bce00c9b143d.r2.dev/21.20%20-%20Ch%C3%A2tenay-Malabry/5.jpg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</si>
  <si>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https://pub-843c46afc4cb41489909bce00c9b143d.r2.dev/21.21%20-%20Ch%C3%A2tenay-Malabry/4.jpg; https://pub-843c46afc4cb41489909bce00c9b143d.r2.dev/21.21%20-%20Ch%C3%A2tenay-Malabry/5.jpg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</si>
  <si>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https://pub-843c46afc4cb41489909bce00c9b143d.r2.dev/21.22%20-%20Ch%C3%A2tenay-Malabry/4.jpg</t>
  </si>
  <si>
    <t>https://pub-843c46afc4cb41489909bce00c9b143d.r2.dev/21.1%20-%20Ch%C3%A2tenay-Malabry/1%20Vue%20d'ensemble.jpg; https://pub-843c46afc4cb41489909bce00c9b143d.r2.dev/21.1%20-%20Ch%C3%A2tenay-Malabry/2.jpg; https://pub-843c46afc4cb41489909bce00c9b143d.r2.dev/21.1%20-%20Ch%C3%A2tenay-Malabry/3%20Plan%20de%20masse.jpg; https://pub-843c46afc4cb41489909bce00c9b143d.r2.dev/21.23%20-%20Ch%C3%A2tenay-Malabry/4.jpg</t>
  </si>
  <si>
    <t>Vitrolles</t>
  </si>
  <si>
    <t>Nancy</t>
  </si>
  <si>
    <t>Nemours</t>
  </si>
  <si>
    <t>Avignon</t>
  </si>
  <si>
    <t>14 Boulevard de l'Europe</t>
  </si>
  <si>
    <t>https://maps.app.goo.gl/9Ve3dRd43covAEFVA</t>
  </si>
  <si>
    <t>Date d'ajout</t>
  </si>
  <si>
    <t>https://maps.app.goo.gl/u2aZqSfdRfKcuU8f6</t>
  </si>
  <si>
    <t>https://maps.app.goo.gl/Agiux4Mzn3c7cD5Q9</t>
  </si>
  <si>
    <t>https://maps.app.goo.gl/ZT3smPn7vYZ4vePU6</t>
  </si>
  <si>
    <t>https://maps.app.goo.gl/Zm8LZ3W7bF7oEBhA6</t>
  </si>
  <si>
    <t>https://maps.app.goo.gl/fJAXX2oK3kLbFqQN8</t>
  </si>
  <si>
    <t>https://maps.app.goo.gl/368Pqe4Ndxa8v6hq7</t>
  </si>
  <si>
    <t>https://maps.app.goo.gl/8z1HzhMcXXoF94Bb8</t>
  </si>
  <si>
    <t>https://maps.app.goo.gl/jiv1tvwoFYLDiKzb7</t>
  </si>
  <si>
    <t>https://maps.app.goo.gl/ThH7vH9twAYbv2UU7</t>
  </si>
  <si>
    <t>https://maps.app.goo.gl/7LDR6QtcAQGrpmfx6</t>
  </si>
  <si>
    <t>https://maps.app.goo.gl/yeG3FvdN5Az7BTzU9</t>
  </si>
  <si>
    <t>La Valette-du-Var</t>
  </si>
  <si>
    <t>23 Avenue des Frères Lumière</t>
  </si>
  <si>
    <t>330 Avenue Marcou Delanglade</t>
  </si>
  <si>
    <t>13 Rue Serpente</t>
  </si>
  <si>
    <t>Champigny-sur-Marne</t>
  </si>
  <si>
    <t>14 Rue Serpente</t>
  </si>
  <si>
    <t>Herblay-sur-Seine</t>
  </si>
  <si>
    <t>8 Avenue Paul Langevin</t>
  </si>
  <si>
    <t>Les Pennes-Mirabeau</t>
  </si>
  <si>
    <t>8 Rue des Vignes</t>
  </si>
  <si>
    <t>Saint-Germain-du-Puy</t>
  </si>
  <si>
    <t xml:space="preserve"> Saint-Doulchard</t>
  </si>
  <si>
    <t>Centre Commercial Géant,  548 Route d'Orléans</t>
  </si>
  <si>
    <t>50 Rue Saint-Dizier</t>
  </si>
  <si>
    <t>ZAC D'Aulnoy</t>
  </si>
  <si>
    <t>Aulnoy-lez-Valenciennes</t>
  </si>
  <si>
    <t>Ennetières-en-Weppes</t>
  </si>
  <si>
    <t>11 Rue de Soultz</t>
  </si>
  <si>
    <t>Wittenheim</t>
  </si>
  <si>
    <t>31 Rue de Montargis</t>
  </si>
  <si>
    <t>Plan de Campagne, Chemin des Pennes CD6</t>
  </si>
  <si>
    <t>43.416553</t>
  </si>
  <si>
    <t xml:space="preserve"> 5.356538</t>
  </si>
  <si>
    <t>45.2</t>
  </si>
  <si>
    <t>45.1</t>
  </si>
  <si>
    <t>47.1</t>
  </si>
  <si>
    <t>47.2</t>
  </si>
  <si>
    <t>47.3</t>
  </si>
  <si>
    <t>Groupe Strauss</t>
  </si>
  <si>
    <t>50.637146</t>
  </si>
  <si>
    <t xml:space="preserve"> 2.966169</t>
  </si>
  <si>
    <t>Lidl, V&amp;B, restaurants, Circuit de karting, entreprises</t>
  </si>
  <si>
    <t>Avant Cap, Barnéoud, Kiabi, La Maison du Convertible, Conforama, SoCooc, …</t>
  </si>
  <si>
    <t>Leclerc Drive, Noz, Monsieur Meuble, Pêche, Action, Electro Dépôt</t>
  </si>
  <si>
    <t>Local stratégiquement placé en entrée de ville de Bourges sur la N151, dans une zone commerciale</t>
  </si>
  <si>
    <t>47.097965</t>
  </si>
  <si>
    <t xml:space="preserve"> 2.461545</t>
  </si>
  <si>
    <t>Leroy Merlin, Boulanger, Intersport, Cultura, Decathlon</t>
  </si>
  <si>
    <t>47.112262</t>
  </si>
  <si>
    <t xml:space="preserve"> 2.380074</t>
  </si>
  <si>
    <t>Ancien Casino. Centre commercial au nord de Bourges, au milieu d'une zone d'habitation et de commerces</t>
  </si>
  <si>
    <t>48.689891</t>
  </si>
  <si>
    <t xml:space="preserve"> 6.182956</t>
  </si>
  <si>
    <t xml:space="preserve">Mcdonald's, Buger King, Nex Yorker, Lush, restaurants, librairie, bijouterie, </t>
  </si>
  <si>
    <t>Tollens, B&amp;M, Peugeot, Cuisinella, Grand Frais</t>
  </si>
  <si>
    <t>https://maps.app.goo.gl/478dz86LSbFCSjgs9</t>
  </si>
  <si>
    <t>47.798698</t>
  </si>
  <si>
    <t>7.3127756</t>
  </si>
  <si>
    <t>48.255557</t>
  </si>
  <si>
    <t xml:space="preserve"> 2.701845</t>
  </si>
  <si>
    <t>Basic Fit, Jardinerie, Netto, Carglass</t>
  </si>
  <si>
    <t>43.136512</t>
  </si>
  <si>
    <t xml:space="preserve"> 5.999812</t>
  </si>
  <si>
    <t>Darty, Gifi, Sport 2000, Maxi Bazar, Ecocuisine, restaurants</t>
  </si>
  <si>
    <t>Mcdonald's, Chaussea, V&amp;B, Basic Fit, Poltronesofa, Wingstop, Fiveguys</t>
  </si>
  <si>
    <t>43.137481</t>
  </si>
  <si>
    <t xml:space="preserve"> 6.003336</t>
  </si>
  <si>
    <t>43.920764</t>
  </si>
  <si>
    <t xml:space="preserve"> 4.868124</t>
  </si>
  <si>
    <t>Afflelou, Flunch, Darty, Stokomani, La Halle, Décathlon, King Jouet, LDLC</t>
  </si>
  <si>
    <t>https://maps.app.goo.gl/xRk1dgDyTNRJ37Js6</t>
  </si>
  <si>
    <t>48.817641</t>
  </si>
  <si>
    <t xml:space="preserve"> 2.531077</t>
  </si>
  <si>
    <t>48.817472</t>
  </si>
  <si>
    <t xml:space="preserve"> 2.531197</t>
  </si>
  <si>
    <t>Lidl, patisserie, pièce automobile, maison, confodis, entreprises</t>
  </si>
  <si>
    <t>https://maps.app.goo.gl/SUpMvLrMFe1dX8fi7</t>
  </si>
  <si>
    <t>49.005681</t>
  </si>
  <si>
    <t xml:space="preserve"> 2.171767</t>
  </si>
  <si>
    <t>Leroy Merlin, Nike, Alinea, Truffaut, Décathlon, Fnac, Intersport, Action, Animalis, Cuisine</t>
  </si>
  <si>
    <t>https://pub-843c46afc4cb41489909bce00c9b143d.r2.dev/39%20-%20Saint-Doulchard/1.jpg; https://pub-843c46afc4cb41489909bce00c9b143d.r2.dev/39%20-%20Saint-Doulchard/2.jpg; https://pub-843c46afc4cb41489909bce00c9b143d.r2.dev/39%20-%20Saint-Doulchard/3.jpg</t>
  </si>
  <si>
    <t>En face des Machines de l'Île. A proximité du Palais de Justice, et de l'école des Beaux-Arts. Nouvelle construction dans un quartier d'habitation et de bureaux. Gaine à installer. Les charges incluent la taxe foncière</t>
  </si>
  <si>
    <t>En face des Machines de l'Île. A proximité du Palais de Justice, et de l'école des Beaux-Arts. Nouvelle construction dans un quartier d'habitation et de bureaux. Les charges incluent la taxe foncière</t>
  </si>
  <si>
    <t>Saint-Laurent-du-Var</t>
  </si>
  <si>
    <t>CAP 3000
217 Av. Eugène Donadeï</t>
  </si>
  <si>
    <t>https://maps.app.goo.gl/dzVJ2h9GjsA9hiNV7</t>
  </si>
  <si>
    <t>Me contacter</t>
  </si>
  <si>
    <t>Cession d'un commerce de 80m² + mezzanine en très bon état à Cap 3000.</t>
  </si>
  <si>
    <t>Nespresso, JD Sport</t>
  </si>
  <si>
    <t>43.658465</t>
  </si>
  <si>
    <t>7.196914</t>
  </si>
  <si>
    <t>MIM</t>
  </si>
  <si>
    <t>10 % du montant de la cession avec un minimum de 15 000 € HT</t>
  </si>
  <si>
    <t>221 €/m² = 40 000 €</t>
  </si>
  <si>
    <t>L1</t>
  </si>
  <si>
    <t>L2A</t>
  </si>
  <si>
    <t>43.439428</t>
  </si>
  <si>
    <t>5.241793</t>
  </si>
  <si>
    <t>36.1</t>
  </si>
  <si>
    <t>36.2</t>
  </si>
  <si>
    <t>Local d'activité/bureau en pied d'un batiment autonome dans une zone d'activité et d'entreprises (22 000 emplois). Proximité de l'A7 et de l'aéroport de Marseille. Baill 6/9/10 ans</t>
  </si>
  <si>
    <t>Local d'activité/bureau en pied d'un batiment autonome dans une zone d'activité et d'entreprises (22 000 emplois). Proximité de l'A7 et de l'aéroport de Marseille. Possibilité de réunir avec le lot L1. Baill 6/9/10 ans</t>
  </si>
  <si>
    <t>150 €/m² = 15 000 €</t>
  </si>
  <si>
    <t>43.439776</t>
  </si>
  <si>
    <t>5.241409</t>
  </si>
  <si>
    <t>95 €/m² = 42 370 €</t>
  </si>
  <si>
    <t>L6</t>
  </si>
  <si>
    <t>L3</t>
  </si>
  <si>
    <t>36.3</t>
  </si>
  <si>
    <t>95 €/m² = 54 000 €</t>
  </si>
  <si>
    <t>36.4</t>
  </si>
  <si>
    <t>43.439527</t>
  </si>
  <si>
    <t>5.241554</t>
  </si>
  <si>
    <t>Bureaux</t>
  </si>
  <si>
    <t>195 €/m² = 270 000 €</t>
  </si>
  <si>
    <t>700 + 690</t>
  </si>
  <si>
    <t>90 €/m² = 90 000 €</t>
  </si>
  <si>
    <t>535 €/m² = 240 000 €</t>
  </si>
  <si>
    <t>100 (SS) + 155 + 295</t>
  </si>
  <si>
    <t>5001 Rue des Fusillés de 1940</t>
  </si>
  <si>
    <t>149 €/m² = 139 000 €</t>
  </si>
  <si>
    <t>Boulanger, Cultura, Décathlon, But, Truffaut, Orchestra, Stokomani, Animalis, Action, Jardinerie</t>
  </si>
  <si>
    <t>100 €/m² = 76 000</t>
  </si>
  <si>
    <t>740 + 21</t>
  </si>
  <si>
    <t>Ancienne La Halle dans une petite zone commerciale et d'habitation. Environ 120 places de parking. Local divisible.</t>
  </si>
  <si>
    <t>209 + 67</t>
  </si>
  <si>
    <t>83 Avenue de l'Université</t>
  </si>
  <si>
    <t>298 €/m² = 140 000 €</t>
  </si>
  <si>
    <t>145 €/m² = 90 000 €</t>
  </si>
  <si>
    <t>420 + 196</t>
  </si>
  <si>
    <t>180 €/m² = 70 000 €</t>
  </si>
  <si>
    <t>48.817272</t>
  </si>
  <si>
    <t>2.532284</t>
  </si>
  <si>
    <t>180 €/m² = 130 000 €</t>
  </si>
  <si>
    <t>375 €/m² = 150 000 €</t>
  </si>
  <si>
    <t>74 + 52 (mezz)</t>
  </si>
  <si>
    <t>https://pub-843c46afc4cb41489909bce00c9b143d.r2.dev/36.2%20-%20Vitrolles/1.jpg; https://pub-843c46afc4cb41489909bce00c9b143d.r2.dev/36.2%20-%20Vitrolles/2.jpg; https://pub-843c46afc4cb41489909bce00c9b143d.r2.dev/36.2%20-%20Vitrolles/3.jpg; https://pub-843c46afc4cb41489909bce00c9b143d.r2.dev/36.2%20-%20Vitrolles/4.jpg; https://pub-843c46afc4cb41489909bce00c9b143d.r2.dev/36.2%20-%20Vitrolles/5%20Plan%20de%20situation.jpg; https://pub-843c46afc4cb41489909bce00c9b143d.r2.dev/36.2%20-%20Vitrolles/6%20Plan.jpg</t>
  </si>
  <si>
    <t>https://pub-843c46afc4cb41489909bce00c9b143d.r2.dev/36.3%20-%20Vitrolles/1.jpg; https://pub-843c46afc4cb41489909bce00c9b143d.r2.dev/36.3%20-%20Vitrolles/2%20Plan.jpg</t>
  </si>
  <si>
    <t>https://pub-843c46afc4cb41489909bce00c9b143d.r2.dev/36.4%20-%20Vitrolles/1.jpg; https://pub-843c46afc4cb41489909bce00c9b143d.r2.dev/36.4%20-%20Vitrolles/2%20Plan.jpg</t>
  </si>
  <si>
    <t>https://pub-843c46afc4cb41489909bce00c9b143d.r2.dev/37%20-%20Les%20Pennes-Mirabeau/1.jpg; https://pub-843c46afc4cb41489909bce00c9b143d.r2.dev/37%20-%20Les%20Pennes-Mirabeau/2.jpg; https://pub-843c46afc4cb41489909bce00c9b143d.r2.dev/37%20-%20Les%20Pennes-Mirabeau/3.jpg; https://pub-843c46afc4cb41489909bce00c9b143d.r2.dev/37%20-%20Les%20Pennes-Mirabeau/4.jpg; https://pub-843c46afc4cb41489909bce00c9b143d.r2.dev/37%20-%20Les%20Pennes-Mirabeau/5.jpg; https://pub-843c46afc4cb41489909bce00c9b143d.r2.dev/37%20-%20Les%20Pennes-Mirabeau/6%20Plan%20de%20situation.jpg; https://pub-843c46afc4cb41489909bce00c9b143d.r2.dev/37%20-%20Les%20Pennes-Mirabeau/7%20Plan%20R%2B1.jpg; https://pub-843c46afc4cb41489909bce00c9b143d.r2.dev/37%20-%20Les%20Pennes-Mirabeau/7%20Plan%20RDC.jpg</t>
  </si>
  <si>
    <t>https://pub-843c46afc4cb41489909bce00c9b143d.r2.dev/38%20-%20Saint-Germain-du-Puy/1.jpg; https://pub-843c46afc4cb41489909bce00c9b143d.r2.dev/38%20-%20Saint-Germain-du-Puy/2.jpg; https://pub-843c46afc4cb41489909bce00c9b143d.r2.dev/38%20-%20Saint-Germain-du-Puy/3.jpg; https://pub-843c46afc4cb41489909bce00c9b143d.r2.dev/38%20-%20Saint-Germain-du-Puy/4.jpg; https://pub-843c46afc4cb41489909bce00c9b143d.r2.dev/38%20-%20Saint-Germain-du-Puy/5.jpg; https://pub-843c46afc4cb41489909bce00c9b143d.r2.dev/38%20-%20Saint-Germain-du-Puy/6%20Plan%20de%20situation.jpg; https://pub-843c46afc4cb41489909bce00c9b143d.r2.dev/38%20-%20Saint-Germain-du-Puy/7%20Plan.jpg</t>
  </si>
  <si>
    <t>https://pub-843c46afc4cb41489909bce00c9b143d.r2.dev/40%20-%20Nancy/1.jpg; https://pub-843c46afc4cb41489909bce00c9b143d.r2.dev/40%20-%20Nancy/2.jpg; https://pub-843c46afc4cb41489909bce00c9b143d.r2.dev/40%20-%20Nancy/3.jpg; https://pub-843c46afc4cb41489909bce00c9b143d.r2.dev/40%20-%20Nancy/4.jpg; https://pub-843c46afc4cb41489909bce00c9b143d.r2.dev/40%20-%20Nancy/5.jpg; https://pub-843c46afc4cb41489909bce00c9b143d.r2.dev/40%20-%20Nancy/6.jpg; https://pub-843c46afc4cb41489909bce00c9b143d.r2.dev/40%20-%20Nancy/7%20Plan%20de%20situation.jpg; https://pub-843c46afc4cb41489909bce00c9b143d.r2.dev/40%20-%20Nancy/8%20Plan%20R-1.jpg; https://pub-843c46afc4cb41489909bce00c9b143d.r2.dev/40%20-%20Nancy/9%20Plan%20RDC.jpg; https://pub-843c46afc4cb41489909bce00c9b143d.r2.dev/40%20-%20Nancy/10%20Plan%20R%2B1.jpg</t>
  </si>
  <si>
    <t>https://pub-843c46afc4cb41489909bce00c9b143d.r2.dev/42%20-%20Enneti%C3%A8res-en-Weppes/1.jpg; https://pub-843c46afc4cb41489909bce00c9b143d.r2.dev/42%20-%20Enneti%C3%A8res-en-Weppes/2.jpg; https://pub-843c46afc4cb41489909bce00c9b143d.r2.dev/42%20-%20Enneti%C3%A8res-en-Weppes/3.jpg; https://pub-843c46afc4cb41489909bce00c9b143d.r2.dev/42%20-%20Enneti%C3%A8res-en-Weppes/4%20Plan%20de%20situation.jpg; https://pub-843c46afc4cb41489909bce00c9b143d.r2.dev/42%20-%20Enneti%C3%A8res-en-Weppes/5%20Plan.jpg</t>
  </si>
  <si>
    <t>https://pub-843c46afc4cb41489909bce00c9b143d.r2.dev/43%20-%20Wittenheim/1.jpg; https://pub-843c46afc4cb41489909bce00c9b143d.r2.dev/43%20-%20Wittenheim/2.jpg; https://pub-843c46afc4cb41489909bce00c9b143d.r2.dev/43%20-%20Wittenheim/2.jpg; https://pub-843c46afc4cb41489909bce00c9b143d.r2.dev/43%20-%20Wittenheim/4%20Plan%20de%20situation.jpg; https://pub-843c46afc4cb41489909bce00c9b143d.r2.dev/43%20-%20Wittenheim/5%20Plan.jpg</t>
  </si>
  <si>
    <t>https://pub-843c46afc4cb41489909bce00c9b143d.r2.dev/44%20-%20Nemours/1.jpg; https://pub-843c46afc4cb41489909bce00c9b143d.r2.dev/44%20-%20Nemours/2.jpg; https://pub-843c46afc4cb41489909bce00c9b143d.r2.dev/44%20-%20Nemours/3.jpg; https://pub-843c46afc4cb41489909bce00c9b143d.r2.dev/44%20-%20Nemours/4%20Plan%20de%20situation.jpg; https://pub-843c46afc4cb41489909bce00c9b143d.r2.dev/44%20-%20Nemours/5%20Plan%20RDC.jpg; https://pub-843c46afc4cb41489909bce00c9b143d.r2.dev/44%20-%20Nemours/6%20Plan%20R%2B1.jpg</t>
  </si>
  <si>
    <t>https://pub-843c46afc4cb41489909bce00c9b143d.r2.dev/45.1%20-%20La%20Valette-du-Var/1.jpg; https://pub-843c46afc4cb41489909bce00c9b143d.r2.dev/45.1%20-%20La%20Valette-du-Var/2.jpg; https://pub-843c46afc4cb41489909bce00c9b143d.r2.dev/45.1%20-%20La%20Valette-du-Var/3.jpg; https://pub-843c46afc4cb41489909bce00c9b143d.r2.dev/45.1%20-%20La%20Valette-du-Var/4.jpg; https://pub-843c46afc4cb41489909bce00c9b143d.r2.dev/45.1%20-%20La%20Valette-du-Var/5%20Plan%20de%20situation.jpg; https://pub-843c46afc4cb41489909bce00c9b143d.r2.dev/45.1%20-%20La%20Valette-du-Var/6%20Plan%20RDC.jpg</t>
  </si>
  <si>
    <t>https://pub-843c46afc4cb41489909bce00c9b143d.r2.dev/45.2%20-%20La%20Valette-du-Var/1.jpg; https://pub-843c46afc4cb41489909bce00c9b143d.r2.dev/45.2%20-%20La%20Valette-du-Var/2.jpg; https://pub-843c46afc4cb41489909bce00c9b143d.r2.dev/45.2%20-%20La%20Valette-du-Var/3.jpg; https://pub-843c46afc4cb41489909bce00c9b143d.r2.dev/45.2%20-%20La%20Valette-du-Var/4%20Plan%20de%20situation.jpg; https://pub-843c46afc4cb41489909bce00c9b143d.r2.dev/45.2%20-%20La%20Valette-du-Var/5%20Plan.jpg</t>
  </si>
  <si>
    <t>https://pub-843c46afc4cb41489909bce00c9b143d.r2.dev/46%20-%20Avignon/1.jpg; https://pub-843c46afc4cb41489909bce00c9b143d.r2.dev/46%20-%20Avignon/1.jpg; https://pub-843c46afc4cb41489909bce00c9b143d.r2.dev/46%20-%20Avignon/3%20Plan%20de%20situation.jpg; https://pub-843c46afc4cb41489909bce00c9b143d.r2.dev/46%20-%20Avignon/4%20Plan.jpg</t>
  </si>
  <si>
    <t>https://pub-843c46afc4cb41489909bce00c9b143d.r2.dev/47.1%20-%20Champigny-sur-Marne/1.jpg; https://pub-843c46afc4cb41489909bce00c9b143d.r2.dev/47.1%20-%20Champigny-sur-Marne/2.jpg; https://pub-843c46afc4cb41489909bce00c9b143d.r2.dev/47.1%20-%20Champigny-sur-Marne/3%20Plan%20de%20situation.jpg; https://pub-843c46afc4cb41489909bce00c9b143d.r2.dev/47.1%20-%20Champigny-sur-Marne/4%20Plan.jpg</t>
  </si>
  <si>
    <t>https://pub-843c46afc4cb41489909bce00c9b143d.r2.dev/47.2%20-%20Champigny-sur-Marne/1.jpg; https://pub-843c46afc4cb41489909bce00c9b143d.r2.dev/47.2%20-%20Champigny-sur-Marne/2.jpg; https://pub-843c46afc4cb41489909bce00c9b143d.r2.dev/47.2%20-%20Champigny-sur-Marne/3.jpg; https://pub-843c46afc4cb41489909bce00c9b143d.r2.dev/47.1%20-%20Champigny-sur-Marne/3%20Plan%20de%20situation.jpg; https://pub-843c46afc4cb41489909bce00c9b143d.r2.dev/47.2%20-%20Champigny-sur-Marne/5%20Plan.jpg</t>
  </si>
  <si>
    <t>https://pub-843c46afc4cb41489909bce00c9b143d.r2.dev/47.3%20-%20Champigny-sur-Marne/1.jpg; https://pub-843c46afc4cb41489909bce00c9b143d.r2.dev/47.3%20-%20Champigny-sur-Marne/2.jpg; https://pub-843c46afc4cb41489909bce00c9b143d.r2.dev/47.3%20-%20Champigny-sur-Marne/3.jpg; https://pub-843c46afc4cb41489909bce00c9b143d.r2.dev/47.3%20-%20Champigny-sur-Marne/4.jpg; https://pub-843c46afc4cb41489909bce00c9b143d.r2.dev/47.1%20-%20Champigny-sur-Marne/3%20Plan%20de%20situation.jpg; https://pub-843c46afc4cb41489909bce00c9b143d.r2.dev/47.3%20-%20Champigny-sur-Marne/6%20Plan.jpg</t>
  </si>
  <si>
    <t>https://pub-843c46afc4cb41489909bce00c9b143d.r2.dev/48%20-%20Herblay-sur-Seine/1.jpg; https://pub-843c46afc4cb41489909bce00c9b143d.r2.dev/48%20-%20Herblay-sur-Seine/2.jpg; https://pub-843c46afc4cb41489909bce00c9b143d.r2.dev/48%20-%20Herblay-sur-Seine/3.jpg; https://pub-843c46afc4cb41489909bce00c9b143d.r2.dev/48%20-%20Herblay-sur-Seine/4.jpg; https://pub-843c46afc4cb41489909bce00c9b143d.r2.dev/48%20-%20Herblay-sur-Seine/5%20Plan%20de%20situation.jpg; https://pub-843c46afc4cb41489909bce00c9b143d.r2.dev/48%20-%20Herblay-sur-Seine/6%20Plan.jpg</t>
  </si>
  <si>
    <t>https://pub-843c46afc4cb41489909bce00c9b143d.r2.dev/49%20-%20Saint-Laurent-du-Var/1.JPG; https://pub-843c46afc4cb41489909bce00c9b143d.r2.dev/49%20-%20Saint-Laurent-du-Var/2.jpg; https://pub-843c46afc4cb41489909bce00c9b143d.r2.dev/49%20-%20Saint-Laurent-du-Var/3.jpg; https://pub-843c46afc4cb41489909bce00c9b143d.r2.dev/49%20-%20Saint-Laurent-du-Var/4%20Plan%20de%20situation.png</t>
  </si>
  <si>
    <t>https://pub-843c46afc4cb41489909bce00c9b143d.r2.dev/36%20-%20Vitrolles/1.jpg; https://pub-843c46afc4cb41489909bce00c9b143d.r2.dev/36%20-%20Vitrolles/2.jpg; https://pub-843c46afc4cb41489909bce00c9b143d.r2.dev/36.1%20-%20Vitrolles/3.jpg; https://pub-843c46afc4cb41489909bce00c9b143d.r2.dev/36.1%20-%20Vitrolles/4.jpg; https://pub-843c46afc4cb41489909bce00c9b143d.r2.dev/36.1%20-%20Vitrolles/5.jpg; https://pub-843c46afc4cb41489909bce00c9b143d.r2.dev/36.1%20-%20Vitrolles/6.jpg; https://pub-843c46afc4cb41489909bce00c9b143d.r2.dev/36.1%20-%20Vitrolles/7.jpg; https://pub-843c46afc4cb41489909bce00c9b143d.r2.dev/36.1%20-%20Vitrolles/8%20Plan.jpg</t>
  </si>
  <si>
    <t>https://pub-843c46afc4cb41489909bce00c9b143d.r2.dev/12%20-%20Paris/1%20Vue%20d'ensemble.jpg; https://pub-843c46afc4cb41489909bce00c9b143d.r2.dev/12%20-%20Paris/2.jpg; https://pub-843c46afc4cb41489909bce00c9b143d.r2.dev/12%20-%20Paris/3.jpg; https://pub-843c46afc4cb41489909bce00c9b143d.r2.dev/12%20-%20Paris/4.jpg; https://pub-843c46afc4cb41489909bce00c9b143d.r2.dev/12%20-%20Paris/5%20Plan.jpg</t>
  </si>
  <si>
    <t>280 €/m² = 210 000 €</t>
  </si>
  <si>
    <t>435 €/m² = 120 060 €</t>
  </si>
  <si>
    <t>183 €/m² = 160 000 €</t>
  </si>
  <si>
    <t>41.1</t>
  </si>
  <si>
    <t>41.2</t>
  </si>
  <si>
    <t>41.3</t>
  </si>
  <si>
    <t>41.4</t>
  </si>
  <si>
    <t>41.5</t>
  </si>
  <si>
    <t>41.6</t>
  </si>
  <si>
    <t>250 €/m² = 120 000 €</t>
  </si>
  <si>
    <t>475 €/m² = 95 000 €</t>
  </si>
  <si>
    <t>500 €/m² = 45 000 €</t>
  </si>
  <si>
    <t>500 €/m² = 39 000 €</t>
  </si>
  <si>
    <t>471 €/m² = 33 000 €</t>
  </si>
  <si>
    <t>900 €/m² = 18 000 €</t>
  </si>
  <si>
    <t>50.335557</t>
  </si>
  <si>
    <t>3.516073</t>
  </si>
  <si>
    <t>50.335496</t>
  </si>
  <si>
    <t>3.518305</t>
  </si>
  <si>
    <t>3.518197</t>
  </si>
  <si>
    <t>50.335494</t>
  </si>
  <si>
    <t>3.518903</t>
  </si>
  <si>
    <t>50.335414</t>
  </si>
  <si>
    <t>3.517470</t>
  </si>
  <si>
    <t>50.335581</t>
  </si>
  <si>
    <t>3.518750</t>
  </si>
  <si>
    <t>https://maps.app.goo.gl/jjHUN2H4tKUGyBEQ7</t>
  </si>
  <si>
    <t xml:space="preserve">Nocibé, Léonidas, Okaïdi, Krys, KFC,… </t>
  </si>
  <si>
    <t>https://pub-843c46afc4cb41489909bce00c9b143d.r2.dev/41.1%20-%20Aulnoy-lez-Valenciennes/1.jpg; https://pub-843c46afc4cb41489909bce00c9b143d.r2.dev/41.1%20-%20Aulnoy-lez-Valenciennes/2.jpg; https://pub-843c46afc4cb41489909bce00c9b143d.r2.dev/41.1%20-%20Aulnoy-lez-Valenciennes/3.jpg; https://pub-843c46afc4cb41489909bce00c9b143d.r2.dev/41.1%20-%20Aulnoy-lez-Valenciennes/4.jpg; https://pub-843c46afc4cb41489909bce00c9b143d.r2.dev/41.1%20-%20Aulnoy-lez-Valenciennes/5%20Plan%20de%20situation.jpg; https://pub-843c46afc4cb41489909bce00c9b143d.r2.dev/41.1%20-%20Aulnoy-lez-Valenciennes/6%20Plan%20du%20centre.jpg; https://pub-843c46afc4cb41489909bce00c9b143d.r2.dev/41.1%20-%20Aulnoy-lez-Valenciennes/7%20Plan%20de%20la%20cellule.jpg; https://pub-843c46afc4cb41489909bce00c9b143d.r2.dev/41.1%20-%20Aulnoy-lez-Valenciennes/8%20Projet%20d'extension.jpg</t>
  </si>
  <si>
    <t>https://pub-843c46afc4cb41489909bce00c9b143d.r2.dev/41.1%20-%20Aulnoy-lez-Valenciennes/1.jpg; https://pub-843c46afc4cb41489909bce00c9b143d.r2.dev/41.1%20-%20Aulnoy-lez-Valenciennes/2.jpg; https://pub-843c46afc4cb41489909bce00c9b143d.r2.dev/41.1%20-%20Aulnoy-lez-Valenciennes/3.jpg; https://pub-843c46afc4cb41489909bce00c9b143d.r2.dev/41.1%20-%20Aulnoy-lez-Valenciennes/4.jpg; https://pub-843c46afc4cb41489909bce00c9b143d.r2.dev/41.1%20-%20Aulnoy-lez-Valenciennes/5%20Plan%20de%20situation.jpg; https://pub-843c46afc4cb41489909bce00c9b143d.r2.dev/41.1%20-%20Aulnoy-lez-Valenciennes/6%20Plan%20du%20centre.jpg; https://pub-843c46afc4cb41489909bce00c9b143d.r2.dev/41.2%20-%20Aulnoy-lez-Valenciennes/7%20Plan%20de%20cellule.jpg</t>
  </si>
  <si>
    <t>https://pub-843c46afc4cb41489909bce00c9b143d.r2.dev/41.1%20-%20Aulnoy-lez-Valenciennes/1.jpg; https://pub-843c46afc4cb41489909bce00c9b143d.r2.dev/41.1%20-%20Aulnoy-lez-Valenciennes/2.jpg; https://pub-843c46afc4cb41489909bce00c9b143d.r2.dev/41.1%20-%20Aulnoy-lez-Valenciennes/3.jpg; https://pub-843c46afc4cb41489909bce00c9b143d.r2.dev/41.1%20-%20Aulnoy-lez-Valenciennes/4.jpg; https://pub-843c46afc4cb41489909bce00c9b143d.r2.dev/41.1%20-%20Aulnoy-lez-Valenciennes/5%20Plan%20de%20situation.jpg; https://pub-843c46afc4cb41489909bce00c9b143d.r2.dev/41.1%20-%20Aulnoy-lez-Valenciennes/6%20Plan%20du%20centre.jpg; https://pub-843c46afc4cb41489909bce00c9b143d.r2.dev/41.3%20-%20Aulnoy-lez-Valenciennes/7%20Plan%20de%20cellule.jpg</t>
  </si>
  <si>
    <t>https://pub-843c46afc4cb41489909bce00c9b143d.r2.dev/41.1%20-%20Aulnoy-lez-Valenciennes/1.jpg; https://pub-843c46afc4cb41489909bce00c9b143d.r2.dev/41.1%20-%20Aulnoy-lez-Valenciennes/2.jpg; https://pub-843c46afc4cb41489909bce00c9b143d.r2.dev/41.1%20-%20Aulnoy-lez-Valenciennes/3.jpg; https://pub-843c46afc4cb41489909bce00c9b143d.r2.dev/41.1%20-%20Aulnoy-lez-Valenciennes/4.jpg; https://pub-843c46afc4cb41489909bce00c9b143d.r2.dev/41.1%20-%20Aulnoy-lez-Valenciennes/5%20Plan%20de%20situation.jpg; https://pub-843c46afc4cb41489909bce00c9b143d.r2.dev/41.1%20-%20Aulnoy-lez-Valenciennes/6%20Plan%20du%20centre.jpg; https://pub-843c46afc4cb41489909bce00c9b143d.r2.dev/41.4%20-%20Aulnoy-lez-Valenciennes/7%20Plan%20de%20cellule.jpg</t>
  </si>
  <si>
    <t>https://pub-843c46afc4cb41489909bce00c9b143d.r2.dev/41.1%20-%20Aulnoy-lez-Valenciennes/1.jpg; https://pub-843c46afc4cb41489909bce00c9b143d.r2.dev/41.1%20-%20Aulnoy-lez-Valenciennes/2.jpg; https://pub-843c46afc4cb41489909bce00c9b143d.r2.dev/41.1%20-%20Aulnoy-lez-Valenciennes/3.jpg; https://pub-843c46afc4cb41489909bce00c9b143d.r2.dev/41.1%20-%20Aulnoy-lez-Valenciennes/4.jpg; https://pub-843c46afc4cb41489909bce00c9b143d.r2.dev/41.1%20-%20Aulnoy-lez-Valenciennes/5%20Plan%20de%20situation.jpg; https://pub-843c46afc4cb41489909bce00c9b143d.r2.dev/41.1%20-%20Aulnoy-lez-Valenciennes/6%20Plan%20du%20centre.jpg; https://pub-843c46afc4cb41489909bce00c9b143d.r2.dev/41.5%20-%20Aulnoy-lez-Valenciennes/7%20Plan%20de%20cellule.jpg</t>
  </si>
  <si>
    <t>https://pub-843c46afc4cb41489909bce00c9b143d.r2.dev/41.1%20-%20Aulnoy-lez-Valenciennes/1.jpg; https://pub-843c46afc4cb41489909bce00c9b143d.r2.dev/41.1%20-%20Aulnoy-lez-Valenciennes/2.jpg; https://pub-843c46afc4cb41489909bce00c9b143d.r2.dev/41.1%20-%20Aulnoy-lez-Valenciennes/3.jpg; https://pub-843c46afc4cb41489909bce00c9b143d.r2.dev/41.1%20-%20Aulnoy-lez-Valenciennes/4.jpg; https://pub-843c46afc4cb41489909bce00c9b143d.r2.dev/41.1%20-%20Aulnoy-lez-Valenciennes/5%20Plan%20de%20situation.jpg; https://pub-843c46afc4cb41489909bce00c9b143d.r2.dev/41.1%20-%20Aulnoy-lez-Valenciennes/6%20Plan%20du%20centre.jpg; https://pub-843c46afc4cb41489909bce00c9b143d.r2.dev/41.6%20-%20Aulnoy-lez-Valenciennes/7%20Plan%20de%20cellule.jpg</t>
  </si>
  <si>
    <t>Kiosque</t>
  </si>
  <si>
    <t>2 999 (SS) + 2 978 + 2981 + 72 (mezz)</t>
  </si>
  <si>
    <t>30 (SS) + 55</t>
  </si>
  <si>
    <t>23 avenue Paul Doumer</t>
  </si>
  <si>
    <t>Melun</t>
  </si>
  <si>
    <t>https://maps.app.goo.gl/iuyJpb23bTGqeB1K7</t>
  </si>
  <si>
    <t>300 (SS) + 230</t>
  </si>
  <si>
    <t>Immeuble en cœur de ville de Melun avec possibilité d'extraction</t>
  </si>
  <si>
    <t>FNAC, Prêt-à-porter, opticiens, alimentaire, services</t>
  </si>
  <si>
    <t>48.539540</t>
  </si>
  <si>
    <t>2.660129</t>
  </si>
  <si>
    <t>188 €/m² = 100 000 €</t>
  </si>
  <si>
    <t>F&amp;A AM</t>
  </si>
  <si>
    <t>1 boulevard Exelmans</t>
  </si>
  <si>
    <t>https://maps.app.goo.gl/RvTG1EctYY1Bm17a8</t>
  </si>
  <si>
    <t>37 (SS) + 150</t>
  </si>
  <si>
    <t>481 €/m² = 90 000 €</t>
  </si>
  <si>
    <t>48.839598</t>
  </si>
  <si>
    <t>2.266925</t>
  </si>
  <si>
    <t>Restaurant, crèches, services, bureaux</t>
  </si>
  <si>
    <t>90 rue d'Alésia</t>
  </si>
  <si>
    <t>https://maps.app.goo.gl/1jMgZMcv7EFgTvAK7</t>
  </si>
  <si>
    <t>15 (SS) + 44</t>
  </si>
  <si>
    <t>711 €/m² = 42 000 €</t>
  </si>
  <si>
    <t>48.829019</t>
  </si>
  <si>
    <t>2.323831</t>
  </si>
  <si>
    <t>Monoprix, Normal, Gifi, prêt-à-porter, services, alimentaire</t>
  </si>
  <si>
    <t>356 rue des Pyrénées</t>
  </si>
  <si>
    <t>https://maps.app.goo.gl/5tYy72axTe6ybMqH8</t>
  </si>
  <si>
    <t>897 €/m² = 35 000 €</t>
  </si>
  <si>
    <t>2.386496</t>
  </si>
  <si>
    <t>48.873986</t>
  </si>
  <si>
    <t>McDonald's, carrefour, tabac, banque, alimentaire, services</t>
  </si>
  <si>
    <t>103 rue Legendre</t>
  </si>
  <si>
    <t>https://maps.app.goo.gl/tjMaHorSgGr3n8rT8</t>
  </si>
  <si>
    <t>645 €/m² = 60 000 €</t>
  </si>
  <si>
    <t>Axe commerçant majeur du 17èm. Local disponible en juin 2026</t>
  </si>
  <si>
    <t>Prêt-à-porter, décoration, restaurants, services, banques, crèche</t>
  </si>
  <si>
    <t>86 avenue Edouard Vaillant</t>
  </si>
  <si>
    <t>https://maps.app.goo.gl/FVhfY8aR3d29ecvj8</t>
  </si>
  <si>
    <t>709 €/m² = 100 000 €</t>
  </si>
  <si>
    <t>https://maps.app.goo.gl/jbz4ipieRFJ7Dw9XA</t>
  </si>
  <si>
    <t>73 bis rue Saint-Jean</t>
  </si>
  <si>
    <t>Le Touquet-Paris-Plage</t>
  </si>
  <si>
    <t>44 + 42</t>
  </si>
  <si>
    <t>46 (SS) + 95</t>
  </si>
  <si>
    <t>581 €/m² = 50 000 €</t>
  </si>
  <si>
    <t>50.523456</t>
  </si>
  <si>
    <t>1.586291</t>
  </si>
  <si>
    <t>65 rue du Bourg</t>
  </si>
  <si>
    <t>Dijon</t>
  </si>
  <si>
    <t>https://maps.app.goo.gl/diStniyzoSdM1MyY9</t>
  </si>
  <si>
    <t>90 (SS) + 245</t>
  </si>
  <si>
    <t>298 €/m² = 100 000 €</t>
  </si>
  <si>
    <t>5.039061</t>
  </si>
  <si>
    <t>47.320272</t>
  </si>
  <si>
    <t>2.245769</t>
  </si>
  <si>
    <t>48.834521</t>
  </si>
  <si>
    <t>48.888632</t>
  </si>
  <si>
    <t>2.321784</t>
  </si>
  <si>
    <t>97 rue Emile Zola</t>
  </si>
  <si>
    <t>Troyes</t>
  </si>
  <si>
    <t>https://maps.app.goo.gl/MfExA2kLYmXWnAtz5</t>
  </si>
  <si>
    <t>188 + 190</t>
  </si>
  <si>
    <t>190 €/m² = 72 000 €</t>
  </si>
  <si>
    <t>48.295789</t>
  </si>
  <si>
    <t>4.073447</t>
  </si>
  <si>
    <t>9 Rue du Marché Saint-Honoré</t>
  </si>
  <si>
    <t>https://maps.app.goo.gl/UERKrpwZMN1CAx7L9</t>
  </si>
  <si>
    <t>48 + cave</t>
  </si>
  <si>
    <t>2500 €/m² = 120 000 €</t>
  </si>
  <si>
    <t>48.866245</t>
  </si>
  <si>
    <t>2.331224</t>
  </si>
  <si>
    <t>Local en angle avec vue sur la Seine. Historiquement un restaurant. Local disponible en juillet 2026</t>
  </si>
  <si>
    <t>Axe commerçant majeur du 14èm. Local disponible en juillet 2026</t>
  </si>
  <si>
    <t>Extraction possible (monopropriété). Local disponible en juillet 2026.</t>
  </si>
  <si>
    <t>Division et extraction possible</t>
  </si>
  <si>
    <t>Emplacement en angle sur l'un des axes majeurs de Boulogne, à 35 m de la place Marcel Sembat. Restauration froide acceptée</t>
  </si>
  <si>
    <t>Restaurants, décoration, automobile, services, banques</t>
  </si>
  <si>
    <t>Saint-James, Kujten, Des Petits Hauts, Yves Rocher, Mango, Promod</t>
  </si>
  <si>
    <t>Des Petits Hauts, Franprix, Caroll, Comptoir des Cotonniers, American Vintage</t>
  </si>
  <si>
    <t>Sephora, Yves Rocher, Promod, Caroll, Kiko, Courir, Calzedonia, Undiz</t>
  </si>
  <si>
    <t>Pain de sucre, Essentiel, Heschung, Oh my Cream !, restaurants</t>
  </si>
  <si>
    <t>Rue commercante reliant la rue St-Honoré à la place du marché, en plein cœur de Paris</t>
  </si>
  <si>
    <t>06 700</t>
  </si>
  <si>
    <t>https://maps.app.goo.gl/e1ddei1i8yHZXuQi8</t>
  </si>
  <si>
    <t>01 000</t>
  </si>
  <si>
    <t>Bourg-en-Bresse</t>
  </si>
  <si>
    <t>Cap Émeraude
Avenue du Capitaine Dhonne</t>
  </si>
  <si>
    <t>46.221075</t>
  </si>
  <si>
    <t>5.241758</t>
  </si>
  <si>
    <t>1er centre commercial de l'Ain. 1,3 M de Tickets hyper/an. 50 magasins</t>
  </si>
  <si>
    <t>H&amp;M, Intersport, Mango, Kingjouet, Gemo, Promod, Eram, Graind e Malice, Armand Thierry, restaurants</t>
  </si>
  <si>
    <t>Leclerc Bourg-en-Bresse</t>
  </si>
  <si>
    <t>https://pub-843c46afc4cb41489909bce00c9b143d.r2.dev/29.1%20-%20Villetaneuse/1%20Vue%20d'ensemble.jpg; https://pub-843c46afc4cb41489909bce00c9b143d.r2.dev/29.1%20-%20Villetaneuse/2.jpg; https://pub-843c46afc4cb41489909bce00c9b143d.r2.dev/29.1%20-%20Villetaneuse/3.jpg; https://pub-843c46afc4cb41489909bce00c9b143d.r2.dev/29.1%20-%20Villetaneuse/4%20Plan%20du%20centre.jpg</t>
  </si>
  <si>
    <t>30.1</t>
  </si>
  <si>
    <t>30.2</t>
  </si>
  <si>
    <t>129 + 38</t>
  </si>
  <si>
    <t>66 + 58</t>
  </si>
  <si>
    <t>https://pub-843c46afc4cb41489909bce00c9b143d.r2.dev/30.1%20-%20L'Isle-Adam/1.jpg; https://pub-843c46afc4cb41489909bce00c9b143d.r2.dev/30.1%20-%20L'Isle-Adam/2.jpg; https://pub-843c46afc4cb41489909bce00c9b143d.r2.dev/30.1%20-%20L'Isle-Adam/3.jpg; https://pub-843c46afc4cb41489909bce00c9b143d.r2.dev/30.1%20-%20L'Isle-Adam/4%20Plan%20du%20centre.jpg; https://pub-843c46afc4cb41489909bce00c9b143d.r2.dev/30.1%20-%20L'Isle-Adam/5%20Plan%20RDC.jpg; https://pub-843c46afc4cb41489909bce00c9b143d.r2.dev/30.1%20-%20L'Isle-Adam/6%20Plan%20R%2B1.jpg</t>
  </si>
  <si>
    <t>https://pub-843c46afc4cb41489909bce00c9b143d.r2.dev/30.1%20-%20L'Isle-Adam/1.jpg; https://pub-843c46afc4cb41489909bce00c9b143d.r2.dev/30.1%20-%20L'Isle-Adam/2.jpg; https://pub-843c46afc4cb41489909bce00c9b143d.r2.dev/30.1%20-%20L'Isle-Adam/3.jpg; https://pub-843c46afc4cb41489909bce00c9b143d.r2.dev/30.1%20-%20L'Isle-Adam/4%20Plan%20du%20centre.jpg; https://pub-843c46afc4cb41489909bce00c9b143d.r2.dev/30.2%20-%20L'Isle-Adam/5%20Plan%20RDC.jpg; https://pub-843c46afc4cb41489909bce00c9b143d.r2.dev/30.2%20-%20L'Isle-Adam/6%20Plan%20R%2B1.jpg</t>
  </si>
  <si>
    <t>Terrain à vendre dans une zone très qualitative et commerciale (Darty, Décathlon, Naturalia, McDonald's).</t>
  </si>
  <si>
    <t>150 €/m² = 93 000 €</t>
  </si>
  <si>
    <t>2M €</t>
  </si>
  <si>
    <t>150 €/m² = 94 200 €</t>
  </si>
  <si>
    <t>https://pub-843c46afc4cb41489909bce00c9b143d.r2.dev/50%20-%20Melun/1.jpg; https://pub-843c46afc4cb41489909bce00c9b143d.r2.dev/50%20-%20Melun/2.jpg; https://pub-843c46afc4cb41489909bce00c9b143d.r2.dev/50%20-%20Melun/3.jpg</t>
  </si>
  <si>
    <t>https://pub-843c46afc4cb41489909bce00c9b143d.r2.dev/51%20-%20Paris%20Exelmans/1.jpg; https://pub-843c46afc4cb41489909bce00c9b143d.r2.dev/51%20-%20Paris%20Exelmans/2.jpg; https://pub-843c46afc4cb41489909bce00c9b143d.r2.dev/51%20-%20Paris%20Exelmans/3.jpg</t>
  </si>
  <si>
    <t>https://pub-843c46afc4cb41489909bce00c9b143d.r2.dev/52%20-%20Paris%20Al%C3%A9sia/1.jpg</t>
  </si>
  <si>
    <t>https://pub-843c46afc4cb41489909bce00c9b143d.r2.dev/53%20-%20Paris%20Pyr%C3%A9n%C3%A9es/1.jpg</t>
  </si>
  <si>
    <t>https://pub-843c46afc4cb41489909bce00c9b143d.r2.dev/54%20-%20Paris%20Legendre/1.jpg</t>
  </si>
  <si>
    <t>https://pub-843c46afc4cb41489909bce00c9b143d.r2.dev/55%20-%20Boulogne-Billancourt/1.jpg</t>
  </si>
  <si>
    <t>https://pub-843c46afc4cb41489909bce00c9b143d.r2.dev/56%20-%20Le%20Touquet-Paris-Plage/1.jpg; https://pub-843c46afc4cb41489909bce00c9b143d.r2.dev/56%20-%20Le%20Touquet-Paris-Plage/2.jpg</t>
  </si>
  <si>
    <t>https://pub-843c46afc4cb41489909bce00c9b143d.r2.dev/57%20-%20Dijon/1.jpg; https://pub-843c46afc4cb41489909bce00c9b143d.r2.dev/57%20-%20Dijon/2.jpg</t>
  </si>
  <si>
    <t>https://pub-843c46afc4cb41489909bce00c9b143d.r2.dev/58%20-%20Troyes/1.jpg; https://pub-843c46afc4cb41489909bce00c9b143d.r2.dev/58%20-%20Troyes/2.jpg</t>
  </si>
  <si>
    <t>https://pub-843c46afc4cb41489909bce00c9b143d.r2.dev/59%20-%20Paris%20March%C3%A9%20St-Honor%C3%A9/1.jpg; https://pub-843c46afc4cb41489909bce00c9b143d.r2.dev/59%20-%20Paris%20March%C3%A9%20St-Honor%C3%A9/2.jpg</t>
  </si>
  <si>
    <t>Nature</t>
  </si>
  <si>
    <t>2 000 € HT</t>
  </si>
  <si>
    <t>Honoraires de rédaction</t>
  </si>
  <si>
    <t>Honoraires commerciaux</t>
  </si>
  <si>
    <t>Durée du bail</t>
  </si>
  <si>
    <t>6/9/10 ans</t>
  </si>
  <si>
    <t>Surface maximale</t>
  </si>
  <si>
    <t>Flux de 4,4M annuel avec un hyper à 60 M€. 73 boutiques dans la Galerie.</t>
  </si>
  <si>
    <t>Terrain</t>
  </si>
  <si>
    <t>Ancien KFC à proximité du centre Englos : 3ème Auchan de France 220 M€/an. Environ 50 places de parking</t>
  </si>
  <si>
    <t>Ancien Cuisine Plus à proximité du Carrefour Wittenheim.</t>
  </si>
  <si>
    <t>120 €/m²</t>
  </si>
  <si>
    <t>https://maps.app.goo.gl/aBGTEuZJUKzAi2NE7</t>
  </si>
  <si>
    <t>Rivières</t>
  </si>
  <si>
    <t>McDonald’s, Action, Zeeman, E.Leclerc</t>
  </si>
  <si>
    <t>Terrain à construire dans un bon environnement commercial</t>
  </si>
  <si>
    <t>1 500 € HT</t>
  </si>
  <si>
    <t>45.751593</t>
  </si>
  <si>
    <t>0.383593</t>
  </si>
  <si>
    <t>62.2</t>
  </si>
  <si>
    <t>110 €/m² = 77 000 €</t>
  </si>
  <si>
    <t>Sogenial</t>
  </si>
  <si>
    <t>Boréal Parc
rue de Bleuets</t>
  </si>
  <si>
    <t>Beaurains</t>
  </si>
  <si>
    <t>https://maps.app.goo.gl/LrXvSy35NAUmoadS8</t>
  </si>
  <si>
    <t>Local disposant de 3 gaines d'extraction : 2 x 100 mm et 1 x 200 mm. Possibilité de terrasse extérieur</t>
  </si>
  <si>
    <t>62.1</t>
  </si>
  <si>
    <t>2.797706</t>
  </si>
  <si>
    <t>50.262432</t>
  </si>
  <si>
    <t>50.262627</t>
  </si>
  <si>
    <t>2.798029</t>
  </si>
  <si>
    <t>218 €/m² = 28 000 € HT</t>
  </si>
  <si>
    <t>Carrefour Market, Chaussea, Zeeman, Cerntrakor, Gamm vert, restaurants</t>
  </si>
  <si>
    <t>Local traversant en face caisse</t>
  </si>
  <si>
    <t>https://pub-843c46afc4cb41489909bce00c9b143d.r2.dev/61%20-%20Rivi%C3%A8res/1.jpg; https://pub-843c46afc4cb41489909bce00c9b143d.r2.dev/61%20-%20Rivi%C3%A8res/2.jpg; https://pub-843c46afc4cb41489909bce00c9b143d.r2.dev/61%20-%20Rivi%C3%A8res/3%20Plan.jpg</t>
  </si>
  <si>
    <t>https://pub-843c46afc4cb41489909bce00c9b143d.r2.dev/61%20-%20Rivi%C3%A8res/3%20Plan.jpg; https://pub-843c46afc4cb41489909bce00c9b143d.r2.dev/62.1%20-%20Beaurains/2.jpg; https://pub-843c46afc4cb41489909bce00c9b143d.r2.dev/62.1%20-%20Beaurains/3%20Plan.jpg</t>
  </si>
  <si>
    <t>https://pub-843c46afc4cb41489909bce00c9b143d.r2.dev/62.2%20-%20Beaurains/1.jpg; https://pub-843c46afc4cb41489909bce00c9b143d.r2.dev/62.2%20-%20Beaurains/2.jpg; https://pub-843c46afc4cb41489909bce00c9b143d.r2.dev/62.2%20-%20Beaurains/3.jpg</t>
  </si>
  <si>
    <t>Restaurant en pied d'un batiment autonome dans une zone d'activité et d'entreprises (22 000 emplois). Proximité de l'A7 et de l'aéroport de Marseille.</t>
  </si>
  <si>
    <t>Local dans l'une des principales zones commerciales de France (+40M de flux annuel). Environ une cinquantaine de places de parking.</t>
  </si>
  <si>
    <t>Ancien Five Guys. Emplacement exceptionnel en angle et en cœur de ville de Nancy avec 70 m² de terrasse. 16M de flux annuel.</t>
  </si>
  <si>
    <t>Sous CS de libération du local. Boulangerie dans une zone commerciale forte à proximité d'avenue 83 et Toulon Grand Var. Terrasse de 100 m².</t>
  </si>
  <si>
    <t>9/10 ans</t>
  </si>
  <si>
    <t>Ancien Casa dans une zone commerciale forte à proximité d'Avenue 83 et Toulon Grand Var.</t>
  </si>
  <si>
    <t>Ancien Point B (burger) dans une zone commercial à proximité du centre Auchan Mistral 7 au sud d'Avignon. 15M de flux annuel. Avec mezzanine et terrasse.</t>
  </si>
  <si>
    <t>Zone commerciale à côté du Leclerc de Champigny. Proximité directe avec les habitations.</t>
  </si>
  <si>
    <t>Local situé dans la Patte d'Oie d'Herblay. 60M de flux annuel.</t>
  </si>
  <si>
    <t>https://maps.app.goo.gl/RJ2QRVrW96tKL7ur6</t>
  </si>
  <si>
    <t>Centre commercial Boisseuil
Route de Toulouse</t>
  </si>
  <si>
    <t>Boisseuil</t>
  </si>
  <si>
    <t>3 bis</t>
  </si>
  <si>
    <t>11 bis</t>
  </si>
  <si>
    <t>16 bis</t>
  </si>
  <si>
    <t>16 ter</t>
  </si>
  <si>
    <t>24 bis</t>
  </si>
  <si>
    <t>29 bis</t>
  </si>
  <si>
    <t>30 bis</t>
  </si>
  <si>
    <t>30 ter</t>
  </si>
  <si>
    <t>31 bis</t>
  </si>
  <si>
    <t>39 bis</t>
  </si>
  <si>
    <t>K56</t>
  </si>
  <si>
    <t>140 + 94 (réserve)</t>
  </si>
  <si>
    <t>45 + 9 (réserve)</t>
  </si>
  <si>
    <t>390 + 78 (réserve)</t>
  </si>
  <si>
    <t>30 + 18 (réserve)</t>
  </si>
  <si>
    <t>35</t>
  </si>
  <si>
    <t>https://maps.app.goo.gl/RJ2QRVrW96tKL7ur7</t>
  </si>
  <si>
    <t>63.1</t>
  </si>
  <si>
    <t>63.2</t>
  </si>
  <si>
    <t>63.3</t>
  </si>
  <si>
    <t>63.4</t>
  </si>
  <si>
    <t>63.5</t>
  </si>
  <si>
    <t>63.6</t>
  </si>
  <si>
    <t>63.7</t>
  </si>
  <si>
    <t>63.8</t>
  </si>
  <si>
    <t>63.9</t>
  </si>
  <si>
    <t>63.10</t>
  </si>
  <si>
    <t>63.11</t>
  </si>
  <si>
    <t>63.12</t>
  </si>
  <si>
    <t>63.13</t>
  </si>
  <si>
    <t>63.14</t>
  </si>
  <si>
    <t>63.15</t>
  </si>
  <si>
    <t>63.16</t>
  </si>
  <si>
    <t>63.17</t>
  </si>
  <si>
    <t>63.18</t>
  </si>
  <si>
    <t>63.19</t>
  </si>
  <si>
    <t>63.20</t>
  </si>
  <si>
    <t>63.21</t>
  </si>
  <si>
    <t>63.22</t>
  </si>
  <si>
    <t>Fnac, Sephora, JD, Jules, Histoire d'Or, Promod, Nocibé</t>
  </si>
  <si>
    <t>45.777644</t>
  </si>
  <si>
    <t>45.777648</t>
  </si>
  <si>
    <t>1.3079232</t>
  </si>
  <si>
    <t>45.777587</t>
  </si>
  <si>
    <t>1.307970</t>
  </si>
  <si>
    <t>45.778069</t>
  </si>
  <si>
    <t>1.308084</t>
  </si>
  <si>
    <t>45.778001</t>
  </si>
  <si>
    <t>1.308245</t>
  </si>
  <si>
    <t>15 ter</t>
  </si>
  <si>
    <t>Flux annuel : 2,5M. Centre commercial au sud de Limoges avec un hypermarché à 60 M€ hors essence, dans une zone commercial Retail Park avec Kiabi, King Jouet, Aldi, Chaussea, McDonald's…</t>
  </si>
  <si>
    <t>63.23</t>
  </si>
  <si>
    <t>45.777693</t>
  </si>
  <si>
    <t>1.308492</t>
  </si>
  <si>
    <t>1.308529</t>
  </si>
  <si>
    <t>45.777624</t>
  </si>
  <si>
    <t>1.308347</t>
  </si>
  <si>
    <t>45.777803</t>
  </si>
  <si>
    <t>1.308585</t>
  </si>
  <si>
    <t>45.778245</t>
  </si>
  <si>
    <t>1.308796</t>
  </si>
  <si>
    <t>45.778275</t>
  </si>
  <si>
    <t>1.308923</t>
  </si>
  <si>
    <t>45.778260</t>
  </si>
  <si>
    <t>1.309398</t>
  </si>
  <si>
    <t>45.778192</t>
  </si>
  <si>
    <t>1.309527</t>
  </si>
  <si>
    <t>45.778097</t>
  </si>
  <si>
    <t>1.309610</t>
  </si>
  <si>
    <t>45.778067</t>
  </si>
  <si>
    <t>1.309519</t>
  </si>
  <si>
    <t>45.778052</t>
  </si>
  <si>
    <t>1.309436</t>
  </si>
  <si>
    <t>45.778045</t>
  </si>
  <si>
    <t>1.309369</t>
  </si>
  <si>
    <t>45.777932</t>
  </si>
  <si>
    <t>1.309036</t>
  </si>
  <si>
    <t>45.778342</t>
  </si>
  <si>
    <t>1.309653</t>
  </si>
  <si>
    <t>45.778445</t>
  </si>
  <si>
    <t>1.309210</t>
  </si>
  <si>
    <t>45.778274</t>
  </si>
  <si>
    <t>1.308592</t>
  </si>
  <si>
    <t>45.778189</t>
  </si>
  <si>
    <t>1.308502</t>
  </si>
  <si>
    <t>45.778145</t>
  </si>
  <si>
    <t>1.308445</t>
  </si>
  <si>
    <t>45.777951</t>
  </si>
  <si>
    <t>1.309564</t>
  </si>
  <si>
    <t>https://pub-843c46afc4cb41489909bce00c9b143d.r2.dev/63.1%20-%20Limoges/1.jpg; https://pub-843c46afc4cb41489909bce00c9b143d.r2.dev/63.1%20-%20Limoges/2.jpg; https://pub-843c46afc4cb41489909bce00c9b143d.r2.dev/63.1%20-%20Limoges/3.jpg; https://pub-843c46afc4cb41489909bce00c9b143d.r2.dev/63.1%20-%20Limoges/4.jpg; https://pub-843c46afc4cb41489909bce00c9b143d.r2.dev/63.1%20-%20Limoges/5%20Plan%20du%20centre.jpg</t>
  </si>
  <si>
    <t>3 500 € HT</t>
  </si>
  <si>
    <t>Centre commercial Cœur Lozère
Avenue de Ramilles</t>
  </si>
  <si>
    <t>Mende</t>
  </si>
  <si>
    <t>https://maps.app.goo.gl/7dsMYhd2KW95ZzZs5</t>
  </si>
  <si>
    <t>https://maps.app.goo.gl/7dsMYhd2KW95ZzZs6</t>
  </si>
  <si>
    <t>https://maps.app.goo.gl/7dsMYhd2KW95ZzZs7</t>
  </si>
  <si>
    <t>Hyper Leclerc Blotzheim
5 bis rue Pierre Clostermann</t>
  </si>
  <si>
    <t>Blotzheim</t>
  </si>
  <si>
    <t>https://maps.app.goo.gl/wNVbBxTsrAXKBrtc6</t>
  </si>
  <si>
    <t>3/6/9 ans</t>
  </si>
  <si>
    <t>Les galeries d'Huningue
9 avenue d'Alsace</t>
  </si>
  <si>
    <t>Les galeries d'Huningue
7 avenue d'Alsace</t>
  </si>
  <si>
    <t>https://maps.app.goo.gl/PkFc3TvBwkxAUjfeA</t>
  </si>
  <si>
    <t>https://maps.app.goo.gl/SsXW9FUhqGRYgzi97</t>
  </si>
  <si>
    <t>Les galeries d'Hegenheim
Rue d'Alschwill</t>
  </si>
  <si>
    <t>Hegenheim</t>
  </si>
  <si>
    <t>10 rue Alexandre Freund</t>
  </si>
  <si>
    <t>Saint-Louis</t>
  </si>
  <si>
    <t>https://maps.app.goo.gl/7edrJzm2ENiuUbcAA</t>
  </si>
  <si>
    <t>Bureaux dans le Leclerc Drive. Place de parking / Accueil / 3 open space / Cuisine</t>
  </si>
  <si>
    <t>65.1</t>
  </si>
  <si>
    <t>65.2</t>
  </si>
  <si>
    <t>Local disponible à la vente. Dans un retail Park avec drive Leclerc, à la frontière avec l'Allemagne et la Suisse</t>
  </si>
  <si>
    <t>C2</t>
  </si>
  <si>
    <t>https://pub-843c46afc4cb41489909bce00c9b143d.r2.dev/64%20-%20Blotzheim/1.jpg; https://pub-843c46afc4cb41489909bce00c9b143d.r2.dev/64%20-%20Blotzheim/2.jpg; https://pub-843c46afc4cb41489909bce00c9b143d.r2.dev/64%20-%20Blotzheim/3.jpg; https://pub-843c46afc4cb41489909bce00c9b143d.r2.dev/64%20-%20Blotzheim/4%20plan.jpg</t>
  </si>
  <si>
    <t>https://pub-843c46afc4cb41489909bce00c9b143d.r2.dev/65.1%20-%20Huningue/1.jpg; https://pub-843c46afc4cb41489909bce00c9b143d.r2.dev/65.1%20-%20Huningue/2.jpg; https://pub-843c46afc4cb41489909bce00c9b143d.r2.dev/65.1%20-%20Huningue/3%20Plan.png</t>
  </si>
  <si>
    <t>https://pub-843c46afc4cb41489909bce00c9b143d.r2.dev/65.2%20-%20Huningue/1.jpg; https://pub-843c46afc4cb41489909bce00c9b143d.r2.dev/65.2%20-%20Huningue/2.jpg; https://pub-843c46afc4cb41489909bce00c9b143d.r2.dev/65.2%20-%20Huningue/3%20Plan.jpg</t>
  </si>
  <si>
    <t>https://pub-843c46afc4cb41489909bce00c9b143d.r2.dev/66%20-%20Hegenheim/1.jpg; https://pub-843c46afc4cb41489909bce00c9b143d.r2.dev/66%20-%20Hegenheim/2.jpg; https://pub-843c46afc4cb41489909bce00c9b143d.r2.dev/66%20-%20Hegenheim/3.jpg; https://pub-843c46afc4cb41489909bce00c9b143d.r2.dev/66%20-%20Hegenheim/4%20Plan.jpg</t>
  </si>
  <si>
    <t>47.607373</t>
  </si>
  <si>
    <t>7.507876</t>
  </si>
  <si>
    <t>47.597285</t>
  </si>
  <si>
    <t>7.583632</t>
  </si>
  <si>
    <t>47.589208</t>
  </si>
  <si>
    <t>7.552250</t>
  </si>
  <si>
    <t>5 rue Victor Hugo</t>
  </si>
  <si>
    <t>Alfortville</t>
  </si>
  <si>
    <t>Bron</t>
  </si>
  <si>
    <t>Place du général Jean Raby</t>
  </si>
  <si>
    <t>1 000 €HT</t>
  </si>
  <si>
    <t>Colombes</t>
  </si>
  <si>
    <t>Joué les Tours</t>
  </si>
  <si>
    <t>Lille Fives</t>
  </si>
  <si>
    <t>Lille Hellemmes</t>
  </si>
  <si>
    <t>Montreuil</t>
  </si>
  <si>
    <t>Poissy</t>
  </si>
  <si>
    <t>Saint-Ouen</t>
  </si>
  <si>
    <t>La Queue en Brie</t>
  </si>
  <si>
    <t>Lyon Confluence</t>
  </si>
  <si>
    <t>L2</t>
  </si>
  <si>
    <t>L4</t>
  </si>
  <si>
    <t>L5</t>
  </si>
  <si>
    <t>1A</t>
  </si>
  <si>
    <t>8 et 9</t>
  </si>
  <si>
    <t>107</t>
  </si>
  <si>
    <t>108</t>
  </si>
  <si>
    <t>6A</t>
  </si>
  <si>
    <t>6B</t>
  </si>
  <si>
    <t>Bat. 2 - L1</t>
  </si>
  <si>
    <t>Bat. 2 - L2</t>
  </si>
  <si>
    <t>2200</t>
  </si>
  <si>
    <t>2100</t>
  </si>
  <si>
    <t>2000</t>
  </si>
  <si>
    <t>1000</t>
  </si>
  <si>
    <t>rue du Colonel Arnaud Beltrame</t>
  </si>
  <si>
    <t>178 rue Faidherbes</t>
  </si>
  <si>
    <t>https://maps.app.goo.gl/me3i2cvSJCdtSR2q6</t>
  </si>
  <si>
    <t>299 rue de Rosny</t>
  </si>
  <si>
    <t>30 rue Maurice Clerc</t>
  </si>
  <si>
    <t>12 bis rue des Bateliers</t>
  </si>
  <si>
    <t>rue Dunoyer de Segonzac</t>
  </si>
  <si>
    <t>Allée Louis Thomas Achille</t>
  </si>
  <si>
    <t>68.1</t>
  </si>
  <si>
    <t>68.2</t>
  </si>
  <si>
    <t>78.2</t>
  </si>
  <si>
    <t>68.3</t>
  </si>
  <si>
    <t>Hyper U Mende</t>
  </si>
  <si>
    <t>Braxton</t>
  </si>
  <si>
    <t>250 €/m² = 35 000 €</t>
  </si>
  <si>
    <t>139 €/m² = 31 780 €</t>
  </si>
  <si>
    <t>80 €/m² = 29 040 €</t>
  </si>
  <si>
    <t>183 €/m² = 20 130 €</t>
  </si>
  <si>
    <t>183 €/m² = 20 500 €</t>
  </si>
  <si>
    <t>150 €/m² = 25 050 €</t>
  </si>
  <si>
    <t>150 €/m² = 18 450 €</t>
  </si>
  <si>
    <t>80 €/m² = 16 004 €</t>
  </si>
  <si>
    <t>157 €/m² = 8 454 €</t>
  </si>
  <si>
    <t>140 €/m² = 21 000 €</t>
  </si>
  <si>
    <t>199 €/m² = 10 400 €</t>
  </si>
  <si>
    <t>198 €/m² = 7 600 €</t>
  </si>
  <si>
    <t>116 €/m² = 20 000 €</t>
  </si>
  <si>
    <t>147 €/m² = 46 995 €</t>
  </si>
  <si>
    <t>150 €/m² = 42 060 €</t>
  </si>
  <si>
    <t>184 €/m² = 24 300 €</t>
  </si>
  <si>
    <t>184 €/m² = 20 370 €</t>
  </si>
  <si>
    <t>310 €/m² = 40 000 €</t>
  </si>
  <si>
    <t>250 €/m² = 13 193 €</t>
  </si>
  <si>
    <t>200 €/m² = 30 446 €</t>
  </si>
  <si>
    <t>205 €/m² = 19 526 €</t>
  </si>
  <si>
    <t>260 €/m² = 9 789 €</t>
  </si>
  <si>
    <t>168 €/m² = 41 716 €</t>
  </si>
  <si>
    <t>131 €/m² = 34 610 €</t>
  </si>
  <si>
    <t>200 €/m² = 34 866 €</t>
  </si>
  <si>
    <t>133 €/m² = 31 811 €</t>
  </si>
  <si>
    <t>70.1</t>
  </si>
  <si>
    <t>70.2</t>
  </si>
  <si>
    <t>70.3</t>
  </si>
  <si>
    <t>70.4</t>
  </si>
  <si>
    <t>70.5</t>
  </si>
  <si>
    <t>70.6</t>
  </si>
  <si>
    <t>70.7</t>
  </si>
  <si>
    <t>70.8</t>
  </si>
  <si>
    <t>74.1</t>
  </si>
  <si>
    <t>74.2</t>
  </si>
  <si>
    <t>74.3</t>
  </si>
  <si>
    <t>75.1</t>
  </si>
  <si>
    <t>75.2</t>
  </si>
  <si>
    <t>76.1</t>
  </si>
  <si>
    <t>76.2</t>
  </si>
  <si>
    <t>78.1</t>
  </si>
  <si>
    <t>78.3</t>
  </si>
  <si>
    <t>78.4</t>
  </si>
  <si>
    <t>79.1</t>
  </si>
  <si>
    <t>79.2</t>
  </si>
  <si>
    <t>79.3</t>
  </si>
  <si>
    <t>79.4</t>
  </si>
  <si>
    <t>44.515376</t>
  </si>
  <si>
    <t>3.479772</t>
  </si>
  <si>
    <t>44.515273</t>
  </si>
  <si>
    <t>3.479533</t>
  </si>
  <si>
    <t>44.515519</t>
  </si>
  <si>
    <t>3.479734</t>
  </si>
  <si>
    <t>Gemo, King Jouet, Sport 2000, …</t>
  </si>
  <si>
    <t>Seul Hypermarché de la Lozère. CA de 75 M€, dans une bonne zone commerciale avec McDonald's, Bricomarché, Feu Vert, But, Picard, Gamm Vert…</t>
  </si>
  <si>
    <t>300 + 80</t>
  </si>
  <si>
    <t>Cession de droit au bail. Seul Hypermarché de la Lozère. CA de 75 M€, dans une bonne zone commerciale avec McDonald's, Bricomarché, Feu Vert, But, Picard, Gamm Vert…</t>
  </si>
  <si>
    <t>https://pub-843c46afc4cb41489909bce00c9b143d.r2.dev/68.1%20-%20Mende/1.jpg; https://pub-843c46afc4cb41489909bce00c9b143d.r2.dev/68.1%20-%20Mende/2.jpg; https://pub-843c46afc4cb41489909bce00c9b143d.r2.dev/68.1%20-%20Mende/3.jpg; https://pub-843c46afc4cb41489909bce00c9b143d.r2.dev/68.1%20-%20Mende/4.jpg; https://pub-843c46afc4cb41489909bce00c9b143d.r2.dev/68.1%20-%20Mende/5%20Plan.jpg</t>
  </si>
  <si>
    <t>Location ou à vendre. Seul Hypermarché de la Lozère. CA de 75 M€, dans une bonne zone commerciale avec McDonald's, Bricomarché, Feu Vert, But, Picard, Gamm Vert…</t>
  </si>
  <si>
    <t>110 €/m² = 42 000 €</t>
  </si>
  <si>
    <t>112 €/m² = 50 000 €</t>
  </si>
  <si>
    <t>186 €/m² = 55 800 €</t>
  </si>
  <si>
    <t>186 €/m² = 113 088 €</t>
  </si>
  <si>
    <t>186 €/m² = 47 802 €</t>
  </si>
  <si>
    <t>154 €/m² = 38 500 €</t>
  </si>
  <si>
    <t>108 €/m² = 60 000 €</t>
  </si>
  <si>
    <t>133 €/m² = 6 000 €</t>
  </si>
  <si>
    <t>2 500 € HT</t>
  </si>
  <si>
    <t>186 €/m² = 16 000 €</t>
  </si>
  <si>
    <t>186 €/m² = 16 930 €</t>
  </si>
  <si>
    <t>https://maps.app.goo.gl/EzmYRRQFbZTUfMgWA</t>
  </si>
  <si>
    <t>18 rue de la rotière</t>
  </si>
  <si>
    <t>12 rue des chaudronniers</t>
  </si>
  <si>
    <t>https://maps.app.goo.gl/w5ksJWmpjf6JHwuZ9</t>
  </si>
  <si>
    <t>1B</t>
  </si>
  <si>
    <t>2 000 €HT</t>
  </si>
  <si>
    <t>70.9</t>
  </si>
  <si>
    <t>150 €/m² = 14 040 €</t>
  </si>
  <si>
    <t>https://maps.app.goo.gl/ww9GAH812yRmraCX9</t>
  </si>
  <si>
    <t>165 rue des Entrepreneurs</t>
  </si>
  <si>
    <t>48.933922</t>
  </si>
  <si>
    <t>2.256854</t>
  </si>
  <si>
    <t>https://pub-843c46afc4cb41489909bce00c9b143d.r2.dev/71%20-%20Colombes/1.jpg; https://pub-843c46afc4cb41489909bce00c9b143d.r2.dev/71%20-%20Colombes/2%20Plan.jpg</t>
  </si>
  <si>
    <t>https://maps.app.goo.gl/2mbEqH5zKtVKPgKFA</t>
  </si>
  <si>
    <t>3.090373</t>
  </si>
  <si>
    <t>50.625926</t>
  </si>
  <si>
    <t>https://pub-843c46afc4cb41489909bce00c9b143d.r2.dev/73%20-%20Lille%20Fives/1.jpg; https://pub-843c46afc4cb41489909bce00c9b143d.r2.dev/73%20-%20Lille%20Fives/2.jpg; https://pub-843c46afc4cb41489909bce00c9b143d.r2.dev/73%20-%20Lille%20Fives/3%20Plan.jpg</t>
  </si>
  <si>
    <t>50.632992</t>
  </si>
  <si>
    <t>3.113919</t>
  </si>
  <si>
    <t>50.632786</t>
  </si>
  <si>
    <t>50.632760</t>
  </si>
  <si>
    <t>3.114042</t>
  </si>
  <si>
    <t>https://pub-843c46afc4cb41489909bce00c9b143d.r2.dev/74.1%20-%20Lille%20Hellemmes/1.jpg; https://pub-843c46afc4cb41489909bce00c9b143d.r2.dev/74.1%20-%20Lille%20Hellemmes/2.jpg; https://pub-843c46afc4cb41489909bce00c9b143d.r2.dev/74.1%20-%20Lille%20Hellemmes/3%20Plan.jpg</t>
  </si>
  <si>
    <t>https://pub-843c46afc4cb41489909bce00c9b143d.r2.dev/74.2%20-%20Lille%20Hellemmes/1.jpg; https://pub-843c46afc4cb41489909bce00c9b143d.r2.dev/74.2%20-%20Lille%20Hellemmes/2%20Plan.jpg</t>
  </si>
  <si>
    <t>https://pub-843c46afc4cb41489909bce00c9b143d.r2.dev/74.3%20-%20Lille%20Hellemmes/1.jpg; https://pub-843c46afc4cb41489909bce00c9b143d.r2.dev/74.3%20-%20Lille%20Hellemmes/2%20Plan.jpg</t>
  </si>
  <si>
    <t>https://maps.app.goo.gl/5vVwME6BovPbouMz9</t>
  </si>
  <si>
    <t>https://pub-843c46afc4cb41489909bce00c9b143d.r2.dev/75.1%20-%20Montreuil/1.jpg; https://pub-843c46afc4cb41489909bce00c9b143d.r2.dev/75.1%20-%20Montreuil/2%20Plan.jpg; https://pub-843c46afc4cb41489909bce00c9b143d.r2.dev/75.1%20-%20Montreuil/3%20Plan%20Fusion.jpg</t>
  </si>
  <si>
    <t>https://pub-843c46afc4cb41489909bce00c9b143d.r2.dev/75.2%20-%20Montreuil/1.jpg; https://pub-843c46afc4cb41489909bce00c9b143d.r2.dev/75.2%20-%20Montreuil/2.jpg; https://pub-843c46afc4cb41489909bce00c9b143d.r2.dev/75.2%20-%20Montreuil/3%20Plan.jpg; https://pub-843c46afc4cb41489909bce00c9b143d.r2.dev/75.1%20-%20Montreuil/3%20Plan%20Fusion.jpg</t>
  </si>
  <si>
    <t>48.871052</t>
  </si>
  <si>
    <t>2.469204</t>
  </si>
  <si>
    <t>48.871084</t>
  </si>
  <si>
    <t>2.469392</t>
  </si>
  <si>
    <t>23 rue Maurice Clerc</t>
  </si>
  <si>
    <t>https://maps.app.goo.gl/ajVfxHMoCB2jG3vs7</t>
  </si>
  <si>
    <t>https://maps.app.goo.gl/eRdJXpuznERVLR7a9</t>
  </si>
  <si>
    <t>48.920233</t>
  </si>
  <si>
    <t>2.017324</t>
  </si>
  <si>
    <t>48.920049</t>
  </si>
  <si>
    <t>2.017418</t>
  </si>
  <si>
    <t>https://pub-843c46afc4cb41489909bce00c9b143d.r2.dev/76.1%20-%20Poissy/1.jpg; https://pub-843c46afc4cb41489909bce00c9b143d.r2.dev/76.1%20-%20Poissy/2.jpg; https://pub-843c46afc4cb41489909bce00c9b143d.r2.dev/76.1%20-%20Poissy/3%20Plan.jpg</t>
  </si>
  <si>
    <t>https://pub-843c46afc4cb41489909bce00c9b143d.r2.dev/76.2%20-%20Poissy/1.jpg; https://pub-843c46afc4cb41489909bce00c9b143d.r2.dev/76.2%20-%20Poissy/2%20Plan.jpg</t>
  </si>
  <si>
    <t>129 + 12</t>
  </si>
  <si>
    <t>https://pub-843c46afc4cb41489909bce00c9b143d.r2.dev/77%20-%20Saint-Ouen/1.jpg; https://pub-843c46afc4cb41489909bce00c9b143d.r2.dev/77%20-%20Saint-Ouen/2.jpg; https://pub-843c46afc4cb41489909bce00c9b143d.r2.dev/77%20-%20Saint-Ouen/3.jpg; https://pub-843c46afc4cb41489909bce00c9b143d.r2.dev/77%20-%20Saint-Ouen/4%20Plan.jpg</t>
  </si>
  <si>
    <t>2.325731</t>
  </si>
  <si>
    <t>48.913834</t>
  </si>
  <si>
    <t>https://maps.app.goo.gl/DA8sieAsy7puzhcT8</t>
  </si>
  <si>
    <t>https://maps.app.goo.gl/uHCXJoR7ojgkrhhk9</t>
  </si>
  <si>
    <t>https://pub-843c46afc4cb41489909bce00c9b143d.r2.dev/78.1%20-%20La-Queue-en-Brie/1.jpg; https://pub-843c46afc4cb41489909bce00c9b143d.r2.dev/78.1%20-%20La-Queue-en-Brie/2%20Plan.jpg</t>
  </si>
  <si>
    <t>https://pub-843c46afc4cb41489909bce00c9b143d.r2.dev/78.2%20-%20La-Queue-en-Brie/1.jpg; https://pub-843c46afc4cb41489909bce00c9b143d.r2.dev/78.2%20-%20La-Queue-en-Brie/2.jpg; https://pub-843c46afc4cb41489909bce00c9b143d.r2.dev/78.2%20-%20La-Queue-en-Brie/3%20Plan.jpg</t>
  </si>
  <si>
    <t>https://pub-843c46afc4cb41489909bce00c9b143d.r2.dev/78.2%20-%20La-Queue-en-Brie/1.jpg; https://pub-843c46afc4cb41489909bce00c9b143d.r2.dev/78.3%20-%20La-Queue-en-Brie/2.jpg; https://pub-843c46afc4cb41489909bce00c9b143d.r2.dev/78.3%20-%20La-Queue-en-Brie/3%20Plan.jpg</t>
  </si>
  <si>
    <t>https://pub-843c46afc4cb41489909bce00c9b143d.r2.dev/78.2%20-%20La-Queue-en-Brie/1.jpg; https://pub-843c46afc4cb41489909bce00c9b143d.r2.dev/78.4%20-%20La-Queue-en-Brie/2.jpg; https://pub-843c46afc4cb41489909bce00c9b143d.r2.dev/78.4%20-%20La-Queue-en-Brie/3%20Plan.jpg</t>
  </si>
  <si>
    <t>48.789001</t>
  </si>
  <si>
    <t>2.577466</t>
  </si>
  <si>
    <t>48.788653</t>
  </si>
  <si>
    <t>2.576624</t>
  </si>
  <si>
    <t>48.788766</t>
  </si>
  <si>
    <t>2.576691</t>
  </si>
  <si>
    <t>48.788884</t>
  </si>
  <si>
    <t>2.576643</t>
  </si>
  <si>
    <t>170 + 78</t>
  </si>
  <si>
    <t>164 + 76</t>
  </si>
  <si>
    <t>170 + 94</t>
  </si>
  <si>
    <t>164 + 88</t>
  </si>
  <si>
    <t>160 + 79</t>
  </si>
  <si>
    <t>157 + 78</t>
  </si>
  <si>
    <t>https://pub-843c46afc4cb41489909bce00c9b143d.r2.dev/79.1%20-%20Lyon%20Confluence/1.jpg; https://pub-843c46afc4cb41489909bce00c9b143d.r2.dev/79.1%20-%20Lyon%20Confluence/2.jpg; https://pub-843c46afc4cb41489909bce00c9b143d.r2.dev/79.1%20-%20Lyon%20Confluence/3.jpg; https://pub-843c46afc4cb41489909bce00c9b143d.r2.dev/79.1%20-%20Lyon%20Confluence/4%20Plan%20RDC.jpg; https://pub-843c46afc4cb41489909bce00c9b143d.r2.dev/79.1%20-%20Lyon%20Confluence/5%20Plan%20Mezzanine.jpg</t>
  </si>
  <si>
    <t>https://pub-843c46afc4cb41489909bce00c9b143d.r2.dev/79.1%20-%20Lyon%20Confluence/1.jpg; https://pub-843c46afc4cb41489909bce00c9b143d.r2.dev/79.1%20-%20Lyon%20Confluence/2.jpg; https://pub-843c46afc4cb41489909bce00c9b143d.r2.dev/79.1%20-%20Lyon%20Confluence/3.jpg; https://pub-843c46afc4cb41489909bce00c9b143d.r2.dev/79.2%20-%20Lyon%20Confluence/4%20Plan%20RDC.jpg; https://pub-843c46afc4cb41489909bce00c9b143d.r2.dev/79.2%20-%20Lyon%20Confluence/5%20Plan%20Mezzanine.jpg</t>
  </si>
  <si>
    <t>https://pub-843c46afc4cb41489909bce00c9b143d.r2.dev/79.1%20-%20Lyon%20Confluence/1.jpg; https://pub-843c46afc4cb41489909bce00c9b143d.r2.dev/79.1%20-%20Lyon%20Confluence/2.jpg; https://pub-843c46afc4cb41489909bce00c9b143d.r2.dev/79.1%20-%20Lyon%20Confluence/3.jpg; https://pub-843c46afc4cb41489909bce00c9b143d.r2.dev/79.3%20-%20Lyon%20Confluence/4%20Plan.jpg</t>
  </si>
  <si>
    <t>https://pub-843c46afc4cb41489909bce00c9b143d.r2.dev/79.1%20-%20Lyon%20Confluence/1.jpg; https://pub-843c46afc4cb41489909bce00c9b143d.r2.dev/79.1%20-%20Lyon%20Confluence/2.jpg; https://pub-843c46afc4cb41489909bce00c9b143d.r2.dev/79.1%20-%20Lyon%20Confluence/3.jpg; https://pub-843c46afc4cb41489909bce00c9b143d.r2.dev/79.4%20-%20Lyon%20Confluence/4%20Plan%20RDC.jpg; https://pub-843c46afc4cb41489909bce00c9b143d.r2.dev/79.4%20-%20Lyon%20Confluence/5%20Plan%20Mezzanine.jpg</t>
  </si>
  <si>
    <t>https://maps.app.goo.gl/FLDeBwbMeGuVj3yz8</t>
  </si>
  <si>
    <t>45.739868</t>
  </si>
  <si>
    <t>4.821542</t>
  </si>
  <si>
    <t>45.739677</t>
  </si>
  <si>
    <t>4.821386</t>
  </si>
  <si>
    <t>45.739336</t>
  </si>
  <si>
    <t>4.821086</t>
  </si>
  <si>
    <t>45.739681</t>
  </si>
  <si>
    <t>4.821901</t>
  </si>
  <si>
    <t>45.748263</t>
  </si>
  <si>
    <t>4.909309</t>
  </si>
  <si>
    <t>45.748066</t>
  </si>
  <si>
    <t>4.908241</t>
  </si>
  <si>
    <t>45.748063</t>
  </si>
  <si>
    <t>4.908445</t>
  </si>
  <si>
    <t>45.748059</t>
  </si>
  <si>
    <t>4.908571</t>
  </si>
  <si>
    <t>45.748029</t>
  </si>
  <si>
    <t>4.908799</t>
  </si>
  <si>
    <t>45.748022</t>
  </si>
  <si>
    <t>4.908901</t>
  </si>
  <si>
    <t>https://pub-843c46afc4cb41489909bce00c9b143d.r2.dev/70.1%20-%20Bron/1.jpg; https://pub-843c46afc4cb41489909bce00c9b143d.r2.dev/70.1%20-%20Bron/Plan.jpg</t>
  </si>
  <si>
    <t>https://pub-843c46afc4cb41489909bce00c9b143d.r2.dev/70.2%20-%20Bron/Plan.jpg</t>
  </si>
  <si>
    <t>https://pub-843c46afc4cb41489909bce00c9b143d.r2.dev/70.3%20-%20Bron/Plan.jpg</t>
  </si>
  <si>
    <t>https://pub-843c46afc4cb41489909bce00c9b143d.r2.dev/70.5%20-%20Bron/Plan.jpg</t>
  </si>
  <si>
    <t>45.748935</t>
  </si>
  <si>
    <t>4.908890</t>
  </si>
  <si>
    <t>45.748909</t>
  </si>
  <si>
    <t>4.909025</t>
  </si>
  <si>
    <t>45.748882</t>
  </si>
  <si>
    <t>4.909322</t>
  </si>
  <si>
    <t>https://pub-843c46afc4cb41489909bce00c9b143d.r2.dev/70.7%20-%20Bron/1.jpg; https://pub-843c46afc4cb41489909bce00c9b143d.r2.dev/70.7%20-%20Bron/2%20Plan.jpg</t>
  </si>
  <si>
    <t>https://pub-843c46afc4cb41489909bce00c9b143d.r2.dev/70.8%20-%20Bron/1.jpg; https://pub-843c46afc4cb41489909bce00c9b143d.r2.dev/70.8%20-%20Bron/2%20Plan.jpg</t>
  </si>
  <si>
    <t>https://pub-843c46afc4cb41489909bce00c9b143d.r2.dev/70.9%20-%20Bron/1.jpg; https://pub-843c46afc4cb41489909bce00c9b143d.r2.dev/70.9%20-%20Bron/2%20Plan.jpg</t>
  </si>
  <si>
    <t>https://maps.app.goo.gl/GfhZUNK1YnH1sjCH8</t>
  </si>
  <si>
    <t>https://maps.app.goo.gl/Zjsx4hwsQ294HvbW8</t>
  </si>
  <si>
    <t>https://maps.app.goo.gl/9oE6HQ6JbPof2aLE7</t>
  </si>
  <si>
    <t>https://maps.app.goo.gl/nWGrhLd3151UgtAA9</t>
  </si>
  <si>
    <t>48.805038</t>
  </si>
  <si>
    <t>2.416027</t>
  </si>
  <si>
    <t>47.347902</t>
  </si>
  <si>
    <t>0.663426</t>
  </si>
  <si>
    <t>Local extensible jusqu'à 1 800 m². Hypermarché Carrefour avec Gemo et Electro Depot dans la zone. CA Hyper : 84 M€. 4,8 M de flux annuel avec 75 000 véhicules par jour.</t>
  </si>
  <si>
    <t>Hypermarché Carrefour avec Gemo et Electro Depot dans la zone. CA Hyper : 84 M€. 4,8 M de flux annuel avec 75 000 véhicules par jour.</t>
  </si>
  <si>
    <t>CA Hyper : 92 M€. Centre commercial dans une zone commerciale : BoConcept, B&amp;M, Saint-Maclou, Chaussea, Darty, Kiabi</t>
  </si>
  <si>
    <t>30</t>
  </si>
  <si>
    <t>41</t>
  </si>
  <si>
    <t>30.3</t>
  </si>
  <si>
    <t>30.4</t>
  </si>
  <si>
    <t>49.125304</t>
  </si>
  <si>
    <t>2.244572</t>
  </si>
  <si>
    <t>49.125622</t>
  </si>
  <si>
    <t>2.245063</t>
  </si>
  <si>
    <t>49.125346</t>
  </si>
  <si>
    <t>2.244733</t>
  </si>
  <si>
    <t>49.125469</t>
  </si>
  <si>
    <t>2.245258</t>
  </si>
  <si>
    <t>https://pub-843c46afc4cb41489909bce00c9b143d.r2.dev/30.1%20-%20L'Isle-Adam/1.jpg; https://pub-843c46afc4cb41489909bce00c9b143d.r2.dev/30.1%20-%20L'Isle-Adam/2.jpg; https://pub-843c46afc4cb41489909bce00c9b143d.r2.dev/30.1%20-%20L'Isle-Adam/3.jpg; https://pub-843c46afc4cb41489909bce00c9b143d.r2.dev/30.1%20-%20L'Isle-Adam/4%20Plan%20du%20centre.jpg</t>
  </si>
  <si>
    <t>Avenue du Général de Gaulle</t>
  </si>
  <si>
    <t>Pont-Saint-Esprit</t>
  </si>
  <si>
    <t>https://maps.app.goo.gl/bTkGBYD9yqpG4msx8</t>
  </si>
  <si>
    <t>Petite zone commerciale avec U express, M. Bricolage, Sport 2000, ameublement, pharmacie et boulangerie. Il y a également un carrefour market avec station essence</t>
  </si>
  <si>
    <t>158 €/m² = 12 000 €</t>
  </si>
  <si>
    <t>44.240512</t>
  </si>
  <si>
    <t>4.639736</t>
  </si>
  <si>
    <t>https://pub-843c46afc4cb41489909bce00c9b143d.r2.dev/80%20-%20Pont-Saint-Esprit/1.png; https://pub-843c46afc4cb41489909bce00c9b143d.r2.dev/80%20-%20Pont-Saint-Esprit/2.png; https://pub-843c46afc4cb41489909bce00c9b143d.r2.dev/80%20-%20Pont-Saint-Esprit/3%20Plan.png</t>
  </si>
  <si>
    <t>DGS</t>
  </si>
  <si>
    <t>https://pub-843c46afc4cb41489909bce00c9b143d.r2.dev/81%20-%20Al%C3%A8s/1.jpg; https://pub-843c46afc4cb41489909bce00c9b143d.r2.dev/81%20-%20Al%C3%A8s/2.jpg; https://pub-843c46afc4cb41489909bce00c9b143d.r2.dev/81%20-%20Al%C3%A8s/3.jpg; https://pub-843c46afc4cb41489909bce00c9b143d.r2.dev/81%20-%20Al%C3%A8s/4%20Plan.jpg</t>
  </si>
  <si>
    <t>https://maps.app.goo.gl/LsJfnZ98LHYEaS8t9</t>
  </si>
  <si>
    <t>Alès</t>
  </si>
  <si>
    <t>Zone Commerciale Porte Sud
1585 Quai du Mas d'Hours</t>
  </si>
  <si>
    <t>44.106352</t>
  </si>
  <si>
    <t>4.097248</t>
  </si>
  <si>
    <t>https://maps.app.goo.gl/AWwG6d4P1DxPWbZ87</t>
  </si>
  <si>
    <t>Boulevard de Tilsit - Carrefour ZAC du Pont des Rayons</t>
  </si>
  <si>
    <t>49.127416</t>
  </si>
  <si>
    <t>2.246095</t>
  </si>
  <si>
    <t>https://pub-843c46afc4cb41489909bce00c9b143d.r2.dev/82%20-%20L'Isle-Adam/1.jpg; https://pub-843c46afc4cb41489909bce00c9b143d.r2.dev/82%20-%20L'Isle-Adam/2.jpg; https://pub-843c46afc4cb41489909bce00c9b143d.r2.dev/82%20-%20L'Isle-Adam/3%20Plan.jpg</t>
  </si>
  <si>
    <t>https://pub-843c46afc4cb41489909bce00c9b143d.r2.dev/69%20-%20Alfortville/1.jpg; https://pub-843c46afc4cb41489909bce00c9b143d.r2.dev/69%20-%20Alfortville/2%20Plan.jpg; https://pub-843c46afc4cb41489909bce00c9b143d.r2.dev/69%20-%20Alfortville/3%20Plan%20Mesure.jpg</t>
  </si>
  <si>
    <t>420 + 138</t>
  </si>
  <si>
    <t>https://pub-843c46afc4cb41489909bce00c9b143d.r2.dev/68.1%20-%20Mende/1.jpg; https://pub-843c46afc4cb41489909bce00c9b143d.r2.dev/68.1%20-%20Mende/2.jpg; https://pub-843c46afc4cb41489909bce00c9b143d.r2.dev/68.1%20-%20Mende/3.jpg; https://pub-843c46afc4cb41489909bce00c9b143d.r2.dev/68.1%20-%20Mende/4.jpg; https://pub-843c46afc4cb41489909bce00c9b143d.r2.dev/68.1%20-%20Mende/5%20Plan.jpg; https://pub-843c46afc4cb41489909bce00c9b143d.r2.dev/68.1%20-%20Mende/6%20Fa%C3%A7ade.jpg; https://pub-843c46afc4cb41489909bce00c9b143d.r2.dev/68.1%20-%20Mende/7%20Plan%20RDC.jpg; https://pub-843c46afc4cb41489909bce00c9b143d.r2.dev/68.1%20-%20Mende/8%20Plan%20Mezzanine.jpg</t>
  </si>
  <si>
    <t>Charges et taxes comprises. Local en angle d'un supermarché de 45 M€ dans une très belle zone 100% commercialisée (Intersport, Bricomarché, V&amp;B, Maxizoo, Chaussea, Optical Centre, etc.)</t>
  </si>
  <si>
    <t>353 €/m² = 35 000 €</t>
  </si>
  <si>
    <t>https://pub-843c46afc4cb41489909bce00c9b143d.r2.dev/34.1%20-%20Loches/1.jpg; https://pub-843c46afc4cb41489909bce00c9b143d.r2.dev/34.1%20-%20Loches/2.jpg; https://pub-843c46afc4cb41489909bce00c9b143d.r2.dev/34.1%20-%20Loches/3.jpg; https://pub-843c46afc4cb41489909bce00c9b143d.r2.dev/34.1%20-%20Loches/4%20Plan.jpg; https://pub-843c46afc4cb41489909bce00c9b143d.r2.dev/34.1%20-%20Loches/5%20Plan%20galerie.jpg</t>
  </si>
  <si>
    <t>34 rue Carnot</t>
  </si>
  <si>
    <t>https://maps.app.goo.gl/s38P4ug4gx2nQPqW6</t>
  </si>
  <si>
    <t>Chaville</t>
  </si>
  <si>
    <t>1 000 € HT</t>
  </si>
  <si>
    <t>319 €/m² = 80 000 €</t>
  </si>
  <si>
    <t>48.812348</t>
  </si>
  <si>
    <t>2.187535</t>
  </si>
  <si>
    <t>https://pub-843c46afc4cb41489909bce00c9b143d.r2.dev/83%20-%20Chaville/1.jpg; https://pub-843c46afc4cb41489909bce00c9b143d.r2.dev/83%20-%20Chaville/2%20Plan.jpg</t>
  </si>
  <si>
    <t>60.1</t>
  </si>
  <si>
    <t>https://maps.app.goo.gl/e1ddei1i8yHZXuQi9</t>
  </si>
  <si>
    <t>178 + terrasse de 40 couverts</t>
  </si>
  <si>
    <t>46.220504</t>
  </si>
  <si>
    <t>5.242383</t>
  </si>
  <si>
    <t>https://pub-843c46afc4cb41489909bce00c9b143d.r2.dev/60.1%20-%20Bourg-en-Bresse/1.jpg; https://pub-843c46afc4cb41489909bce00c9b143d.r2.dev/60.1%20-%20Bourg-en-Bresse/2.jpg; https://pub-843c46afc4cb41489909bce00c9b143d.r2.dev/60.1%20-%20Bourg-en-Bresse/3.jpg; https://pub-843c46afc4cb41489909bce00c9b143d.r2.dev/60.1%20-%20Bourg-en-Bresse/4.jpg; https://pub-843c46afc4cb41489909bce00c9b143d.r2.dev/60.1%20-%20Bourg-en-Bresse/5%20Plan%20de%20situation.jpg; https://pub-843c46afc4cb41489909bce00c9b143d.r2.dev/60.1%20-%20Bourg-en-Bresse/6%20Plan.jpg</t>
  </si>
  <si>
    <t>60.2</t>
  </si>
  <si>
    <t>https://pub-843c46afc4cb41489909bce00c9b143d.r2.dev/60.1%20-%20Bourg-en-Bresse/1.jpg; https://pub-843c46afc4cb41489909bce00c9b143d.r2.dev/60.1%20-%20Bourg-en-Bresse/2.jpg; https://pub-843c46afc4cb41489909bce00c9b143d.r2.dev/60.2%20-%20Bourg-en-Bresse/3.jpg; https://pub-843c46afc4cb41489909bce00c9b143d.r2.dev/60.2%20-%20Bourg-en-Bresse/4.jpg; https://pub-843c46afc4cb41489909bce00c9b143d.r2.dev/60.2%20-%20Bourg-en-Bresse/5.jpg; https://pub-843c46afc4cb41489909bce00c9b143d.r2.dev/60.2%20-%20Bourg-en-Bresse/6%20Plan%20de%20situation.jpg</t>
  </si>
  <si>
    <t xml:space="preserve">Au BP. FdC : 410 k€. Pas de porte : 200 k€ </t>
  </si>
  <si>
    <t>Cession de droit au bail, dans le cadre d'un départ à la retraite. 1er centre commercial de l'Ain. 1,3 M de Tickets hyper/an. 50 magasins</t>
  </si>
  <si>
    <t>Anet</t>
  </si>
  <si>
    <t>Leclerc Anet</t>
  </si>
  <si>
    <t>https://maps.app.goo.gl/NkkbpN9r686ViCMz7</t>
  </si>
  <si>
    <t>48.862174</t>
  </si>
  <si>
    <t>1.458129</t>
  </si>
  <si>
    <t>Forfait de charges. Galerie du Leclerc d'Anet : 70 M€ hors essence. CA Total de la zone : 150 M€</t>
  </si>
  <si>
    <t>11 rue Diane de Poitiers</t>
  </si>
  <si>
    <t>https://maps.app.goo.gl/urSsbk4EKDxKevN88</t>
  </si>
  <si>
    <t>Local en pied d'immeuble. Surface de 120 m² de surface de vente + 70 m² de réserve arrière + cave</t>
  </si>
  <si>
    <t>Restaurants, coiffeur, boulangerie, commerce de proximité</t>
  </si>
  <si>
    <t>Saïd Bettache</t>
  </si>
  <si>
    <t>48.857358</t>
  </si>
  <si>
    <t>1.438630</t>
  </si>
  <si>
    <t>https://pub-843c46afc4cb41489909bce00c9b143d.r2.dev/85%20-%20Anet/1.jpg; https://pub-843c46afc4cb41489909bce00c9b143d.r2.dev/85%20-%20Anet/2.jpg; https://pub-843c46afc4cb41489909bce00c9b143d.r2.dev/85%20-%20Anet/3.jpg; https://pub-843c46afc4cb41489909bce00c9b143d.r2.dev/85%20-%20Anet/4.jpg; https://pub-843c46afc4cb41489909bce00c9b143d.r2.dev/85%20-%20Anet/5.jpg; https://pub-843c46afc4cb41489909bce00c9b143d.r2.dev/85%20-%20Anet/6.jpg; https://pub-843c46afc4cb41489909bce00c9b143d.r2.dev/85%20-%20Anet/7.jpg; https://pub-843c46afc4cb41489909bce00c9b143d.r2.dev/85%20-%20Anet/8.jpg; https://pub-843c46afc4cb41489909bce00c9b143d.r2.dev/85%20-%20Anet/9.jpg</t>
  </si>
  <si>
    <t>https://pub-843c46afc4cb41489909bce00c9b143d.r2.dev/84%20-%20Anet%20Leclerc/1.png; https://pub-843c46afc4cb41489909bce00c9b143d.r2.dev/84%20-%20Anet%20Leclerc/2.jpg; https://pub-843c46afc4cb41489909bce00c9b143d.r2.dev/84%20-%20Anet%20Leclerc/3.jpg; https://pub-843c46afc4cb41489909bce00c9b143d.r2.dev/84%20-%20Anet%20Leclerc/4.jpg; https://pub-843c46afc4cb41489909bce00c9b143d.r2.dev/84%20-%20Anet%20Leclerc/5.jpg</t>
  </si>
  <si>
    <t>1,6M de flux par an. Pied d'immeuble dans un quartier bureau/résidentiel</t>
  </si>
  <si>
    <t>1,55M de flux par an. 9m de linéaire au pied d'un immeuble de bureaux</t>
  </si>
  <si>
    <t>1M de flux par an. Ancien restaurant d'entreprise dans un immeuble de bureaux avec accès indépendant par escalier et ascenseur. Charges en cours.</t>
  </si>
  <si>
    <t>2,6M de flux par an. Quartier résidentiel et de commerce de proximité. Fréquentation équilibrée toute la semaine, dans un quartier haut de gamme.</t>
  </si>
  <si>
    <t>9M de flux par an. Résidence, bureau, étudiant, proximité gare de Lyon</t>
  </si>
  <si>
    <t>10 + 24m² &lt; 1m80 (SS) + 165</t>
  </si>
  <si>
    <t>1,2 M de flux par an, avant ouverture du nouveau siège Engie (9 000 emplois). Quartier résidentiel et de bureau</t>
  </si>
  <si>
    <t>250k de flux par an. 15 000 personnes dans une zone de chalandise de 15 minutes à pied. Dans un ensemble de 125 logements privés allant du T2 au T5, avec une moyenne de 3,5 personnes/foyer. 2 200 logements privés à proximité.</t>
  </si>
  <si>
    <t>2,4 M de flux par an. Quartier d'affaires de Lyon, à 15 minutes de la gare de Lyon Part-Dieu. 15 m de linéaire. Terrasse sous réserve de validation de la Mairie</t>
  </si>
  <si>
    <t>Angers</t>
  </si>
  <si>
    <t>10 Rue du Grand Launay</t>
  </si>
  <si>
    <t>https://maps.app.goo.gl/ZB7EoAbkDh1u5HFp8</t>
  </si>
  <si>
    <t>02 - 03</t>
  </si>
  <si>
    <t>10 - 11</t>
  </si>
  <si>
    <t>22</t>
  </si>
  <si>
    <t>29 - 30</t>
  </si>
  <si>
    <t>34</t>
  </si>
  <si>
    <t>43</t>
  </si>
  <si>
    <t>44</t>
  </si>
  <si>
    <t>48A</t>
  </si>
  <si>
    <t>49</t>
  </si>
  <si>
    <t>51 - 52</t>
  </si>
  <si>
    <t>54</t>
  </si>
  <si>
    <t>56 - 57</t>
  </si>
  <si>
    <t>59</t>
  </si>
  <si>
    <t>70</t>
  </si>
  <si>
    <t>3,1 M de flux/an avec 67 boutiques. 22 000 m² de surface de la galerie. 1 500 places de parking. Rénovation du centre en 2013.</t>
  </si>
  <si>
    <t>Carrol, Nocibé, Promod, Adopt, Histoire d'Or, Pharmacie, Normal</t>
  </si>
  <si>
    <t>Régie du commerce</t>
  </si>
  <si>
    <t>47.468088</t>
  </si>
  <si>
    <t>-0.595598</t>
  </si>
  <si>
    <t>47.468189</t>
  </si>
  <si>
    <t>-0.594770</t>
  </si>
  <si>
    <t>47.468281</t>
  </si>
  <si>
    <t>-0.594815</t>
  </si>
  <si>
    <t>47.468254</t>
  </si>
  <si>
    <t>-0.595625</t>
  </si>
  <si>
    <t>47.468174</t>
  </si>
  <si>
    <t>-0.596172</t>
  </si>
  <si>
    <t>47.467911</t>
  </si>
  <si>
    <t>-0.596336</t>
  </si>
  <si>
    <t>47.468210</t>
  </si>
  <si>
    <t>-0.596378</t>
  </si>
  <si>
    <t>47.468257</t>
  </si>
  <si>
    <t>-0.596325</t>
  </si>
  <si>
    <t>47.468473</t>
  </si>
  <si>
    <t>-0.594962</t>
  </si>
  <si>
    <t>47.468482</t>
  </si>
  <si>
    <t>-0.594844</t>
  </si>
  <si>
    <t>47.468335</t>
  </si>
  <si>
    <t>-0.594627</t>
  </si>
  <si>
    <t>47.468284</t>
  </si>
  <si>
    <t>-0.594530</t>
  </si>
  <si>
    <t>47.468223</t>
  </si>
  <si>
    <t>-0.594238</t>
  </si>
  <si>
    <t>47.468270</t>
  </si>
  <si>
    <t>47.468221</t>
  </si>
  <si>
    <t>-0.594235</t>
  </si>
  <si>
    <t>47.468034</t>
  </si>
  <si>
    <t>-0.594479</t>
  </si>
  <si>
    <t>-0.596569</t>
  </si>
  <si>
    <t>3,1 M de flux/an avec 67 boutiques. Cellule située au 1er étage. 22 000 m² de surface de la galerie. 1 500 places de parking. Rénovation du centre en 2013.</t>
  </si>
  <si>
    <t>86.1</t>
  </si>
  <si>
    <t>86.2</t>
  </si>
  <si>
    <t>86.3</t>
  </si>
  <si>
    <t>86.4</t>
  </si>
  <si>
    <t>86.5</t>
  </si>
  <si>
    <t>86.6</t>
  </si>
  <si>
    <t>86.7</t>
  </si>
  <si>
    <t>86.8</t>
  </si>
  <si>
    <t>86.9</t>
  </si>
  <si>
    <t>86.10</t>
  </si>
  <si>
    <t>86.11</t>
  </si>
  <si>
    <t>86.12</t>
  </si>
  <si>
    <t>86.13</t>
  </si>
  <si>
    <t>86.14</t>
  </si>
  <si>
    <t>86.15</t>
  </si>
  <si>
    <t>86.16</t>
  </si>
  <si>
    <t>https://pub-843c46afc4cb41489909bce00c9b143d.r2.dev/86.1%20-%20Angers/1.png; https://pub-843c46afc4cb41489909bce00c9b143d.r2.dev/86.1%20-%20Angers/2.png; https://pub-843c46afc4cb41489909bce00c9b143d.r2.dev/86.1%20-%20Angers/3.png;https://pub-843c46afc4cb41489909bce00c9b143d.r2.dev/86.1%20-%20Angers/4.png; https://pub-843c46afc4cb41489909bce00c9b143d.r2.dev/86.1%20-%20Angers/5%20Situation%20ext%C3%A9rieur.png; https://pub-843c46afc4cb41489909bce00c9b143d.r2.dev/86.1%20-%20Angers/6%20Plan%20RDC.png; https://pub-843c46afc4cb41489909bce00c9b143d.r2.dev/86.1%20-%20Angers/7%20Plan%20R%2B1.png</t>
  </si>
  <si>
    <t>https://maps.app.goo.gl/Xe5mVhv32b2SqSBH7</t>
  </si>
  <si>
    <t>390 Rue Jean Marie Tjibaou</t>
  </si>
  <si>
    <t>9 - 10</t>
  </si>
  <si>
    <t>12 - 13 - 14</t>
  </si>
  <si>
    <t>20 - 21</t>
  </si>
  <si>
    <t>22 - 23 - 24</t>
  </si>
  <si>
    <t>25</t>
  </si>
  <si>
    <t>27 - 28</t>
  </si>
  <si>
    <t>31 - 32</t>
  </si>
  <si>
    <t>33 - 34 - 35 - 36</t>
  </si>
  <si>
    <t>38</t>
  </si>
  <si>
    <t>41 - 42</t>
  </si>
  <si>
    <t>Action pharmacie, optique, services</t>
  </si>
  <si>
    <t>87.1</t>
  </si>
  <si>
    <t>87.4</t>
  </si>
  <si>
    <t>87.5</t>
  </si>
  <si>
    <t>87.3</t>
  </si>
  <si>
    <t>87.2</t>
  </si>
  <si>
    <t>87.6</t>
  </si>
  <si>
    <t>87.7</t>
  </si>
  <si>
    <t>87.8</t>
  </si>
  <si>
    <t>87.9</t>
  </si>
  <si>
    <t>87.10</t>
  </si>
  <si>
    <t>87.11</t>
  </si>
  <si>
    <t>87.12</t>
  </si>
  <si>
    <t>87.13</t>
  </si>
  <si>
    <t>87.14</t>
  </si>
  <si>
    <t>87.15</t>
  </si>
  <si>
    <t>87.16</t>
  </si>
  <si>
    <t>https://pub-843c46afc4cb41489909bce00c9b143d.r2.dev/87.1%20-%20Avignon/1.jpg; https://pub-843c46afc4cb41489909bce00c9b143d.r2.dev/87.1%20-%20Avignon/2.jpg; https://pub-843c46afc4cb41489909bce00c9b143d.r2.dev/87.1%20-%20Avignon/3.jpg; https://pub-843c46afc4cb41489909bce00c9b143d.r2.dev/87.1%20-%20Avignon/4.jpg; https://pub-843c46afc4cb41489909bce00c9b143d.r2.dev/87.1%20-%20Avignon/5%20Plan.jpg</t>
  </si>
  <si>
    <t>43.928433</t>
  </si>
  <si>
    <t>4.792630</t>
  </si>
  <si>
    <t>43.928534</t>
  </si>
  <si>
    <t>4.792429</t>
  </si>
  <si>
    <t>43.928578</t>
  </si>
  <si>
    <t>4.792287</t>
  </si>
  <si>
    <t>43.928372</t>
  </si>
  <si>
    <t>4.792252</t>
  </si>
  <si>
    <t>43.928337</t>
  </si>
  <si>
    <t>4.792491</t>
  </si>
  <si>
    <t>43.928163</t>
  </si>
  <si>
    <t>4.792649</t>
  </si>
  <si>
    <t>43.928091</t>
  </si>
  <si>
    <t>4.792702</t>
  </si>
  <si>
    <t>43.927993</t>
  </si>
  <si>
    <t>4.792767</t>
  </si>
  <si>
    <t>43.927912</t>
  </si>
  <si>
    <t>4.792842</t>
  </si>
  <si>
    <t>43.927831</t>
  </si>
  <si>
    <t>4.792920</t>
  </si>
  <si>
    <t>43.927721</t>
  </si>
  <si>
    <t>4.792989</t>
  </si>
  <si>
    <t>43.927566</t>
  </si>
  <si>
    <t>4.792981</t>
  </si>
  <si>
    <t>43.927464</t>
  </si>
  <si>
    <t>4.792928</t>
  </si>
  <si>
    <t>43.927305</t>
  </si>
  <si>
    <t>4.793035</t>
  </si>
  <si>
    <t>43.927375</t>
  </si>
  <si>
    <t>4.793191</t>
  </si>
  <si>
    <t>43.927556</t>
  </si>
  <si>
    <t>4.793279</t>
  </si>
  <si>
    <t>https://maps.app.goo.gl/gbVM7iJLGEuEUtKL8</t>
  </si>
  <si>
    <t>Savonnières-devant-Bar</t>
  </si>
  <si>
    <t>7</t>
  </si>
  <si>
    <t>88.1</t>
  </si>
  <si>
    <t>88.2</t>
  </si>
  <si>
    <t>88.3</t>
  </si>
  <si>
    <t>88.4</t>
  </si>
  <si>
    <t>88.5</t>
  </si>
  <si>
    <t>88.6</t>
  </si>
  <si>
    <t>88.7</t>
  </si>
  <si>
    <t>88.8</t>
  </si>
  <si>
    <t>48.759734</t>
  </si>
  <si>
    <t>5.183675</t>
  </si>
  <si>
    <t>48.759787</t>
  </si>
  <si>
    <t>5.183294</t>
  </si>
  <si>
    <t>48.759805</t>
  </si>
  <si>
    <t>5.183109</t>
  </si>
  <si>
    <t>48.759831</t>
  </si>
  <si>
    <t>5.183028</t>
  </si>
  <si>
    <t>48.759936</t>
  </si>
  <si>
    <t>5.182924</t>
  </si>
  <si>
    <t>5.182543</t>
  </si>
  <si>
    <t>48.759969</t>
  </si>
  <si>
    <t>48.759990</t>
  </si>
  <si>
    <t>5.182452</t>
  </si>
  <si>
    <t>48.759932</t>
  </si>
  <si>
    <t>5.182444</t>
  </si>
  <si>
    <t>https://pub-843c46afc4cb41489909bce00c9b143d.r2.dev/88.1%20-%20Bar-Le-Duc/1.jpg; https://pub-843c46afc4cb41489909bce00c9b143d.r2.dev/88.1%20-%20Bar-Le-Duc/2.jpg; https://pub-843c46afc4cb41489909bce00c9b143d.r2.dev/88.1%20-%20Bar-Le-Duc/3%20Plan.jpg</t>
  </si>
  <si>
    <t>https://maps.app.goo.gl/tZBVFakEc2vBKi3x6</t>
  </si>
  <si>
    <t>Beaune</t>
  </si>
  <si>
    <t>Auchan, 1 Rue de Longeville</t>
  </si>
  <si>
    <t>89.1</t>
  </si>
  <si>
    <t>89.2</t>
  </si>
  <si>
    <t>89.3</t>
  </si>
  <si>
    <t>89.4</t>
  </si>
  <si>
    <t>47.016321</t>
  </si>
  <si>
    <t>4.838673</t>
  </si>
  <si>
    <t>47.016195</t>
  </si>
  <si>
    <t>4.838646</t>
  </si>
  <si>
    <t>47.016138</t>
  </si>
  <si>
    <t>4.837680</t>
  </si>
  <si>
    <t>47.016142</t>
  </si>
  <si>
    <t>4.838048</t>
  </si>
  <si>
    <t>Beaune St-Jacques, 9 Av. du Général de Gaulle</t>
  </si>
  <si>
    <t>https://pub-843c46afc4cb41489909bce00c9b143d.r2.dev/89.1%20-%20Beaune/1.jpg; https://pub-843c46afc4cb41489909bce00c9b143d.r2.dev/89.1%20-%20Beaune/2.jpg; https://pub-843c46afc4cb41489909bce00c9b143d.r2.dev/89.1%20-%20Beaune/3.jpg; https://pub-843c46afc4cb41489909bce00c9b143d.r2.dev/89.1%20-%20Beaune/4.jpg; https://pub-843c46afc4cb41489909bce00c9b143d.r2.dev/89.1%20-%20Beaune/5%20Plan.jpg</t>
  </si>
  <si>
    <t>https://maps.app.goo.gl/zhoYzL66k21Lqwzr5</t>
  </si>
  <si>
    <t>Calais</t>
  </si>
  <si>
    <t>Auchan 1 Av. Roger Salengro</t>
  </si>
  <si>
    <t>90.1</t>
  </si>
  <si>
    <t>90.2</t>
  </si>
  <si>
    <t>90.3</t>
  </si>
  <si>
    <t>90.4</t>
  </si>
  <si>
    <t>90.5</t>
  </si>
  <si>
    <t>50.944042</t>
  </si>
  <si>
    <t>1.807726</t>
  </si>
  <si>
    <t>50.943924</t>
  </si>
  <si>
    <t>1.807787</t>
  </si>
  <si>
    <t>50.944126</t>
  </si>
  <si>
    <t>1.808190</t>
  </si>
  <si>
    <t>50.944170</t>
  </si>
  <si>
    <t>1.808356</t>
  </si>
  <si>
    <t>50.944255</t>
  </si>
  <si>
    <t>1.809059</t>
  </si>
  <si>
    <t>Hyper à 100 M€ HT de CA</t>
  </si>
  <si>
    <t>https://pub-843c46afc4cb41489909bce00c9b143d.r2.dev/90.1%20-%20Calais/1.jpg; https://pub-843c46afc4cb41489909bce00c9b143d.r2.dev/90.1%20-%20Calais/2.jpg; https://pub-843c46afc4cb41489909bce00c9b143d.r2.dev/90.1%20-%20Calais/3.jpg; https://pub-843c46afc4cb41489909bce00c9b143d.r2.dev/90.1%20-%20Calais/4.jpg; https://pub-843c46afc4cb41489909bce00c9b143d.r2.dev/90.1%20-%20Calais/5.jpg; https://pub-843c46afc4cb41489909bce00c9b143d.r2.dev/90.1%20-%20Calais/6%20Plan%20du%20centre.jpg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</si>
</sst>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164" formatCode="#,##0\ [$€-40C];[Red]\-#,##0\ [$€-40C]"/>
    <numFmt numFmtId="165" formatCode="#,##0\ &quot;€&quot;"/>
    <numFmt numFmtId="166" formatCode="General&quot; m²&quot;"/>
    <numFmt numFmtId="167" formatCode="0.0%"/>
  </numFmts>
  <fonts count="11">
    <font>
      <sz val="11"/>
      <color theme="1"/>
      <name val="Aptos Narrow"/>
      <family val="2"/>
      <scheme val="minor"/>
    </font>
    <font>
      <sz val="10"/>
      <name val="Arial"/>
      <family val="2"/>
      <charset val="1"/>
    </font>
    <font>
      <u/>
      <sz val="11"/>
      <color theme="10"/>
      <name val="Aptos Narrow"/>
      <family val="2"/>
      <scheme val="minor"/>
    </font>
    <font>
      <sz val="10"/>
      <color rgb="FF0000FF"/>
      <name val="Arial"/>
      <family val="2"/>
      <charset val="1"/>
    </font>
    <font>
      <u/>
      <sz val="11"/>
      <color theme="10"/>
      <name val="Futura"/>
      <charset val="1"/>
    </font>
    <font>
      <sz val="11"/>
      <name val="Futura"/>
      <charset val="1"/>
    </font>
    <font>
      <b/>
      <sz val="11"/>
      <name val="Futura"/>
      <charset val="1"/>
    </font>
    <font>
      <u/>
      <sz val="14"/>
      <color theme="10"/>
      <name val="Futura"/>
      <charset val="1"/>
    </font>
    <font>
      <sz val="8"/>
      <name val="Aptos Narrow"/>
      <family val="2"/>
      <scheme val="minor"/>
    </font>
    <font>
      <b/>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E8E8E8"/>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s>
  <borders count="1">
    <border>
      <left/>
      <right/>
      <top/>
      <bottom/>
      <diagonal/>
    </border>
  </borders>
  <cellStyleXfs count="4">
    <xf numFmtId="0" fontId="0" fillId="0" borderId="0"/>
    <xf numFmtId="0" fontId="1" fillId="0" borderId="0"/>
    <xf numFmtId="0" fontId="2" fillId="0" borderId="0" applyNumberFormat="0" applyFill="0" applyBorder="0" applyAlignment="0" applyProtection="0"/>
    <xf numFmtId="9" fontId="10" fillId="0" borderId="0" applyFont="0" applyFill="0" applyBorder="0" applyAlignment="0" applyProtection="0"/>
  </cellStyleXfs>
  <cellXfs count="55">
    <xf numFmtId="0" fontId="0" fillId="0" borderId="0" xfId="0"/>
    <xf numFmtId="0" fontId="1" fillId="0" borderId="0" xfId="1"/>
    <xf numFmtId="0" fontId="2" fillId="0" borderId="0" xfId="2"/>
    <xf numFmtId="0" fontId="1" fillId="0" borderId="0" xfId="1" applyFill="1"/>
    <xf numFmtId="0" fontId="1" fillId="0" borderId="0" xfId="1" applyAlignment="1">
      <alignment horizontal="center" vertical="center"/>
    </xf>
    <xf numFmtId="0" fontId="1" fillId="0" borderId="0" xfId="1" applyAlignment="1">
      <alignment horizontal="center" vertical="center" wrapText="1"/>
    </xf>
    <xf numFmtId="164" fontId="1" fillId="0" borderId="0" xfId="1" applyNumberFormat="1" applyAlignment="1">
      <alignment horizontal="center" vertical="center"/>
    </xf>
    <xf numFmtId="0" fontId="1" fillId="0" borderId="0" xfId="1" applyAlignment="1">
      <alignment horizontal="left" vertical="center"/>
    </xf>
    <xf numFmtId="0" fontId="3" fillId="0" borderId="0" xfId="1" applyFont="1" applyAlignment="1">
      <alignment horizontal="left" vertical="center"/>
    </xf>
    <xf numFmtId="0" fontId="2" fillId="0" borderId="0" xfId="2" applyAlignment="1">
      <alignment horizontal="left" vertical="center"/>
    </xf>
    <xf numFmtId="0" fontId="1" fillId="0" borderId="0" xfId="1" applyFill="1" applyAlignment="1">
      <alignment horizontal="center" vertical="center"/>
    </xf>
    <xf numFmtId="0" fontId="1" fillId="0" borderId="0" xfId="1" applyFill="1" applyAlignment="1">
      <alignment horizontal="center" vertical="center" wrapText="1"/>
    </xf>
    <xf numFmtId="164" fontId="1" fillId="0" borderId="0" xfId="1" applyNumberFormat="1" applyFill="1" applyAlignment="1">
      <alignment horizontal="center" vertical="center"/>
    </xf>
    <xf numFmtId="0" fontId="1" fillId="0" borderId="0" xfId="1" applyFill="1" applyAlignment="1">
      <alignment horizontal="left" vertical="center" wrapText="1"/>
    </xf>
    <xf numFmtId="0" fontId="3" fillId="0" borderId="0" xfId="1" applyFont="1" applyFill="1" applyAlignment="1">
      <alignment horizontal="left" vertical="center"/>
    </xf>
    <xf numFmtId="0" fontId="2" fillId="0" borderId="0" xfId="2" applyFill="1" applyAlignment="1"/>
    <xf numFmtId="0" fontId="2" fillId="0" borderId="0" xfId="2" applyFill="1" applyAlignment="1">
      <alignment horizontal="left" vertical="center"/>
    </xf>
    <xf numFmtId="0" fontId="4" fillId="0" borderId="0" xfId="2" applyFont="1" applyAlignment="1">
      <alignment horizontal="center" vertical="center" wrapText="1"/>
    </xf>
    <xf numFmtId="0" fontId="5" fillId="0" borderId="0" xfId="1" applyFont="1"/>
    <xf numFmtId="0" fontId="5" fillId="0" borderId="0" xfId="1" applyFont="1" applyAlignment="1">
      <alignment horizontal="left" vertical="center"/>
    </xf>
    <xf numFmtId="0" fontId="5" fillId="0" borderId="0" xfId="1" applyFont="1" applyAlignment="1">
      <alignment horizontal="center" vertical="center"/>
    </xf>
    <xf numFmtId="165" fontId="5" fillId="0" borderId="0" xfId="1" applyNumberFormat="1" applyFont="1" applyAlignment="1">
      <alignment horizontal="center" vertical="center"/>
    </xf>
    <xf numFmtId="165" fontId="6" fillId="0" borderId="0" xfId="1" applyNumberFormat="1" applyFont="1" applyAlignment="1">
      <alignment horizontal="center" vertical="center"/>
    </xf>
    <xf numFmtId="0" fontId="5" fillId="0" borderId="0" xfId="1" applyFont="1" applyAlignment="1">
      <alignment horizontal="center" vertical="center" wrapText="1"/>
    </xf>
    <xf numFmtId="0" fontId="7" fillId="0" borderId="0" xfId="2" applyFont="1" applyAlignment="1">
      <alignment horizontal="center" vertical="center" wrapText="1"/>
    </xf>
    <xf numFmtId="3" fontId="1" fillId="0" borderId="0" xfId="1" applyNumberFormat="1" applyAlignment="1">
      <alignment horizontal="center" vertical="center"/>
    </xf>
    <xf numFmtId="3" fontId="1" fillId="0" borderId="0" xfId="1" applyNumberFormat="1" applyFill="1" applyAlignment="1">
      <alignment horizontal="center" vertical="center"/>
    </xf>
    <xf numFmtId="0" fontId="9" fillId="0" borderId="0" xfId="0" applyFont="1" applyAlignment="1">
      <alignment horizontal="center" vertical="center" wrapText="1"/>
    </xf>
    <xf numFmtId="0" fontId="0" fillId="0" borderId="0" xfId="0" applyAlignment="1">
      <alignment vertical="center" wrapText="1"/>
    </xf>
    <xf numFmtId="0" fontId="9" fillId="2" borderId="0" xfId="0" applyFont="1" applyFill="1" applyAlignment="1">
      <alignment horizontal="center" vertical="center" wrapText="1"/>
    </xf>
    <xf numFmtId="0" fontId="0" fillId="2" borderId="0" xfId="0" applyFill="1" applyAlignment="1">
      <alignment vertical="center" wrapText="1"/>
    </xf>
    <xf numFmtId="3" fontId="0" fillId="0" borderId="0" xfId="0" applyNumberFormat="1"/>
    <xf numFmtId="49" fontId="1" fillId="0" borderId="0" xfId="1" applyNumberFormat="1" applyAlignment="1">
      <alignment horizontal="center" vertical="center" wrapText="1"/>
    </xf>
    <xf numFmtId="166" fontId="1" fillId="0" borderId="0" xfId="1" applyNumberFormat="1" applyAlignment="1">
      <alignment horizontal="center" vertical="center"/>
    </xf>
    <xf numFmtId="166" fontId="1" fillId="0" borderId="0" xfId="1" applyNumberFormat="1" applyFill="1" applyAlignment="1">
      <alignment horizontal="center" vertical="center"/>
    </xf>
    <xf numFmtId="49" fontId="1" fillId="0" borderId="0" xfId="1" applyNumberFormat="1" applyAlignment="1">
      <alignment horizontal="center" vertical="center"/>
    </xf>
    <xf numFmtId="49" fontId="1" fillId="0" borderId="0" xfId="1" applyNumberFormat="1" applyFill="1" applyAlignment="1">
      <alignment horizontal="center" vertical="center"/>
    </xf>
    <xf numFmtId="167" fontId="1" fillId="0" borderId="0" xfId="3" applyNumberFormat="1" applyFont="1" applyAlignment="1">
      <alignment horizontal="center" vertical="center"/>
    </xf>
    <xf numFmtId="0" fontId="1" fillId="0" borderId="0" xfId="1" applyNumberFormat="1" applyFill="1" applyAlignment="1">
      <alignment horizontal="center" vertical="center"/>
    </xf>
    <xf numFmtId="0" fontId="1" fillId="0" borderId="0" xfId="1" applyNumberFormat="1" applyFill="1" applyAlignment="1">
      <alignment horizontal="center" vertical="center" wrapText="1"/>
    </xf>
    <xf numFmtId="0" fontId="1" fillId="0" borderId="0" xfId="1" applyAlignment="1">
      <alignment wrapText="1"/>
    </xf>
    <xf numFmtId="0" fontId="0" fillId="0" borderId="0" xfId="0" applyAlignment="1">
      <alignment wrapText="1"/>
    </xf>
    <xf numFmtId="0" fontId="1" fillId="3" borderId="0" xfId="1" applyFill="1" applyAlignment="1">
      <alignment horizontal="center" vertical="center"/>
    </xf>
    <xf numFmtId="6" fontId="1" fillId="0" borderId="0" xfId="1" applyNumberFormat="1" applyFill="1" applyAlignment="1">
      <alignment horizontal="center" vertical="center" wrapText="1"/>
    </xf>
    <xf numFmtId="14" fontId="1" fillId="0" borderId="0" xfId="1" applyNumberFormat="1" applyFill="1"/>
    <xf numFmtId="0" fontId="0" fillId="0" borderId="0" xfId="0" applyFill="1"/>
    <xf numFmtId="9" fontId="1" fillId="0" borderId="0" xfId="3" applyFont="1" applyAlignment="1">
      <alignment horizontal="center" vertical="center"/>
    </xf>
    <xf numFmtId="0" fontId="1" fillId="4" borderId="0" xfId="1" applyNumberFormat="1" applyFill="1" applyAlignment="1">
      <alignment horizontal="center" vertical="center" wrapText="1"/>
    </xf>
    <xf numFmtId="3" fontId="1" fillId="0" borderId="0" xfId="1" quotePrefix="1" applyNumberFormat="1" applyFill="1" applyAlignment="1">
      <alignment horizontal="center" vertical="center"/>
    </xf>
    <xf numFmtId="0" fontId="1" fillId="0" borderId="0" xfId="1" quotePrefix="1" applyFill="1" applyAlignment="1">
      <alignment horizontal="center" vertical="center"/>
    </xf>
    <xf numFmtId="9" fontId="1" fillId="0" borderId="0" xfId="3" applyFont="1" applyFill="1" applyAlignment="1">
      <alignment horizontal="center" vertical="center"/>
    </xf>
    <xf numFmtId="167" fontId="1" fillId="0" borderId="0" xfId="3" applyNumberFormat="1" applyFont="1" applyFill="1" applyAlignment="1">
      <alignment horizontal="center" vertical="center"/>
    </xf>
    <xf numFmtId="0" fontId="1" fillId="0" borderId="0" xfId="1" applyFill="1" applyAlignment="1"/>
    <xf numFmtId="14" fontId="1" fillId="0" borderId="0" xfId="1" applyNumberFormat="1" applyFill="1" applyAlignment="1">
      <alignment horizontal="center" vertical="center"/>
    </xf>
    <xf numFmtId="0" fontId="1" fillId="5" borderId="0" xfId="1" applyFill="1" applyAlignment="1">
      <alignment horizontal="center" vertical="center"/>
    </xf>
  </cellXfs>
  <cellStyles count="4">
    <cellStyle name="Lien hypertexte" xfId="2" builtinId="8"/>
    <cellStyle name="Normal" xfId="0" builtinId="0"/>
    <cellStyle name="Normal 2" xfId="1" xr:uid="{4EE763AE-B02B-43D6-BC8E-83B5996D9CAB}"/>
    <cellStyle name="Pourcentage" xfId="3" builtinId="5"/>
  </cellStyles>
  <dxfs count="50">
    <dxf>
      <numFmt numFmtId="19" formatCode="dd/mm/yyyy"/>
    </dxf>
    <dxf>
      <font>
        <b val="0"/>
        <i val="0"/>
        <strike val="0"/>
        <condense val="0"/>
        <extend val="0"/>
        <outline val="0"/>
        <shadow val="0"/>
        <u val="none"/>
        <vertAlign val="baseline"/>
        <sz val="10"/>
        <color rgb="FF0000FF"/>
        <name val="Arial"/>
        <family val="2"/>
        <charset val="1"/>
        <scheme val="none"/>
      </font>
      <alignment horizontal="left" vertical="center" textRotation="0" wrapText="0"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66" formatCode="General&quot; m²&quot;"/>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6" formatCode="General&quot; m²&quot;"/>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0\ [$€-40C];[Red]\-#,##0\ [$€-40C]"/>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numFmt numFmtId="164" formatCode="#,##0\ [$€-40C];[Red]\-#,##0\ [$€-40C]"/>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96A065-E5CA-44EF-B6AE-AC366F12DAEC}" name="Tableau1" displayName="Tableau1" ref="A1:AX318" totalsRowShown="0" headerRowCellStyle="Normal 2" dataCellStyle="Normal 2">
  <autoFilter ref="A1:AX318" xr:uid="{C496A065-E5CA-44EF-B6AE-AC366F12DAEC}"/>
  <tableColumns count="50">
    <tableColumn id="43" xr3:uid="{DE1D6443-0E1C-43C0-8BC8-BDC69562CB95}" name="Région" dataDxfId="49" dataCellStyle="Normal 2">
      <calculatedColumnFormula>VLOOKUP(Tableau1[[#This Row],[N° Département]],Feuil1!$C$6:$E$106,3)</calculatedColumnFormula>
    </tableColumn>
    <tableColumn id="45" xr3:uid="{EA09E10C-F31A-414B-B7AE-01100FDFFB35}" name="Département" dataDxfId="48" dataCellStyle="Normal 2">
      <calculatedColumnFormula>VLOOKUP(Tableau1[[#This Row],[N° Département]],Feuil1!$C$6:$E$106,2)</calculatedColumnFormula>
    </tableColumn>
    <tableColumn id="44" xr3:uid="{B8B116FD-A2D6-4640-B53A-B27BF55F77D2}" name="N° Département" dataDxfId="47" dataCellStyle="Normal 2">
      <calculatedColumnFormula>LEFT(Tableau1[[#This Row],[Code Postal]],2)*1</calculatedColumnFormula>
    </tableColumn>
    <tableColumn id="22" xr3:uid="{807881FC-FCFC-4E58-94E6-974968140DE0}" name="Rue" dataDxfId="46" dataCellStyle="Normal 2"/>
    <tableColumn id="24" xr3:uid="{5BC55846-88AA-4EB3-AA6F-8E4CFB785641}" name="Code Postal" dataDxfId="45" dataCellStyle="Normal 2"/>
    <tableColumn id="17" xr3:uid="{35EE7115-51F8-4E1F-AD3E-33A05B4BE6AA}" name="Ville" dataDxfId="44" dataCellStyle="Normal 2"/>
    <tableColumn id="34" xr3:uid="{BCDF1767-53B8-4755-BA69-6972BF82336C}" name="Adresse" dataDxfId="43" dataCellStyle="Normal 2">
      <calculatedColumnFormula>Tableau1[[#This Row],[Rue]]&amp;Tableau1[[#This Row],[Code Postal]]&amp;Tableau1[[#This Row],[Ville]]</calculatedColumnFormula>
    </tableColumn>
    <tableColumn id="18" xr3:uid="{F16F96D2-ED03-45AB-90ED-8D480A7B0261}" name="Lien Google Maps" dataDxfId="42" dataCellStyle="Normal 2">
      <calculatedColumnFormula array="1">Extrait_hyperlien(#REF!)</calculatedColumnFormula>
    </tableColumn>
    <tableColumn id="15" xr3:uid="{172E07C4-0318-49AC-A621-9C0E3C5C5B5D}" name="Emplacement" dataDxfId="41" dataCellStyle="Normal 2"/>
    <tableColumn id="14" xr3:uid="{95EAECC7-A016-42C4-9C47-2CABFEAEC577}" name="Typologie" dataDxfId="40" dataCellStyle="Normal 2"/>
    <tableColumn id="3" xr3:uid="{8C8D77C7-8B55-471A-B479-215BC0D77604}" name="Nature" dataDxfId="39" dataCellStyle="Normal 2"/>
    <tableColumn id="49" xr3:uid="{8D54ABF1-A533-4B8E-8282-C3F177294662}" name="Durée du bail" dataDxfId="38" dataCellStyle="Normal 2"/>
    <tableColumn id="4" xr3:uid="{87D84239-5323-4A47-9424-F0CADB050723}" name="Cession / Droit au bail" dataDxfId="37" dataCellStyle="Normal 2"/>
    <tableColumn id="31" xr3:uid="{86770348-6586-45F2-A401-94B68504976F}" name="Numéro de lot" dataDxfId="36" dataCellStyle="Normal 2"/>
    <tableColumn id="1" xr3:uid="{3888DEAC-D743-4A06-B622-0805DADF7B24}" name="Surface GLA" dataDxfId="35" dataCellStyle="Normal 2"/>
    <tableColumn id="9" xr3:uid="{0D61162C-F920-419C-993E-EDC2DF105B61}" name="Répartition surface GLA" dataDxfId="34" dataCellStyle="Normal 2"/>
    <tableColumn id="50" xr3:uid="{647D7D49-7B6F-4747-BFFF-85889E08899D}" name="Surface maximale" dataDxfId="33" dataCellStyle="Normal 2"/>
    <tableColumn id="2" xr3:uid="{9969DD5B-5EA2-4595-B887-2E9B21053A55}" name="Surface utile" dataDxfId="32" dataCellStyle="Normal 2"/>
    <tableColumn id="21" xr3:uid="{3DFB9473-7064-409A-A47B-5544538EC4AE}" name="Répartition surface utile" dataDxfId="31" dataCellStyle="Normal 2"/>
    <tableColumn id="5" xr3:uid="{A744513A-B9BE-426C-9A67-F73FDBDA82D8}" name="Loyer annuel" dataDxfId="30" dataCellStyle="Normal 2"/>
    <tableColumn id="6" xr3:uid="{356A37C1-BF3E-4357-A954-82A182007A4A}" name="Loyer Mensuel" dataDxfId="29" dataCellStyle="Normal 2">
      <calculatedColumnFormula>IFERROR(Tableau1[[#This Row],[Loyer annuel]]/12,"")</calculatedColumnFormula>
    </tableColumn>
    <tableColumn id="11" xr3:uid="{767012B1-AABD-475A-8A4D-3B7DA0A65895}" name="Loyer €/m²" dataDxfId="28" dataCellStyle="Normal 2"/>
    <tableColumn id="30" xr3:uid="{1B20B1A4-ACFD-45E3-955E-514E88115368}" name="Loyer variable" dataDxfId="27" dataCellStyle="Normal 2"/>
    <tableColumn id="7" xr3:uid="{2A7DA589-64F1-4CF6-8C82-38781BD9EC1D}" name="Charges annuelles" dataDxfId="26" dataCellStyle="Normal 2"/>
    <tableColumn id="8" xr3:uid="{440DF5B1-3CC3-4785-9C23-94B007AF5E1B}" name="Charges Mensuelles" dataDxfId="25" dataCellStyle="Normal 2">
      <calculatedColumnFormula>Tableau1[[#This Row],[Charges annuelles]]/12</calculatedColumnFormula>
    </tableColumn>
    <tableColumn id="19" xr3:uid="{4129B281-2FE2-4CF1-9B2A-1383495B75F8}" name="Charges €/m²" dataDxfId="24" dataCellStyle="Normal 2"/>
    <tableColumn id="23" xr3:uid="{8D958AF5-4590-4B2C-91C7-84AA83299F72}" name="Taxe foncière" dataDxfId="23" dataCellStyle="Normal 2">
      <calculatedColumnFormula>IFERROR(Tableau1[[#This Row],[Taxe foncière €/m²]]*Tableau1[[#This Row],[Surface GLA]],)</calculatedColumnFormula>
    </tableColumn>
    <tableColumn id="25" xr3:uid="{3ED0377F-0AC3-483C-A382-DCE0304838BB}" name="Taxe foncière €/m²" dataDxfId="22" dataCellStyle="Normal 2"/>
    <tableColumn id="37" xr3:uid="{DCF6EDF6-4C11-48C1-B6A2-F68E6553ECAE}" name="Marketing" dataDxfId="21" dataCellStyle="Normal 2">
      <calculatedColumnFormula>IFERROR(Tableau1[[#This Row],[Marketing €/m²]]*Tableau1[[#This Row],[Surface GLA]],)</calculatedColumnFormula>
    </tableColumn>
    <tableColumn id="26" xr3:uid="{0670F3CF-44F2-4728-8A06-52C034D6BD30}" name="Marketing €/m²" dataDxfId="20" dataCellStyle="Normal 2"/>
    <tableColumn id="39" xr3:uid="{5F4F5D62-4EE8-4561-AFC9-FBA26AD0FEB9}" name="Total (L+C+M)" dataDxfId="19" dataCellStyle="Normal 2">
      <calculatedColumnFormula>IFERROR(Tableau1[[#This Row],[Loyer annuel]]+Tableau1[[#This Row],[Charges annuelles]]+Tableau1[[#This Row],[Taxe foncière]]+Tableau1[[#This Row],[Marketing]],"")</calculatedColumnFormula>
    </tableColumn>
    <tableColumn id="32" xr3:uid="{95C0AA56-6C81-4449-BBAF-48D6559B29F4}" name="Dépôt de garantie" dataDxfId="18" dataCellStyle="Normal 2"/>
    <tableColumn id="33" xr3:uid="{5D2CDDBF-0016-4D42-9FA2-C6BE7187A781}" name="GAPD" dataDxfId="17" dataCellStyle="Normal 2"/>
    <tableColumn id="27" xr3:uid="{AE6532DB-DF7C-4137-958E-CF0878BAF4EA}" name="Gestion" dataDxfId="16" dataCellStyle="Normal 2"/>
    <tableColumn id="29" xr3:uid="{C7D740EB-05A5-4C80-B626-4AE327C99B0E}" name="Etat de livraison" dataDxfId="15" dataCellStyle="Normal 2"/>
    <tableColumn id="10" xr3:uid="{F202F9CF-E361-49F7-BCB2-41601DB0A090}" name="Extraction" dataDxfId="14" dataCellStyle="Normal 2"/>
    <tableColumn id="38" xr3:uid="{1E22D9C1-89FA-49FF-9893-8AC79191E4A6}" name="Restauration" dataDxfId="13" dataCellStyle="Normal 2"/>
    <tableColumn id="28" xr3:uid="{BF030FEC-E7AF-42C6-AC39-B670759A4BC7}" name="Environnement Commercial" dataDxfId="12" dataCellStyle="Normal 2"/>
    <tableColumn id="16" xr3:uid="{D3CC4D5A-911C-4939-9024-731260442272}" name="Commentaires" dataDxfId="11" dataCellStyle="Normal 2"/>
    <tableColumn id="48" xr3:uid="{251DE01D-1A11-497D-9729-BA9E0EB06C60}" name="Honoraires de rédaction" dataDxfId="10" dataCellStyle="Normal 2"/>
    <tableColumn id="40" xr3:uid="{5463AA4C-3D9C-45CF-B81C-A3755D028F2B}" name="Honoraires commerciaux" dataDxfId="9" dataCellStyle="Normal 2"/>
    <tableColumn id="36" xr3:uid="{EBABBF90-FEC0-4C48-8EB4-A8DB85141CEF}" name="Latitude" dataDxfId="8" dataCellStyle="Normal 2"/>
    <tableColumn id="35" xr3:uid="{FDA62BB3-971D-4771-BFF4-42A78D749576}" name="Longitude" dataDxfId="7" dataCellStyle="Normal 2"/>
    <tableColumn id="41" xr3:uid="{0B5CFD66-9BAF-42E4-85BA-98CEF40CC994}" name="Référence annonce" dataDxfId="6" dataCellStyle="Normal 2"/>
    <tableColumn id="46" xr3:uid="{ED041E73-B65A-464D-8E38-4CD520F93F57}" name="Photos annonce" dataDxfId="5" dataCellStyle="Normal 2"/>
    <tableColumn id="42" xr3:uid="{31DE41E2-CE5A-45AD-B999-11A9307EA50B}" name="Actif" dataDxfId="4" dataCellStyle="Normal 2"/>
    <tableColumn id="20" xr3:uid="{D2AE6F16-4821-49DE-B56C-155BB51A6204}" name="Valeur BP" dataDxfId="3" dataCellStyle="Normal 2"/>
    <tableColumn id="12" xr3:uid="{80CF5A8D-23B2-4B36-80CB-91ECBC7FF3FE}" name="Contact" dataDxfId="2" dataCellStyle="Normal 2"/>
    <tableColumn id="13" xr3:uid="{E28C924B-61DC-4BBD-ABE7-33B29A5037B4}" name="Page Web" dataDxfId="1" dataCellStyle="Normal 2"/>
    <tableColumn id="47" xr3:uid="{6D70689D-C350-4037-8D03-D9E5646BA26C}" name="Date d'ajout" dataDxfId="0" dataCellStyle="Normal 2"/>
  </tableColumns>
  <tableStyleInfo name="TableStyleLight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aps.app.goo.gl/K9R5sQxCB3Rf4pa6A" TargetMode="External"/><Relationship Id="rId21" Type="http://schemas.openxmlformats.org/officeDocument/2006/relationships/hyperlink" Target="https://maps.app.goo.gl/jKvNrbE9PyvENUPV6" TargetMode="External"/><Relationship Id="rId42" Type="http://schemas.openxmlformats.org/officeDocument/2006/relationships/hyperlink" Target="https://maps.app.goo.gl/jKvNrbE9PyvENUPV6" TargetMode="External"/><Relationship Id="rId63" Type="http://schemas.openxmlformats.org/officeDocument/2006/relationships/hyperlink" Target="https://maps.app.goo.gl/HLGbMrDwLnc5Q19B6" TargetMode="External"/><Relationship Id="rId84" Type="http://schemas.openxmlformats.org/officeDocument/2006/relationships/hyperlink" Target="https://maps.app.goo.gl/2fpHWxNDsVVkt78Y6" TargetMode="External"/><Relationship Id="rId138" Type="http://schemas.openxmlformats.org/officeDocument/2006/relationships/hyperlink" Target="https://maps.app.goo.gl/jjHUN2H4tKUGyBEQ7" TargetMode="External"/><Relationship Id="rId159" Type="http://schemas.openxmlformats.org/officeDocument/2006/relationships/hyperlink" Target="https://maps.app.goo.gl/RJ2QRVrW96tKL7ur6" TargetMode="External"/><Relationship Id="rId170" Type="http://schemas.openxmlformats.org/officeDocument/2006/relationships/hyperlink" Target="https://maps.app.goo.gl/RJ2QRVrW96tKL7ur6" TargetMode="External"/><Relationship Id="rId191" Type="http://schemas.openxmlformats.org/officeDocument/2006/relationships/hyperlink" Target="https://maps.app.goo.gl/5vVwME6BovPbouMz9" TargetMode="External"/><Relationship Id="rId205" Type="http://schemas.openxmlformats.org/officeDocument/2006/relationships/hyperlink" Target="https://maps.app.goo.gl/e1ddei1i8yHZXuQi8" TargetMode="External"/><Relationship Id="rId226" Type="http://schemas.openxmlformats.org/officeDocument/2006/relationships/hyperlink" Target="https://maps.app.goo.gl/Xe5mVhv32b2SqSBH7" TargetMode="External"/><Relationship Id="rId107" Type="http://schemas.openxmlformats.org/officeDocument/2006/relationships/hyperlink" Target="https://maps.app.goo.gl/vpxnjtFKHndYSbgW9" TargetMode="External"/><Relationship Id="rId11" Type="http://schemas.openxmlformats.org/officeDocument/2006/relationships/hyperlink" Target="https://www.google.com/maps/place/18+Rue+du+G%C3%A9n%C3%A9ral+Mouton-Duvernet,+69003+Lyon" TargetMode="External"/><Relationship Id="rId32" Type="http://schemas.openxmlformats.org/officeDocument/2006/relationships/hyperlink" Target="https://maps.app.goo.gl/yRNFdK1p6sWPThzm7" TargetMode="External"/><Relationship Id="rId53" Type="http://schemas.openxmlformats.org/officeDocument/2006/relationships/hyperlink" Target="https://maps.app.goo.gl/eqCTz2HAdE1NfPPD8" TargetMode="External"/><Relationship Id="rId74" Type="http://schemas.openxmlformats.org/officeDocument/2006/relationships/hyperlink" Target="https://maps.app.goo.gl/J4fXB1FqZux6N87x9" TargetMode="External"/><Relationship Id="rId128" Type="http://schemas.openxmlformats.org/officeDocument/2006/relationships/hyperlink" Target="https://maps.app.goo.gl/xRk1dgDyTNRJ37Js6" TargetMode="External"/><Relationship Id="rId149" Type="http://schemas.openxmlformats.org/officeDocument/2006/relationships/hyperlink" Target="https://maps.app.goo.gl/brvAXB8JH7CUWKEZ8" TargetMode="External"/><Relationship Id="rId5" Type="http://schemas.openxmlformats.org/officeDocument/2006/relationships/hyperlink" Target="https://www.google.com/maps/place/60+Rue+Serpenoise,+57000+Metz" TargetMode="External"/><Relationship Id="rId95" Type="http://schemas.openxmlformats.org/officeDocument/2006/relationships/hyperlink" Target="https://maps.app.goo.gl/8iiLWsQkZab33zJR9" TargetMode="External"/><Relationship Id="rId160" Type="http://schemas.openxmlformats.org/officeDocument/2006/relationships/hyperlink" Target="https://maps.app.goo.gl/RJ2QRVrW96tKL7ur6" TargetMode="External"/><Relationship Id="rId181" Type="http://schemas.openxmlformats.org/officeDocument/2006/relationships/hyperlink" Target="https://maps.app.goo.gl/PkFc3TvBwkxAUjfeA" TargetMode="External"/><Relationship Id="rId216" Type="http://schemas.openxmlformats.org/officeDocument/2006/relationships/hyperlink" Target="https://maps.app.goo.gl/ZB7EoAbkDh1u5HFp8" TargetMode="External"/><Relationship Id="rId237" Type="http://schemas.openxmlformats.org/officeDocument/2006/relationships/hyperlink" Target="https://maps.app.goo.gl/Xe5mVhv32b2SqSBH7" TargetMode="External"/><Relationship Id="rId22" Type="http://schemas.openxmlformats.org/officeDocument/2006/relationships/hyperlink" Target="https://maps.app.goo.gl/yRNFdK1p6sWPThzm7" TargetMode="External"/><Relationship Id="rId43" Type="http://schemas.openxmlformats.org/officeDocument/2006/relationships/hyperlink" Target="https://maps.app.goo.gl/jKvNrbE9PyvENUPV6" TargetMode="External"/><Relationship Id="rId64" Type="http://schemas.openxmlformats.org/officeDocument/2006/relationships/hyperlink" Target="https://www.google.com/maps/place/143+Rue+des+Fauvelles,+92250+La+Garenne-Colombes" TargetMode="External"/><Relationship Id="rId118" Type="http://schemas.openxmlformats.org/officeDocument/2006/relationships/hyperlink" Target="https://maps.app.goo.gl/9Ve3dRd43covAEFVA" TargetMode="External"/><Relationship Id="rId139" Type="http://schemas.openxmlformats.org/officeDocument/2006/relationships/hyperlink" Target="https://maps.app.goo.gl/iuyJpb23bTGqeB1K7" TargetMode="External"/><Relationship Id="rId80" Type="http://schemas.openxmlformats.org/officeDocument/2006/relationships/hyperlink" Target="https://www.google.com/maps/place/30+Rue+de+la+Ronce,+92410+Ville-d'Avray" TargetMode="External"/><Relationship Id="rId85" Type="http://schemas.openxmlformats.org/officeDocument/2006/relationships/hyperlink" Target="https://maps.app.goo.gl/ZFPNAHuwNEArGrKa6" TargetMode="External"/><Relationship Id="rId150" Type="http://schemas.openxmlformats.org/officeDocument/2006/relationships/hyperlink" Target="https://maps.app.goo.gl/RvTG1EctYY1Bm17a8" TargetMode="External"/><Relationship Id="rId155" Type="http://schemas.openxmlformats.org/officeDocument/2006/relationships/hyperlink" Target="https://maps.app.goo.gl/RJ2QRVrW96tKL7ur6" TargetMode="External"/><Relationship Id="rId171" Type="http://schemas.openxmlformats.org/officeDocument/2006/relationships/hyperlink" Target="https://maps.app.goo.gl/RJ2QRVrW96tKL7ur6" TargetMode="External"/><Relationship Id="rId176" Type="http://schemas.openxmlformats.org/officeDocument/2006/relationships/hyperlink" Target="https://maps.app.goo.gl/RJ2QRVrW96tKL7ur6" TargetMode="External"/><Relationship Id="rId192" Type="http://schemas.openxmlformats.org/officeDocument/2006/relationships/hyperlink" Target="https://maps.app.goo.gl/ajVfxHMoCB2jG3vs7" TargetMode="External"/><Relationship Id="rId197" Type="http://schemas.openxmlformats.org/officeDocument/2006/relationships/hyperlink" Target="https://maps.app.goo.gl/2mbEqH5zKtVKPgKFA" TargetMode="External"/><Relationship Id="rId206" Type="http://schemas.openxmlformats.org/officeDocument/2006/relationships/hyperlink" Target="https://maps.app.goo.gl/NkkbpN9r686ViCMz7" TargetMode="External"/><Relationship Id="rId227" Type="http://schemas.openxmlformats.org/officeDocument/2006/relationships/hyperlink" Target="https://maps.app.goo.gl/Xe5mVhv32b2SqSBH7" TargetMode="External"/><Relationship Id="rId201" Type="http://schemas.openxmlformats.org/officeDocument/2006/relationships/hyperlink" Target="https://maps.app.goo.gl/bTkGBYD9yqpG4msx8" TargetMode="External"/><Relationship Id="rId222" Type="http://schemas.openxmlformats.org/officeDocument/2006/relationships/hyperlink" Target="https://maps.app.goo.gl/ZB7EoAbkDh1u5HFp8" TargetMode="External"/><Relationship Id="rId12" Type="http://schemas.openxmlformats.org/officeDocument/2006/relationships/hyperlink" Target="https://maps.app.goo.gl/HLGbMrDwLnc5Q19B6" TargetMode="External"/><Relationship Id="rId17" Type="http://schemas.openxmlformats.org/officeDocument/2006/relationships/hyperlink" Target="https://www.google.com/maps/place/204+Quai+de+Jemmapes,+75010+Paris" TargetMode="External"/><Relationship Id="rId33" Type="http://schemas.openxmlformats.org/officeDocument/2006/relationships/hyperlink" Target="https://maps.app.goo.gl/yRNFdK1p6sWPThzm7" TargetMode="External"/><Relationship Id="rId38" Type="http://schemas.openxmlformats.org/officeDocument/2006/relationships/hyperlink" Target="https://maps.app.goo.gl/jKvNrbE9PyvENUPV6" TargetMode="External"/><Relationship Id="rId59" Type="http://schemas.openxmlformats.org/officeDocument/2006/relationships/hyperlink" Target="https://maps.app.goo.gl/HLGbMrDwLnc5Q19B6" TargetMode="External"/><Relationship Id="rId103" Type="http://schemas.openxmlformats.org/officeDocument/2006/relationships/hyperlink" Target="https://maps.app.goo.gl/8iiLWsQkZab33zJR9" TargetMode="External"/><Relationship Id="rId108" Type="http://schemas.openxmlformats.org/officeDocument/2006/relationships/hyperlink" Target="https://maps.app.goo.gl/vpxnjtFKHndYSbgW9" TargetMode="External"/><Relationship Id="rId124" Type="http://schemas.openxmlformats.org/officeDocument/2006/relationships/hyperlink" Target="https://maps.app.goo.gl/fJAXX2oK3kLbFqQN8" TargetMode="External"/><Relationship Id="rId129" Type="http://schemas.openxmlformats.org/officeDocument/2006/relationships/hyperlink" Target="https://maps.app.goo.gl/ThH7vH9twAYbv2UU7" TargetMode="External"/><Relationship Id="rId54" Type="http://schemas.openxmlformats.org/officeDocument/2006/relationships/hyperlink" Target="https://maps.app.goo.gl/eqCTz2HAdE1NfPPD8" TargetMode="External"/><Relationship Id="rId70" Type="http://schemas.openxmlformats.org/officeDocument/2006/relationships/hyperlink" Target="https://www.google.com/maps/place/30+Rue+de+la+Ronce,+92410+Ville-d'Avray" TargetMode="External"/><Relationship Id="rId75" Type="http://schemas.openxmlformats.org/officeDocument/2006/relationships/hyperlink" Target="https://maps.app.goo.gl/v7DEsxhAawsjJmEcA" TargetMode="External"/><Relationship Id="rId91" Type="http://schemas.openxmlformats.org/officeDocument/2006/relationships/hyperlink" Target="https://maps.app.goo.gl/8iiLWsQkZab33zJR9" TargetMode="External"/><Relationship Id="rId96" Type="http://schemas.openxmlformats.org/officeDocument/2006/relationships/hyperlink" Target="https://maps.app.goo.gl/8iiLWsQkZab33zJR9" TargetMode="External"/><Relationship Id="rId140" Type="http://schemas.openxmlformats.org/officeDocument/2006/relationships/hyperlink" Target="https://maps.app.goo.gl/1jMgZMcv7EFgTvAK7" TargetMode="External"/><Relationship Id="rId145" Type="http://schemas.openxmlformats.org/officeDocument/2006/relationships/hyperlink" Target="https://maps.app.goo.gl/diStniyzoSdM1MyY9" TargetMode="External"/><Relationship Id="rId161" Type="http://schemas.openxmlformats.org/officeDocument/2006/relationships/hyperlink" Target="https://maps.app.goo.gl/RJ2QRVrW96tKL7ur6" TargetMode="External"/><Relationship Id="rId166" Type="http://schemas.openxmlformats.org/officeDocument/2006/relationships/hyperlink" Target="https://maps.app.goo.gl/RJ2QRVrW96tKL7ur6" TargetMode="External"/><Relationship Id="rId182" Type="http://schemas.openxmlformats.org/officeDocument/2006/relationships/hyperlink" Target="https://maps.app.goo.gl/SsXW9FUhqGRYgzi97" TargetMode="External"/><Relationship Id="rId187" Type="http://schemas.openxmlformats.org/officeDocument/2006/relationships/hyperlink" Target="https://maps.app.goo.gl/EzmYRRQFbZTUfMgWA" TargetMode="External"/><Relationship Id="rId217" Type="http://schemas.openxmlformats.org/officeDocument/2006/relationships/hyperlink" Target="https://maps.app.goo.gl/Xe5mVhv32b2SqSBH7" TargetMode="External"/><Relationship Id="rId1" Type="http://schemas.openxmlformats.org/officeDocument/2006/relationships/hyperlink" Target="https://www.google.com/maps/place/53+Rue+Herg%C3%A9,+16000+Angoul%C3%Aame" TargetMode="External"/><Relationship Id="rId6" Type="http://schemas.openxmlformats.org/officeDocument/2006/relationships/hyperlink" Target="https://maps.app.goo.gl/YuAJQRM2HM3gYVyJ6" TargetMode="External"/><Relationship Id="rId212" Type="http://schemas.openxmlformats.org/officeDocument/2006/relationships/hyperlink" Target="https://maps.app.goo.gl/ZB7EoAbkDh1u5HFp8" TargetMode="External"/><Relationship Id="rId233" Type="http://schemas.openxmlformats.org/officeDocument/2006/relationships/hyperlink" Target="https://maps.app.goo.gl/Xe5mVhv32b2SqSBH7" TargetMode="External"/><Relationship Id="rId238" Type="http://schemas.openxmlformats.org/officeDocument/2006/relationships/hyperlink" Target="https://maps.app.goo.gl/Xe5mVhv32b2SqSBH7" TargetMode="External"/><Relationship Id="rId23" Type="http://schemas.openxmlformats.org/officeDocument/2006/relationships/hyperlink" Target="https://maps.app.goo.gl/yRNFdK1p6sWPThzm7" TargetMode="External"/><Relationship Id="rId28" Type="http://schemas.openxmlformats.org/officeDocument/2006/relationships/hyperlink" Target="https://maps.app.goo.gl/yRNFdK1p6sWPThzm7" TargetMode="External"/><Relationship Id="rId49" Type="http://schemas.openxmlformats.org/officeDocument/2006/relationships/hyperlink" Target="https://maps.app.goo.gl/ngVAd1ZcuWEZcS5U8" TargetMode="External"/><Relationship Id="rId114" Type="http://schemas.openxmlformats.org/officeDocument/2006/relationships/hyperlink" Target="https://maps.app.goo.gl/K9R5sQxCB3Rf4pa6A" TargetMode="External"/><Relationship Id="rId119" Type="http://schemas.openxmlformats.org/officeDocument/2006/relationships/hyperlink" Target="https://maps.app.goo.gl/u2aZqSfdRfKcuU8f6" TargetMode="External"/><Relationship Id="rId44" Type="http://schemas.openxmlformats.org/officeDocument/2006/relationships/hyperlink" Target="https://maps.app.goo.gl/jKvNrbE9PyvENUPV6" TargetMode="External"/><Relationship Id="rId60" Type="http://schemas.openxmlformats.org/officeDocument/2006/relationships/hyperlink" Target="https://maps.app.goo.gl/HLGbMrDwLnc5Q19B6" TargetMode="External"/><Relationship Id="rId65" Type="http://schemas.openxmlformats.org/officeDocument/2006/relationships/hyperlink" Target="https://www.google.com/maps/place/30+Rue+de+la+Ronce,+92410+Ville-d'Avray" TargetMode="External"/><Relationship Id="rId81" Type="http://schemas.openxmlformats.org/officeDocument/2006/relationships/hyperlink" Target="https://maps.app.goo.gl/Wgcg9ZVPkw8KPksN8" TargetMode="External"/><Relationship Id="rId86" Type="http://schemas.openxmlformats.org/officeDocument/2006/relationships/hyperlink" Target="https://maps.app.goo.gl/eane6JKXW5qxAH5H7" TargetMode="External"/><Relationship Id="rId130" Type="http://schemas.openxmlformats.org/officeDocument/2006/relationships/hyperlink" Target="https://maps.app.goo.gl/7LDR6QtcAQGrpmfx6" TargetMode="External"/><Relationship Id="rId135" Type="http://schemas.openxmlformats.org/officeDocument/2006/relationships/hyperlink" Target="https://maps.app.goo.gl/9Ve3dRd43covAEFVA" TargetMode="External"/><Relationship Id="rId151" Type="http://schemas.openxmlformats.org/officeDocument/2006/relationships/hyperlink" Target="https://maps.app.goo.gl/aBGTEuZJUKzAi2NE7" TargetMode="External"/><Relationship Id="rId156" Type="http://schemas.openxmlformats.org/officeDocument/2006/relationships/hyperlink" Target="https://maps.app.goo.gl/RJ2QRVrW96tKL7ur6" TargetMode="External"/><Relationship Id="rId177" Type="http://schemas.openxmlformats.org/officeDocument/2006/relationships/hyperlink" Target="https://maps.app.goo.gl/7dsMYhd2KW95ZzZs5" TargetMode="External"/><Relationship Id="rId198" Type="http://schemas.openxmlformats.org/officeDocument/2006/relationships/hyperlink" Target="https://maps.app.goo.gl/5vVwME6BovPbouMz9" TargetMode="External"/><Relationship Id="rId172" Type="http://schemas.openxmlformats.org/officeDocument/2006/relationships/hyperlink" Target="https://maps.app.goo.gl/RJ2QRVrW96tKL7ur6" TargetMode="External"/><Relationship Id="rId193" Type="http://schemas.openxmlformats.org/officeDocument/2006/relationships/hyperlink" Target="https://maps.app.goo.gl/eRdJXpuznERVLR7a9" TargetMode="External"/><Relationship Id="rId202" Type="http://schemas.openxmlformats.org/officeDocument/2006/relationships/hyperlink" Target="https://maps.app.goo.gl/LsJfnZ98LHYEaS8t9" TargetMode="External"/><Relationship Id="rId207" Type="http://schemas.openxmlformats.org/officeDocument/2006/relationships/hyperlink" Target="https://maps.app.goo.gl/urSsbk4EKDxKevN88" TargetMode="External"/><Relationship Id="rId223" Type="http://schemas.openxmlformats.org/officeDocument/2006/relationships/hyperlink" Target="https://maps.app.goo.gl/ZB7EoAbkDh1u5HFp8" TargetMode="External"/><Relationship Id="rId228" Type="http://schemas.openxmlformats.org/officeDocument/2006/relationships/hyperlink" Target="https://maps.app.goo.gl/Xe5mVhv32b2SqSBH7" TargetMode="External"/><Relationship Id="rId13" Type="http://schemas.openxmlformats.org/officeDocument/2006/relationships/hyperlink" Target="https://maps.app.goo.gl/jcUuEcShVcUDuB7A6" TargetMode="External"/><Relationship Id="rId18" Type="http://schemas.openxmlformats.org/officeDocument/2006/relationships/hyperlink" Target="https://www.google.com/maps/place/9+Av.+Ledru+Rollin,+75012+Paris" TargetMode="External"/><Relationship Id="rId39" Type="http://schemas.openxmlformats.org/officeDocument/2006/relationships/hyperlink" Target="https://maps.app.goo.gl/jKvNrbE9PyvENUPV6" TargetMode="External"/><Relationship Id="rId109" Type="http://schemas.openxmlformats.org/officeDocument/2006/relationships/hyperlink" Target="https://maps.app.goo.gl/vpxnjtFKHndYSbgW9" TargetMode="External"/><Relationship Id="rId34" Type="http://schemas.openxmlformats.org/officeDocument/2006/relationships/hyperlink" Target="https://maps.app.goo.gl/jKvNrbE9PyvENUPV6" TargetMode="External"/><Relationship Id="rId50" Type="http://schemas.openxmlformats.org/officeDocument/2006/relationships/hyperlink" Target="https://maps.app.goo.gl/ngVAd1ZcuWEZcS5U8" TargetMode="External"/><Relationship Id="rId55" Type="http://schemas.openxmlformats.org/officeDocument/2006/relationships/hyperlink" Target="https://maps.app.goo.gl/eqCTz2HAdE1NfPPD8" TargetMode="External"/><Relationship Id="rId76" Type="http://schemas.openxmlformats.org/officeDocument/2006/relationships/hyperlink" Target="https://maps.app.goo.gl/ZuAXVZPWMRQoosJq9" TargetMode="External"/><Relationship Id="rId97" Type="http://schemas.openxmlformats.org/officeDocument/2006/relationships/hyperlink" Target="https://maps.app.goo.gl/8iiLWsQkZab33zJR9" TargetMode="External"/><Relationship Id="rId104" Type="http://schemas.openxmlformats.org/officeDocument/2006/relationships/hyperlink" Target="https://maps.app.goo.gl/8iiLWsQkZab33zJR9" TargetMode="External"/><Relationship Id="rId120" Type="http://schemas.openxmlformats.org/officeDocument/2006/relationships/hyperlink" Target="https://maps.app.goo.gl/Agiux4Mzn3c7cD5Q9" TargetMode="External"/><Relationship Id="rId125" Type="http://schemas.openxmlformats.org/officeDocument/2006/relationships/hyperlink" Target="https://maps.app.goo.gl/368Pqe4Ndxa8v6hq7" TargetMode="External"/><Relationship Id="rId141" Type="http://schemas.openxmlformats.org/officeDocument/2006/relationships/hyperlink" Target="https://maps.app.goo.gl/5tYy72axTe6ybMqH8" TargetMode="External"/><Relationship Id="rId146" Type="http://schemas.openxmlformats.org/officeDocument/2006/relationships/hyperlink" Target="https://maps.app.goo.gl/MfExA2kLYmXWnAtz5" TargetMode="External"/><Relationship Id="rId167" Type="http://schemas.openxmlformats.org/officeDocument/2006/relationships/hyperlink" Target="https://maps.app.goo.gl/RJ2QRVrW96tKL7ur6" TargetMode="External"/><Relationship Id="rId188" Type="http://schemas.openxmlformats.org/officeDocument/2006/relationships/hyperlink" Target="https://maps.app.goo.gl/me3i2cvSJCdtSR2q6" TargetMode="External"/><Relationship Id="rId7" Type="http://schemas.openxmlformats.org/officeDocument/2006/relationships/hyperlink" Target="https://www.google.com/maps/place/60+Rue+Serpenoise,+57000+Metz" TargetMode="External"/><Relationship Id="rId71" Type="http://schemas.openxmlformats.org/officeDocument/2006/relationships/hyperlink" Target="https://maps.app.goo.gl/TpC5354fvwyNN33v5" TargetMode="External"/><Relationship Id="rId92" Type="http://schemas.openxmlformats.org/officeDocument/2006/relationships/hyperlink" Target="https://maps.app.goo.gl/8iiLWsQkZab33zJR9" TargetMode="External"/><Relationship Id="rId162" Type="http://schemas.openxmlformats.org/officeDocument/2006/relationships/hyperlink" Target="https://maps.app.goo.gl/RJ2QRVrW96tKL7ur6" TargetMode="External"/><Relationship Id="rId183" Type="http://schemas.openxmlformats.org/officeDocument/2006/relationships/hyperlink" Target="https://maps.app.goo.gl/7edrJzm2ENiuUbcAA" TargetMode="External"/><Relationship Id="rId213" Type="http://schemas.openxmlformats.org/officeDocument/2006/relationships/hyperlink" Target="https://maps.app.goo.gl/ZB7EoAbkDh1u5HFp8" TargetMode="External"/><Relationship Id="rId218" Type="http://schemas.openxmlformats.org/officeDocument/2006/relationships/hyperlink" Target="https://maps.app.goo.gl/ZB7EoAbkDh1u5HFp8" TargetMode="External"/><Relationship Id="rId234" Type="http://schemas.openxmlformats.org/officeDocument/2006/relationships/hyperlink" Target="https://maps.app.goo.gl/Xe5mVhv32b2SqSBH7" TargetMode="External"/><Relationship Id="rId239" Type="http://schemas.openxmlformats.org/officeDocument/2006/relationships/hyperlink" Target="https://maps.app.goo.gl/Xe5mVhv32b2SqSBH7" TargetMode="External"/><Relationship Id="rId2" Type="http://schemas.openxmlformats.org/officeDocument/2006/relationships/hyperlink" Target="https://www.google.com/maps/place/44+Grande+Rue,+25000+Besan%C3%A7on" TargetMode="External"/><Relationship Id="rId29" Type="http://schemas.openxmlformats.org/officeDocument/2006/relationships/hyperlink" Target="https://maps.app.goo.gl/yRNFdK1p6sWPThzm7" TargetMode="External"/><Relationship Id="rId24" Type="http://schemas.openxmlformats.org/officeDocument/2006/relationships/hyperlink" Target="https://maps.app.goo.gl/yRNFdK1p6sWPThzm7" TargetMode="External"/><Relationship Id="rId40" Type="http://schemas.openxmlformats.org/officeDocument/2006/relationships/hyperlink" Target="https://maps.app.goo.gl/jKvNrbE9PyvENUPV6" TargetMode="External"/><Relationship Id="rId45" Type="http://schemas.openxmlformats.org/officeDocument/2006/relationships/hyperlink" Target="https://maps.app.goo.gl/ngVAd1ZcuWEZcS5U8" TargetMode="External"/><Relationship Id="rId66" Type="http://schemas.openxmlformats.org/officeDocument/2006/relationships/hyperlink" Target="https://www.google.com/maps/place/30+Rue+de+la+Ronce,+92410+Ville-d'Avray" TargetMode="External"/><Relationship Id="rId87" Type="http://schemas.openxmlformats.org/officeDocument/2006/relationships/hyperlink" Target="https://maps.app.goo.gl/8iiLWsQkZab33zJR9" TargetMode="External"/><Relationship Id="rId110" Type="http://schemas.openxmlformats.org/officeDocument/2006/relationships/hyperlink" Target="https://maps.app.goo.gl/EzBX5XpF18D7UW9o7" TargetMode="External"/><Relationship Id="rId115" Type="http://schemas.openxmlformats.org/officeDocument/2006/relationships/hyperlink" Target="https://maps.app.goo.gl/K9R5sQxCB3Rf4pa6A" TargetMode="External"/><Relationship Id="rId131" Type="http://schemas.openxmlformats.org/officeDocument/2006/relationships/hyperlink" Target="https://maps.app.goo.gl/yeG3FvdN5Az7BTzU9" TargetMode="External"/><Relationship Id="rId136" Type="http://schemas.openxmlformats.org/officeDocument/2006/relationships/hyperlink" Target="https://maps.app.goo.gl/dzVJ2h9GjsA9hiNV7" TargetMode="External"/><Relationship Id="rId157" Type="http://schemas.openxmlformats.org/officeDocument/2006/relationships/hyperlink" Target="https://maps.app.goo.gl/RJ2QRVrW96tKL7ur6" TargetMode="External"/><Relationship Id="rId178" Type="http://schemas.openxmlformats.org/officeDocument/2006/relationships/hyperlink" Target="https://maps.app.goo.gl/7dsMYhd2KW95ZzZs5" TargetMode="External"/><Relationship Id="rId61" Type="http://schemas.openxmlformats.org/officeDocument/2006/relationships/hyperlink" Target="https://maps.app.goo.gl/HLGbMrDwLnc5Q19B6" TargetMode="External"/><Relationship Id="rId82" Type="http://schemas.openxmlformats.org/officeDocument/2006/relationships/hyperlink" Target="https://maps.app.goo.gl/icDCmPg1Rg6epARE7" TargetMode="External"/><Relationship Id="rId152" Type="http://schemas.openxmlformats.org/officeDocument/2006/relationships/hyperlink" Target="https://maps.app.goo.gl/LrXvSy35NAUmoadS8" TargetMode="External"/><Relationship Id="rId173" Type="http://schemas.openxmlformats.org/officeDocument/2006/relationships/hyperlink" Target="https://maps.app.goo.gl/RJ2QRVrW96tKL7ur6" TargetMode="External"/><Relationship Id="rId194" Type="http://schemas.openxmlformats.org/officeDocument/2006/relationships/hyperlink" Target="https://maps.app.goo.gl/w5ksJWmpjf6JHwuZ9" TargetMode="External"/><Relationship Id="rId199" Type="http://schemas.openxmlformats.org/officeDocument/2006/relationships/hyperlink" Target="https://maps.app.goo.gl/brvAXB8JH7CUWKEZ8" TargetMode="External"/><Relationship Id="rId203" Type="http://schemas.openxmlformats.org/officeDocument/2006/relationships/hyperlink" Target="https://maps.app.goo.gl/AWwG6d4P1DxPWbZ87" TargetMode="External"/><Relationship Id="rId208" Type="http://schemas.openxmlformats.org/officeDocument/2006/relationships/hyperlink" Target="https://maps.app.goo.gl/ZB7EoAbkDh1u5HFp8" TargetMode="External"/><Relationship Id="rId229" Type="http://schemas.openxmlformats.org/officeDocument/2006/relationships/hyperlink" Target="https://maps.app.goo.gl/Xe5mVhv32b2SqSBH7" TargetMode="External"/><Relationship Id="rId19" Type="http://schemas.openxmlformats.org/officeDocument/2006/relationships/hyperlink" Target="https://www.google.com/maps/place/18+Rue+Treilhard,+75008+Paris" TargetMode="External"/><Relationship Id="rId224" Type="http://schemas.openxmlformats.org/officeDocument/2006/relationships/hyperlink" Target="https://maps.app.goo.gl/ZB7EoAbkDh1u5HFp8" TargetMode="External"/><Relationship Id="rId240" Type="http://schemas.openxmlformats.org/officeDocument/2006/relationships/table" Target="../tables/table1.xml"/><Relationship Id="rId14" Type="http://schemas.openxmlformats.org/officeDocument/2006/relationships/hyperlink" Target="https://maps.app.goo.gl/ngVAd1ZcuWEZcS5U8" TargetMode="External"/><Relationship Id="rId30" Type="http://schemas.openxmlformats.org/officeDocument/2006/relationships/hyperlink" Target="https://maps.app.goo.gl/yRNFdK1p6sWPThzm7" TargetMode="External"/><Relationship Id="rId35" Type="http://schemas.openxmlformats.org/officeDocument/2006/relationships/hyperlink" Target="https://maps.app.goo.gl/jKvNrbE9PyvENUPV6" TargetMode="External"/><Relationship Id="rId56" Type="http://schemas.openxmlformats.org/officeDocument/2006/relationships/hyperlink" Target="https://maps.app.goo.gl/eqCTz2HAdE1NfPPD8" TargetMode="External"/><Relationship Id="rId77" Type="http://schemas.openxmlformats.org/officeDocument/2006/relationships/hyperlink" Target="https://maps.app.goo.gl/zkvMgjGRX8Yn5yvJ9" TargetMode="External"/><Relationship Id="rId100" Type="http://schemas.openxmlformats.org/officeDocument/2006/relationships/hyperlink" Target="https://maps.app.goo.gl/8iiLWsQkZab33zJR9" TargetMode="External"/><Relationship Id="rId105" Type="http://schemas.openxmlformats.org/officeDocument/2006/relationships/hyperlink" Target="https://maps.app.goo.gl/8iiLWsQkZab33zJR9" TargetMode="External"/><Relationship Id="rId126" Type="http://schemas.openxmlformats.org/officeDocument/2006/relationships/hyperlink" Target="https://maps.app.goo.gl/8z1HzhMcXXoF94Bb8" TargetMode="External"/><Relationship Id="rId147" Type="http://schemas.openxmlformats.org/officeDocument/2006/relationships/hyperlink" Target="https://maps.app.goo.gl/UERKrpwZMN1CAx7L9" TargetMode="External"/><Relationship Id="rId168" Type="http://schemas.openxmlformats.org/officeDocument/2006/relationships/hyperlink" Target="https://maps.app.goo.gl/RJ2QRVrW96tKL7ur6" TargetMode="External"/><Relationship Id="rId8" Type="http://schemas.openxmlformats.org/officeDocument/2006/relationships/hyperlink" Target="https://www.google.com/maps/place/25+Av.+de+Saint-Mand%C3%A9,+75012+Paris" TargetMode="External"/><Relationship Id="rId51" Type="http://schemas.openxmlformats.org/officeDocument/2006/relationships/hyperlink" Target="https://maps.app.goo.gl/ngVAd1ZcuWEZcS5U8" TargetMode="External"/><Relationship Id="rId72" Type="http://schemas.openxmlformats.org/officeDocument/2006/relationships/hyperlink" Target="https://maps.app.goo.gl/bRUcnSM5Cuttscrc9" TargetMode="External"/><Relationship Id="rId93" Type="http://schemas.openxmlformats.org/officeDocument/2006/relationships/hyperlink" Target="https://maps.app.goo.gl/8iiLWsQkZab33zJR9" TargetMode="External"/><Relationship Id="rId98" Type="http://schemas.openxmlformats.org/officeDocument/2006/relationships/hyperlink" Target="https://maps.app.goo.gl/8iiLWsQkZab33zJR9" TargetMode="External"/><Relationship Id="rId121" Type="http://schemas.openxmlformats.org/officeDocument/2006/relationships/hyperlink" Target="https://maps.app.goo.gl/ZT3smPn7vYZ4vePU6" TargetMode="External"/><Relationship Id="rId142" Type="http://schemas.openxmlformats.org/officeDocument/2006/relationships/hyperlink" Target="https://maps.app.goo.gl/tjMaHorSgGr3n8rT8" TargetMode="External"/><Relationship Id="rId163" Type="http://schemas.openxmlformats.org/officeDocument/2006/relationships/hyperlink" Target="https://maps.app.goo.gl/RJ2QRVrW96tKL7ur6" TargetMode="External"/><Relationship Id="rId184" Type="http://schemas.openxmlformats.org/officeDocument/2006/relationships/hyperlink" Target="https://maps.app.goo.gl/Li1LEavQXMdoEcnp6" TargetMode="External"/><Relationship Id="rId189" Type="http://schemas.openxmlformats.org/officeDocument/2006/relationships/hyperlink" Target="https://maps.app.goo.gl/me3i2cvSJCdtSR2q6" TargetMode="External"/><Relationship Id="rId219" Type="http://schemas.openxmlformats.org/officeDocument/2006/relationships/hyperlink" Target="https://maps.app.goo.gl/ZB7EoAbkDh1u5HFp8" TargetMode="External"/><Relationship Id="rId3" Type="http://schemas.openxmlformats.org/officeDocument/2006/relationships/hyperlink" Target="https://www.google.com/maps/place/90+Rue+du+Commerce,+41000+Blois" TargetMode="External"/><Relationship Id="rId214" Type="http://schemas.openxmlformats.org/officeDocument/2006/relationships/hyperlink" Target="https://maps.app.goo.gl/ZB7EoAbkDh1u5HFp8" TargetMode="External"/><Relationship Id="rId230" Type="http://schemas.openxmlformats.org/officeDocument/2006/relationships/hyperlink" Target="https://maps.app.goo.gl/Xe5mVhv32b2SqSBH7" TargetMode="External"/><Relationship Id="rId235" Type="http://schemas.openxmlformats.org/officeDocument/2006/relationships/hyperlink" Target="https://maps.app.goo.gl/Xe5mVhv32b2SqSBH7" TargetMode="External"/><Relationship Id="rId25" Type="http://schemas.openxmlformats.org/officeDocument/2006/relationships/hyperlink" Target="https://maps.app.goo.gl/yRNFdK1p6sWPThzm7" TargetMode="External"/><Relationship Id="rId46" Type="http://schemas.openxmlformats.org/officeDocument/2006/relationships/hyperlink" Target="https://maps.app.goo.gl/ngVAd1ZcuWEZcS5U8" TargetMode="External"/><Relationship Id="rId67" Type="http://schemas.openxmlformats.org/officeDocument/2006/relationships/hyperlink" Target="https://www.google.com/maps/place/30+Rue+de+la+Ronce,+92410+Ville-d'Avray" TargetMode="External"/><Relationship Id="rId116" Type="http://schemas.openxmlformats.org/officeDocument/2006/relationships/hyperlink" Target="https://maps.app.goo.gl/K9R5sQxCB3Rf4pa6A" TargetMode="External"/><Relationship Id="rId137" Type="http://schemas.openxmlformats.org/officeDocument/2006/relationships/hyperlink" Target="https://maps.app.goo.gl/jjHUN2H4tKUGyBEQ7" TargetMode="External"/><Relationship Id="rId158" Type="http://schemas.openxmlformats.org/officeDocument/2006/relationships/hyperlink" Target="https://maps.app.goo.gl/RJ2QRVrW96tKL7ur6" TargetMode="External"/><Relationship Id="rId20" Type="http://schemas.openxmlformats.org/officeDocument/2006/relationships/hyperlink" Target="https://maps.app.goo.gl/yRNFdK1p6sWPThzm7" TargetMode="External"/><Relationship Id="rId41" Type="http://schemas.openxmlformats.org/officeDocument/2006/relationships/hyperlink" Target="https://maps.app.goo.gl/jKvNrbE9PyvENUPV6" TargetMode="External"/><Relationship Id="rId62" Type="http://schemas.openxmlformats.org/officeDocument/2006/relationships/hyperlink" Target="https://maps.app.goo.gl/HLGbMrDwLnc5Q19B6" TargetMode="External"/><Relationship Id="rId83" Type="http://schemas.openxmlformats.org/officeDocument/2006/relationships/hyperlink" Target="https://maps.app.goo.gl/7cJ6w9VTriZkhuhU7" TargetMode="External"/><Relationship Id="rId88" Type="http://schemas.openxmlformats.org/officeDocument/2006/relationships/hyperlink" Target="https://maps.app.goo.gl/brvAXB8JH7CUWKEZ8" TargetMode="External"/><Relationship Id="rId111" Type="http://schemas.openxmlformats.org/officeDocument/2006/relationships/hyperlink" Target="https://maps.app.goo.gl/EzBX5XpF18D7UW9o7" TargetMode="External"/><Relationship Id="rId132" Type="http://schemas.openxmlformats.org/officeDocument/2006/relationships/hyperlink" Target="https://maps.app.goo.gl/SUpMvLrMFe1dX8fi7" TargetMode="External"/><Relationship Id="rId153" Type="http://schemas.openxmlformats.org/officeDocument/2006/relationships/hyperlink" Target="https://maps.app.goo.gl/LrXvSy35NAUmoadS8" TargetMode="External"/><Relationship Id="rId174" Type="http://schemas.openxmlformats.org/officeDocument/2006/relationships/hyperlink" Target="https://maps.app.goo.gl/RJ2QRVrW96tKL7ur6" TargetMode="External"/><Relationship Id="rId179" Type="http://schemas.openxmlformats.org/officeDocument/2006/relationships/hyperlink" Target="https://maps.app.goo.gl/7dsMYhd2KW95ZzZs5" TargetMode="External"/><Relationship Id="rId195" Type="http://schemas.openxmlformats.org/officeDocument/2006/relationships/hyperlink" Target="https://maps.app.goo.gl/DA8sieAsy7puzhcT8" TargetMode="External"/><Relationship Id="rId209" Type="http://schemas.openxmlformats.org/officeDocument/2006/relationships/hyperlink" Target="https://maps.app.goo.gl/ZB7EoAbkDh1u5HFp8" TargetMode="External"/><Relationship Id="rId190" Type="http://schemas.openxmlformats.org/officeDocument/2006/relationships/hyperlink" Target="https://maps.app.goo.gl/me3i2cvSJCdtSR2q6" TargetMode="External"/><Relationship Id="rId204" Type="http://schemas.openxmlformats.org/officeDocument/2006/relationships/hyperlink" Target="https://maps.app.goo.gl/s38P4ug4gx2nQPqW6" TargetMode="External"/><Relationship Id="rId220" Type="http://schemas.openxmlformats.org/officeDocument/2006/relationships/hyperlink" Target="https://maps.app.goo.gl/ZB7EoAbkDh1u5HFp8" TargetMode="External"/><Relationship Id="rId225" Type="http://schemas.openxmlformats.org/officeDocument/2006/relationships/hyperlink" Target="https://maps.app.goo.gl/Xe5mVhv32b2SqSBH7" TargetMode="External"/><Relationship Id="rId15" Type="http://schemas.openxmlformats.org/officeDocument/2006/relationships/hyperlink" Target="https://www.google.com/maps/place/32+Rue+Marbeuf,+75008+Paris" TargetMode="External"/><Relationship Id="rId36" Type="http://schemas.openxmlformats.org/officeDocument/2006/relationships/hyperlink" Target="https://maps.app.goo.gl/jKvNrbE9PyvENUPV6" TargetMode="External"/><Relationship Id="rId57" Type="http://schemas.openxmlformats.org/officeDocument/2006/relationships/hyperlink" Target="https://maps.app.goo.gl/HLGbMrDwLnc5Q19B6" TargetMode="External"/><Relationship Id="rId106" Type="http://schemas.openxmlformats.org/officeDocument/2006/relationships/hyperlink" Target="https://maps.app.goo.gl/vpxnjtFKHndYSbgW9" TargetMode="External"/><Relationship Id="rId127" Type="http://schemas.openxmlformats.org/officeDocument/2006/relationships/hyperlink" Target="https://maps.app.goo.gl/jiv1tvwoFYLDiKzb7" TargetMode="External"/><Relationship Id="rId10" Type="http://schemas.openxmlformats.org/officeDocument/2006/relationships/hyperlink" Target="https://www.google.com/maps/place/30+Rue+de+la+Ronce,+92410+Ville-d'Avray" TargetMode="External"/><Relationship Id="rId31" Type="http://schemas.openxmlformats.org/officeDocument/2006/relationships/hyperlink" Target="https://maps.app.goo.gl/yRNFdK1p6sWPThzm7" TargetMode="External"/><Relationship Id="rId52" Type="http://schemas.openxmlformats.org/officeDocument/2006/relationships/hyperlink" Target="https://maps.app.goo.gl/eqCTz2HAdE1NfPPD8" TargetMode="External"/><Relationship Id="rId73" Type="http://schemas.openxmlformats.org/officeDocument/2006/relationships/hyperlink" Target="https://maps.app.goo.gl/kMFypL5FgsVNonvo8" TargetMode="External"/><Relationship Id="rId78" Type="http://schemas.openxmlformats.org/officeDocument/2006/relationships/hyperlink" Target="https://maps.app.goo.gl/jcUuEcShVcUDuB7A6" TargetMode="External"/><Relationship Id="rId94" Type="http://schemas.openxmlformats.org/officeDocument/2006/relationships/hyperlink" Target="https://maps.app.goo.gl/8iiLWsQkZab33zJR9" TargetMode="External"/><Relationship Id="rId99" Type="http://schemas.openxmlformats.org/officeDocument/2006/relationships/hyperlink" Target="https://maps.app.goo.gl/8iiLWsQkZab33zJR9" TargetMode="External"/><Relationship Id="rId101" Type="http://schemas.openxmlformats.org/officeDocument/2006/relationships/hyperlink" Target="https://maps.app.goo.gl/8iiLWsQkZab33zJR9" TargetMode="External"/><Relationship Id="rId122" Type="http://schemas.openxmlformats.org/officeDocument/2006/relationships/hyperlink" Target="https://maps.app.goo.gl/Zm8LZ3W7bF7oEBhA6" TargetMode="External"/><Relationship Id="rId143" Type="http://schemas.openxmlformats.org/officeDocument/2006/relationships/hyperlink" Target="https://maps.app.goo.gl/FVhfY8aR3d29ecvj8" TargetMode="External"/><Relationship Id="rId148" Type="http://schemas.openxmlformats.org/officeDocument/2006/relationships/hyperlink" Target="https://maps.app.goo.gl/e1ddei1i8yHZXuQi8" TargetMode="External"/><Relationship Id="rId164" Type="http://schemas.openxmlformats.org/officeDocument/2006/relationships/hyperlink" Target="https://maps.app.goo.gl/RJ2QRVrW96tKL7ur6" TargetMode="External"/><Relationship Id="rId169" Type="http://schemas.openxmlformats.org/officeDocument/2006/relationships/hyperlink" Target="https://maps.app.goo.gl/RJ2QRVrW96tKL7ur6" TargetMode="External"/><Relationship Id="rId185" Type="http://schemas.openxmlformats.org/officeDocument/2006/relationships/hyperlink" Target="https://maps.app.goo.gl/nWGrhLd3151UgtAA9" TargetMode="External"/><Relationship Id="rId4" Type="http://schemas.openxmlformats.org/officeDocument/2006/relationships/hyperlink" Target="https://maps.app.goo.gl/eqCTz2HAdE1NfPPD8" TargetMode="External"/><Relationship Id="rId9" Type="http://schemas.openxmlformats.org/officeDocument/2006/relationships/hyperlink" Target="https://www.google.com/maps/place/143+Rue+des+Fauvelles,+92250+La+Garenne-Colombes" TargetMode="External"/><Relationship Id="rId180" Type="http://schemas.openxmlformats.org/officeDocument/2006/relationships/hyperlink" Target="https://maps.app.goo.gl/wNVbBxTsrAXKBrtc6" TargetMode="External"/><Relationship Id="rId210" Type="http://schemas.openxmlformats.org/officeDocument/2006/relationships/hyperlink" Target="https://maps.app.goo.gl/ZB7EoAbkDh1u5HFp8" TargetMode="External"/><Relationship Id="rId215" Type="http://schemas.openxmlformats.org/officeDocument/2006/relationships/hyperlink" Target="https://maps.app.goo.gl/ZB7EoAbkDh1u5HFp8" TargetMode="External"/><Relationship Id="rId236" Type="http://schemas.openxmlformats.org/officeDocument/2006/relationships/hyperlink" Target="https://maps.app.goo.gl/Xe5mVhv32b2SqSBH7" TargetMode="External"/><Relationship Id="rId26" Type="http://schemas.openxmlformats.org/officeDocument/2006/relationships/hyperlink" Target="https://maps.app.goo.gl/yRNFdK1p6sWPThzm7" TargetMode="External"/><Relationship Id="rId231" Type="http://schemas.openxmlformats.org/officeDocument/2006/relationships/hyperlink" Target="https://maps.app.goo.gl/Xe5mVhv32b2SqSBH7" TargetMode="External"/><Relationship Id="rId47" Type="http://schemas.openxmlformats.org/officeDocument/2006/relationships/hyperlink" Target="https://maps.app.goo.gl/ngVAd1ZcuWEZcS5U8" TargetMode="External"/><Relationship Id="rId68" Type="http://schemas.openxmlformats.org/officeDocument/2006/relationships/hyperlink" Target="https://www.google.com/maps/place/30+Rue+de+la+Ronce,+92410+Ville-d'Avray" TargetMode="External"/><Relationship Id="rId89" Type="http://schemas.openxmlformats.org/officeDocument/2006/relationships/hyperlink" Target="https://maps.app.goo.gl/vpxnjtFKHndYSbgW9" TargetMode="External"/><Relationship Id="rId112" Type="http://schemas.openxmlformats.org/officeDocument/2006/relationships/hyperlink" Target="https://maps.app.goo.gl/x6dcSwrDVoZjnYt46" TargetMode="External"/><Relationship Id="rId133" Type="http://schemas.openxmlformats.org/officeDocument/2006/relationships/hyperlink" Target="https://maps.app.goo.gl/9Ve3dRd43covAEFVA" TargetMode="External"/><Relationship Id="rId154" Type="http://schemas.openxmlformats.org/officeDocument/2006/relationships/hyperlink" Target="https://maps.app.goo.gl/RJ2QRVrW96tKL7ur6" TargetMode="External"/><Relationship Id="rId175" Type="http://schemas.openxmlformats.org/officeDocument/2006/relationships/hyperlink" Target="https://maps.app.goo.gl/RJ2QRVrW96tKL7ur6" TargetMode="External"/><Relationship Id="rId196" Type="http://schemas.openxmlformats.org/officeDocument/2006/relationships/hyperlink" Target="https://maps.app.goo.gl/FLDeBwbMeGuVj3yz8" TargetMode="External"/><Relationship Id="rId200" Type="http://schemas.openxmlformats.org/officeDocument/2006/relationships/hyperlink" Target="https://maps.app.goo.gl/brvAXB8JH7CUWKEZ8" TargetMode="External"/><Relationship Id="rId16" Type="http://schemas.openxmlformats.org/officeDocument/2006/relationships/hyperlink" Target="https://maps.app.goo.gl/wJkBLPh5R3fTCHhg8" TargetMode="External"/><Relationship Id="rId221" Type="http://schemas.openxmlformats.org/officeDocument/2006/relationships/hyperlink" Target="https://maps.app.goo.gl/ZB7EoAbkDh1u5HFp8" TargetMode="External"/><Relationship Id="rId37" Type="http://schemas.openxmlformats.org/officeDocument/2006/relationships/hyperlink" Target="https://maps.app.goo.gl/jKvNrbE9PyvENUPV6" TargetMode="External"/><Relationship Id="rId58" Type="http://schemas.openxmlformats.org/officeDocument/2006/relationships/hyperlink" Target="https://maps.app.goo.gl/HLGbMrDwLnc5Q19B6" TargetMode="External"/><Relationship Id="rId79" Type="http://schemas.openxmlformats.org/officeDocument/2006/relationships/hyperlink" Target="https://maps.app.goo.gl/ngVAd1ZcuWEZcS5U8" TargetMode="External"/><Relationship Id="rId102" Type="http://schemas.openxmlformats.org/officeDocument/2006/relationships/hyperlink" Target="https://maps.app.goo.gl/8iiLWsQkZab33zJR9" TargetMode="External"/><Relationship Id="rId123" Type="http://schemas.openxmlformats.org/officeDocument/2006/relationships/hyperlink" Target="https://maps.app.goo.gl/478dz86LSbFCSjgs9" TargetMode="External"/><Relationship Id="rId144" Type="http://schemas.openxmlformats.org/officeDocument/2006/relationships/hyperlink" Target="https://maps.app.goo.gl/jbz4ipieRFJ7Dw9XA" TargetMode="External"/><Relationship Id="rId90" Type="http://schemas.openxmlformats.org/officeDocument/2006/relationships/hyperlink" Target="https://maps.app.goo.gl/8iiLWsQkZab33zJR9" TargetMode="External"/><Relationship Id="rId165" Type="http://schemas.openxmlformats.org/officeDocument/2006/relationships/hyperlink" Target="https://maps.app.goo.gl/RJ2QRVrW96tKL7ur6" TargetMode="External"/><Relationship Id="rId186" Type="http://schemas.openxmlformats.org/officeDocument/2006/relationships/hyperlink" Target="https://maps.app.goo.gl/ww9GAH812yRmraCX9" TargetMode="External"/><Relationship Id="rId211" Type="http://schemas.openxmlformats.org/officeDocument/2006/relationships/hyperlink" Target="https://maps.app.goo.gl/ZB7EoAbkDh1u5HFp8" TargetMode="External"/><Relationship Id="rId232" Type="http://schemas.openxmlformats.org/officeDocument/2006/relationships/hyperlink" Target="https://maps.app.goo.gl/Xe5mVhv32b2SqSBH7" TargetMode="External"/><Relationship Id="rId27" Type="http://schemas.openxmlformats.org/officeDocument/2006/relationships/hyperlink" Target="https://maps.app.goo.gl/yRNFdK1p6sWPThzm7" TargetMode="External"/><Relationship Id="rId48" Type="http://schemas.openxmlformats.org/officeDocument/2006/relationships/hyperlink" Target="https://maps.app.goo.gl/ngVAd1ZcuWEZcS5U8" TargetMode="External"/><Relationship Id="rId69" Type="http://schemas.openxmlformats.org/officeDocument/2006/relationships/hyperlink" Target="https://www.google.com/maps/place/30+Rue+de+la+Ronce,+92410+Ville-d'Avray" TargetMode="External"/><Relationship Id="rId113" Type="http://schemas.openxmlformats.org/officeDocument/2006/relationships/hyperlink" Target="https://maps.app.goo.gl/K9R5sQxCB3Rf4pa6A" TargetMode="External"/><Relationship Id="rId134" Type="http://schemas.openxmlformats.org/officeDocument/2006/relationships/hyperlink" Target="https://maps.app.goo.gl/9Ve3dRd43covAEF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A860-D730-4E53-986A-F9417B64BAFA}">
  <sheetPr codeName="Feuil2"/>
  <dimension ref="A1:BG327"/>
  <sheetViews>
    <sheetView showZeros="0" tabSelected="1" zoomScale="80" zoomScaleNormal="80" workbookViewId="0">
      <pane xSplit="6" ySplit="1" topLeftCell="AQ303" activePane="bottomRight" state="frozen"/>
      <selection pane="topRight" activeCell="G1" sqref="G1"/>
      <selection pane="bottomLeft" activeCell="A2" sqref="A2"/>
      <selection pane="bottomRight" activeCell="AT307" sqref="AT307:AT310"/>
    </sheetView>
  </sheetViews>
  <sheetFormatPr baseColWidth="10" defaultColWidth="11.625" defaultRowHeight="14.25"/>
  <cols>
    <col min="1" max="1" width="23" style="1" bestFit="1" customWidth="1"/>
    <col min="2" max="2" width="15.75" style="1" bestFit="1" customWidth="1"/>
    <col min="3" max="3" width="17" style="1" bestFit="1" customWidth="1"/>
    <col min="4" max="4" width="29.25" style="1" customWidth="1"/>
    <col min="5" max="5" width="13.875" style="1" bestFit="1" customWidth="1"/>
    <col min="6" max="6" width="20.25" style="1" bestFit="1" customWidth="1"/>
    <col min="7" max="7" width="30.25" style="41" bestFit="1" customWidth="1"/>
    <col min="8" max="8" width="29" style="1" bestFit="1" customWidth="1"/>
    <col min="9" max="9" width="11.625" style="1"/>
    <col min="10" max="11" width="17.375" style="1" bestFit="1" customWidth="1"/>
    <col min="12" max="12" width="17.375" style="1" customWidth="1"/>
    <col min="14" max="14" width="15.625" style="1" bestFit="1" customWidth="1"/>
    <col min="15" max="15" width="13.5" style="1" bestFit="1" customWidth="1"/>
    <col min="16" max="16" width="10.875" style="1" customWidth="1"/>
    <col min="17" max="17" width="13.5" style="1" customWidth="1"/>
    <col min="19" max="19" width="8" style="1" customWidth="1"/>
    <col min="20" max="20" width="16.875" style="1" customWidth="1"/>
    <col min="21" max="21" width="13.875" style="1" customWidth="1"/>
    <col min="22" max="22" width="15.125" style="1" bestFit="1" customWidth="1"/>
    <col min="23" max="23" width="11.875" style="1" customWidth="1"/>
    <col min="24" max="25" width="14.75" style="1" customWidth="1"/>
    <col min="26" max="26" width="17.25" customWidth="1"/>
    <col min="27" max="28" width="19.75" customWidth="1"/>
    <col min="29" max="30" width="8.25" style="1" customWidth="1"/>
    <col min="31" max="32" width="14.25" style="1" customWidth="1"/>
    <col min="33" max="33" width="14" style="1" customWidth="1"/>
    <col min="34" max="34" width="17.5" style="1" customWidth="1"/>
    <col min="35" max="36" width="11.625" customWidth="1"/>
    <col min="37" max="37" width="11.25" style="1" customWidth="1"/>
    <col min="38" max="38" width="9.625" customWidth="1"/>
    <col min="39" max="39" width="64.5" style="1" customWidth="1"/>
    <col min="40" max="40" width="24.5" style="1" customWidth="1"/>
    <col min="41" max="41" width="50.25" style="1" customWidth="1"/>
    <col min="42" max="42" width="41.5" style="1" customWidth="1"/>
    <col min="43" max="43" width="17.625" style="1" customWidth="1"/>
    <col min="44" max="44" width="19.25" style="1" customWidth="1"/>
    <col min="45" max="45" width="20.5" style="1" customWidth="1"/>
    <col min="46" max="46" width="18.5" style="1" customWidth="1"/>
    <col min="47" max="47" width="21.5" style="1" bestFit="1" customWidth="1"/>
    <col min="48" max="48" width="17.625" style="1" bestFit="1" customWidth="1"/>
    <col min="49" max="49" width="13.375" style="1" bestFit="1" customWidth="1"/>
    <col min="50" max="50" width="13.375" style="1" customWidth="1"/>
    <col min="51" max="51" width="28" bestFit="1" customWidth="1"/>
    <col min="52" max="52" width="19.875" bestFit="1" customWidth="1"/>
    <col min="53" max="53" width="40.625" style="1" customWidth="1"/>
    <col min="54" max="54" width="27.75" style="1" customWidth="1"/>
    <col min="55" max="56" width="44.25" style="1" customWidth="1"/>
    <col min="57" max="57" width="33" style="1" bestFit="1" customWidth="1"/>
    <col min="58" max="58" width="93.625" style="1" bestFit="1" customWidth="1"/>
    <col min="60" max="16384" width="11.625" style="1"/>
  </cols>
  <sheetData>
    <row r="1" spans="1:59" ht="12.75">
      <c r="A1" s="1" t="s">
        <v>250</v>
      </c>
      <c r="B1" s="1" t="s">
        <v>123</v>
      </c>
      <c r="C1" s="1" t="s">
        <v>251</v>
      </c>
      <c r="D1" s="1" t="s">
        <v>122</v>
      </c>
      <c r="E1" s="1" t="s">
        <v>124</v>
      </c>
      <c r="F1" s="1" t="s">
        <v>72</v>
      </c>
      <c r="G1" s="40" t="s">
        <v>5</v>
      </c>
      <c r="H1" s="3" t="s">
        <v>73</v>
      </c>
      <c r="I1" s="3" t="s">
        <v>43</v>
      </c>
      <c r="J1" s="3" t="s">
        <v>42</v>
      </c>
      <c r="K1" s="1" t="s">
        <v>1370</v>
      </c>
      <c r="L1" s="1" t="s">
        <v>1374</v>
      </c>
      <c r="M1" s="1" t="s">
        <v>10</v>
      </c>
      <c r="N1" s="1" t="s">
        <v>298</v>
      </c>
      <c r="O1" s="1" t="s">
        <v>19</v>
      </c>
      <c r="P1" s="1" t="s">
        <v>254</v>
      </c>
      <c r="Q1" s="1" t="s">
        <v>1376</v>
      </c>
      <c r="R1" s="1" t="s">
        <v>255</v>
      </c>
      <c r="S1" s="1" t="s">
        <v>256</v>
      </c>
      <c r="T1" s="1" t="s">
        <v>97</v>
      </c>
      <c r="U1" s="1" t="s">
        <v>11</v>
      </c>
      <c r="V1" s="1" t="s">
        <v>14</v>
      </c>
      <c r="W1" s="1" t="s">
        <v>96</v>
      </c>
      <c r="X1" s="1" t="s">
        <v>418</v>
      </c>
      <c r="Y1" s="1" t="s">
        <v>8</v>
      </c>
      <c r="Z1" s="1" t="s">
        <v>15</v>
      </c>
      <c r="AA1" s="1" t="s">
        <v>74</v>
      </c>
      <c r="AB1" s="1" t="s">
        <v>299</v>
      </c>
      <c r="AC1" s="1" t="s">
        <v>75</v>
      </c>
      <c r="AD1" s="1" t="s">
        <v>300</v>
      </c>
      <c r="AE1" s="1" t="s">
        <v>301</v>
      </c>
      <c r="AF1" s="1" t="s">
        <v>99</v>
      </c>
      <c r="AG1" s="1" t="s">
        <v>100</v>
      </c>
      <c r="AH1" s="1" t="s">
        <v>76</v>
      </c>
      <c r="AI1" s="1" t="s">
        <v>94</v>
      </c>
      <c r="AJ1" s="1" t="s">
        <v>2</v>
      </c>
      <c r="AK1" s="1" t="s">
        <v>103</v>
      </c>
      <c r="AL1" s="1" t="s">
        <v>95</v>
      </c>
      <c r="AM1" s="1" t="s">
        <v>1</v>
      </c>
      <c r="AN1" s="1" t="s">
        <v>1372</v>
      </c>
      <c r="AO1" s="1" t="s">
        <v>1373</v>
      </c>
      <c r="AP1" s="1" t="s">
        <v>101</v>
      </c>
      <c r="AQ1" s="1" t="s">
        <v>102</v>
      </c>
      <c r="AR1" s="1" t="s">
        <v>253</v>
      </c>
      <c r="AS1" s="1" t="s">
        <v>252</v>
      </c>
      <c r="AT1" s="1" t="s">
        <v>104</v>
      </c>
      <c r="AU1" s="1" t="s">
        <v>16</v>
      </c>
      <c r="AV1" s="1" t="s">
        <v>0</v>
      </c>
      <c r="AW1" s="1" t="s">
        <v>12</v>
      </c>
      <c r="AX1" s="3" t="s">
        <v>1064</v>
      </c>
      <c r="AY1" s="1"/>
      <c r="AZ1" s="1"/>
      <c r="BG1" s="1"/>
    </row>
    <row r="2" spans="1:59" ht="25.5">
      <c r="A2" s="4" t="str">
        <f>VLOOKUP(Tableau1[[#This Row],[N° Département]],Feuil1!$C$6:$E$106,3)</f>
        <v>Nouvelle-Aquitaine</v>
      </c>
      <c r="B2" s="4" t="str">
        <f>VLOOKUP(Tableau1[[#This Row],[N° Département]],Feuil1!$C$6:$E$106,2)</f>
        <v>Charente</v>
      </c>
      <c r="C2" s="4">
        <f>LEFT(Tableau1[[#This Row],[Code Postal]],2)*1</f>
        <v>16</v>
      </c>
      <c r="D2" s="4" t="s">
        <v>105</v>
      </c>
      <c r="E2" s="25">
        <v>16000</v>
      </c>
      <c r="F2" s="10" t="s">
        <v>77</v>
      </c>
      <c r="G2" s="5" t="str">
        <f>Tableau1[[#This Row],[Rue]]&amp;CHAR(10)&amp;Tableau1[[#This Row],[Code Postal]]&amp;" - "&amp;Tableau1[[#This Row],[Ville]]</f>
        <v>53 Rue Hergé
16000 - Angoulême</v>
      </c>
      <c r="H2" s="15" t="s">
        <v>13</v>
      </c>
      <c r="I2" s="6" t="s">
        <v>45</v>
      </c>
      <c r="J2" s="6" t="s">
        <v>44</v>
      </c>
      <c r="K2" s="12" t="s">
        <v>98</v>
      </c>
      <c r="L2" s="12"/>
      <c r="M2" s="12" t="s">
        <v>98</v>
      </c>
      <c r="N2" s="35" t="s">
        <v>98</v>
      </c>
      <c r="O2" s="33">
        <v>451</v>
      </c>
      <c r="P2" s="4" t="s">
        <v>257</v>
      </c>
      <c r="Q2" s="34" t="s">
        <v>98</v>
      </c>
      <c r="R2" s="34">
        <v>423</v>
      </c>
      <c r="S2" s="4" t="s">
        <v>266</v>
      </c>
      <c r="T2" s="12">
        <f>Tableau1[[#This Row],[Loyer €/m²]]*Tableau1[[#This Row],[Surface GLA]]</f>
        <v>67650</v>
      </c>
      <c r="U2" s="6">
        <f>IFERROR(Tableau1[[#This Row],[Loyer annuel]]/12,"")</f>
        <v>5637.5</v>
      </c>
      <c r="V2" s="6">
        <v>150</v>
      </c>
      <c r="W2" s="6" t="s">
        <v>98</v>
      </c>
      <c r="X2" s="6">
        <f>Tableau1[[#This Row],[Charges €/m²]]*Tableau1[[#This Row],[Surface GLA]]</f>
        <v>12177</v>
      </c>
      <c r="Y2" s="6">
        <f>IFERROR(Tableau1[[#This Row],[Charges annuelles]]/12,"")</f>
        <v>1014.75</v>
      </c>
      <c r="Z2" s="6">
        <v>27</v>
      </c>
      <c r="AA2" s="6">
        <f>IFERROR(Tableau1[[#This Row],[Taxe foncière €/m²]]*Tableau1[[#This Row],[Surface GLA]],)</f>
        <v>0</v>
      </c>
      <c r="AB2" s="6" t="s">
        <v>98</v>
      </c>
      <c r="AC2" s="6">
        <f>IFERROR(Tableau1[[#This Row],[Marketing €/m²]]*Tableau1[[#This Row],[Surface GLA]],)</f>
        <v>0</v>
      </c>
      <c r="AD2" s="6" t="s">
        <v>98</v>
      </c>
      <c r="AE2" s="6">
        <f>IFERROR(Tableau1[[#This Row],[Loyer annuel]]+Tableau1[[#This Row],[Charges annuelles]]+Tableau1[[#This Row],[Taxe foncière]]+Tableau1[[#This Row],[Marketing]],"")</f>
        <v>79827</v>
      </c>
      <c r="AF2" s="6" t="s">
        <v>98</v>
      </c>
      <c r="AG2" s="6" t="s">
        <v>98</v>
      </c>
      <c r="AH2" s="6" t="s">
        <v>98</v>
      </c>
      <c r="AI2" s="6" t="s">
        <v>357</v>
      </c>
      <c r="AJ2" s="4" t="s">
        <v>369</v>
      </c>
      <c r="AK2" s="4" t="s">
        <v>363</v>
      </c>
      <c r="AL2" s="4" t="s">
        <v>364</v>
      </c>
      <c r="AM2" s="5" t="s">
        <v>356</v>
      </c>
      <c r="AN2" s="5"/>
      <c r="AO2" s="5" t="s">
        <v>361</v>
      </c>
      <c r="AP2" s="5" t="s">
        <v>527</v>
      </c>
      <c r="AQ2" s="5" t="s">
        <v>528</v>
      </c>
      <c r="AR2" s="32" t="s">
        <v>329</v>
      </c>
      <c r="AS2" s="35" t="s">
        <v>717</v>
      </c>
      <c r="AT2" s="5" t="s">
        <v>70</v>
      </c>
      <c r="AU2" s="5" t="s">
        <v>17</v>
      </c>
      <c r="AV2" s="7" t="s">
        <v>18</v>
      </c>
      <c r="AW2" s="7"/>
      <c r="AX2" s="44"/>
      <c r="AY2" s="1"/>
      <c r="AZ2" s="1"/>
      <c r="BG2" s="1"/>
    </row>
    <row r="3" spans="1:59" ht="25.5">
      <c r="A3" s="4" t="str">
        <f>VLOOKUP(Tableau1[[#This Row],[N° Département]],Feuil1!$C$6:$E$106,3)</f>
        <v>Bourgogne-Franche-Comté</v>
      </c>
      <c r="B3" s="4" t="str">
        <f>VLOOKUP(Tableau1[[#This Row],[N° Département]],Feuil1!$C$6:$E$106,2)</f>
        <v>Doubs</v>
      </c>
      <c r="C3" s="4">
        <f>LEFT(Tableau1[[#This Row],[Code Postal]],2)*1</f>
        <v>25</v>
      </c>
      <c r="D3" s="4" t="s">
        <v>106</v>
      </c>
      <c r="E3" s="25">
        <v>25000</v>
      </c>
      <c r="F3" s="10" t="s">
        <v>78</v>
      </c>
      <c r="G3" s="5" t="str">
        <f>Tableau1[[#This Row],[Rue]]&amp;CHAR(10)&amp;Tableau1[[#This Row],[Code Postal]]&amp;" - "&amp;Tableau1[[#This Row],[Ville]]</f>
        <v>44 Grande Rue
25000 - Besançon</v>
      </c>
      <c r="H3" s="15" t="s">
        <v>21</v>
      </c>
      <c r="I3" s="6" t="s">
        <v>45</v>
      </c>
      <c r="J3" s="6" t="s">
        <v>44</v>
      </c>
      <c r="K3" s="12" t="s">
        <v>98</v>
      </c>
      <c r="L3" s="12"/>
      <c r="M3" s="12" t="s">
        <v>98</v>
      </c>
      <c r="N3" s="35" t="s">
        <v>98</v>
      </c>
      <c r="O3" s="33">
        <v>325</v>
      </c>
      <c r="P3" s="4" t="s">
        <v>258</v>
      </c>
      <c r="Q3" s="34" t="s">
        <v>98</v>
      </c>
      <c r="R3" s="34" t="s">
        <v>98</v>
      </c>
      <c r="S3" s="6" t="s">
        <v>98</v>
      </c>
      <c r="T3" s="12">
        <f>Tableau1[[#This Row],[Loyer €/m²]]*Tableau1[[#This Row],[Surface GLA]]</f>
        <v>42250</v>
      </c>
      <c r="U3" s="6">
        <f>IFERROR(Tableau1[[#This Row],[Loyer annuel]]/12,"")</f>
        <v>3520.8333333333335</v>
      </c>
      <c r="V3" s="6">
        <v>130</v>
      </c>
      <c r="W3" s="6" t="s">
        <v>98</v>
      </c>
      <c r="X3" s="6">
        <f>Tableau1[[#This Row],[Charges €/m²]]*Tableau1[[#This Row],[Surface GLA]]</f>
        <v>8450</v>
      </c>
      <c r="Y3" s="6">
        <f>IFERROR(Tableau1[[#This Row],[Charges annuelles]]/12,"")</f>
        <v>704.16666666666663</v>
      </c>
      <c r="Z3" s="6">
        <v>26</v>
      </c>
      <c r="AA3" s="6">
        <f>IFERROR(Tableau1[[#This Row],[Taxe foncière €/m²]]*Tableau1[[#This Row],[Surface GLA]],)</f>
        <v>0</v>
      </c>
      <c r="AB3" s="6" t="s">
        <v>98</v>
      </c>
      <c r="AC3" s="6">
        <f>IFERROR(Tableau1[[#This Row],[Marketing €/m²]]*Tableau1[[#This Row],[Surface GLA]],)</f>
        <v>0</v>
      </c>
      <c r="AD3" s="6" t="s">
        <v>98</v>
      </c>
      <c r="AE3" s="6">
        <f>IFERROR(Tableau1[[#This Row],[Loyer annuel]]+Tableau1[[#This Row],[Charges annuelles]]+Tableau1[[#This Row],[Taxe foncière]]+Tableau1[[#This Row],[Marketing]],"")</f>
        <v>50700</v>
      </c>
      <c r="AF3" s="6" t="s">
        <v>98</v>
      </c>
      <c r="AG3" s="6" t="s">
        <v>98</v>
      </c>
      <c r="AH3" s="6" t="s">
        <v>98</v>
      </c>
      <c r="AI3" s="6" t="s">
        <v>357</v>
      </c>
      <c r="AJ3" s="4" t="s">
        <v>53</v>
      </c>
      <c r="AK3" s="4" t="s">
        <v>362</v>
      </c>
      <c r="AL3" s="4" t="s">
        <v>365</v>
      </c>
      <c r="AM3" s="5" t="s">
        <v>358</v>
      </c>
      <c r="AN3" s="5"/>
      <c r="AO3" s="5" t="s">
        <v>361</v>
      </c>
      <c r="AP3" s="5">
        <v>47.238161699999999</v>
      </c>
      <c r="AQ3" s="5">
        <v>6.0234543</v>
      </c>
      <c r="AR3" s="32" t="s">
        <v>330</v>
      </c>
      <c r="AS3" s="35" t="s">
        <v>718</v>
      </c>
      <c r="AT3" s="5" t="s">
        <v>70</v>
      </c>
      <c r="AU3" s="5" t="s">
        <v>22</v>
      </c>
      <c r="AV3" s="7" t="s">
        <v>18</v>
      </c>
      <c r="AW3" s="9"/>
      <c r="AX3" s="44"/>
      <c r="AY3" s="1"/>
      <c r="AZ3" s="1"/>
      <c r="BG3" s="1"/>
    </row>
    <row r="4" spans="1:59" ht="25.5">
      <c r="A4" s="4" t="str">
        <f>VLOOKUP(Tableau1[[#This Row],[N° Département]],Feuil1!$C$6:$E$106,3)</f>
        <v>Centre-Val de Loire</v>
      </c>
      <c r="B4" s="4" t="str">
        <f>VLOOKUP(Tableau1[[#This Row],[N° Département]],Feuil1!$C$6:$E$106,2)</f>
        <v>Loir-et-Cher</v>
      </c>
      <c r="C4" s="4">
        <f>LEFT(Tableau1[[#This Row],[Code Postal]],2)*1</f>
        <v>41</v>
      </c>
      <c r="D4" s="4" t="s">
        <v>107</v>
      </c>
      <c r="E4" s="25">
        <v>41000</v>
      </c>
      <c r="F4" s="10" t="s">
        <v>79</v>
      </c>
      <c r="G4" s="5" t="str">
        <f>Tableau1[[#This Row],[Rue]]&amp;CHAR(10)&amp;Tableau1[[#This Row],[Code Postal]]&amp;" - "&amp;Tableau1[[#This Row],[Ville]]</f>
        <v>90 Rue du Commerce
41000 - Blois</v>
      </c>
      <c r="H4" s="15" t="s">
        <v>23</v>
      </c>
      <c r="I4" s="6" t="s">
        <v>45</v>
      </c>
      <c r="J4" s="6" t="s">
        <v>44</v>
      </c>
      <c r="K4" s="12" t="s">
        <v>98</v>
      </c>
      <c r="L4" s="12"/>
      <c r="M4" s="12" t="s">
        <v>98</v>
      </c>
      <c r="N4" s="35" t="s">
        <v>98</v>
      </c>
      <c r="O4" s="33">
        <v>264</v>
      </c>
      <c r="P4" s="4" t="s">
        <v>259</v>
      </c>
      <c r="Q4" s="34" t="s">
        <v>98</v>
      </c>
      <c r="R4" s="34">
        <v>244</v>
      </c>
      <c r="S4" s="4" t="s">
        <v>267</v>
      </c>
      <c r="T4" s="12">
        <f>Tableau1[[#This Row],[Loyer €/m²]]*Tableau1[[#This Row],[Surface GLA]]</f>
        <v>92400</v>
      </c>
      <c r="U4" s="6">
        <f>IFERROR(Tableau1[[#This Row],[Loyer annuel]]/12,"")</f>
        <v>7700</v>
      </c>
      <c r="V4" s="6">
        <v>350</v>
      </c>
      <c r="W4" s="6" t="s">
        <v>98</v>
      </c>
      <c r="X4" s="6">
        <f>Tableau1[[#This Row],[Charges €/m²]]*Tableau1[[#This Row],[Surface GLA]]</f>
        <v>12408</v>
      </c>
      <c r="Y4" s="6">
        <f>IFERROR(Tableau1[[#This Row],[Charges annuelles]]/12,"")</f>
        <v>1034</v>
      </c>
      <c r="Z4" s="6">
        <v>47</v>
      </c>
      <c r="AA4" s="6">
        <f>IFERROR(Tableau1[[#This Row],[Taxe foncière €/m²]]*Tableau1[[#This Row],[Surface GLA]],)</f>
        <v>0</v>
      </c>
      <c r="AB4" s="6" t="s">
        <v>98</v>
      </c>
      <c r="AC4" s="6">
        <f>IFERROR(Tableau1[[#This Row],[Marketing €/m²]]*Tableau1[[#This Row],[Surface GLA]],)</f>
        <v>0</v>
      </c>
      <c r="AD4" s="6" t="s">
        <v>98</v>
      </c>
      <c r="AE4" s="6">
        <f>IFERROR(Tableau1[[#This Row],[Loyer annuel]]+Tableau1[[#This Row],[Charges annuelles]]+Tableau1[[#This Row],[Taxe foncière]]+Tableau1[[#This Row],[Marketing]],"")</f>
        <v>104808</v>
      </c>
      <c r="AF4" s="6" t="s">
        <v>98</v>
      </c>
      <c r="AG4" s="6" t="s">
        <v>98</v>
      </c>
      <c r="AH4" s="6" t="s">
        <v>98</v>
      </c>
      <c r="AI4" s="6" t="s">
        <v>357</v>
      </c>
      <c r="AJ4" s="4" t="s">
        <v>53</v>
      </c>
      <c r="AK4" s="4" t="s">
        <v>362</v>
      </c>
      <c r="AL4" s="4" t="s">
        <v>366</v>
      </c>
      <c r="AM4" s="5" t="s">
        <v>359</v>
      </c>
      <c r="AN4" s="5"/>
      <c r="AO4" s="5" t="s">
        <v>361</v>
      </c>
      <c r="AP4" s="5" t="s">
        <v>529</v>
      </c>
      <c r="AQ4" s="5" t="s">
        <v>530</v>
      </c>
      <c r="AR4" s="32" t="s">
        <v>351</v>
      </c>
      <c r="AS4" s="35" t="s">
        <v>719</v>
      </c>
      <c r="AT4" s="5" t="s">
        <v>70</v>
      </c>
      <c r="AU4" s="5" t="s">
        <v>35</v>
      </c>
      <c r="AV4" s="7" t="s">
        <v>18</v>
      </c>
      <c r="AW4" s="8"/>
      <c r="AX4" s="44"/>
      <c r="AY4" s="1"/>
      <c r="AZ4" s="1"/>
      <c r="BG4" s="1"/>
    </row>
    <row r="5" spans="1:59" ht="25.5">
      <c r="A5" s="4" t="str">
        <f>VLOOKUP(Tableau1[[#This Row],[N° Département]],Feuil1!$C$6:$E$106,3)</f>
        <v>Bourgogne-Franche-Comté</v>
      </c>
      <c r="B5" s="4" t="str">
        <f>VLOOKUP(Tableau1[[#This Row],[N° Département]],Feuil1!$C$6:$E$106,2)</f>
        <v>Doubs</v>
      </c>
      <c r="C5" s="4">
        <f>LEFT(Tableau1[[#This Row],[Code Postal]],2)*1</f>
        <v>25</v>
      </c>
      <c r="D5" s="4" t="s">
        <v>108</v>
      </c>
      <c r="E5" s="25">
        <v>25400</v>
      </c>
      <c r="F5" s="10" t="s">
        <v>80</v>
      </c>
      <c r="G5" s="5" t="str">
        <f>Tableau1[[#This Row],[Rue]]&amp;CHAR(10)&amp;Tableau1[[#This Row],[Code Postal]]&amp;" - "&amp;Tableau1[[#This Row],[Ville]]</f>
        <v>7 Rue de Sochaux
25400 - Exincourt</v>
      </c>
      <c r="H5" s="15" t="s">
        <v>269</v>
      </c>
      <c r="I5" s="6" t="s">
        <v>47</v>
      </c>
      <c r="J5" s="6" t="s">
        <v>48</v>
      </c>
      <c r="K5" s="12" t="s">
        <v>98</v>
      </c>
      <c r="L5" s="12"/>
      <c r="M5" s="12" t="s">
        <v>98</v>
      </c>
      <c r="N5" s="35" t="s">
        <v>98</v>
      </c>
      <c r="O5" s="33">
        <v>9030</v>
      </c>
      <c r="P5" s="4" t="s">
        <v>1256</v>
      </c>
      <c r="Q5" s="34" t="s">
        <v>98</v>
      </c>
      <c r="R5" s="34">
        <v>8628</v>
      </c>
      <c r="S5" s="4" t="s">
        <v>268</v>
      </c>
      <c r="T5" s="12">
        <f>Tableau1[[#This Row],[Loyer €/m²]]*Tableau1[[#This Row],[Surface GLA]]</f>
        <v>451500</v>
      </c>
      <c r="U5" s="6">
        <f>IFERROR(Tableau1[[#This Row],[Loyer annuel]]/12,"")</f>
        <v>37625</v>
      </c>
      <c r="V5" s="6">
        <v>50</v>
      </c>
      <c r="W5" s="6" t="s">
        <v>98</v>
      </c>
      <c r="X5" s="6">
        <f>Tableau1[[#This Row],[Charges €/m²]]*Tableau1[[#This Row],[Surface GLA]]</f>
        <v>90300</v>
      </c>
      <c r="Y5" s="6">
        <f>IFERROR(Tableau1[[#This Row],[Charges annuelles]]/12,"")</f>
        <v>7525</v>
      </c>
      <c r="Z5" s="6">
        <v>10</v>
      </c>
      <c r="AA5" s="6">
        <f>IFERROR(Tableau1[[#This Row],[Taxe foncière €/m²]]*Tableau1[[#This Row],[Surface GLA]],)</f>
        <v>0</v>
      </c>
      <c r="AB5" s="6" t="s">
        <v>98</v>
      </c>
      <c r="AC5" s="6">
        <f>IFERROR(Tableau1[[#This Row],[Marketing €/m²]]*Tableau1[[#This Row],[Surface GLA]],)</f>
        <v>0</v>
      </c>
      <c r="AD5" s="6" t="s">
        <v>98</v>
      </c>
      <c r="AE5" s="6">
        <f>IFERROR(Tableau1[[#This Row],[Loyer annuel]]+Tableau1[[#This Row],[Charges annuelles]]+Tableau1[[#This Row],[Taxe foncière]]+Tableau1[[#This Row],[Marketing]],"")</f>
        <v>541800</v>
      </c>
      <c r="AF5" s="6" t="s">
        <v>98</v>
      </c>
      <c r="AG5" s="6" t="s">
        <v>98</v>
      </c>
      <c r="AH5" s="6" t="s">
        <v>98</v>
      </c>
      <c r="AI5" s="6" t="s">
        <v>357</v>
      </c>
      <c r="AJ5" s="4" t="s">
        <v>369</v>
      </c>
      <c r="AK5" s="4" t="s">
        <v>363</v>
      </c>
      <c r="AL5" s="4" t="s">
        <v>367</v>
      </c>
      <c r="AM5" s="5" t="s">
        <v>360</v>
      </c>
      <c r="AN5" s="5"/>
      <c r="AO5" s="5" t="s">
        <v>361</v>
      </c>
      <c r="AP5" s="5" t="s">
        <v>531</v>
      </c>
      <c r="AQ5" s="5" t="s">
        <v>532</v>
      </c>
      <c r="AR5" s="32" t="s">
        <v>352</v>
      </c>
      <c r="AS5" s="35" t="s">
        <v>720</v>
      </c>
      <c r="AT5" s="5" t="s">
        <v>70</v>
      </c>
      <c r="AU5" s="5" t="s">
        <v>24</v>
      </c>
      <c r="AV5" s="7" t="s">
        <v>18</v>
      </c>
      <c r="AW5" s="8"/>
      <c r="AX5" s="44"/>
      <c r="AY5" s="1"/>
      <c r="AZ5" s="1"/>
      <c r="BG5" s="1"/>
    </row>
    <row r="6" spans="1:59" ht="25.5">
      <c r="A6" s="10" t="str">
        <f>VLOOKUP(Tableau1[[#This Row],[N° Département]],Feuil1!$C$6:$E$106,3)</f>
        <v>Normandie</v>
      </c>
      <c r="B6" s="4" t="str">
        <f>VLOOKUP(Tableau1[[#This Row],[N° Département]],Feuil1!$C$6:$E$106,2)</f>
        <v>Calvados</v>
      </c>
      <c r="C6" s="10">
        <f>LEFT(Tableau1[[#This Row],[Code Postal]],2)*1</f>
        <v>14</v>
      </c>
      <c r="D6" s="10" t="s">
        <v>114</v>
      </c>
      <c r="E6" s="26">
        <v>14200</v>
      </c>
      <c r="F6" s="10" t="s">
        <v>81</v>
      </c>
      <c r="G6" s="5" t="str">
        <f>Tableau1[[#This Row],[Rue]]&amp;CHAR(10)&amp;Tableau1[[#This Row],[Code Postal]]&amp;" - "&amp;Tableau1[[#This Row],[Ville]]</f>
        <v>103 Le Val
14200 - Hérouville-Saint-Clair</v>
      </c>
      <c r="H6" s="15" t="s">
        <v>68</v>
      </c>
      <c r="I6" s="12" t="s">
        <v>47</v>
      </c>
      <c r="J6" s="12" t="s">
        <v>49</v>
      </c>
      <c r="K6" s="12" t="s">
        <v>98</v>
      </c>
      <c r="L6" s="12"/>
      <c r="M6" s="12" t="s">
        <v>98</v>
      </c>
      <c r="N6" s="36" t="s">
        <v>286</v>
      </c>
      <c r="O6" s="34">
        <v>179</v>
      </c>
      <c r="P6" s="6" t="s">
        <v>98</v>
      </c>
      <c r="Q6" s="34" t="s">
        <v>98</v>
      </c>
      <c r="R6" s="34" t="s">
        <v>98</v>
      </c>
      <c r="S6" s="6" t="s">
        <v>98</v>
      </c>
      <c r="T6" s="12">
        <f>Tableau1[[#This Row],[Loyer €/m²]]*Tableau1[[#This Row],[Surface GLA]]</f>
        <v>71600</v>
      </c>
      <c r="U6" s="6">
        <f>IFERROR(Tableau1[[#This Row],[Loyer annuel]]/12,"")</f>
        <v>5966.666666666667</v>
      </c>
      <c r="V6" s="12">
        <v>400</v>
      </c>
      <c r="W6" s="6" t="s">
        <v>98</v>
      </c>
      <c r="X6" s="6">
        <f>Tableau1[[#This Row],[Charges €/m²]]*Tableau1[[#This Row],[Surface GLA]]</f>
        <v>13067</v>
      </c>
      <c r="Y6" s="6">
        <f>IFERROR(Tableau1[[#This Row],[Charges annuelles]]/12,"")</f>
        <v>1088.9166666666667</v>
      </c>
      <c r="Z6" s="12">
        <v>73</v>
      </c>
      <c r="AA6" s="12">
        <f>IFERROR(Tableau1[[#This Row],[Taxe foncière €/m²]]*Tableau1[[#This Row],[Surface GLA]],)</f>
        <v>4296</v>
      </c>
      <c r="AB6" s="6">
        <v>24</v>
      </c>
      <c r="AC6" s="6">
        <f>IFERROR(Tableau1[[#This Row],[Marketing €/m²]]*Tableau1[[#This Row],[Surface GLA]],)</f>
        <v>3759</v>
      </c>
      <c r="AD6" s="6">
        <v>21</v>
      </c>
      <c r="AE6" s="6">
        <f>IFERROR(Tableau1[[#This Row],[Loyer annuel]]+Tableau1[[#This Row],[Charges annuelles]]+Tableau1[[#This Row],[Taxe foncière]]+Tableau1[[#This Row],[Marketing]],"")</f>
        <v>92722</v>
      </c>
      <c r="AF6" s="6" t="s">
        <v>98</v>
      </c>
      <c r="AG6" s="6" t="s">
        <v>98</v>
      </c>
      <c r="AH6" s="37">
        <v>2.5000000000000001E-2</v>
      </c>
      <c r="AI6" s="6" t="s">
        <v>357</v>
      </c>
      <c r="AJ6" s="10" t="s">
        <v>53</v>
      </c>
      <c r="AK6" s="4" t="s">
        <v>362</v>
      </c>
      <c r="AL6" s="4" t="s">
        <v>368</v>
      </c>
      <c r="AM6" s="11" t="s">
        <v>1377</v>
      </c>
      <c r="AN6" s="11"/>
      <c r="AO6" s="5" t="s">
        <v>361</v>
      </c>
      <c r="AP6" s="11" t="s">
        <v>533</v>
      </c>
      <c r="AQ6" s="11" t="s">
        <v>534</v>
      </c>
      <c r="AR6" s="32" t="s">
        <v>419</v>
      </c>
      <c r="AS6" s="35" t="s">
        <v>721</v>
      </c>
      <c r="AT6" s="5" t="s">
        <v>70</v>
      </c>
      <c r="AU6" s="11" t="s">
        <v>370</v>
      </c>
      <c r="AV6" s="13" t="s">
        <v>69</v>
      </c>
      <c r="AW6" s="14"/>
      <c r="AX6" s="44"/>
      <c r="AY6" s="1"/>
      <c r="AZ6" s="1"/>
      <c r="BG6" s="1"/>
    </row>
    <row r="7" spans="1:59" ht="25.5">
      <c r="A7" s="10" t="str">
        <f>VLOOKUP(Tableau1[[#This Row],[N° Département]],Feuil1!$C$6:$E$106,3)</f>
        <v>Normandie</v>
      </c>
      <c r="B7" s="4" t="str">
        <f>VLOOKUP(Tableau1[[#This Row],[N° Département]],Feuil1!$C$6:$E$106,2)</f>
        <v>Calvados</v>
      </c>
      <c r="C7" s="10">
        <f>LEFT(Tableau1[[#This Row],[Code Postal]],2)*1</f>
        <v>14</v>
      </c>
      <c r="D7" s="10" t="s">
        <v>114</v>
      </c>
      <c r="E7" s="26">
        <v>14200</v>
      </c>
      <c r="F7" s="10" t="s">
        <v>81</v>
      </c>
      <c r="G7" s="5" t="str">
        <f>Tableau1[[#This Row],[Rue]]&amp;CHAR(10)&amp;Tableau1[[#This Row],[Code Postal]]&amp;" - "&amp;Tableau1[[#This Row],[Ville]]</f>
        <v>103 Le Val
14200 - Hérouville-Saint-Clair</v>
      </c>
      <c r="H7" s="15" t="s">
        <v>273</v>
      </c>
      <c r="I7" s="12" t="s">
        <v>47</v>
      </c>
      <c r="J7" s="12" t="s">
        <v>49</v>
      </c>
      <c r="K7" s="12" t="s">
        <v>98</v>
      </c>
      <c r="L7" s="12"/>
      <c r="M7" s="12" t="s">
        <v>98</v>
      </c>
      <c r="N7" s="36" t="s">
        <v>287</v>
      </c>
      <c r="O7" s="34">
        <v>159</v>
      </c>
      <c r="P7" s="6" t="s">
        <v>98</v>
      </c>
      <c r="Q7" s="34" t="s">
        <v>98</v>
      </c>
      <c r="R7" s="34" t="s">
        <v>98</v>
      </c>
      <c r="S7" s="6" t="s">
        <v>98</v>
      </c>
      <c r="T7" s="12">
        <f>Tableau1[[#This Row],[Loyer €/m²]]*Tableau1[[#This Row],[Surface GLA]]</f>
        <v>63600</v>
      </c>
      <c r="U7" s="6">
        <f>IFERROR(Tableau1[[#This Row],[Loyer annuel]]/12,"")</f>
        <v>5300</v>
      </c>
      <c r="V7" s="12">
        <v>400</v>
      </c>
      <c r="W7" s="6" t="s">
        <v>98</v>
      </c>
      <c r="X7" s="6">
        <f>Tableau1[[#This Row],[Charges €/m²]]*Tableau1[[#This Row],[Surface GLA]]</f>
        <v>11607</v>
      </c>
      <c r="Y7" s="12">
        <f>Tableau1[[#This Row],[Charges annuelles]]/12</f>
        <v>967.25</v>
      </c>
      <c r="Z7" s="12">
        <v>73</v>
      </c>
      <c r="AA7" s="12">
        <f>IFERROR(Tableau1[[#This Row],[Taxe foncière €/m²]]*Tableau1[[#This Row],[Surface GLA]],)</f>
        <v>3816</v>
      </c>
      <c r="AB7" s="6">
        <v>24</v>
      </c>
      <c r="AC7" s="6">
        <f>IFERROR(Tableau1[[#This Row],[Marketing €/m²]]*Tableau1[[#This Row],[Surface GLA]],)</f>
        <v>3339</v>
      </c>
      <c r="AD7" s="6">
        <v>21</v>
      </c>
      <c r="AE7" s="6">
        <f>IFERROR(Tableau1[[#This Row],[Loyer annuel]]+Tableau1[[#This Row],[Charges annuelles]]+Tableau1[[#This Row],[Taxe foncière]]+Tableau1[[#This Row],[Marketing]],"")</f>
        <v>82362</v>
      </c>
      <c r="AF7" s="6" t="s">
        <v>98</v>
      </c>
      <c r="AG7" s="6" t="s">
        <v>98</v>
      </c>
      <c r="AH7" s="37">
        <v>2.5000000000000001E-2</v>
      </c>
      <c r="AI7" s="6" t="s">
        <v>357</v>
      </c>
      <c r="AJ7" s="10" t="s">
        <v>53</v>
      </c>
      <c r="AK7" s="4" t="s">
        <v>362</v>
      </c>
      <c r="AL7" s="4" t="s">
        <v>368</v>
      </c>
      <c r="AM7" s="11" t="s">
        <v>1377</v>
      </c>
      <c r="AN7" s="11"/>
      <c r="AO7" s="5" t="s">
        <v>361</v>
      </c>
      <c r="AP7" s="11" t="s">
        <v>535</v>
      </c>
      <c r="AQ7" s="11" t="s">
        <v>536</v>
      </c>
      <c r="AR7" s="32" t="s">
        <v>420</v>
      </c>
      <c r="AS7" s="35" t="s">
        <v>722</v>
      </c>
      <c r="AT7" s="5" t="s">
        <v>70</v>
      </c>
      <c r="AU7" s="11" t="s">
        <v>370</v>
      </c>
      <c r="AV7" s="13" t="s">
        <v>69</v>
      </c>
      <c r="AW7" s="14"/>
      <c r="AX7" s="44"/>
      <c r="AY7" s="1"/>
      <c r="AZ7" s="1"/>
      <c r="BG7" s="1"/>
    </row>
    <row r="8" spans="1:59" ht="25.5">
      <c r="A8" s="10" t="str">
        <f>VLOOKUP(Tableau1[[#This Row],[N° Département]],Feuil1!$C$6:$E$106,3)</f>
        <v>Normandie</v>
      </c>
      <c r="B8" s="4" t="str">
        <f>VLOOKUP(Tableau1[[#This Row],[N° Département]],Feuil1!$C$6:$E$106,2)</f>
        <v>Calvados</v>
      </c>
      <c r="C8" s="10">
        <f>LEFT(Tableau1[[#This Row],[Code Postal]],2)*1</f>
        <v>14</v>
      </c>
      <c r="D8" s="10" t="s">
        <v>114</v>
      </c>
      <c r="E8" s="26">
        <v>14200</v>
      </c>
      <c r="F8" s="10" t="s">
        <v>81</v>
      </c>
      <c r="G8" s="5" t="str">
        <f>Tableau1[[#This Row],[Rue]]&amp;CHAR(10)&amp;Tableau1[[#This Row],[Code Postal]]&amp;" - "&amp;Tableau1[[#This Row],[Ville]]</f>
        <v>103 Le Val
14200 - Hérouville-Saint-Clair</v>
      </c>
      <c r="H8" s="15" t="s">
        <v>274</v>
      </c>
      <c r="I8" s="12" t="s">
        <v>47</v>
      </c>
      <c r="J8" s="12" t="s">
        <v>49</v>
      </c>
      <c r="K8" s="12" t="s">
        <v>98</v>
      </c>
      <c r="L8" s="12"/>
      <c r="M8" s="12" t="s">
        <v>98</v>
      </c>
      <c r="N8" s="36" t="s">
        <v>285</v>
      </c>
      <c r="O8" s="34">
        <v>125</v>
      </c>
      <c r="P8" s="6" t="s">
        <v>98</v>
      </c>
      <c r="Q8" s="34" t="s">
        <v>98</v>
      </c>
      <c r="R8" s="34" t="s">
        <v>98</v>
      </c>
      <c r="S8" s="6" t="s">
        <v>98</v>
      </c>
      <c r="T8" s="12">
        <f>Tableau1[[#This Row],[Loyer €/m²]]*Tableau1[[#This Row],[Surface GLA]]</f>
        <v>56250</v>
      </c>
      <c r="U8" s="6">
        <f>IFERROR(Tableau1[[#This Row],[Loyer annuel]]/12,"")</f>
        <v>4687.5</v>
      </c>
      <c r="V8" s="12">
        <v>450</v>
      </c>
      <c r="W8" s="6" t="s">
        <v>98</v>
      </c>
      <c r="X8" s="6">
        <f>Tableau1[[#This Row],[Charges €/m²]]*Tableau1[[#This Row],[Surface GLA]]</f>
        <v>9125</v>
      </c>
      <c r="Y8" s="12">
        <f>Tableau1[[#This Row],[Charges annuelles]]/12</f>
        <v>760.41666666666663</v>
      </c>
      <c r="Z8" s="12">
        <v>73</v>
      </c>
      <c r="AA8" s="12">
        <f>IFERROR(Tableau1[[#This Row],[Taxe foncière €/m²]]*Tableau1[[#This Row],[Surface GLA]],)</f>
        <v>3000</v>
      </c>
      <c r="AB8" s="6">
        <v>24</v>
      </c>
      <c r="AC8" s="6">
        <f>IFERROR(Tableau1[[#This Row],[Marketing €/m²]]*Tableau1[[#This Row],[Surface GLA]],)</f>
        <v>2625</v>
      </c>
      <c r="AD8" s="6">
        <v>21</v>
      </c>
      <c r="AE8" s="6">
        <f>IFERROR(Tableau1[[#This Row],[Loyer annuel]]+Tableau1[[#This Row],[Charges annuelles]]+Tableau1[[#This Row],[Taxe foncière]]+Tableau1[[#This Row],[Marketing]],"")</f>
        <v>71000</v>
      </c>
      <c r="AF8" s="6" t="s">
        <v>98</v>
      </c>
      <c r="AG8" s="6" t="s">
        <v>98</v>
      </c>
      <c r="AH8" s="37">
        <v>2.5000000000000001E-2</v>
      </c>
      <c r="AI8" s="6" t="s">
        <v>357</v>
      </c>
      <c r="AJ8" s="10" t="s">
        <v>53</v>
      </c>
      <c r="AK8" s="4" t="s">
        <v>362</v>
      </c>
      <c r="AL8" s="4" t="s">
        <v>368</v>
      </c>
      <c r="AM8" s="11" t="s">
        <v>1377</v>
      </c>
      <c r="AN8" s="11"/>
      <c r="AO8" s="5" t="s">
        <v>361</v>
      </c>
      <c r="AP8" s="11" t="s">
        <v>537</v>
      </c>
      <c r="AQ8" s="11" t="s">
        <v>538</v>
      </c>
      <c r="AR8" s="32" t="s">
        <v>421</v>
      </c>
      <c r="AS8" s="35" t="s">
        <v>723</v>
      </c>
      <c r="AT8" s="5" t="s">
        <v>70</v>
      </c>
      <c r="AU8" s="11" t="s">
        <v>370</v>
      </c>
      <c r="AV8" s="13" t="s">
        <v>69</v>
      </c>
      <c r="AW8" s="14"/>
      <c r="AX8" s="44"/>
      <c r="AY8" s="1"/>
      <c r="AZ8" s="1"/>
      <c r="BG8" s="1"/>
    </row>
    <row r="9" spans="1:59" ht="25.5">
      <c r="A9" s="10" t="str">
        <f>VLOOKUP(Tableau1[[#This Row],[N° Département]],Feuil1!$C$6:$E$106,3)</f>
        <v>Normandie</v>
      </c>
      <c r="B9" s="4" t="str">
        <f>VLOOKUP(Tableau1[[#This Row],[N° Département]],Feuil1!$C$6:$E$106,2)</f>
        <v>Calvados</v>
      </c>
      <c r="C9" s="10">
        <f>LEFT(Tableau1[[#This Row],[Code Postal]],2)*1</f>
        <v>14</v>
      </c>
      <c r="D9" s="10" t="s">
        <v>114</v>
      </c>
      <c r="E9" s="26">
        <v>14200</v>
      </c>
      <c r="F9" s="10" t="s">
        <v>81</v>
      </c>
      <c r="G9" s="5" t="str">
        <f>Tableau1[[#This Row],[Rue]]&amp;CHAR(10)&amp;Tableau1[[#This Row],[Code Postal]]&amp;" - "&amp;Tableau1[[#This Row],[Ville]]</f>
        <v>103 Le Val
14200 - Hérouville-Saint-Clair</v>
      </c>
      <c r="H9" s="15" t="s">
        <v>275</v>
      </c>
      <c r="I9" s="12" t="s">
        <v>47</v>
      </c>
      <c r="J9" s="12" t="s">
        <v>49</v>
      </c>
      <c r="K9" s="12" t="s">
        <v>98</v>
      </c>
      <c r="L9" s="12"/>
      <c r="M9" s="12" t="s">
        <v>98</v>
      </c>
      <c r="N9" s="36" t="s">
        <v>288</v>
      </c>
      <c r="O9" s="34">
        <v>156</v>
      </c>
      <c r="P9" s="6" t="s">
        <v>98</v>
      </c>
      <c r="Q9" s="34">
        <v>758</v>
      </c>
      <c r="R9" s="34" t="s">
        <v>98</v>
      </c>
      <c r="S9" s="6" t="s">
        <v>98</v>
      </c>
      <c r="T9" s="12">
        <f>Tableau1[[#This Row],[Loyer €/m²]]*Tableau1[[#This Row],[Surface GLA]]</f>
        <v>62400</v>
      </c>
      <c r="U9" s="6">
        <f>IFERROR(Tableau1[[#This Row],[Loyer annuel]]/12,"")</f>
        <v>5200</v>
      </c>
      <c r="V9" s="12">
        <v>400</v>
      </c>
      <c r="W9" s="6" t="s">
        <v>98</v>
      </c>
      <c r="X9" s="6">
        <f>Tableau1[[#This Row],[Charges €/m²]]*Tableau1[[#This Row],[Surface GLA]]</f>
        <v>11388</v>
      </c>
      <c r="Y9" s="12">
        <f>Tableau1[[#This Row],[Charges annuelles]]/12</f>
        <v>949</v>
      </c>
      <c r="Z9" s="12">
        <v>73</v>
      </c>
      <c r="AA9" s="12">
        <f>IFERROR(Tableau1[[#This Row],[Taxe foncière €/m²]]*Tableau1[[#This Row],[Surface GLA]],)</f>
        <v>3744</v>
      </c>
      <c r="AB9" s="6">
        <v>24</v>
      </c>
      <c r="AC9" s="6">
        <f>IFERROR(Tableau1[[#This Row],[Marketing €/m²]]*Tableau1[[#This Row],[Surface GLA]],)</f>
        <v>3276</v>
      </c>
      <c r="AD9" s="6">
        <v>21</v>
      </c>
      <c r="AE9" s="6">
        <f>IFERROR(Tableau1[[#This Row],[Loyer annuel]]+Tableau1[[#This Row],[Charges annuelles]]+Tableau1[[#This Row],[Taxe foncière]]+Tableau1[[#This Row],[Marketing]],"")</f>
        <v>80808</v>
      </c>
      <c r="AF9" s="6" t="s">
        <v>98</v>
      </c>
      <c r="AG9" s="6" t="s">
        <v>98</v>
      </c>
      <c r="AH9" s="37">
        <v>2.5000000000000001E-2</v>
      </c>
      <c r="AI9" s="6" t="s">
        <v>357</v>
      </c>
      <c r="AJ9" s="10" t="s">
        <v>53</v>
      </c>
      <c r="AK9" s="4" t="s">
        <v>362</v>
      </c>
      <c r="AL9" s="4" t="s">
        <v>368</v>
      </c>
      <c r="AM9" s="11" t="s">
        <v>1377</v>
      </c>
      <c r="AN9" s="11"/>
      <c r="AO9" s="5" t="s">
        <v>361</v>
      </c>
      <c r="AP9" s="11" t="s">
        <v>539</v>
      </c>
      <c r="AQ9" s="11" t="s">
        <v>540</v>
      </c>
      <c r="AR9" s="32" t="s">
        <v>422</v>
      </c>
      <c r="AS9" s="35" t="s">
        <v>724</v>
      </c>
      <c r="AT9" s="5" t="s">
        <v>70</v>
      </c>
      <c r="AU9" s="11" t="s">
        <v>370</v>
      </c>
      <c r="AV9" s="13" t="s">
        <v>69</v>
      </c>
      <c r="AW9" s="14"/>
      <c r="AX9" s="44"/>
      <c r="AY9" s="1"/>
      <c r="AZ9" s="1"/>
      <c r="BG9" s="1"/>
    </row>
    <row r="10" spans="1:59" ht="25.5">
      <c r="A10" s="10" t="str">
        <f>VLOOKUP(Tableau1[[#This Row],[N° Département]],Feuil1!$C$6:$E$106,3)</f>
        <v>Normandie</v>
      </c>
      <c r="B10" s="4" t="str">
        <f>VLOOKUP(Tableau1[[#This Row],[N° Département]],Feuil1!$C$6:$E$106,2)</f>
        <v>Calvados</v>
      </c>
      <c r="C10" s="10">
        <f>LEFT(Tableau1[[#This Row],[Code Postal]],2)*1</f>
        <v>14</v>
      </c>
      <c r="D10" s="10" t="s">
        <v>114</v>
      </c>
      <c r="E10" s="26">
        <v>14200</v>
      </c>
      <c r="F10" s="10" t="s">
        <v>81</v>
      </c>
      <c r="G10" s="5" t="str">
        <f>Tableau1[[#This Row],[Rue]]&amp;CHAR(10)&amp;Tableau1[[#This Row],[Code Postal]]&amp;" - "&amp;Tableau1[[#This Row],[Ville]]</f>
        <v>103 Le Val
14200 - Hérouville-Saint-Clair</v>
      </c>
      <c r="H10" s="15" t="s">
        <v>276</v>
      </c>
      <c r="I10" s="12" t="s">
        <v>47</v>
      </c>
      <c r="J10" s="12" t="s">
        <v>49</v>
      </c>
      <c r="K10" s="12" t="s">
        <v>98</v>
      </c>
      <c r="L10" s="12"/>
      <c r="M10" s="12" t="s">
        <v>98</v>
      </c>
      <c r="N10" s="36" t="s">
        <v>289</v>
      </c>
      <c r="O10" s="34">
        <v>178</v>
      </c>
      <c r="P10" s="6" t="s">
        <v>98</v>
      </c>
      <c r="Q10" s="34">
        <v>758</v>
      </c>
      <c r="R10" s="34" t="s">
        <v>98</v>
      </c>
      <c r="S10" s="6" t="s">
        <v>98</v>
      </c>
      <c r="T10" s="12">
        <f>Tableau1[[#This Row],[Loyer €/m²]]*Tableau1[[#This Row],[Surface GLA]]</f>
        <v>71200</v>
      </c>
      <c r="U10" s="6">
        <f>IFERROR(Tableau1[[#This Row],[Loyer annuel]]/12,"")</f>
        <v>5933.333333333333</v>
      </c>
      <c r="V10" s="12">
        <v>400</v>
      </c>
      <c r="W10" s="6" t="s">
        <v>98</v>
      </c>
      <c r="X10" s="6">
        <f>Tableau1[[#This Row],[Charges €/m²]]*Tableau1[[#This Row],[Surface GLA]]</f>
        <v>12994</v>
      </c>
      <c r="Y10" s="12">
        <f>Tableau1[[#This Row],[Charges annuelles]]/12</f>
        <v>1082.8333333333333</v>
      </c>
      <c r="Z10" s="12">
        <v>73</v>
      </c>
      <c r="AA10" s="12">
        <f>IFERROR(Tableau1[[#This Row],[Taxe foncière €/m²]]*Tableau1[[#This Row],[Surface GLA]],)</f>
        <v>4272</v>
      </c>
      <c r="AB10" s="6">
        <v>24</v>
      </c>
      <c r="AC10" s="6">
        <f>IFERROR(Tableau1[[#This Row],[Marketing €/m²]]*Tableau1[[#This Row],[Surface GLA]],)</f>
        <v>3738</v>
      </c>
      <c r="AD10" s="6">
        <v>21</v>
      </c>
      <c r="AE10" s="6">
        <f>IFERROR(Tableau1[[#This Row],[Loyer annuel]]+Tableau1[[#This Row],[Charges annuelles]]+Tableau1[[#This Row],[Taxe foncière]]+Tableau1[[#This Row],[Marketing]],"")</f>
        <v>92204</v>
      </c>
      <c r="AF10" s="6" t="s">
        <v>98</v>
      </c>
      <c r="AG10" s="6" t="s">
        <v>98</v>
      </c>
      <c r="AH10" s="37">
        <v>2.5000000000000001E-2</v>
      </c>
      <c r="AI10" s="6" t="s">
        <v>357</v>
      </c>
      <c r="AJ10" s="10" t="s">
        <v>53</v>
      </c>
      <c r="AK10" s="4" t="s">
        <v>362</v>
      </c>
      <c r="AL10" s="4" t="s">
        <v>368</v>
      </c>
      <c r="AM10" s="11" t="s">
        <v>1377</v>
      </c>
      <c r="AN10" s="11"/>
      <c r="AO10" s="5" t="s">
        <v>361</v>
      </c>
      <c r="AP10" s="11" t="s">
        <v>541</v>
      </c>
      <c r="AQ10" s="11" t="s">
        <v>542</v>
      </c>
      <c r="AR10" s="32" t="s">
        <v>423</v>
      </c>
      <c r="AS10" s="35" t="s">
        <v>725</v>
      </c>
      <c r="AT10" s="5" t="s">
        <v>70</v>
      </c>
      <c r="AU10" s="11" t="s">
        <v>370</v>
      </c>
      <c r="AV10" s="13" t="s">
        <v>69</v>
      </c>
      <c r="AW10" s="14"/>
      <c r="AX10" s="44"/>
      <c r="AY10" s="1"/>
      <c r="AZ10" s="1"/>
      <c r="BG10" s="1"/>
    </row>
    <row r="11" spans="1:59" ht="25.5">
      <c r="A11" s="10" t="str">
        <f>VLOOKUP(Tableau1[[#This Row],[N° Département]],Feuil1!$C$6:$E$106,3)</f>
        <v>Normandie</v>
      </c>
      <c r="B11" s="4" t="str">
        <f>VLOOKUP(Tableau1[[#This Row],[N° Département]],Feuil1!$C$6:$E$106,2)</f>
        <v>Calvados</v>
      </c>
      <c r="C11" s="10">
        <f>LEFT(Tableau1[[#This Row],[Code Postal]],2)*1</f>
        <v>14</v>
      </c>
      <c r="D11" s="10" t="s">
        <v>114</v>
      </c>
      <c r="E11" s="26">
        <v>14200</v>
      </c>
      <c r="F11" s="10" t="s">
        <v>81</v>
      </c>
      <c r="G11" s="5" t="str">
        <f>Tableau1[[#This Row],[Rue]]&amp;CHAR(10)&amp;Tableau1[[#This Row],[Code Postal]]&amp;" - "&amp;Tableau1[[#This Row],[Ville]]</f>
        <v>103 Le Val
14200 - Hérouville-Saint-Clair</v>
      </c>
      <c r="H11" s="15" t="s">
        <v>277</v>
      </c>
      <c r="I11" s="12" t="s">
        <v>47</v>
      </c>
      <c r="J11" s="12" t="s">
        <v>49</v>
      </c>
      <c r="K11" s="12" t="s">
        <v>98</v>
      </c>
      <c r="L11" s="12"/>
      <c r="M11" s="12" t="s">
        <v>98</v>
      </c>
      <c r="N11" s="36" t="s">
        <v>290</v>
      </c>
      <c r="O11" s="34">
        <v>253</v>
      </c>
      <c r="P11" s="6" t="s">
        <v>98</v>
      </c>
      <c r="Q11" s="34">
        <v>758</v>
      </c>
      <c r="R11" s="34" t="s">
        <v>98</v>
      </c>
      <c r="S11" s="6" t="s">
        <v>98</v>
      </c>
      <c r="T11" s="12">
        <f>Tableau1[[#This Row],[Loyer €/m²]]*Tableau1[[#This Row],[Surface GLA]]</f>
        <v>88550</v>
      </c>
      <c r="U11" s="6">
        <f>IFERROR(Tableau1[[#This Row],[Loyer annuel]]/12,"")</f>
        <v>7379.166666666667</v>
      </c>
      <c r="V11" s="12">
        <v>350</v>
      </c>
      <c r="W11" s="6" t="s">
        <v>98</v>
      </c>
      <c r="X11" s="6">
        <f>Tableau1[[#This Row],[Charges €/m²]]*Tableau1[[#This Row],[Surface GLA]]</f>
        <v>18469</v>
      </c>
      <c r="Y11" s="12">
        <f>Tableau1[[#This Row],[Charges annuelles]]/12</f>
        <v>1539.0833333333333</v>
      </c>
      <c r="Z11" s="12">
        <v>73</v>
      </c>
      <c r="AA11" s="12">
        <f>IFERROR(Tableau1[[#This Row],[Taxe foncière €/m²]]*Tableau1[[#This Row],[Surface GLA]],)</f>
        <v>6072</v>
      </c>
      <c r="AB11" s="6">
        <v>24</v>
      </c>
      <c r="AC11" s="6">
        <f>IFERROR(Tableau1[[#This Row],[Marketing €/m²]]*Tableau1[[#This Row],[Surface GLA]],)</f>
        <v>5313</v>
      </c>
      <c r="AD11" s="6">
        <v>21</v>
      </c>
      <c r="AE11" s="6">
        <f>IFERROR(Tableau1[[#This Row],[Loyer annuel]]+Tableau1[[#This Row],[Charges annuelles]]+Tableau1[[#This Row],[Taxe foncière]]+Tableau1[[#This Row],[Marketing]],"")</f>
        <v>118404</v>
      </c>
      <c r="AF11" s="6" t="s">
        <v>98</v>
      </c>
      <c r="AG11" s="6" t="s">
        <v>98</v>
      </c>
      <c r="AH11" s="37">
        <v>2.5000000000000001E-2</v>
      </c>
      <c r="AI11" s="6" t="s">
        <v>357</v>
      </c>
      <c r="AJ11" s="10" t="s">
        <v>53</v>
      </c>
      <c r="AK11" s="4" t="s">
        <v>362</v>
      </c>
      <c r="AL11" s="4" t="s">
        <v>368</v>
      </c>
      <c r="AM11" s="11" t="s">
        <v>1377</v>
      </c>
      <c r="AN11" s="11"/>
      <c r="AO11" s="5" t="s">
        <v>361</v>
      </c>
      <c r="AP11" s="11" t="s">
        <v>543</v>
      </c>
      <c r="AQ11" s="11" t="s">
        <v>544</v>
      </c>
      <c r="AR11" s="32" t="s">
        <v>424</v>
      </c>
      <c r="AS11" s="35" t="s">
        <v>726</v>
      </c>
      <c r="AT11" s="5" t="s">
        <v>70</v>
      </c>
      <c r="AU11" s="11" t="s">
        <v>370</v>
      </c>
      <c r="AV11" s="13" t="s">
        <v>69</v>
      </c>
      <c r="AW11" s="14"/>
      <c r="AX11" s="44"/>
      <c r="AY11" s="1"/>
      <c r="AZ11" s="1"/>
      <c r="BG11" s="1"/>
    </row>
    <row r="12" spans="1:59" ht="25.5">
      <c r="A12" s="10" t="str">
        <f>VLOOKUP(Tableau1[[#This Row],[N° Département]],Feuil1!$C$6:$E$106,3)</f>
        <v>Normandie</v>
      </c>
      <c r="B12" s="4" t="str">
        <f>VLOOKUP(Tableau1[[#This Row],[N° Département]],Feuil1!$C$6:$E$106,2)</f>
        <v>Calvados</v>
      </c>
      <c r="C12" s="10">
        <f>LEFT(Tableau1[[#This Row],[Code Postal]],2)*1</f>
        <v>14</v>
      </c>
      <c r="D12" s="10" t="s">
        <v>114</v>
      </c>
      <c r="E12" s="26">
        <v>14200</v>
      </c>
      <c r="F12" s="10" t="s">
        <v>81</v>
      </c>
      <c r="G12" s="5" t="str">
        <f>Tableau1[[#This Row],[Rue]]&amp;CHAR(10)&amp;Tableau1[[#This Row],[Code Postal]]&amp;" - "&amp;Tableau1[[#This Row],[Ville]]</f>
        <v>103 Le Val
14200 - Hérouville-Saint-Clair</v>
      </c>
      <c r="H12" s="15" t="s">
        <v>278</v>
      </c>
      <c r="I12" s="12" t="s">
        <v>47</v>
      </c>
      <c r="J12" s="12" t="s">
        <v>49</v>
      </c>
      <c r="K12" s="12" t="s">
        <v>98</v>
      </c>
      <c r="L12" s="12"/>
      <c r="M12" s="12" t="s">
        <v>98</v>
      </c>
      <c r="N12" s="36" t="s">
        <v>291</v>
      </c>
      <c r="O12" s="34">
        <v>171</v>
      </c>
      <c r="P12" s="6" t="s">
        <v>98</v>
      </c>
      <c r="Q12" s="34">
        <v>758</v>
      </c>
      <c r="R12" s="34" t="s">
        <v>98</v>
      </c>
      <c r="S12" s="6" t="s">
        <v>98</v>
      </c>
      <c r="T12" s="12">
        <f>Tableau1[[#This Row],[Loyer €/m²]]*Tableau1[[#This Row],[Surface GLA]]</f>
        <v>68400</v>
      </c>
      <c r="U12" s="6">
        <f>IFERROR(Tableau1[[#This Row],[Loyer annuel]]/12,"")</f>
        <v>5700</v>
      </c>
      <c r="V12" s="12">
        <v>400</v>
      </c>
      <c r="W12" s="6" t="s">
        <v>98</v>
      </c>
      <c r="X12" s="6">
        <f>Tableau1[[#This Row],[Charges €/m²]]*Tableau1[[#This Row],[Surface GLA]]</f>
        <v>12483</v>
      </c>
      <c r="Y12" s="12">
        <f>Tableau1[[#This Row],[Charges annuelles]]/12</f>
        <v>1040.25</v>
      </c>
      <c r="Z12" s="12">
        <v>73</v>
      </c>
      <c r="AA12" s="12">
        <f>IFERROR(Tableau1[[#This Row],[Taxe foncière €/m²]]*Tableau1[[#This Row],[Surface GLA]],)</f>
        <v>4104</v>
      </c>
      <c r="AB12" s="6">
        <v>24</v>
      </c>
      <c r="AC12" s="6">
        <f>IFERROR(Tableau1[[#This Row],[Marketing €/m²]]*Tableau1[[#This Row],[Surface GLA]],)</f>
        <v>3591</v>
      </c>
      <c r="AD12" s="6">
        <v>21</v>
      </c>
      <c r="AE12" s="6">
        <f>IFERROR(Tableau1[[#This Row],[Loyer annuel]]+Tableau1[[#This Row],[Charges annuelles]]+Tableau1[[#This Row],[Taxe foncière]]+Tableau1[[#This Row],[Marketing]],"")</f>
        <v>88578</v>
      </c>
      <c r="AF12" s="6" t="s">
        <v>98</v>
      </c>
      <c r="AG12" s="6" t="s">
        <v>98</v>
      </c>
      <c r="AH12" s="37">
        <v>2.5000000000000001E-2</v>
      </c>
      <c r="AI12" s="6" t="s">
        <v>357</v>
      </c>
      <c r="AJ12" s="10" t="s">
        <v>53</v>
      </c>
      <c r="AK12" s="4" t="s">
        <v>362</v>
      </c>
      <c r="AL12" s="4" t="s">
        <v>368</v>
      </c>
      <c r="AM12" s="11" t="s">
        <v>1377</v>
      </c>
      <c r="AN12" s="11"/>
      <c r="AO12" s="5" t="s">
        <v>361</v>
      </c>
      <c r="AP12" s="11" t="s">
        <v>545</v>
      </c>
      <c r="AQ12" s="11" t="s">
        <v>546</v>
      </c>
      <c r="AR12" s="32" t="s">
        <v>425</v>
      </c>
      <c r="AS12" s="35" t="s">
        <v>727</v>
      </c>
      <c r="AT12" s="5" t="s">
        <v>70</v>
      </c>
      <c r="AU12" s="11" t="s">
        <v>370</v>
      </c>
      <c r="AV12" s="13" t="s">
        <v>69</v>
      </c>
      <c r="AW12" s="14"/>
      <c r="AX12" s="44"/>
      <c r="AY12" s="1"/>
      <c r="AZ12" s="1"/>
      <c r="BG12" s="1"/>
    </row>
    <row r="13" spans="1:59" ht="25.5">
      <c r="A13" s="10" t="str">
        <f>VLOOKUP(Tableau1[[#This Row],[N° Département]],Feuil1!$C$6:$E$106,3)</f>
        <v>Normandie</v>
      </c>
      <c r="B13" s="4" t="str">
        <f>VLOOKUP(Tableau1[[#This Row],[N° Département]],Feuil1!$C$6:$E$106,2)</f>
        <v>Calvados</v>
      </c>
      <c r="C13" s="10">
        <f>LEFT(Tableau1[[#This Row],[Code Postal]],2)*1</f>
        <v>14</v>
      </c>
      <c r="D13" s="10" t="s">
        <v>114</v>
      </c>
      <c r="E13" s="26">
        <v>14200</v>
      </c>
      <c r="F13" s="10" t="s">
        <v>81</v>
      </c>
      <c r="G13" s="5" t="str">
        <f>Tableau1[[#This Row],[Rue]]&amp;CHAR(10)&amp;Tableau1[[#This Row],[Code Postal]]&amp;" - "&amp;Tableau1[[#This Row],[Ville]]</f>
        <v>103 Le Val
14200 - Hérouville-Saint-Clair</v>
      </c>
      <c r="H13" s="15" t="s">
        <v>279</v>
      </c>
      <c r="I13" s="12" t="s">
        <v>47</v>
      </c>
      <c r="J13" s="12" t="s">
        <v>49</v>
      </c>
      <c r="K13" s="12" t="s">
        <v>98</v>
      </c>
      <c r="L13" s="12"/>
      <c r="M13" s="12" t="s">
        <v>98</v>
      </c>
      <c r="N13" s="36" t="s">
        <v>292</v>
      </c>
      <c r="O13" s="34">
        <v>200</v>
      </c>
      <c r="P13" s="6" t="s">
        <v>98</v>
      </c>
      <c r="Q13" s="34">
        <v>305</v>
      </c>
      <c r="R13" s="34" t="s">
        <v>98</v>
      </c>
      <c r="S13" s="6" t="s">
        <v>98</v>
      </c>
      <c r="T13" s="12">
        <f>Tableau1[[#This Row],[Loyer €/m²]]*Tableau1[[#This Row],[Surface GLA]]</f>
        <v>70000</v>
      </c>
      <c r="U13" s="6">
        <f>IFERROR(Tableau1[[#This Row],[Loyer annuel]]/12,"")</f>
        <v>5833.333333333333</v>
      </c>
      <c r="V13" s="12">
        <v>350</v>
      </c>
      <c r="W13" s="6" t="s">
        <v>98</v>
      </c>
      <c r="X13" s="6">
        <f>Tableau1[[#This Row],[Charges €/m²]]*Tableau1[[#This Row],[Surface GLA]]</f>
        <v>14600</v>
      </c>
      <c r="Y13" s="12">
        <f>Tableau1[[#This Row],[Charges annuelles]]/12</f>
        <v>1216.6666666666667</v>
      </c>
      <c r="Z13" s="12">
        <v>73</v>
      </c>
      <c r="AA13" s="12">
        <f>IFERROR(Tableau1[[#This Row],[Taxe foncière €/m²]]*Tableau1[[#This Row],[Surface GLA]],)</f>
        <v>4800</v>
      </c>
      <c r="AB13" s="6">
        <v>24</v>
      </c>
      <c r="AC13" s="6">
        <f>IFERROR(Tableau1[[#This Row],[Marketing €/m²]]*Tableau1[[#This Row],[Surface GLA]],)</f>
        <v>4200</v>
      </c>
      <c r="AD13" s="6">
        <v>21</v>
      </c>
      <c r="AE13" s="6">
        <f>IFERROR(Tableau1[[#This Row],[Loyer annuel]]+Tableau1[[#This Row],[Charges annuelles]]+Tableau1[[#This Row],[Taxe foncière]]+Tableau1[[#This Row],[Marketing]],"")</f>
        <v>93600</v>
      </c>
      <c r="AF13" s="6" t="s">
        <v>98</v>
      </c>
      <c r="AG13" s="6" t="s">
        <v>98</v>
      </c>
      <c r="AH13" s="37">
        <v>2.5000000000000001E-2</v>
      </c>
      <c r="AI13" s="6" t="s">
        <v>357</v>
      </c>
      <c r="AJ13" s="10" t="s">
        <v>53</v>
      </c>
      <c r="AK13" s="4" t="s">
        <v>362</v>
      </c>
      <c r="AL13" s="4" t="s">
        <v>368</v>
      </c>
      <c r="AM13" s="11" t="s">
        <v>1377</v>
      </c>
      <c r="AN13" s="11"/>
      <c r="AO13" s="5" t="s">
        <v>361</v>
      </c>
      <c r="AP13" s="11" t="s">
        <v>547</v>
      </c>
      <c r="AQ13" s="11" t="s">
        <v>548</v>
      </c>
      <c r="AR13" s="32" t="s">
        <v>426</v>
      </c>
      <c r="AS13" s="35" t="s">
        <v>728</v>
      </c>
      <c r="AT13" s="5" t="s">
        <v>70</v>
      </c>
      <c r="AU13" s="11" t="s">
        <v>370</v>
      </c>
      <c r="AV13" s="13" t="s">
        <v>69</v>
      </c>
      <c r="AW13" s="14"/>
      <c r="AX13" s="44"/>
      <c r="AY13" s="1"/>
      <c r="AZ13" s="1"/>
      <c r="BG13" s="1"/>
    </row>
    <row r="14" spans="1:59" ht="25.5">
      <c r="A14" s="10" t="str">
        <f>VLOOKUP(Tableau1[[#This Row],[N° Département]],Feuil1!$C$6:$E$106,3)</f>
        <v>Normandie</v>
      </c>
      <c r="B14" s="4" t="str">
        <f>VLOOKUP(Tableau1[[#This Row],[N° Département]],Feuil1!$C$6:$E$106,2)</f>
        <v>Calvados</v>
      </c>
      <c r="C14" s="10">
        <f>LEFT(Tableau1[[#This Row],[Code Postal]],2)*1</f>
        <v>14</v>
      </c>
      <c r="D14" s="10" t="s">
        <v>114</v>
      </c>
      <c r="E14" s="26">
        <v>14200</v>
      </c>
      <c r="F14" s="10" t="s">
        <v>81</v>
      </c>
      <c r="G14" s="5" t="str">
        <f>Tableau1[[#This Row],[Rue]]&amp;CHAR(10)&amp;Tableau1[[#This Row],[Code Postal]]&amp;" - "&amp;Tableau1[[#This Row],[Ville]]</f>
        <v>103 Le Val
14200 - Hérouville-Saint-Clair</v>
      </c>
      <c r="H14" s="15" t="s">
        <v>280</v>
      </c>
      <c r="I14" s="12" t="s">
        <v>47</v>
      </c>
      <c r="J14" s="12" t="s">
        <v>49</v>
      </c>
      <c r="K14" s="12" t="s">
        <v>98</v>
      </c>
      <c r="L14" s="12"/>
      <c r="M14" s="12" t="s">
        <v>98</v>
      </c>
      <c r="N14" s="36" t="s">
        <v>293</v>
      </c>
      <c r="O14" s="34">
        <v>105</v>
      </c>
      <c r="P14" s="6" t="s">
        <v>98</v>
      </c>
      <c r="Q14" s="34">
        <v>305</v>
      </c>
      <c r="R14" s="34" t="s">
        <v>98</v>
      </c>
      <c r="S14" s="6" t="s">
        <v>98</v>
      </c>
      <c r="T14" s="12">
        <f>Tableau1[[#This Row],[Loyer €/m²]]*Tableau1[[#This Row],[Surface GLA]]</f>
        <v>47250</v>
      </c>
      <c r="U14" s="6">
        <f>IFERROR(Tableau1[[#This Row],[Loyer annuel]]/12,"")</f>
        <v>3937.5</v>
      </c>
      <c r="V14" s="12">
        <v>450</v>
      </c>
      <c r="W14" s="6" t="s">
        <v>98</v>
      </c>
      <c r="X14" s="6">
        <f>Tableau1[[#This Row],[Charges €/m²]]*Tableau1[[#This Row],[Surface GLA]]</f>
        <v>7665</v>
      </c>
      <c r="Y14" s="12">
        <f>Tableau1[[#This Row],[Charges annuelles]]/12</f>
        <v>638.75</v>
      </c>
      <c r="Z14" s="12">
        <v>73</v>
      </c>
      <c r="AA14" s="12">
        <f>IFERROR(Tableau1[[#This Row],[Taxe foncière €/m²]]*Tableau1[[#This Row],[Surface GLA]],)</f>
        <v>2520</v>
      </c>
      <c r="AB14" s="6">
        <v>24</v>
      </c>
      <c r="AC14" s="6">
        <f>IFERROR(Tableau1[[#This Row],[Marketing €/m²]]*Tableau1[[#This Row],[Surface GLA]],)</f>
        <v>2205</v>
      </c>
      <c r="AD14" s="6">
        <v>21</v>
      </c>
      <c r="AE14" s="6">
        <f>IFERROR(Tableau1[[#This Row],[Loyer annuel]]+Tableau1[[#This Row],[Charges annuelles]]+Tableau1[[#This Row],[Taxe foncière]]+Tableau1[[#This Row],[Marketing]],"")</f>
        <v>59640</v>
      </c>
      <c r="AF14" s="6" t="s">
        <v>98</v>
      </c>
      <c r="AG14" s="6" t="s">
        <v>98</v>
      </c>
      <c r="AH14" s="37">
        <v>2.5000000000000001E-2</v>
      </c>
      <c r="AI14" s="6" t="s">
        <v>357</v>
      </c>
      <c r="AJ14" s="10" t="s">
        <v>53</v>
      </c>
      <c r="AK14" s="4" t="s">
        <v>362</v>
      </c>
      <c r="AL14" s="4" t="s">
        <v>368</v>
      </c>
      <c r="AM14" s="11" t="s">
        <v>1377</v>
      </c>
      <c r="AN14" s="11"/>
      <c r="AO14" s="5" t="s">
        <v>361</v>
      </c>
      <c r="AP14" s="11" t="s">
        <v>549</v>
      </c>
      <c r="AQ14" s="11" t="s">
        <v>550</v>
      </c>
      <c r="AR14" s="32" t="s">
        <v>427</v>
      </c>
      <c r="AS14" s="35" t="s">
        <v>729</v>
      </c>
      <c r="AT14" s="5" t="s">
        <v>70</v>
      </c>
      <c r="AU14" s="11" t="s">
        <v>370</v>
      </c>
      <c r="AV14" s="13" t="s">
        <v>69</v>
      </c>
      <c r="AW14" s="14"/>
      <c r="AX14" s="44"/>
      <c r="AY14" s="1"/>
      <c r="AZ14" s="1"/>
      <c r="BG14" s="1"/>
    </row>
    <row r="15" spans="1:59" ht="25.5">
      <c r="A15" s="10" t="str">
        <f>VLOOKUP(Tableau1[[#This Row],[N° Département]],Feuil1!$C$6:$E$106,3)</f>
        <v>Normandie</v>
      </c>
      <c r="B15" s="4" t="str">
        <f>VLOOKUP(Tableau1[[#This Row],[N° Département]],Feuil1!$C$6:$E$106,2)</f>
        <v>Calvados</v>
      </c>
      <c r="C15" s="10">
        <f>LEFT(Tableau1[[#This Row],[Code Postal]],2)*1</f>
        <v>14</v>
      </c>
      <c r="D15" s="10" t="s">
        <v>114</v>
      </c>
      <c r="E15" s="26">
        <v>14200</v>
      </c>
      <c r="F15" s="10" t="s">
        <v>81</v>
      </c>
      <c r="G15" s="5" t="str">
        <f>Tableau1[[#This Row],[Rue]]&amp;CHAR(10)&amp;Tableau1[[#This Row],[Code Postal]]&amp;" - "&amp;Tableau1[[#This Row],[Ville]]</f>
        <v>103 Le Val
14200 - Hérouville-Saint-Clair</v>
      </c>
      <c r="H15" s="15" t="s">
        <v>281</v>
      </c>
      <c r="I15" s="12" t="s">
        <v>47</v>
      </c>
      <c r="J15" s="12" t="s">
        <v>49</v>
      </c>
      <c r="K15" s="12" t="s">
        <v>98</v>
      </c>
      <c r="L15" s="12"/>
      <c r="M15" s="12" t="s">
        <v>98</v>
      </c>
      <c r="N15" s="36" t="s">
        <v>294</v>
      </c>
      <c r="O15" s="34">
        <v>51</v>
      </c>
      <c r="P15" s="6" t="s">
        <v>98</v>
      </c>
      <c r="Q15" s="34">
        <v>166</v>
      </c>
      <c r="R15" s="34" t="s">
        <v>98</v>
      </c>
      <c r="S15" s="6" t="s">
        <v>98</v>
      </c>
      <c r="T15" s="12">
        <f>Tableau1[[#This Row],[Loyer €/m²]]*Tableau1[[#This Row],[Surface GLA]]</f>
        <v>25500</v>
      </c>
      <c r="U15" s="6">
        <f>IFERROR(Tableau1[[#This Row],[Loyer annuel]]/12,"")</f>
        <v>2125</v>
      </c>
      <c r="V15" s="12">
        <v>500</v>
      </c>
      <c r="W15" s="6" t="s">
        <v>98</v>
      </c>
      <c r="X15" s="6">
        <f>Tableau1[[#This Row],[Charges €/m²]]*Tableau1[[#This Row],[Surface GLA]]</f>
        <v>3723</v>
      </c>
      <c r="Y15" s="12">
        <f>Tableau1[[#This Row],[Charges annuelles]]/12</f>
        <v>310.25</v>
      </c>
      <c r="Z15" s="12">
        <v>73</v>
      </c>
      <c r="AA15" s="12">
        <f>IFERROR(Tableau1[[#This Row],[Taxe foncière €/m²]]*Tableau1[[#This Row],[Surface GLA]],)</f>
        <v>1224</v>
      </c>
      <c r="AB15" s="6">
        <v>24</v>
      </c>
      <c r="AC15" s="6">
        <f>IFERROR(Tableau1[[#This Row],[Marketing €/m²]]*Tableau1[[#This Row],[Surface GLA]],)</f>
        <v>1071</v>
      </c>
      <c r="AD15" s="6">
        <v>21</v>
      </c>
      <c r="AE15" s="6">
        <f>IFERROR(Tableau1[[#This Row],[Loyer annuel]]+Tableau1[[#This Row],[Charges annuelles]]+Tableau1[[#This Row],[Taxe foncière]]+Tableau1[[#This Row],[Marketing]],"")</f>
        <v>31518</v>
      </c>
      <c r="AF15" s="6" t="s">
        <v>98</v>
      </c>
      <c r="AG15" s="6" t="s">
        <v>98</v>
      </c>
      <c r="AH15" s="37">
        <v>2.5000000000000001E-2</v>
      </c>
      <c r="AI15" s="6" t="s">
        <v>357</v>
      </c>
      <c r="AJ15" s="10" t="s">
        <v>53</v>
      </c>
      <c r="AK15" s="4" t="s">
        <v>362</v>
      </c>
      <c r="AL15" s="4" t="s">
        <v>368</v>
      </c>
      <c r="AM15" s="11" t="s">
        <v>1377</v>
      </c>
      <c r="AN15" s="11"/>
      <c r="AO15" s="5" t="s">
        <v>361</v>
      </c>
      <c r="AP15" s="11" t="s">
        <v>551</v>
      </c>
      <c r="AQ15" s="11" t="s">
        <v>552</v>
      </c>
      <c r="AR15" s="32" t="s">
        <v>428</v>
      </c>
      <c r="AS15" s="35" t="s">
        <v>730</v>
      </c>
      <c r="AT15" s="5" t="s">
        <v>70</v>
      </c>
      <c r="AU15" s="11" t="s">
        <v>370</v>
      </c>
      <c r="AV15" s="13" t="s">
        <v>69</v>
      </c>
      <c r="AW15" s="14"/>
      <c r="AX15" s="44"/>
      <c r="AY15" s="1"/>
      <c r="AZ15" s="1"/>
      <c r="BG15" s="1"/>
    </row>
    <row r="16" spans="1:59" ht="25.5">
      <c r="A16" s="10" t="str">
        <f>VLOOKUP(Tableau1[[#This Row],[N° Département]],Feuil1!$C$6:$E$106,3)</f>
        <v>Normandie</v>
      </c>
      <c r="B16" s="4" t="str">
        <f>VLOOKUP(Tableau1[[#This Row],[N° Département]],Feuil1!$C$6:$E$106,2)</f>
        <v>Calvados</v>
      </c>
      <c r="C16" s="10">
        <f>LEFT(Tableau1[[#This Row],[Code Postal]],2)*1</f>
        <v>14</v>
      </c>
      <c r="D16" s="10" t="s">
        <v>114</v>
      </c>
      <c r="E16" s="26">
        <v>14200</v>
      </c>
      <c r="F16" s="10" t="s">
        <v>81</v>
      </c>
      <c r="G16" s="5" t="str">
        <f>Tableau1[[#This Row],[Rue]]&amp;CHAR(10)&amp;Tableau1[[#This Row],[Code Postal]]&amp;" - "&amp;Tableau1[[#This Row],[Ville]]</f>
        <v>103 Le Val
14200 - Hérouville-Saint-Clair</v>
      </c>
      <c r="H16" s="15" t="s">
        <v>282</v>
      </c>
      <c r="I16" s="12" t="s">
        <v>47</v>
      </c>
      <c r="J16" s="12" t="s">
        <v>49</v>
      </c>
      <c r="K16" s="12" t="s">
        <v>98</v>
      </c>
      <c r="L16" s="12"/>
      <c r="M16" s="12" t="s">
        <v>98</v>
      </c>
      <c r="N16" s="36" t="s">
        <v>295</v>
      </c>
      <c r="O16" s="34">
        <v>115</v>
      </c>
      <c r="P16" s="6" t="s">
        <v>98</v>
      </c>
      <c r="Q16" s="34">
        <v>166</v>
      </c>
      <c r="R16" s="34" t="s">
        <v>98</v>
      </c>
      <c r="S16" s="6" t="s">
        <v>98</v>
      </c>
      <c r="T16" s="12">
        <f>Tableau1[[#This Row],[Loyer €/m²]]*Tableau1[[#This Row],[Surface GLA]]</f>
        <v>51750</v>
      </c>
      <c r="U16" s="6">
        <f>IFERROR(Tableau1[[#This Row],[Loyer annuel]]/12,"")</f>
        <v>4312.5</v>
      </c>
      <c r="V16" s="12">
        <v>450</v>
      </c>
      <c r="W16" s="6" t="s">
        <v>98</v>
      </c>
      <c r="X16" s="6">
        <f>Tableau1[[#This Row],[Charges €/m²]]*Tableau1[[#This Row],[Surface GLA]]</f>
        <v>8395</v>
      </c>
      <c r="Y16" s="12">
        <f>Tableau1[[#This Row],[Charges annuelles]]/12</f>
        <v>699.58333333333337</v>
      </c>
      <c r="Z16" s="12">
        <v>73</v>
      </c>
      <c r="AA16" s="12">
        <f>IFERROR(Tableau1[[#This Row],[Taxe foncière €/m²]]*Tableau1[[#This Row],[Surface GLA]],)</f>
        <v>2760</v>
      </c>
      <c r="AB16" s="6">
        <v>24</v>
      </c>
      <c r="AC16" s="6">
        <f>IFERROR(Tableau1[[#This Row],[Marketing €/m²]]*Tableau1[[#This Row],[Surface GLA]],)</f>
        <v>2415</v>
      </c>
      <c r="AD16" s="6">
        <v>21</v>
      </c>
      <c r="AE16" s="6">
        <f>IFERROR(Tableau1[[#This Row],[Loyer annuel]]+Tableau1[[#This Row],[Charges annuelles]]+Tableau1[[#This Row],[Taxe foncière]]+Tableau1[[#This Row],[Marketing]],"")</f>
        <v>65320</v>
      </c>
      <c r="AF16" s="6" t="s">
        <v>98</v>
      </c>
      <c r="AG16" s="6" t="s">
        <v>98</v>
      </c>
      <c r="AH16" s="37">
        <v>2.5000000000000001E-2</v>
      </c>
      <c r="AI16" s="6" t="s">
        <v>357</v>
      </c>
      <c r="AJ16" s="10" t="s">
        <v>53</v>
      </c>
      <c r="AK16" s="4" t="s">
        <v>362</v>
      </c>
      <c r="AL16" s="4" t="s">
        <v>368</v>
      </c>
      <c r="AM16" s="11" t="s">
        <v>1377</v>
      </c>
      <c r="AN16" s="11"/>
      <c r="AO16" s="5" t="s">
        <v>361</v>
      </c>
      <c r="AP16" s="11" t="s">
        <v>551</v>
      </c>
      <c r="AQ16" s="11" t="s">
        <v>553</v>
      </c>
      <c r="AR16" s="32" t="s">
        <v>429</v>
      </c>
      <c r="AS16" s="35" t="s">
        <v>731</v>
      </c>
      <c r="AT16" s="5" t="s">
        <v>70</v>
      </c>
      <c r="AU16" s="11" t="s">
        <v>370</v>
      </c>
      <c r="AV16" s="13" t="s">
        <v>69</v>
      </c>
      <c r="AW16" s="14"/>
      <c r="AX16" s="44"/>
      <c r="AY16" s="1"/>
      <c r="AZ16" s="1"/>
      <c r="BG16" s="1"/>
    </row>
    <row r="17" spans="1:59" ht="25.5">
      <c r="A17" s="10" t="str">
        <f>VLOOKUP(Tableau1[[#This Row],[N° Département]],Feuil1!$C$6:$E$106,3)</f>
        <v>Normandie</v>
      </c>
      <c r="B17" s="4" t="str">
        <f>VLOOKUP(Tableau1[[#This Row],[N° Département]],Feuil1!$C$6:$E$106,2)</f>
        <v>Calvados</v>
      </c>
      <c r="C17" s="10">
        <f>LEFT(Tableau1[[#This Row],[Code Postal]],2)*1</f>
        <v>14</v>
      </c>
      <c r="D17" s="10" t="s">
        <v>114</v>
      </c>
      <c r="E17" s="26">
        <v>14200</v>
      </c>
      <c r="F17" s="10" t="s">
        <v>81</v>
      </c>
      <c r="G17" s="5" t="str">
        <f>Tableau1[[#This Row],[Rue]]&amp;CHAR(10)&amp;Tableau1[[#This Row],[Code Postal]]&amp;" - "&amp;Tableau1[[#This Row],[Ville]]</f>
        <v>103 Le Val
14200 - Hérouville-Saint-Clair</v>
      </c>
      <c r="H17" s="15" t="s">
        <v>283</v>
      </c>
      <c r="I17" s="12" t="s">
        <v>47</v>
      </c>
      <c r="J17" s="12" t="s">
        <v>49</v>
      </c>
      <c r="K17" s="12" t="s">
        <v>98</v>
      </c>
      <c r="L17" s="12"/>
      <c r="M17" s="12" t="s">
        <v>98</v>
      </c>
      <c r="N17" s="36" t="s">
        <v>296</v>
      </c>
      <c r="O17" s="34">
        <v>210</v>
      </c>
      <c r="P17" s="6" t="s">
        <v>98</v>
      </c>
      <c r="Q17" s="34" t="s">
        <v>98</v>
      </c>
      <c r="R17" s="34" t="s">
        <v>98</v>
      </c>
      <c r="S17" s="6" t="s">
        <v>98</v>
      </c>
      <c r="T17" s="12">
        <f>Tableau1[[#This Row],[Loyer €/m²]]*Tableau1[[#This Row],[Surface GLA]]</f>
        <v>73500</v>
      </c>
      <c r="U17" s="6">
        <f>IFERROR(Tableau1[[#This Row],[Loyer annuel]]/12,"")</f>
        <v>6125</v>
      </c>
      <c r="V17" s="12">
        <v>350</v>
      </c>
      <c r="W17" s="6" t="s">
        <v>98</v>
      </c>
      <c r="X17" s="6">
        <f>Tableau1[[#This Row],[Charges €/m²]]*Tableau1[[#This Row],[Surface GLA]]</f>
        <v>15330</v>
      </c>
      <c r="Y17" s="12">
        <f>Tableau1[[#This Row],[Charges annuelles]]/12</f>
        <v>1277.5</v>
      </c>
      <c r="Z17" s="12">
        <v>73</v>
      </c>
      <c r="AA17" s="12">
        <f>IFERROR(Tableau1[[#This Row],[Taxe foncière €/m²]]*Tableau1[[#This Row],[Surface GLA]],)</f>
        <v>5040</v>
      </c>
      <c r="AB17" s="6">
        <v>24</v>
      </c>
      <c r="AC17" s="6">
        <f>IFERROR(Tableau1[[#This Row],[Marketing €/m²]]*Tableau1[[#This Row],[Surface GLA]],)</f>
        <v>4410</v>
      </c>
      <c r="AD17" s="6">
        <v>21</v>
      </c>
      <c r="AE17" s="6">
        <f>IFERROR(Tableau1[[#This Row],[Loyer annuel]]+Tableau1[[#This Row],[Charges annuelles]]+Tableau1[[#This Row],[Taxe foncière]]+Tableau1[[#This Row],[Marketing]],"")</f>
        <v>98280</v>
      </c>
      <c r="AF17" s="6" t="s">
        <v>98</v>
      </c>
      <c r="AG17" s="6" t="s">
        <v>98</v>
      </c>
      <c r="AH17" s="37">
        <v>2.5000000000000001E-2</v>
      </c>
      <c r="AI17" s="6" t="s">
        <v>357</v>
      </c>
      <c r="AJ17" s="10" t="s">
        <v>53</v>
      </c>
      <c r="AK17" s="4" t="s">
        <v>362</v>
      </c>
      <c r="AL17" s="4" t="s">
        <v>368</v>
      </c>
      <c r="AM17" s="11" t="s">
        <v>1377</v>
      </c>
      <c r="AN17" s="11"/>
      <c r="AO17" s="5" t="s">
        <v>361</v>
      </c>
      <c r="AP17" s="11" t="s">
        <v>554</v>
      </c>
      <c r="AQ17" s="11" t="s">
        <v>555</v>
      </c>
      <c r="AR17" s="32" t="s">
        <v>430</v>
      </c>
      <c r="AS17" s="35" t="s">
        <v>732</v>
      </c>
      <c r="AT17" s="5" t="s">
        <v>70</v>
      </c>
      <c r="AU17" s="11" t="s">
        <v>370</v>
      </c>
      <c r="AV17" s="13" t="s">
        <v>69</v>
      </c>
      <c r="AW17" s="14"/>
      <c r="AX17" s="44"/>
      <c r="AY17" s="1"/>
      <c r="AZ17" s="1"/>
      <c r="BG17" s="1"/>
    </row>
    <row r="18" spans="1:59" ht="25.5">
      <c r="A18" s="10" t="str">
        <f>VLOOKUP(Tableau1[[#This Row],[N° Département]],Feuil1!$C$6:$E$106,3)</f>
        <v>Normandie</v>
      </c>
      <c r="B18" s="4" t="str">
        <f>VLOOKUP(Tableau1[[#This Row],[N° Département]],Feuil1!$C$6:$E$106,2)</f>
        <v>Calvados</v>
      </c>
      <c r="C18" s="10">
        <f>LEFT(Tableau1[[#This Row],[Code Postal]],2)*1</f>
        <v>14</v>
      </c>
      <c r="D18" s="10" t="s">
        <v>114</v>
      </c>
      <c r="E18" s="26">
        <v>14200</v>
      </c>
      <c r="F18" s="10" t="s">
        <v>81</v>
      </c>
      <c r="G18" s="5" t="str">
        <f>Tableau1[[#This Row],[Rue]]&amp;CHAR(10)&amp;Tableau1[[#This Row],[Code Postal]]&amp;" - "&amp;Tableau1[[#This Row],[Ville]]</f>
        <v>103 Le Val
14200 - Hérouville-Saint-Clair</v>
      </c>
      <c r="H18" s="15" t="s">
        <v>284</v>
      </c>
      <c r="I18" s="12" t="s">
        <v>47</v>
      </c>
      <c r="J18" s="12" t="s">
        <v>49</v>
      </c>
      <c r="K18" s="12" t="s">
        <v>98</v>
      </c>
      <c r="L18" s="12"/>
      <c r="M18" s="12" t="s">
        <v>98</v>
      </c>
      <c r="N18" s="36" t="s">
        <v>297</v>
      </c>
      <c r="O18" s="34">
        <v>30</v>
      </c>
      <c r="P18" s="6" t="s">
        <v>98</v>
      </c>
      <c r="Q18" s="34" t="s">
        <v>98</v>
      </c>
      <c r="R18" s="34" t="s">
        <v>98</v>
      </c>
      <c r="S18" s="6" t="s">
        <v>98</v>
      </c>
      <c r="T18" s="12">
        <f>Tableau1[[#This Row],[Loyer €/m²]]*Tableau1[[#This Row],[Surface GLA]]</f>
        <v>15000</v>
      </c>
      <c r="U18" s="6">
        <f>IFERROR(Tableau1[[#This Row],[Loyer annuel]]/12,"")</f>
        <v>1250</v>
      </c>
      <c r="V18" s="12">
        <v>500</v>
      </c>
      <c r="W18" s="6" t="s">
        <v>98</v>
      </c>
      <c r="X18" s="6">
        <f>Tableau1[[#This Row],[Charges €/m²]]*Tableau1[[#This Row],[Surface GLA]]</f>
        <v>2190</v>
      </c>
      <c r="Y18" s="12">
        <f>Tableau1[[#This Row],[Charges annuelles]]/12</f>
        <v>182.5</v>
      </c>
      <c r="Z18" s="12">
        <v>73</v>
      </c>
      <c r="AA18" s="12">
        <f>IFERROR(Tableau1[[#This Row],[Taxe foncière €/m²]]*Tableau1[[#This Row],[Surface GLA]],)</f>
        <v>720</v>
      </c>
      <c r="AB18" s="6">
        <v>24</v>
      </c>
      <c r="AC18" s="6">
        <f>IFERROR(Tableau1[[#This Row],[Marketing €/m²]]*Tableau1[[#This Row],[Surface GLA]],)</f>
        <v>630</v>
      </c>
      <c r="AD18" s="6">
        <v>21</v>
      </c>
      <c r="AE18" s="6">
        <f>IFERROR(Tableau1[[#This Row],[Loyer annuel]]+Tableau1[[#This Row],[Charges annuelles]]+Tableau1[[#This Row],[Taxe foncière]]+Tableau1[[#This Row],[Marketing]],"")</f>
        <v>18540</v>
      </c>
      <c r="AF18" s="6" t="s">
        <v>98</v>
      </c>
      <c r="AG18" s="6" t="s">
        <v>98</v>
      </c>
      <c r="AH18" s="37">
        <v>2.5000000000000001E-2</v>
      </c>
      <c r="AI18" s="6" t="s">
        <v>357</v>
      </c>
      <c r="AJ18" s="10" t="s">
        <v>70</v>
      </c>
      <c r="AK18" s="4" t="s">
        <v>363</v>
      </c>
      <c r="AL18" s="4" t="s">
        <v>368</v>
      </c>
      <c r="AM18" s="11" t="s">
        <v>1377</v>
      </c>
      <c r="AN18" s="11"/>
      <c r="AO18" s="5" t="s">
        <v>361</v>
      </c>
      <c r="AP18" s="11" t="s">
        <v>556</v>
      </c>
      <c r="AQ18" s="11" t="s">
        <v>557</v>
      </c>
      <c r="AR18" s="32" t="s">
        <v>431</v>
      </c>
      <c r="AS18" s="35" t="s">
        <v>733</v>
      </c>
      <c r="AT18" s="5" t="s">
        <v>70</v>
      </c>
      <c r="AU18" s="11" t="s">
        <v>370</v>
      </c>
      <c r="AV18" s="13" t="s">
        <v>69</v>
      </c>
      <c r="AW18" s="14"/>
      <c r="AX18" s="44"/>
      <c r="AY18" s="1"/>
      <c r="AZ18" s="1"/>
      <c r="BG18" s="1"/>
    </row>
    <row r="19" spans="1:59" ht="25.5">
      <c r="A19" s="10" t="str">
        <f>VLOOKUP(Tableau1[[#This Row],[N° Département]],Feuil1!$C$6:$E$106,3)</f>
        <v>Bretagne</v>
      </c>
      <c r="B19" s="4" t="str">
        <f>VLOOKUP(Tableau1[[#This Row],[N° Département]],Feuil1!$C$6:$E$106,2)</f>
        <v>Ille-et-Vilaine</v>
      </c>
      <c r="C19" s="10">
        <f>LEFT(Tableau1[[#This Row],[Code Postal]],2)*1</f>
        <v>35</v>
      </c>
      <c r="D19" s="10" t="s">
        <v>115</v>
      </c>
      <c r="E19" s="26">
        <v>35520</v>
      </c>
      <c r="F19" s="10" t="s">
        <v>82</v>
      </c>
      <c r="G19" s="5" t="str">
        <f>Tableau1[[#This Row],[Rue]]&amp;CHAR(10)&amp;Tableau1[[#This Row],[Code Postal]]&amp;" - "&amp;Tableau1[[#This Row],[Ville]]</f>
        <v>ZAC de Cap Malo
35520 - La Mézière</v>
      </c>
      <c r="H19" s="15" t="s">
        <v>71</v>
      </c>
      <c r="I19" s="12" t="s">
        <v>47</v>
      </c>
      <c r="J19" s="12" t="s">
        <v>50</v>
      </c>
      <c r="K19" s="12" t="s">
        <v>98</v>
      </c>
      <c r="L19" s="12"/>
      <c r="M19" s="12" t="s">
        <v>98</v>
      </c>
      <c r="N19" s="36">
        <v>1</v>
      </c>
      <c r="O19" s="34">
        <v>1200</v>
      </c>
      <c r="P19" s="6" t="s">
        <v>98</v>
      </c>
      <c r="Q19" s="34">
        <v>2400</v>
      </c>
      <c r="R19" s="34" t="s">
        <v>98</v>
      </c>
      <c r="S19" s="6" t="s">
        <v>98</v>
      </c>
      <c r="T19" s="12">
        <f>Tableau1[[#This Row],[Loyer €/m²]]*Tableau1[[#This Row],[Surface GLA]]</f>
        <v>120000</v>
      </c>
      <c r="U19" s="6">
        <f>IFERROR(Tableau1[[#This Row],[Loyer annuel]]/12,"")</f>
        <v>10000</v>
      </c>
      <c r="V19" s="12">
        <v>100</v>
      </c>
      <c r="W19" s="6" t="s">
        <v>98</v>
      </c>
      <c r="X19" s="6">
        <f>Tableau1[[#This Row],[Charges €/m²]]*Tableau1[[#This Row],[Surface GLA]]</f>
        <v>30000</v>
      </c>
      <c r="Y19" s="12">
        <f>Tableau1[[#This Row],[Charges annuelles]]/12</f>
        <v>2500</v>
      </c>
      <c r="Z19" s="12">
        <v>25</v>
      </c>
      <c r="AA19" s="12">
        <f>IFERROR(Tableau1[[#This Row],[Taxe foncière €/m²]]*Tableau1[[#This Row],[Surface GLA]],)</f>
        <v>9600</v>
      </c>
      <c r="AB19" s="6">
        <v>8</v>
      </c>
      <c r="AC19" s="6">
        <f>IFERROR(Tableau1[[#This Row],[Marketing €/m²]]*Tableau1[[#This Row],[Surface GLA]],)</f>
        <v>25200</v>
      </c>
      <c r="AD19" s="6">
        <v>21</v>
      </c>
      <c r="AE19" s="6">
        <f>IFERROR(Tableau1[[#This Row],[Loyer annuel]]+Tableau1[[#This Row],[Charges annuelles]]+Tableau1[[#This Row],[Taxe foncière]]+Tableau1[[#This Row],[Marketing]],"")</f>
        <v>184800</v>
      </c>
      <c r="AF19" s="6" t="s">
        <v>98</v>
      </c>
      <c r="AG19" s="6" t="s">
        <v>98</v>
      </c>
      <c r="AH19" s="6" t="s">
        <v>98</v>
      </c>
      <c r="AI19" s="6" t="s">
        <v>357</v>
      </c>
      <c r="AJ19" s="10" t="s">
        <v>369</v>
      </c>
      <c r="AK19" s="4" t="s">
        <v>363</v>
      </c>
      <c r="AL19" s="4" t="s">
        <v>372</v>
      </c>
      <c r="AM19" s="11" t="s">
        <v>371</v>
      </c>
      <c r="AN19" s="11" t="s">
        <v>1654</v>
      </c>
      <c r="AO19" s="5" t="s">
        <v>361</v>
      </c>
      <c r="AP19" s="11" t="s">
        <v>558</v>
      </c>
      <c r="AQ19" s="11" t="s">
        <v>559</v>
      </c>
      <c r="AR19" s="32" t="s">
        <v>432</v>
      </c>
      <c r="AS19" s="35" t="s">
        <v>734</v>
      </c>
      <c r="AT19" s="5" t="s">
        <v>70</v>
      </c>
      <c r="AU19" s="11" t="s">
        <v>370</v>
      </c>
      <c r="AV19" s="13" t="s">
        <v>69</v>
      </c>
      <c r="AW19" s="14"/>
      <c r="AX19" s="44"/>
      <c r="AY19" s="1"/>
      <c r="AZ19" s="1"/>
      <c r="BG19" s="1"/>
    </row>
    <row r="20" spans="1:59" ht="25.5">
      <c r="A20" s="10" t="str">
        <f>VLOOKUP(Tableau1[[#This Row],[N° Département]],Feuil1!$C$6:$E$106,3)</f>
        <v>Bretagne</v>
      </c>
      <c r="B20" s="4" t="str">
        <f>VLOOKUP(Tableau1[[#This Row],[N° Département]],Feuil1!$C$6:$E$106,2)</f>
        <v>Ille-et-Vilaine</v>
      </c>
      <c r="C20" s="10">
        <f>LEFT(Tableau1[[#This Row],[Code Postal]],2)*1</f>
        <v>35</v>
      </c>
      <c r="D20" s="10" t="s">
        <v>115</v>
      </c>
      <c r="E20" s="26">
        <v>35520</v>
      </c>
      <c r="F20" s="10" t="s">
        <v>82</v>
      </c>
      <c r="G20" s="5" t="str">
        <f>Tableau1[[#This Row],[Rue]]&amp;CHAR(10)&amp;Tableau1[[#This Row],[Code Postal]]&amp;" - "&amp;Tableau1[[#This Row],[Ville]]</f>
        <v>ZAC de Cap Malo
35520 - La Mézière</v>
      </c>
      <c r="H20" s="15" t="s">
        <v>71</v>
      </c>
      <c r="I20" s="12" t="s">
        <v>47</v>
      </c>
      <c r="J20" s="12" t="s">
        <v>50</v>
      </c>
      <c r="K20" s="12" t="s">
        <v>98</v>
      </c>
      <c r="L20" s="12"/>
      <c r="M20" s="12" t="s">
        <v>98</v>
      </c>
      <c r="N20" s="36">
        <v>2</v>
      </c>
      <c r="O20" s="34">
        <v>1200</v>
      </c>
      <c r="P20" s="6" t="s">
        <v>98</v>
      </c>
      <c r="Q20" s="34">
        <v>2400</v>
      </c>
      <c r="R20" s="34" t="s">
        <v>98</v>
      </c>
      <c r="S20" s="6" t="s">
        <v>98</v>
      </c>
      <c r="T20" s="12">
        <f>Tableau1[[#This Row],[Loyer €/m²]]*Tableau1[[#This Row],[Surface GLA]]</f>
        <v>120000</v>
      </c>
      <c r="U20" s="6">
        <f>IFERROR(Tableau1[[#This Row],[Loyer annuel]]/12,"")</f>
        <v>10000</v>
      </c>
      <c r="V20" s="12">
        <v>100</v>
      </c>
      <c r="W20" s="6" t="s">
        <v>98</v>
      </c>
      <c r="X20" s="6">
        <f>Tableau1[[#This Row],[Charges €/m²]]*Tableau1[[#This Row],[Surface GLA]]</f>
        <v>30000</v>
      </c>
      <c r="Y20" s="12">
        <f>Tableau1[[#This Row],[Charges annuelles]]/12</f>
        <v>2500</v>
      </c>
      <c r="Z20" s="12">
        <v>25</v>
      </c>
      <c r="AA20" s="12">
        <f>IFERROR(Tableau1[[#This Row],[Taxe foncière €/m²]]*Tableau1[[#This Row],[Surface GLA]],)</f>
        <v>9600</v>
      </c>
      <c r="AB20" s="6">
        <v>8</v>
      </c>
      <c r="AC20" s="12">
        <f>IFERROR(Tableau1[[#This Row],[Marketing €/m²]]*Tableau1[[#This Row],[Surface GLA]],)</f>
        <v>0</v>
      </c>
      <c r="AD20" s="12" t="s">
        <v>98</v>
      </c>
      <c r="AE20" s="12">
        <f>IFERROR(Tableau1[[#This Row],[Loyer annuel]]+Tableau1[[#This Row],[Charges annuelles]]+Tableau1[[#This Row],[Taxe foncière]]+Tableau1[[#This Row],[Marketing]],"")</f>
        <v>159600</v>
      </c>
      <c r="AF20" s="6" t="s">
        <v>98</v>
      </c>
      <c r="AG20" s="6" t="s">
        <v>98</v>
      </c>
      <c r="AH20" s="6" t="s">
        <v>98</v>
      </c>
      <c r="AI20" s="6" t="s">
        <v>357</v>
      </c>
      <c r="AJ20" s="10" t="s">
        <v>369</v>
      </c>
      <c r="AK20" s="4" t="s">
        <v>363</v>
      </c>
      <c r="AL20" s="4" t="s">
        <v>372</v>
      </c>
      <c r="AM20" s="11" t="s">
        <v>371</v>
      </c>
      <c r="AN20" s="11" t="s">
        <v>1654</v>
      </c>
      <c r="AO20" s="5" t="s">
        <v>361</v>
      </c>
      <c r="AP20" s="11" t="s">
        <v>560</v>
      </c>
      <c r="AQ20" s="11" t="s">
        <v>561</v>
      </c>
      <c r="AR20" s="32" t="s">
        <v>433</v>
      </c>
      <c r="AS20" s="36" t="s">
        <v>735</v>
      </c>
      <c r="AT20" s="5" t="s">
        <v>70</v>
      </c>
      <c r="AU20" s="11" t="s">
        <v>370</v>
      </c>
      <c r="AV20" s="13" t="s">
        <v>69</v>
      </c>
      <c r="AW20" s="14"/>
      <c r="AX20" s="44"/>
      <c r="AY20" s="1"/>
      <c r="AZ20" s="1"/>
      <c r="BG20" s="1"/>
    </row>
    <row r="21" spans="1:59" ht="25.5">
      <c r="A21" s="10" t="str">
        <f>VLOOKUP(Tableau1[[#This Row],[N° Département]],Feuil1!$C$6:$E$106,3)</f>
        <v>Bretagne</v>
      </c>
      <c r="B21" s="4" t="str">
        <f>VLOOKUP(Tableau1[[#This Row],[N° Département]],Feuil1!$C$6:$E$106,2)</f>
        <v>Ille-et-Vilaine</v>
      </c>
      <c r="C21" s="10">
        <f>LEFT(Tableau1[[#This Row],[Code Postal]],2)*1</f>
        <v>35</v>
      </c>
      <c r="D21" s="10" t="s">
        <v>115</v>
      </c>
      <c r="E21" s="26">
        <v>35520</v>
      </c>
      <c r="F21" s="10" t="s">
        <v>82</v>
      </c>
      <c r="G21" s="5" t="str">
        <f>Tableau1[[#This Row],[Rue]]&amp;CHAR(10)&amp;Tableau1[[#This Row],[Code Postal]]&amp;" - "&amp;Tableau1[[#This Row],[Ville]]</f>
        <v>ZAC de Cap Malo
35520 - La Mézière</v>
      </c>
      <c r="H21" s="15" t="s">
        <v>71</v>
      </c>
      <c r="I21" s="12" t="s">
        <v>47</v>
      </c>
      <c r="J21" s="12" t="s">
        <v>50</v>
      </c>
      <c r="K21" s="12" t="s">
        <v>98</v>
      </c>
      <c r="L21" s="12"/>
      <c r="M21" s="12" t="s">
        <v>98</v>
      </c>
      <c r="N21" s="36">
        <v>3</v>
      </c>
      <c r="O21" s="34">
        <v>549</v>
      </c>
      <c r="P21" s="6" t="s">
        <v>98</v>
      </c>
      <c r="Q21" s="34">
        <v>1051</v>
      </c>
      <c r="R21" s="34" t="s">
        <v>98</v>
      </c>
      <c r="S21" s="6" t="s">
        <v>98</v>
      </c>
      <c r="T21" s="12">
        <f>Tableau1[[#This Row],[Loyer €/m²]]*Tableau1[[#This Row],[Surface GLA]]</f>
        <v>82350</v>
      </c>
      <c r="U21" s="6">
        <f>IFERROR(Tableau1[[#This Row],[Loyer annuel]]/12,"")</f>
        <v>6862.5</v>
      </c>
      <c r="V21" s="12">
        <v>150</v>
      </c>
      <c r="W21" s="6" t="s">
        <v>98</v>
      </c>
      <c r="X21" s="6">
        <f>Tableau1[[#This Row],[Charges €/m²]]*Tableau1[[#This Row],[Surface GLA]]</f>
        <v>13725</v>
      </c>
      <c r="Y21" s="12">
        <f>Tableau1[[#This Row],[Charges annuelles]]/12</f>
        <v>1143.75</v>
      </c>
      <c r="Z21" s="12">
        <v>25</v>
      </c>
      <c r="AA21" s="12">
        <f>IFERROR(Tableau1[[#This Row],[Taxe foncière €/m²]]*Tableau1[[#This Row],[Surface GLA]],)</f>
        <v>4392</v>
      </c>
      <c r="AB21" s="6">
        <v>8</v>
      </c>
      <c r="AC21" s="12">
        <f>IFERROR(Tableau1[[#This Row],[Marketing €/m²]]*Tableau1[[#This Row],[Surface GLA]],)</f>
        <v>0</v>
      </c>
      <c r="AD21" s="12" t="s">
        <v>98</v>
      </c>
      <c r="AE21" s="12">
        <f>IFERROR(Tableau1[[#This Row],[Loyer annuel]]+Tableau1[[#This Row],[Charges annuelles]]+Tableau1[[#This Row],[Taxe foncière]]+Tableau1[[#This Row],[Marketing]],"")</f>
        <v>100467</v>
      </c>
      <c r="AF21" s="6" t="s">
        <v>98</v>
      </c>
      <c r="AG21" s="6" t="s">
        <v>98</v>
      </c>
      <c r="AH21" s="6" t="s">
        <v>98</v>
      </c>
      <c r="AI21" s="6" t="s">
        <v>357</v>
      </c>
      <c r="AJ21" s="10" t="s">
        <v>369</v>
      </c>
      <c r="AK21" s="4" t="s">
        <v>363</v>
      </c>
      <c r="AL21" s="4" t="s">
        <v>372</v>
      </c>
      <c r="AM21" s="11" t="s">
        <v>371</v>
      </c>
      <c r="AN21" s="11" t="s">
        <v>1654</v>
      </c>
      <c r="AO21" s="5" t="s">
        <v>361</v>
      </c>
      <c r="AP21" s="11" t="s">
        <v>562</v>
      </c>
      <c r="AQ21" s="11" t="s">
        <v>563</v>
      </c>
      <c r="AR21" s="32" t="s">
        <v>434</v>
      </c>
      <c r="AS21" s="36" t="s">
        <v>736</v>
      </c>
      <c r="AT21" s="5" t="s">
        <v>70</v>
      </c>
      <c r="AU21" s="11" t="s">
        <v>370</v>
      </c>
      <c r="AV21" s="13" t="s">
        <v>69</v>
      </c>
      <c r="AW21" s="14"/>
      <c r="AX21" s="44"/>
      <c r="AY21" s="1"/>
      <c r="AZ21" s="1"/>
      <c r="BG21" s="1"/>
    </row>
    <row r="22" spans="1:59" ht="25.5">
      <c r="A22" s="10" t="str">
        <f>VLOOKUP(Tableau1[[#This Row],[N° Département]],Feuil1!$C$6:$E$106,3)</f>
        <v>Bretagne</v>
      </c>
      <c r="B22" s="4" t="str">
        <f>VLOOKUP(Tableau1[[#This Row],[N° Département]],Feuil1!$C$6:$E$106,2)</f>
        <v>Ille-et-Vilaine</v>
      </c>
      <c r="C22" s="10">
        <f>LEFT(Tableau1[[#This Row],[Code Postal]],2)*1</f>
        <v>35</v>
      </c>
      <c r="D22" s="10" t="s">
        <v>115</v>
      </c>
      <c r="E22" s="26">
        <v>35520</v>
      </c>
      <c r="F22" s="10" t="s">
        <v>82</v>
      </c>
      <c r="G22" s="5" t="str">
        <f>Tableau1[[#This Row],[Rue]]&amp;CHAR(10)&amp;Tableau1[[#This Row],[Code Postal]]&amp;" - "&amp;Tableau1[[#This Row],[Ville]]</f>
        <v>ZAC de Cap Malo
35520 - La Mézière</v>
      </c>
      <c r="H22" s="15" t="s">
        <v>71</v>
      </c>
      <c r="I22" s="12" t="s">
        <v>47</v>
      </c>
      <c r="J22" s="12" t="s">
        <v>50</v>
      </c>
      <c r="K22" s="12" t="s">
        <v>98</v>
      </c>
      <c r="L22" s="12"/>
      <c r="M22" s="12" t="s">
        <v>98</v>
      </c>
      <c r="N22" s="36">
        <v>4</v>
      </c>
      <c r="O22" s="34">
        <v>502</v>
      </c>
      <c r="P22" s="6" t="s">
        <v>98</v>
      </c>
      <c r="Q22" s="34">
        <v>1051</v>
      </c>
      <c r="R22" s="34" t="s">
        <v>98</v>
      </c>
      <c r="S22" s="6" t="s">
        <v>98</v>
      </c>
      <c r="T22" s="12">
        <f>Tableau1[[#This Row],[Loyer €/m²]]*Tableau1[[#This Row],[Surface GLA]]</f>
        <v>75300</v>
      </c>
      <c r="U22" s="6">
        <f>IFERROR(Tableau1[[#This Row],[Loyer annuel]]/12,"")</f>
        <v>6275</v>
      </c>
      <c r="V22" s="12">
        <v>150</v>
      </c>
      <c r="W22" s="6" t="s">
        <v>98</v>
      </c>
      <c r="X22" s="6">
        <f>Tableau1[[#This Row],[Charges €/m²]]*Tableau1[[#This Row],[Surface GLA]]</f>
        <v>12550</v>
      </c>
      <c r="Y22" s="12">
        <f>Tableau1[[#This Row],[Charges annuelles]]/12</f>
        <v>1045.8333333333333</v>
      </c>
      <c r="Z22" s="12">
        <v>25</v>
      </c>
      <c r="AA22" s="12">
        <f>IFERROR(Tableau1[[#This Row],[Taxe foncière €/m²]]*Tableau1[[#This Row],[Surface GLA]],)</f>
        <v>4016</v>
      </c>
      <c r="AB22" s="6">
        <v>8</v>
      </c>
      <c r="AC22" s="12">
        <f>IFERROR(Tableau1[[#This Row],[Marketing €/m²]]*Tableau1[[#This Row],[Surface GLA]],)</f>
        <v>0</v>
      </c>
      <c r="AD22" s="12" t="s">
        <v>98</v>
      </c>
      <c r="AE22" s="12">
        <f>IFERROR(Tableau1[[#This Row],[Loyer annuel]]+Tableau1[[#This Row],[Charges annuelles]]+Tableau1[[#This Row],[Taxe foncière]]+Tableau1[[#This Row],[Marketing]],"")</f>
        <v>91866</v>
      </c>
      <c r="AF22" s="6" t="s">
        <v>98</v>
      </c>
      <c r="AG22" s="6" t="s">
        <v>98</v>
      </c>
      <c r="AH22" s="6" t="s">
        <v>98</v>
      </c>
      <c r="AI22" s="6" t="s">
        <v>357</v>
      </c>
      <c r="AJ22" s="10" t="s">
        <v>369</v>
      </c>
      <c r="AK22" s="4" t="s">
        <v>363</v>
      </c>
      <c r="AL22" s="4" t="s">
        <v>372</v>
      </c>
      <c r="AM22" s="11" t="s">
        <v>371</v>
      </c>
      <c r="AN22" s="11" t="s">
        <v>1654</v>
      </c>
      <c r="AO22" s="5" t="s">
        <v>361</v>
      </c>
      <c r="AP22" s="11" t="s">
        <v>564</v>
      </c>
      <c r="AQ22" s="11" t="s">
        <v>565</v>
      </c>
      <c r="AR22" s="32" t="s">
        <v>435</v>
      </c>
      <c r="AS22" s="36" t="s">
        <v>737</v>
      </c>
      <c r="AT22" s="5" t="s">
        <v>70</v>
      </c>
      <c r="AU22" s="11" t="s">
        <v>370</v>
      </c>
      <c r="AV22" s="13" t="s">
        <v>69</v>
      </c>
      <c r="AW22" s="14"/>
      <c r="AX22" s="44"/>
      <c r="AY22" s="1"/>
      <c r="AZ22" s="1"/>
      <c r="BG22" s="1"/>
    </row>
    <row r="23" spans="1:59" ht="25.5">
      <c r="A23" s="10" t="str">
        <f>VLOOKUP(Tableau1[[#This Row],[N° Département]],Feuil1!$C$6:$E$106,3)</f>
        <v>Bretagne</v>
      </c>
      <c r="B23" s="4" t="str">
        <f>VLOOKUP(Tableau1[[#This Row],[N° Département]],Feuil1!$C$6:$E$106,2)</f>
        <v>Ille-et-Vilaine</v>
      </c>
      <c r="C23" s="10">
        <f>LEFT(Tableau1[[#This Row],[Code Postal]],2)*1</f>
        <v>35</v>
      </c>
      <c r="D23" s="10" t="s">
        <v>115</v>
      </c>
      <c r="E23" s="26">
        <v>35520</v>
      </c>
      <c r="F23" s="10" t="s">
        <v>82</v>
      </c>
      <c r="G23" s="5" t="str">
        <f>Tableau1[[#This Row],[Rue]]&amp;CHAR(10)&amp;Tableau1[[#This Row],[Code Postal]]&amp;" - "&amp;Tableau1[[#This Row],[Ville]]</f>
        <v>ZAC de Cap Malo
35520 - La Mézière</v>
      </c>
      <c r="H23" s="15" t="s">
        <v>71</v>
      </c>
      <c r="I23" s="12" t="s">
        <v>47</v>
      </c>
      <c r="J23" s="12" t="s">
        <v>50</v>
      </c>
      <c r="K23" s="12" t="s">
        <v>98</v>
      </c>
      <c r="L23" s="12"/>
      <c r="M23" s="12" t="s">
        <v>98</v>
      </c>
      <c r="N23" s="36">
        <v>5</v>
      </c>
      <c r="O23" s="34">
        <v>250</v>
      </c>
      <c r="P23" s="6" t="s">
        <v>98</v>
      </c>
      <c r="Q23" s="34">
        <v>514</v>
      </c>
      <c r="R23" s="34" t="s">
        <v>98</v>
      </c>
      <c r="S23" s="6" t="s">
        <v>98</v>
      </c>
      <c r="T23" s="12">
        <f>Tableau1[[#This Row],[Loyer €/m²]]*Tableau1[[#This Row],[Surface GLA]]</f>
        <v>50000</v>
      </c>
      <c r="U23" s="6">
        <f>IFERROR(Tableau1[[#This Row],[Loyer annuel]]/12,"")</f>
        <v>4166.666666666667</v>
      </c>
      <c r="V23" s="12">
        <v>200</v>
      </c>
      <c r="W23" s="6" t="s">
        <v>98</v>
      </c>
      <c r="X23" s="6">
        <f>Tableau1[[#This Row],[Charges €/m²]]*Tableau1[[#This Row],[Surface GLA]]</f>
        <v>6250</v>
      </c>
      <c r="Y23" s="12">
        <f>Tableau1[[#This Row],[Charges annuelles]]/12</f>
        <v>520.83333333333337</v>
      </c>
      <c r="Z23" s="12">
        <v>25</v>
      </c>
      <c r="AA23" s="12">
        <f>IFERROR(Tableau1[[#This Row],[Taxe foncière €/m²]]*Tableau1[[#This Row],[Surface GLA]],)</f>
        <v>2000</v>
      </c>
      <c r="AB23" s="6">
        <v>8</v>
      </c>
      <c r="AC23" s="12">
        <f>IFERROR(Tableau1[[#This Row],[Marketing €/m²]]*Tableau1[[#This Row],[Surface GLA]],)</f>
        <v>0</v>
      </c>
      <c r="AD23" s="12" t="s">
        <v>98</v>
      </c>
      <c r="AE23" s="12">
        <f>IFERROR(Tableau1[[#This Row],[Loyer annuel]]+Tableau1[[#This Row],[Charges annuelles]]+Tableau1[[#This Row],[Taxe foncière]]+Tableau1[[#This Row],[Marketing]],"")</f>
        <v>58250</v>
      </c>
      <c r="AF23" s="6" t="s">
        <v>98</v>
      </c>
      <c r="AG23" s="6" t="s">
        <v>98</v>
      </c>
      <c r="AH23" s="6" t="s">
        <v>98</v>
      </c>
      <c r="AI23" s="6" t="s">
        <v>357</v>
      </c>
      <c r="AJ23" s="10" t="s">
        <v>369</v>
      </c>
      <c r="AK23" s="4" t="s">
        <v>363</v>
      </c>
      <c r="AL23" s="4" t="s">
        <v>372</v>
      </c>
      <c r="AM23" s="11" t="s">
        <v>371</v>
      </c>
      <c r="AN23" s="11" t="s">
        <v>1654</v>
      </c>
      <c r="AO23" s="5" t="s">
        <v>361</v>
      </c>
      <c r="AP23" s="11" t="s">
        <v>566</v>
      </c>
      <c r="AQ23" s="11" t="s">
        <v>567</v>
      </c>
      <c r="AR23" s="32" t="s">
        <v>436</v>
      </c>
      <c r="AS23" s="36" t="s">
        <v>738</v>
      </c>
      <c r="AT23" s="5" t="s">
        <v>70</v>
      </c>
      <c r="AU23" s="11" t="s">
        <v>370</v>
      </c>
      <c r="AV23" s="13" t="s">
        <v>69</v>
      </c>
      <c r="AW23" s="14"/>
      <c r="AX23" s="44"/>
      <c r="AY23" s="1"/>
      <c r="AZ23" s="1"/>
      <c r="BG23" s="1"/>
    </row>
    <row r="24" spans="1:59" ht="25.5">
      <c r="A24" s="10" t="str">
        <f>VLOOKUP(Tableau1[[#This Row],[N° Département]],Feuil1!$C$6:$E$106,3)</f>
        <v>Bretagne</v>
      </c>
      <c r="B24" s="4" t="str">
        <f>VLOOKUP(Tableau1[[#This Row],[N° Département]],Feuil1!$C$6:$E$106,2)</f>
        <v>Ille-et-Vilaine</v>
      </c>
      <c r="C24" s="10">
        <f>LEFT(Tableau1[[#This Row],[Code Postal]],2)*1</f>
        <v>35</v>
      </c>
      <c r="D24" s="10" t="s">
        <v>115</v>
      </c>
      <c r="E24" s="26">
        <v>35520</v>
      </c>
      <c r="F24" s="10" t="s">
        <v>82</v>
      </c>
      <c r="G24" s="5" t="str">
        <f>Tableau1[[#This Row],[Rue]]&amp;CHAR(10)&amp;Tableau1[[#This Row],[Code Postal]]&amp;" - "&amp;Tableau1[[#This Row],[Ville]]</f>
        <v>ZAC de Cap Malo
35520 - La Mézière</v>
      </c>
      <c r="H24" s="15" t="s">
        <v>71</v>
      </c>
      <c r="I24" s="12" t="s">
        <v>47</v>
      </c>
      <c r="J24" s="12" t="s">
        <v>50</v>
      </c>
      <c r="K24" s="12" t="s">
        <v>98</v>
      </c>
      <c r="L24" s="12"/>
      <c r="M24" s="12" t="s">
        <v>98</v>
      </c>
      <c r="N24" s="36">
        <v>6</v>
      </c>
      <c r="O24" s="34">
        <v>264</v>
      </c>
      <c r="P24" s="6" t="s">
        <v>98</v>
      </c>
      <c r="Q24" s="34">
        <v>514</v>
      </c>
      <c r="R24" s="34" t="s">
        <v>98</v>
      </c>
      <c r="S24" s="6" t="s">
        <v>98</v>
      </c>
      <c r="T24" s="12">
        <f>Tableau1[[#This Row],[Loyer €/m²]]*Tableau1[[#This Row],[Surface GLA]]</f>
        <v>52800</v>
      </c>
      <c r="U24" s="6">
        <f>IFERROR(Tableau1[[#This Row],[Loyer annuel]]/12,"")</f>
        <v>4400</v>
      </c>
      <c r="V24" s="12">
        <v>200</v>
      </c>
      <c r="W24" s="6" t="s">
        <v>98</v>
      </c>
      <c r="X24" s="6">
        <f>Tableau1[[#This Row],[Charges €/m²]]*Tableau1[[#This Row],[Surface GLA]]</f>
        <v>6600</v>
      </c>
      <c r="Y24" s="12">
        <f>Tableau1[[#This Row],[Charges annuelles]]/12</f>
        <v>550</v>
      </c>
      <c r="Z24" s="12">
        <v>25</v>
      </c>
      <c r="AA24" s="12">
        <f>IFERROR(Tableau1[[#This Row],[Taxe foncière €/m²]]*Tableau1[[#This Row],[Surface GLA]],)</f>
        <v>2112</v>
      </c>
      <c r="AB24" s="6">
        <v>8</v>
      </c>
      <c r="AC24" s="12">
        <f>IFERROR(Tableau1[[#This Row],[Marketing €/m²]]*Tableau1[[#This Row],[Surface GLA]],)</f>
        <v>0</v>
      </c>
      <c r="AD24" s="12" t="s">
        <v>98</v>
      </c>
      <c r="AE24" s="12">
        <f>IFERROR(Tableau1[[#This Row],[Loyer annuel]]+Tableau1[[#This Row],[Charges annuelles]]+Tableau1[[#This Row],[Taxe foncière]]+Tableau1[[#This Row],[Marketing]],"")</f>
        <v>61512</v>
      </c>
      <c r="AF24" s="6" t="s">
        <v>98</v>
      </c>
      <c r="AG24" s="6" t="s">
        <v>98</v>
      </c>
      <c r="AH24" s="6" t="s">
        <v>98</v>
      </c>
      <c r="AI24" s="6" t="s">
        <v>357</v>
      </c>
      <c r="AJ24" s="10" t="s">
        <v>369</v>
      </c>
      <c r="AK24" s="4" t="s">
        <v>363</v>
      </c>
      <c r="AL24" s="4" t="s">
        <v>372</v>
      </c>
      <c r="AM24" s="11" t="s">
        <v>371</v>
      </c>
      <c r="AN24" s="11" t="s">
        <v>1654</v>
      </c>
      <c r="AO24" s="5" t="s">
        <v>361</v>
      </c>
      <c r="AP24" s="11" t="s">
        <v>568</v>
      </c>
      <c r="AQ24" s="11" t="s">
        <v>569</v>
      </c>
      <c r="AR24" s="32" t="s">
        <v>437</v>
      </c>
      <c r="AS24" s="36" t="s">
        <v>739</v>
      </c>
      <c r="AT24" s="5" t="s">
        <v>70</v>
      </c>
      <c r="AU24" s="11" t="s">
        <v>370</v>
      </c>
      <c r="AV24" s="13" t="s">
        <v>69</v>
      </c>
      <c r="AW24" s="14"/>
      <c r="AX24" s="44"/>
      <c r="AY24" s="1"/>
      <c r="AZ24" s="1"/>
      <c r="BG24" s="1"/>
    </row>
    <row r="25" spans="1:59" ht="25.5">
      <c r="A25" s="10" t="str">
        <f>VLOOKUP(Tableau1[[#This Row],[N° Département]],Feuil1!$C$6:$E$106,3)</f>
        <v>Bretagne</v>
      </c>
      <c r="B25" s="4" t="str">
        <f>VLOOKUP(Tableau1[[#This Row],[N° Département]],Feuil1!$C$6:$E$106,2)</f>
        <v>Ille-et-Vilaine</v>
      </c>
      <c r="C25" s="10">
        <f>LEFT(Tableau1[[#This Row],[Code Postal]],2)*1</f>
        <v>35</v>
      </c>
      <c r="D25" s="10" t="s">
        <v>115</v>
      </c>
      <c r="E25" s="26">
        <v>35520</v>
      </c>
      <c r="F25" s="10" t="s">
        <v>82</v>
      </c>
      <c r="G25" s="5" t="str">
        <f>Tableau1[[#This Row],[Rue]]&amp;CHAR(10)&amp;Tableau1[[#This Row],[Code Postal]]&amp;" - "&amp;Tableau1[[#This Row],[Ville]]</f>
        <v>ZAC de Cap Malo
35520 - La Mézière</v>
      </c>
      <c r="H25" s="15" t="s">
        <v>71</v>
      </c>
      <c r="I25" s="12" t="s">
        <v>47</v>
      </c>
      <c r="J25" s="12" t="s">
        <v>50</v>
      </c>
      <c r="K25" s="12" t="s">
        <v>98</v>
      </c>
      <c r="L25" s="12"/>
      <c r="M25" s="12" t="s">
        <v>98</v>
      </c>
      <c r="N25" s="36">
        <v>7</v>
      </c>
      <c r="O25" s="34">
        <v>486</v>
      </c>
      <c r="P25" s="6" t="s">
        <v>98</v>
      </c>
      <c r="Q25" s="34" t="s">
        <v>98</v>
      </c>
      <c r="R25" s="34" t="s">
        <v>98</v>
      </c>
      <c r="S25" s="6" t="s">
        <v>98</v>
      </c>
      <c r="T25" s="12">
        <f>Tableau1[[#This Row],[Loyer €/m²]]*Tableau1[[#This Row],[Surface GLA]]</f>
        <v>72900</v>
      </c>
      <c r="U25" s="6">
        <f>IFERROR(Tableau1[[#This Row],[Loyer annuel]]/12,"")</f>
        <v>6075</v>
      </c>
      <c r="V25" s="12">
        <v>150</v>
      </c>
      <c r="W25" s="6" t="s">
        <v>98</v>
      </c>
      <c r="X25" s="6">
        <f>Tableau1[[#This Row],[Charges €/m²]]*Tableau1[[#This Row],[Surface GLA]]</f>
        <v>12150</v>
      </c>
      <c r="Y25" s="12">
        <f>Tableau1[[#This Row],[Charges annuelles]]/12</f>
        <v>1012.5</v>
      </c>
      <c r="Z25" s="12">
        <v>25</v>
      </c>
      <c r="AA25" s="12">
        <f>IFERROR(Tableau1[[#This Row],[Taxe foncière €/m²]]*Tableau1[[#This Row],[Surface GLA]],)</f>
        <v>3888</v>
      </c>
      <c r="AB25" s="6">
        <v>8</v>
      </c>
      <c r="AC25" s="12">
        <f>IFERROR(Tableau1[[#This Row],[Marketing €/m²]]*Tableau1[[#This Row],[Surface GLA]],)</f>
        <v>0</v>
      </c>
      <c r="AD25" s="12" t="s">
        <v>98</v>
      </c>
      <c r="AE25" s="12">
        <f>IFERROR(Tableau1[[#This Row],[Loyer annuel]]+Tableau1[[#This Row],[Charges annuelles]]+Tableau1[[#This Row],[Taxe foncière]]+Tableau1[[#This Row],[Marketing]],"")</f>
        <v>88938</v>
      </c>
      <c r="AF25" s="6" t="s">
        <v>98</v>
      </c>
      <c r="AG25" s="6" t="s">
        <v>98</v>
      </c>
      <c r="AH25" s="6" t="s">
        <v>98</v>
      </c>
      <c r="AI25" s="6" t="s">
        <v>357</v>
      </c>
      <c r="AJ25" s="10" t="s">
        <v>369</v>
      </c>
      <c r="AK25" s="4" t="s">
        <v>363</v>
      </c>
      <c r="AL25" s="4" t="s">
        <v>372</v>
      </c>
      <c r="AM25" s="11" t="s">
        <v>371</v>
      </c>
      <c r="AN25" s="11" t="s">
        <v>1654</v>
      </c>
      <c r="AO25" s="5" t="s">
        <v>361</v>
      </c>
      <c r="AP25" s="11" t="s">
        <v>570</v>
      </c>
      <c r="AQ25" s="11" t="s">
        <v>571</v>
      </c>
      <c r="AR25" s="32" t="s">
        <v>438</v>
      </c>
      <c r="AS25" s="36" t="s">
        <v>740</v>
      </c>
      <c r="AT25" s="5" t="s">
        <v>70</v>
      </c>
      <c r="AU25" s="11" t="s">
        <v>370</v>
      </c>
      <c r="AV25" s="13" t="s">
        <v>69</v>
      </c>
      <c r="AW25" s="14"/>
      <c r="AX25" s="44"/>
      <c r="AY25" s="1"/>
      <c r="AZ25" s="1"/>
      <c r="BG25" s="1"/>
    </row>
    <row r="26" spans="1:59" ht="25.5">
      <c r="A26" s="10" t="str">
        <f>VLOOKUP(Tableau1[[#This Row],[N° Département]],Feuil1!$C$6:$E$106,3)</f>
        <v>Bretagne</v>
      </c>
      <c r="B26" s="4" t="str">
        <f>VLOOKUP(Tableau1[[#This Row],[N° Département]],Feuil1!$C$6:$E$106,2)</f>
        <v>Ille-et-Vilaine</v>
      </c>
      <c r="C26" s="10">
        <f>LEFT(Tableau1[[#This Row],[Code Postal]],2)*1</f>
        <v>35</v>
      </c>
      <c r="D26" s="10" t="s">
        <v>115</v>
      </c>
      <c r="E26" s="26">
        <v>35520</v>
      </c>
      <c r="F26" s="10" t="s">
        <v>82</v>
      </c>
      <c r="G26" s="5" t="str">
        <f>Tableau1[[#This Row],[Rue]]&amp;CHAR(10)&amp;Tableau1[[#This Row],[Code Postal]]&amp;" - "&amp;Tableau1[[#This Row],[Ville]]</f>
        <v>ZAC de Cap Malo
35520 - La Mézière</v>
      </c>
      <c r="H26" s="15" t="s">
        <v>71</v>
      </c>
      <c r="I26" s="12" t="s">
        <v>47</v>
      </c>
      <c r="J26" s="12" t="s">
        <v>50</v>
      </c>
      <c r="K26" s="12" t="s">
        <v>98</v>
      </c>
      <c r="L26" s="12"/>
      <c r="M26" s="12" t="s">
        <v>98</v>
      </c>
      <c r="N26" s="36">
        <v>8</v>
      </c>
      <c r="O26" s="34">
        <v>267</v>
      </c>
      <c r="P26" s="6" t="s">
        <v>98</v>
      </c>
      <c r="Q26" s="34">
        <v>1060</v>
      </c>
      <c r="R26" s="34" t="s">
        <v>98</v>
      </c>
      <c r="S26" s="6" t="s">
        <v>98</v>
      </c>
      <c r="T26" s="12">
        <f>Tableau1[[#This Row],[Loyer €/m²]]*Tableau1[[#This Row],[Surface GLA]]</f>
        <v>53400</v>
      </c>
      <c r="U26" s="6">
        <f>IFERROR(Tableau1[[#This Row],[Loyer annuel]]/12,"")</f>
        <v>4450</v>
      </c>
      <c r="V26" s="12">
        <v>200</v>
      </c>
      <c r="W26" s="6" t="s">
        <v>98</v>
      </c>
      <c r="X26" s="6">
        <f>Tableau1[[#This Row],[Charges €/m²]]*Tableau1[[#This Row],[Surface GLA]]</f>
        <v>6675</v>
      </c>
      <c r="Y26" s="12">
        <f>Tableau1[[#This Row],[Charges annuelles]]/12</f>
        <v>556.25</v>
      </c>
      <c r="Z26" s="12">
        <v>25</v>
      </c>
      <c r="AA26" s="12">
        <f>IFERROR(Tableau1[[#This Row],[Taxe foncière €/m²]]*Tableau1[[#This Row],[Surface GLA]],)</f>
        <v>2136</v>
      </c>
      <c r="AB26" s="6">
        <v>8</v>
      </c>
      <c r="AC26" s="12">
        <f>IFERROR(Tableau1[[#This Row],[Marketing €/m²]]*Tableau1[[#This Row],[Surface GLA]],)</f>
        <v>0</v>
      </c>
      <c r="AD26" s="12" t="s">
        <v>98</v>
      </c>
      <c r="AE26" s="12">
        <f>IFERROR(Tableau1[[#This Row],[Loyer annuel]]+Tableau1[[#This Row],[Charges annuelles]]+Tableau1[[#This Row],[Taxe foncière]]+Tableau1[[#This Row],[Marketing]],"")</f>
        <v>62211</v>
      </c>
      <c r="AF26" s="6" t="s">
        <v>98</v>
      </c>
      <c r="AG26" s="6" t="s">
        <v>98</v>
      </c>
      <c r="AH26" s="6" t="s">
        <v>98</v>
      </c>
      <c r="AI26" s="6" t="s">
        <v>357</v>
      </c>
      <c r="AJ26" s="10" t="s">
        <v>369</v>
      </c>
      <c r="AK26" s="4" t="s">
        <v>363</v>
      </c>
      <c r="AL26" s="4" t="s">
        <v>372</v>
      </c>
      <c r="AM26" s="11" t="s">
        <v>371</v>
      </c>
      <c r="AN26" s="11" t="s">
        <v>1654</v>
      </c>
      <c r="AO26" s="5" t="s">
        <v>361</v>
      </c>
      <c r="AP26" s="11" t="s">
        <v>572</v>
      </c>
      <c r="AQ26" s="11" t="s">
        <v>573</v>
      </c>
      <c r="AR26" s="32" t="s">
        <v>439</v>
      </c>
      <c r="AS26" s="36" t="s">
        <v>741</v>
      </c>
      <c r="AT26" s="5" t="s">
        <v>70</v>
      </c>
      <c r="AU26" s="11" t="s">
        <v>370</v>
      </c>
      <c r="AV26" s="13" t="s">
        <v>69</v>
      </c>
      <c r="AW26" s="14"/>
      <c r="AX26" s="44"/>
      <c r="AY26" s="1"/>
      <c r="AZ26" s="1"/>
      <c r="BG26" s="1"/>
    </row>
    <row r="27" spans="1:59" ht="25.5">
      <c r="A27" s="10" t="str">
        <f>VLOOKUP(Tableau1[[#This Row],[N° Département]],Feuil1!$C$6:$E$106,3)</f>
        <v>Bretagne</v>
      </c>
      <c r="B27" s="4" t="str">
        <f>VLOOKUP(Tableau1[[#This Row],[N° Département]],Feuil1!$C$6:$E$106,2)</f>
        <v>Ille-et-Vilaine</v>
      </c>
      <c r="C27" s="10">
        <f>LEFT(Tableau1[[#This Row],[Code Postal]],2)*1</f>
        <v>35</v>
      </c>
      <c r="D27" s="10" t="s">
        <v>115</v>
      </c>
      <c r="E27" s="26">
        <v>35520</v>
      </c>
      <c r="F27" s="10" t="s">
        <v>82</v>
      </c>
      <c r="G27" s="5" t="str">
        <f>Tableau1[[#This Row],[Rue]]&amp;CHAR(10)&amp;Tableau1[[#This Row],[Code Postal]]&amp;" - "&amp;Tableau1[[#This Row],[Ville]]</f>
        <v>ZAC de Cap Malo
35520 - La Mézière</v>
      </c>
      <c r="H27" s="15" t="s">
        <v>71</v>
      </c>
      <c r="I27" s="12" t="s">
        <v>47</v>
      </c>
      <c r="J27" s="12" t="s">
        <v>50</v>
      </c>
      <c r="K27" s="12" t="s">
        <v>98</v>
      </c>
      <c r="L27" s="12"/>
      <c r="M27" s="12" t="s">
        <v>98</v>
      </c>
      <c r="N27" s="36">
        <v>9</v>
      </c>
      <c r="O27" s="34">
        <v>321</v>
      </c>
      <c r="P27" s="6" t="s">
        <v>98</v>
      </c>
      <c r="Q27" s="34">
        <v>1060</v>
      </c>
      <c r="R27" s="34" t="s">
        <v>98</v>
      </c>
      <c r="S27" s="6" t="s">
        <v>98</v>
      </c>
      <c r="T27" s="12">
        <f>Tableau1[[#This Row],[Loyer €/m²]]*Tableau1[[#This Row],[Surface GLA]]</f>
        <v>48150</v>
      </c>
      <c r="U27" s="6">
        <f>IFERROR(Tableau1[[#This Row],[Loyer annuel]]/12,"")</f>
        <v>4012.5</v>
      </c>
      <c r="V27" s="12">
        <v>150</v>
      </c>
      <c r="W27" s="6" t="s">
        <v>98</v>
      </c>
      <c r="X27" s="6">
        <f>Tableau1[[#This Row],[Charges €/m²]]*Tableau1[[#This Row],[Surface GLA]]</f>
        <v>8025</v>
      </c>
      <c r="Y27" s="12">
        <f>Tableau1[[#This Row],[Charges annuelles]]/12</f>
        <v>668.75</v>
      </c>
      <c r="Z27" s="12">
        <v>25</v>
      </c>
      <c r="AA27" s="12">
        <f>IFERROR(Tableau1[[#This Row],[Taxe foncière €/m²]]*Tableau1[[#This Row],[Surface GLA]],)</f>
        <v>2568</v>
      </c>
      <c r="AB27" s="6">
        <v>8</v>
      </c>
      <c r="AC27" s="12">
        <f>IFERROR(Tableau1[[#This Row],[Marketing €/m²]]*Tableau1[[#This Row],[Surface GLA]],)</f>
        <v>0</v>
      </c>
      <c r="AD27" s="12" t="s">
        <v>98</v>
      </c>
      <c r="AE27" s="12">
        <f>IFERROR(Tableau1[[#This Row],[Loyer annuel]]+Tableau1[[#This Row],[Charges annuelles]]+Tableau1[[#This Row],[Taxe foncière]]+Tableau1[[#This Row],[Marketing]],"")</f>
        <v>58743</v>
      </c>
      <c r="AF27" s="6" t="s">
        <v>98</v>
      </c>
      <c r="AG27" s="6" t="s">
        <v>98</v>
      </c>
      <c r="AH27" s="6" t="s">
        <v>98</v>
      </c>
      <c r="AI27" s="6" t="s">
        <v>357</v>
      </c>
      <c r="AJ27" s="10" t="s">
        <v>369</v>
      </c>
      <c r="AK27" s="4" t="s">
        <v>363</v>
      </c>
      <c r="AL27" s="4" t="s">
        <v>372</v>
      </c>
      <c r="AM27" s="11" t="s">
        <v>371</v>
      </c>
      <c r="AN27" s="11" t="s">
        <v>1654</v>
      </c>
      <c r="AO27" s="5" t="s">
        <v>361</v>
      </c>
      <c r="AP27" s="11" t="s">
        <v>574</v>
      </c>
      <c r="AQ27" s="11" t="s">
        <v>575</v>
      </c>
      <c r="AR27" s="32" t="s">
        <v>440</v>
      </c>
      <c r="AS27" s="36" t="s">
        <v>742</v>
      </c>
      <c r="AT27" s="5" t="s">
        <v>70</v>
      </c>
      <c r="AU27" s="11" t="s">
        <v>370</v>
      </c>
      <c r="AV27" s="13" t="s">
        <v>69</v>
      </c>
      <c r="AW27" s="14"/>
      <c r="AX27" s="44"/>
      <c r="AY27" s="1"/>
      <c r="AZ27" s="1"/>
      <c r="BG27" s="1"/>
    </row>
    <row r="28" spans="1:59" ht="25.5">
      <c r="A28" s="10" t="str">
        <f>VLOOKUP(Tableau1[[#This Row],[N° Département]],Feuil1!$C$6:$E$106,3)</f>
        <v>Bretagne</v>
      </c>
      <c r="B28" s="4" t="str">
        <f>VLOOKUP(Tableau1[[#This Row],[N° Département]],Feuil1!$C$6:$E$106,2)</f>
        <v>Ille-et-Vilaine</v>
      </c>
      <c r="C28" s="10">
        <f>LEFT(Tableau1[[#This Row],[Code Postal]],2)*1</f>
        <v>35</v>
      </c>
      <c r="D28" s="10" t="s">
        <v>115</v>
      </c>
      <c r="E28" s="26">
        <v>35520</v>
      </c>
      <c r="F28" s="10" t="s">
        <v>82</v>
      </c>
      <c r="G28" s="5" t="str">
        <f>Tableau1[[#This Row],[Rue]]&amp;CHAR(10)&amp;Tableau1[[#This Row],[Code Postal]]&amp;" - "&amp;Tableau1[[#This Row],[Ville]]</f>
        <v>ZAC de Cap Malo
35520 - La Mézière</v>
      </c>
      <c r="H28" s="15" t="s">
        <v>71</v>
      </c>
      <c r="I28" s="12" t="s">
        <v>47</v>
      </c>
      <c r="J28" s="12" t="s">
        <v>50</v>
      </c>
      <c r="K28" s="12" t="s">
        <v>98</v>
      </c>
      <c r="L28" s="12"/>
      <c r="M28" s="12" t="s">
        <v>98</v>
      </c>
      <c r="N28" s="36">
        <v>10</v>
      </c>
      <c r="O28" s="34">
        <v>472</v>
      </c>
      <c r="P28" s="6" t="s">
        <v>98</v>
      </c>
      <c r="Q28" s="34">
        <v>1060</v>
      </c>
      <c r="R28" s="34" t="s">
        <v>98</v>
      </c>
      <c r="S28" s="6" t="s">
        <v>98</v>
      </c>
      <c r="T28" s="12">
        <f>Tableau1[[#This Row],[Loyer €/m²]]*Tableau1[[#This Row],[Surface GLA]]</f>
        <v>70800</v>
      </c>
      <c r="U28" s="6">
        <f>IFERROR(Tableau1[[#This Row],[Loyer annuel]]/12,"")</f>
        <v>5900</v>
      </c>
      <c r="V28" s="12">
        <v>150</v>
      </c>
      <c r="W28" s="6" t="s">
        <v>98</v>
      </c>
      <c r="X28" s="6">
        <f>Tableau1[[#This Row],[Charges €/m²]]*Tableau1[[#This Row],[Surface GLA]]</f>
        <v>11800</v>
      </c>
      <c r="Y28" s="12">
        <f>Tableau1[[#This Row],[Charges annuelles]]/12</f>
        <v>983.33333333333337</v>
      </c>
      <c r="Z28" s="12">
        <v>25</v>
      </c>
      <c r="AA28" s="12">
        <f>IFERROR(Tableau1[[#This Row],[Taxe foncière €/m²]]*Tableau1[[#This Row],[Surface GLA]],)</f>
        <v>3776</v>
      </c>
      <c r="AB28" s="6">
        <v>8</v>
      </c>
      <c r="AC28" s="12">
        <f>IFERROR(Tableau1[[#This Row],[Marketing €/m²]]*Tableau1[[#This Row],[Surface GLA]],)</f>
        <v>0</v>
      </c>
      <c r="AD28" s="12" t="s">
        <v>98</v>
      </c>
      <c r="AE28" s="12">
        <f>IFERROR(Tableau1[[#This Row],[Loyer annuel]]+Tableau1[[#This Row],[Charges annuelles]]+Tableau1[[#This Row],[Taxe foncière]]+Tableau1[[#This Row],[Marketing]],"")</f>
        <v>86376</v>
      </c>
      <c r="AF28" s="6" t="s">
        <v>98</v>
      </c>
      <c r="AG28" s="6" t="s">
        <v>98</v>
      </c>
      <c r="AH28" s="6" t="s">
        <v>98</v>
      </c>
      <c r="AI28" s="6" t="s">
        <v>357</v>
      </c>
      <c r="AJ28" s="10" t="s">
        <v>369</v>
      </c>
      <c r="AK28" s="4" t="s">
        <v>363</v>
      </c>
      <c r="AL28" s="4" t="s">
        <v>372</v>
      </c>
      <c r="AM28" s="11" t="s">
        <v>371</v>
      </c>
      <c r="AN28" s="11" t="s">
        <v>1654</v>
      </c>
      <c r="AO28" s="5" t="s">
        <v>361</v>
      </c>
      <c r="AP28" s="11" t="s">
        <v>576</v>
      </c>
      <c r="AQ28" s="11" t="s">
        <v>577</v>
      </c>
      <c r="AR28" s="32" t="s">
        <v>441</v>
      </c>
      <c r="AS28" s="36" t="s">
        <v>743</v>
      </c>
      <c r="AT28" s="5" t="s">
        <v>70</v>
      </c>
      <c r="AU28" s="11" t="s">
        <v>370</v>
      </c>
      <c r="AV28" s="13" t="s">
        <v>69</v>
      </c>
      <c r="AW28" s="14"/>
      <c r="AX28" s="44"/>
      <c r="AY28" s="1"/>
      <c r="AZ28" s="1"/>
      <c r="BG28" s="1"/>
    </row>
    <row r="29" spans="1:59" ht="25.5">
      <c r="A29" s="10" t="str">
        <f>VLOOKUP(Tableau1[[#This Row],[N° Département]],Feuil1!$C$6:$E$106,3)</f>
        <v>Bretagne</v>
      </c>
      <c r="B29" s="4" t="str">
        <f>VLOOKUP(Tableau1[[#This Row],[N° Département]],Feuil1!$C$6:$E$106,2)</f>
        <v>Ille-et-Vilaine</v>
      </c>
      <c r="C29" s="10">
        <f>LEFT(Tableau1[[#This Row],[Code Postal]],2)*1</f>
        <v>35</v>
      </c>
      <c r="D29" s="10" t="s">
        <v>115</v>
      </c>
      <c r="E29" s="26">
        <v>35520</v>
      </c>
      <c r="F29" s="10" t="s">
        <v>82</v>
      </c>
      <c r="G29" s="5" t="str">
        <f>Tableau1[[#This Row],[Rue]]&amp;CHAR(10)&amp;Tableau1[[#This Row],[Code Postal]]&amp;" - "&amp;Tableau1[[#This Row],[Ville]]</f>
        <v>ZAC de Cap Malo
35520 - La Mézière</v>
      </c>
      <c r="H29" s="15" t="s">
        <v>71</v>
      </c>
      <c r="I29" s="12" t="s">
        <v>47</v>
      </c>
      <c r="J29" s="12" t="s">
        <v>50</v>
      </c>
      <c r="K29" s="12" t="s">
        <v>98</v>
      </c>
      <c r="L29" s="12"/>
      <c r="M29" s="12" t="s">
        <v>98</v>
      </c>
      <c r="N29" s="36">
        <v>11</v>
      </c>
      <c r="O29" s="34">
        <v>1195</v>
      </c>
      <c r="P29" s="6" t="s">
        <v>98</v>
      </c>
      <c r="Q29" s="34">
        <v>1365</v>
      </c>
      <c r="R29" s="34" t="s">
        <v>98</v>
      </c>
      <c r="S29" s="6" t="s">
        <v>98</v>
      </c>
      <c r="T29" s="12">
        <f>Tableau1[[#This Row],[Loyer €/m²]]*Tableau1[[#This Row],[Surface GLA]]</f>
        <v>119500</v>
      </c>
      <c r="U29" s="6">
        <f>IFERROR(Tableau1[[#This Row],[Loyer annuel]]/12,"")</f>
        <v>9958.3333333333339</v>
      </c>
      <c r="V29" s="12">
        <v>100</v>
      </c>
      <c r="W29" s="6" t="s">
        <v>98</v>
      </c>
      <c r="X29" s="6">
        <f>Tableau1[[#This Row],[Charges €/m²]]*Tableau1[[#This Row],[Surface GLA]]</f>
        <v>29875</v>
      </c>
      <c r="Y29" s="12">
        <f>Tableau1[[#This Row],[Charges annuelles]]/12</f>
        <v>2489.5833333333335</v>
      </c>
      <c r="Z29" s="12">
        <v>25</v>
      </c>
      <c r="AA29" s="12">
        <f>IFERROR(Tableau1[[#This Row],[Taxe foncière €/m²]]*Tableau1[[#This Row],[Surface GLA]],)</f>
        <v>9560</v>
      </c>
      <c r="AB29" s="6">
        <v>8</v>
      </c>
      <c r="AC29" s="12">
        <f>IFERROR(Tableau1[[#This Row],[Marketing €/m²]]*Tableau1[[#This Row],[Surface GLA]],)</f>
        <v>0</v>
      </c>
      <c r="AD29" s="12" t="s">
        <v>98</v>
      </c>
      <c r="AE29" s="12">
        <f>IFERROR(Tableau1[[#This Row],[Loyer annuel]]+Tableau1[[#This Row],[Charges annuelles]]+Tableau1[[#This Row],[Taxe foncière]]+Tableau1[[#This Row],[Marketing]],"")</f>
        <v>158935</v>
      </c>
      <c r="AF29" s="6" t="s">
        <v>98</v>
      </c>
      <c r="AG29" s="6" t="s">
        <v>98</v>
      </c>
      <c r="AH29" s="6" t="s">
        <v>98</v>
      </c>
      <c r="AI29" s="6" t="s">
        <v>357</v>
      </c>
      <c r="AJ29" s="10" t="s">
        <v>369</v>
      </c>
      <c r="AK29" s="4" t="s">
        <v>363</v>
      </c>
      <c r="AL29" s="4" t="s">
        <v>372</v>
      </c>
      <c r="AM29" s="11" t="s">
        <v>371</v>
      </c>
      <c r="AN29" s="11" t="s">
        <v>1654</v>
      </c>
      <c r="AO29" s="5" t="s">
        <v>361</v>
      </c>
      <c r="AP29" s="11" t="s">
        <v>578</v>
      </c>
      <c r="AQ29" s="11" t="s">
        <v>579</v>
      </c>
      <c r="AR29" s="32" t="s">
        <v>442</v>
      </c>
      <c r="AS29" s="36" t="s">
        <v>744</v>
      </c>
      <c r="AT29" s="5" t="s">
        <v>70</v>
      </c>
      <c r="AU29" s="11" t="s">
        <v>370</v>
      </c>
      <c r="AV29" s="13" t="s">
        <v>69</v>
      </c>
      <c r="AW29" s="14"/>
      <c r="AX29" s="44"/>
      <c r="AY29" s="1"/>
      <c r="AZ29" s="1"/>
      <c r="BG29" s="1"/>
    </row>
    <row r="30" spans="1:59" ht="25.5">
      <c r="A30" s="10" t="str">
        <f>VLOOKUP(Tableau1[[#This Row],[N° Département]],Feuil1!$C$6:$E$106,3)</f>
        <v>Bretagne</v>
      </c>
      <c r="B30" s="4" t="str">
        <f>VLOOKUP(Tableau1[[#This Row],[N° Département]],Feuil1!$C$6:$E$106,2)</f>
        <v>Ille-et-Vilaine</v>
      </c>
      <c r="C30" s="10">
        <f>LEFT(Tableau1[[#This Row],[Code Postal]],2)*1</f>
        <v>35</v>
      </c>
      <c r="D30" s="10" t="s">
        <v>115</v>
      </c>
      <c r="E30" s="26">
        <v>35520</v>
      </c>
      <c r="F30" s="10" t="s">
        <v>82</v>
      </c>
      <c r="G30" s="5" t="str">
        <f>Tableau1[[#This Row],[Rue]]&amp;CHAR(10)&amp;Tableau1[[#This Row],[Code Postal]]&amp;" - "&amp;Tableau1[[#This Row],[Ville]]</f>
        <v>ZAC de Cap Malo
35520 - La Mézière</v>
      </c>
      <c r="H30" s="15" t="s">
        <v>71</v>
      </c>
      <c r="I30" s="12" t="s">
        <v>47</v>
      </c>
      <c r="J30" s="12" t="s">
        <v>50</v>
      </c>
      <c r="K30" s="12" t="s">
        <v>98</v>
      </c>
      <c r="L30" s="12"/>
      <c r="M30" s="12" t="s">
        <v>98</v>
      </c>
      <c r="N30" s="36">
        <v>12</v>
      </c>
      <c r="O30" s="34">
        <v>170</v>
      </c>
      <c r="P30" s="6" t="s">
        <v>98</v>
      </c>
      <c r="Q30" s="34">
        <v>1365</v>
      </c>
      <c r="R30" s="34" t="s">
        <v>98</v>
      </c>
      <c r="S30" s="6" t="s">
        <v>98</v>
      </c>
      <c r="T30" s="12">
        <f>Tableau1[[#This Row],[Loyer €/m²]]*Tableau1[[#This Row],[Surface GLA]]</f>
        <v>34000</v>
      </c>
      <c r="U30" s="6">
        <f>IFERROR(Tableau1[[#This Row],[Loyer annuel]]/12,"")</f>
        <v>2833.3333333333335</v>
      </c>
      <c r="V30" s="12">
        <v>200</v>
      </c>
      <c r="W30" s="6" t="s">
        <v>98</v>
      </c>
      <c r="X30" s="6">
        <f>Tableau1[[#This Row],[Charges €/m²]]*Tableau1[[#This Row],[Surface GLA]]</f>
        <v>4250</v>
      </c>
      <c r="Y30" s="12">
        <f>Tableau1[[#This Row],[Charges annuelles]]/12</f>
        <v>354.16666666666669</v>
      </c>
      <c r="Z30" s="12">
        <v>25</v>
      </c>
      <c r="AA30" s="12">
        <f>IFERROR(Tableau1[[#This Row],[Taxe foncière €/m²]]*Tableau1[[#This Row],[Surface GLA]],)</f>
        <v>1360</v>
      </c>
      <c r="AB30" s="6">
        <v>8</v>
      </c>
      <c r="AC30" s="12">
        <f>IFERROR(Tableau1[[#This Row],[Marketing €/m²]]*Tableau1[[#This Row],[Surface GLA]],)</f>
        <v>0</v>
      </c>
      <c r="AD30" s="12" t="s">
        <v>98</v>
      </c>
      <c r="AE30" s="12">
        <f>IFERROR(Tableau1[[#This Row],[Loyer annuel]]+Tableau1[[#This Row],[Charges annuelles]]+Tableau1[[#This Row],[Taxe foncière]]+Tableau1[[#This Row],[Marketing]],"")</f>
        <v>39610</v>
      </c>
      <c r="AF30" s="6" t="s">
        <v>98</v>
      </c>
      <c r="AG30" s="6" t="s">
        <v>98</v>
      </c>
      <c r="AH30" s="6" t="s">
        <v>98</v>
      </c>
      <c r="AI30" s="6" t="s">
        <v>357</v>
      </c>
      <c r="AJ30" s="10" t="s">
        <v>369</v>
      </c>
      <c r="AK30" s="4" t="s">
        <v>363</v>
      </c>
      <c r="AL30" s="4" t="s">
        <v>372</v>
      </c>
      <c r="AM30" s="11" t="s">
        <v>371</v>
      </c>
      <c r="AN30" s="11" t="s">
        <v>1654</v>
      </c>
      <c r="AO30" s="5" t="s">
        <v>361</v>
      </c>
      <c r="AP30" s="11" t="s">
        <v>580</v>
      </c>
      <c r="AQ30" s="11" t="s">
        <v>581</v>
      </c>
      <c r="AR30" s="32" t="s">
        <v>443</v>
      </c>
      <c r="AS30" s="36" t="s">
        <v>745</v>
      </c>
      <c r="AT30" s="5" t="s">
        <v>70</v>
      </c>
      <c r="AU30" s="11" t="s">
        <v>370</v>
      </c>
      <c r="AV30" s="13" t="s">
        <v>69</v>
      </c>
      <c r="AW30" s="14"/>
      <c r="AX30" s="44"/>
      <c r="AY30" s="1"/>
      <c r="AZ30" s="1"/>
      <c r="BG30" s="1"/>
    </row>
    <row r="31" spans="1:59" ht="25.5">
      <c r="A31" s="10" t="str">
        <f>VLOOKUP(Tableau1[[#This Row],[N° Département]],Feuil1!$C$6:$E$106,3)</f>
        <v>Pays de la Loire</v>
      </c>
      <c r="B31" s="4" t="str">
        <f>VLOOKUP(Tableau1[[#This Row],[N° Département]],Feuil1!$C$6:$E$106,2)</f>
        <v>Sarthe</v>
      </c>
      <c r="C31" s="10">
        <f>LEFT(Tableau1[[#This Row],[Code Postal]],2)*1</f>
        <v>72</v>
      </c>
      <c r="D31" s="10" t="s">
        <v>116</v>
      </c>
      <c r="E31" s="26">
        <v>72100</v>
      </c>
      <c r="F31" s="10" t="s">
        <v>83</v>
      </c>
      <c r="G31" s="5" t="str">
        <f>Tableau1[[#This Row],[Rue]]&amp;CHAR(10)&amp;Tableau1[[#This Row],[Code Postal]]&amp;" - "&amp;Tableau1[[#This Row],[Ville]]</f>
        <v>18 Avenue Pierre Mendès France
72100 - Le Mans</v>
      </c>
      <c r="H31" s="15" t="s">
        <v>55</v>
      </c>
      <c r="I31" s="6" t="s">
        <v>45</v>
      </c>
      <c r="J31" s="6" t="s">
        <v>49</v>
      </c>
      <c r="K31" s="12" t="s">
        <v>98</v>
      </c>
      <c r="L31" s="12"/>
      <c r="M31" s="12" t="s">
        <v>98</v>
      </c>
      <c r="N31" s="35" t="s">
        <v>302</v>
      </c>
      <c r="O31" s="34">
        <v>61</v>
      </c>
      <c r="P31" s="6" t="s">
        <v>98</v>
      </c>
      <c r="Q31" s="34" t="s">
        <v>98</v>
      </c>
      <c r="R31" s="34" t="s">
        <v>98</v>
      </c>
      <c r="S31" s="6" t="s">
        <v>98</v>
      </c>
      <c r="T31" s="12">
        <f>Tableau1[[#This Row],[Loyer €/m²]]*Tableau1[[#This Row],[Surface GLA]]</f>
        <v>36600</v>
      </c>
      <c r="U31" s="6">
        <f>IFERROR(Tableau1[[#This Row],[Loyer annuel]]/12,"")</f>
        <v>3050</v>
      </c>
      <c r="V31" s="12">
        <v>600</v>
      </c>
      <c r="W31" s="6" t="s">
        <v>98</v>
      </c>
      <c r="X31" s="6">
        <f>Tableau1[[#This Row],[Charges €/m²]]*Tableau1[[#This Row],[Surface GLA]]</f>
        <v>13420</v>
      </c>
      <c r="Y31" s="12">
        <f>Tableau1[[#This Row],[Charges annuelles]]/12</f>
        <v>1118.3333333333333</v>
      </c>
      <c r="Z31" s="12">
        <v>220</v>
      </c>
      <c r="AA31" s="12">
        <f>IFERROR(Tableau1[[#This Row],[Taxe foncière €/m²]]*Tableau1[[#This Row],[Surface GLA]],)</f>
        <v>0</v>
      </c>
      <c r="AB31" s="6" t="s">
        <v>98</v>
      </c>
      <c r="AC31" s="6">
        <f>IFERROR(Tableau1[[#This Row],[Marketing €/m²]]*Tableau1[[#This Row],[Surface GLA]],)</f>
        <v>0</v>
      </c>
      <c r="AD31" s="6" t="s">
        <v>98</v>
      </c>
      <c r="AE31" s="12">
        <f>IFERROR(Tableau1[[#This Row],[Loyer annuel]]+Tableau1[[#This Row],[Charges annuelles]]+Tableau1[[#This Row],[Taxe foncière]]+Tableau1[[#This Row],[Marketing]],"")</f>
        <v>50020</v>
      </c>
      <c r="AF31" s="6" t="s">
        <v>98</v>
      </c>
      <c r="AG31" s="6" t="s">
        <v>98</v>
      </c>
      <c r="AH31" s="6" t="s">
        <v>98</v>
      </c>
      <c r="AI31" s="6" t="s">
        <v>357</v>
      </c>
      <c r="AJ31" s="10" t="s">
        <v>53</v>
      </c>
      <c r="AK31" s="4" t="s">
        <v>362</v>
      </c>
      <c r="AL31" s="4" t="s">
        <v>417</v>
      </c>
      <c r="AM31" s="11" t="s">
        <v>582</v>
      </c>
      <c r="AN31" s="11"/>
      <c r="AO31" s="5" t="s">
        <v>361</v>
      </c>
      <c r="AP31" s="11" t="s">
        <v>589</v>
      </c>
      <c r="AQ31" s="11" t="s">
        <v>590</v>
      </c>
      <c r="AR31" s="32" t="s">
        <v>444</v>
      </c>
      <c r="AS31" s="35" t="s">
        <v>746</v>
      </c>
      <c r="AT31" s="5" t="s">
        <v>70</v>
      </c>
      <c r="AU31" s="11" t="s">
        <v>54</v>
      </c>
      <c r="AV31" s="13" t="s">
        <v>39</v>
      </c>
      <c r="AW31" s="14"/>
      <c r="AX31" s="44"/>
      <c r="AY31" s="1"/>
      <c r="AZ31" s="1"/>
      <c r="BG31" s="1"/>
    </row>
    <row r="32" spans="1:59" ht="25.5">
      <c r="A32" s="10" t="str">
        <f>VLOOKUP(Tableau1[[#This Row],[N° Département]],Feuil1!$C$6:$E$106,3)</f>
        <v>Pays de la Loire</v>
      </c>
      <c r="B32" s="4" t="str">
        <f>VLOOKUP(Tableau1[[#This Row],[N° Département]],Feuil1!$C$6:$E$106,2)</f>
        <v>Sarthe</v>
      </c>
      <c r="C32" s="10">
        <f>LEFT(Tableau1[[#This Row],[Code Postal]],2)*1</f>
        <v>72</v>
      </c>
      <c r="D32" s="10" t="s">
        <v>585</v>
      </c>
      <c r="E32" s="26">
        <v>72101</v>
      </c>
      <c r="F32" s="10" t="s">
        <v>83</v>
      </c>
      <c r="G32" s="5" t="str">
        <f>Tableau1[[#This Row],[Rue]]&amp;CHAR(10)&amp;Tableau1[[#This Row],[Code Postal]]&amp;" - "&amp;Tableau1[[#This Row],[Ville]]</f>
        <v>19 Avenue Pierre Mendès France
72101 - Le Mans</v>
      </c>
      <c r="H32" s="15" t="s">
        <v>586</v>
      </c>
      <c r="I32" s="6" t="s">
        <v>45</v>
      </c>
      <c r="J32" s="6" t="s">
        <v>49</v>
      </c>
      <c r="K32" s="12" t="s">
        <v>98</v>
      </c>
      <c r="L32" s="12"/>
      <c r="M32" s="12" t="s">
        <v>98</v>
      </c>
      <c r="N32" s="36" t="s">
        <v>587</v>
      </c>
      <c r="O32" s="34">
        <v>10</v>
      </c>
      <c r="P32" s="6" t="s">
        <v>98</v>
      </c>
      <c r="Q32" s="34" t="s">
        <v>98</v>
      </c>
      <c r="R32" s="34" t="s">
        <v>98</v>
      </c>
      <c r="S32" s="6" t="s">
        <v>98</v>
      </c>
      <c r="T32" s="12">
        <f>Tableau1[[#This Row],[Loyer €/m²]]*Tableau1[[#This Row],[Surface GLA]]</f>
        <v>15000</v>
      </c>
      <c r="U32" s="6">
        <f>IFERROR(Tableau1[[#This Row],[Loyer annuel]]/12,"")</f>
        <v>1250</v>
      </c>
      <c r="V32" s="12">
        <v>1500</v>
      </c>
      <c r="W32" s="12"/>
      <c r="X32" s="6">
        <f>Tableau1[[#This Row],[Charges €/m²]]*Tableau1[[#This Row],[Surface GLA]]</f>
        <v>2200</v>
      </c>
      <c r="Y32" s="12">
        <f>Tableau1[[#This Row],[Charges annuelles]]/12</f>
        <v>183.33333333333334</v>
      </c>
      <c r="Z32" s="12">
        <v>220</v>
      </c>
      <c r="AA32" s="12">
        <f>IFERROR(Tableau1[[#This Row],[Taxe foncière €/m²]]*Tableau1[[#This Row],[Surface GLA]],)</f>
        <v>0</v>
      </c>
      <c r="AB32" s="6" t="s">
        <v>98</v>
      </c>
      <c r="AC32" s="12">
        <f>IFERROR(Tableau1[[#This Row],[Marketing €/m²]]*Tableau1[[#This Row],[Surface GLA]],)</f>
        <v>0</v>
      </c>
      <c r="AD32" s="6" t="s">
        <v>98</v>
      </c>
      <c r="AE32" s="12">
        <f>IFERROR(Tableau1[[#This Row],[Loyer annuel]]+Tableau1[[#This Row],[Charges annuelles]]+Tableau1[[#This Row],[Taxe foncière]]+Tableau1[[#This Row],[Marketing]],"")</f>
        <v>17200</v>
      </c>
      <c r="AF32" s="6" t="s">
        <v>98</v>
      </c>
      <c r="AG32" s="6" t="s">
        <v>98</v>
      </c>
      <c r="AH32" s="6" t="s">
        <v>98</v>
      </c>
      <c r="AI32" s="6" t="s">
        <v>357</v>
      </c>
      <c r="AJ32" s="10" t="s">
        <v>53</v>
      </c>
      <c r="AK32" s="4" t="s">
        <v>362</v>
      </c>
      <c r="AL32" s="4" t="s">
        <v>417</v>
      </c>
      <c r="AM32" s="11" t="s">
        <v>584</v>
      </c>
      <c r="AN32" s="11"/>
      <c r="AO32" s="5" t="s">
        <v>361</v>
      </c>
      <c r="AP32" s="11" t="s">
        <v>591</v>
      </c>
      <c r="AQ32" s="11" t="s">
        <v>592</v>
      </c>
      <c r="AR32" s="11" t="s">
        <v>445</v>
      </c>
      <c r="AS32" s="35" t="s">
        <v>746</v>
      </c>
      <c r="AT32" s="5" t="s">
        <v>70</v>
      </c>
      <c r="AU32" s="11" t="s">
        <v>54</v>
      </c>
      <c r="AV32" s="13" t="s">
        <v>39</v>
      </c>
      <c r="AW32" s="14"/>
      <c r="AX32" s="44"/>
      <c r="AY32" s="1"/>
      <c r="AZ32" s="1"/>
      <c r="BG32" s="1"/>
    </row>
    <row r="33" spans="1:59" ht="25.5">
      <c r="A33" s="10" t="str">
        <f>VLOOKUP(Tableau1[[#This Row],[N° Département]],Feuil1!$C$6:$E$106,3)</f>
        <v>Pays de la Loire</v>
      </c>
      <c r="B33" s="4" t="str">
        <f>VLOOKUP(Tableau1[[#This Row],[N° Département]],Feuil1!$C$6:$E$106,2)</f>
        <v>Sarthe</v>
      </c>
      <c r="C33" s="10">
        <f>LEFT(Tableau1[[#This Row],[Code Postal]],2)*1</f>
        <v>72</v>
      </c>
      <c r="D33" s="10" t="s">
        <v>116</v>
      </c>
      <c r="E33" s="26">
        <v>72100</v>
      </c>
      <c r="F33" s="10" t="s">
        <v>83</v>
      </c>
      <c r="G33" s="5" t="str">
        <f>Tableau1[[#This Row],[Rue]]&amp;CHAR(10)&amp;Tableau1[[#This Row],[Code Postal]]&amp;" - "&amp;Tableau1[[#This Row],[Ville]]</f>
        <v>18 Avenue Pierre Mendès France
72100 - Le Mans</v>
      </c>
      <c r="H33" s="15" t="s">
        <v>55</v>
      </c>
      <c r="I33" s="6" t="s">
        <v>45</v>
      </c>
      <c r="J33" s="6" t="s">
        <v>49</v>
      </c>
      <c r="K33" s="12" t="s">
        <v>98</v>
      </c>
      <c r="L33" s="12"/>
      <c r="M33" s="12" t="s">
        <v>98</v>
      </c>
      <c r="N33" s="36" t="s">
        <v>303</v>
      </c>
      <c r="O33" s="34">
        <v>227</v>
      </c>
      <c r="P33" s="6" t="s">
        <v>98</v>
      </c>
      <c r="Q33" s="34" t="s">
        <v>98</v>
      </c>
      <c r="R33" s="34" t="s">
        <v>98</v>
      </c>
      <c r="S33" s="6" t="s">
        <v>98</v>
      </c>
      <c r="T33" s="12">
        <f>Tableau1[[#This Row],[Loyer €/m²]]*Tableau1[[#This Row],[Surface GLA]]</f>
        <v>90800</v>
      </c>
      <c r="U33" s="6">
        <f>IFERROR(Tableau1[[#This Row],[Loyer annuel]]/12,"")</f>
        <v>7566.666666666667</v>
      </c>
      <c r="V33" s="12">
        <v>400</v>
      </c>
      <c r="W33" s="6" t="s">
        <v>98</v>
      </c>
      <c r="X33" s="6">
        <f>Tableau1[[#This Row],[Charges €/m²]]*Tableau1[[#This Row],[Surface GLA]]</f>
        <v>49940</v>
      </c>
      <c r="Y33" s="12">
        <f>Tableau1[[#This Row],[Charges annuelles]]/12</f>
        <v>4161.666666666667</v>
      </c>
      <c r="Z33" s="12">
        <v>220</v>
      </c>
      <c r="AA33" s="12">
        <f>IFERROR(Tableau1[[#This Row],[Taxe foncière €/m²]]*Tableau1[[#This Row],[Surface GLA]],)</f>
        <v>0</v>
      </c>
      <c r="AB33" s="6" t="s">
        <v>98</v>
      </c>
      <c r="AC33" s="6">
        <f>IFERROR(Tableau1[[#This Row],[Marketing €/m²]]*Tableau1[[#This Row],[Surface GLA]],)</f>
        <v>0</v>
      </c>
      <c r="AD33" s="6" t="s">
        <v>98</v>
      </c>
      <c r="AE33" s="12">
        <f>IFERROR(Tableau1[[#This Row],[Loyer annuel]]+Tableau1[[#This Row],[Charges annuelles]]+Tableau1[[#This Row],[Taxe foncière]]+Tableau1[[#This Row],[Marketing]],"")</f>
        <v>140740</v>
      </c>
      <c r="AF33" s="6" t="s">
        <v>98</v>
      </c>
      <c r="AG33" s="6" t="s">
        <v>98</v>
      </c>
      <c r="AH33" s="6" t="s">
        <v>98</v>
      </c>
      <c r="AI33" s="6" t="s">
        <v>357</v>
      </c>
      <c r="AJ33" s="10" t="s">
        <v>53</v>
      </c>
      <c r="AK33" s="4" t="s">
        <v>362</v>
      </c>
      <c r="AL33" s="4" t="s">
        <v>417</v>
      </c>
      <c r="AM33" s="11" t="s">
        <v>582</v>
      </c>
      <c r="AN33" s="11"/>
      <c r="AO33" s="5" t="s">
        <v>361</v>
      </c>
      <c r="AP33" s="11" t="s">
        <v>593</v>
      </c>
      <c r="AQ33" s="11" t="s">
        <v>594</v>
      </c>
      <c r="AR33" s="32" t="s">
        <v>446</v>
      </c>
      <c r="AS33" s="35" t="s">
        <v>746</v>
      </c>
      <c r="AT33" s="5" t="s">
        <v>70</v>
      </c>
      <c r="AU33" s="11" t="s">
        <v>54</v>
      </c>
      <c r="AV33" s="13" t="s">
        <v>39</v>
      </c>
      <c r="AW33" s="14"/>
      <c r="AX33" s="44"/>
      <c r="AY33" s="1"/>
      <c r="AZ33" s="1"/>
      <c r="BG33" s="1"/>
    </row>
    <row r="34" spans="1:59" ht="25.5">
      <c r="A34" s="10" t="str">
        <f>VLOOKUP(Tableau1[[#This Row],[N° Département]],Feuil1!$C$6:$E$106,3)</f>
        <v>Pays de la Loire</v>
      </c>
      <c r="B34" s="4" t="str">
        <f>VLOOKUP(Tableau1[[#This Row],[N° Département]],Feuil1!$C$6:$E$106,2)</f>
        <v>Sarthe</v>
      </c>
      <c r="C34" s="10">
        <f>LEFT(Tableau1[[#This Row],[Code Postal]],2)*1</f>
        <v>72</v>
      </c>
      <c r="D34" s="10" t="s">
        <v>116</v>
      </c>
      <c r="E34" s="26">
        <v>72100</v>
      </c>
      <c r="F34" s="10" t="s">
        <v>83</v>
      </c>
      <c r="G34" s="5" t="str">
        <f>Tableau1[[#This Row],[Rue]]&amp;CHAR(10)&amp;Tableau1[[#This Row],[Code Postal]]&amp;" - "&amp;Tableau1[[#This Row],[Ville]]</f>
        <v>18 Avenue Pierre Mendès France
72100 - Le Mans</v>
      </c>
      <c r="H34" s="15" t="s">
        <v>55</v>
      </c>
      <c r="I34" s="6" t="s">
        <v>45</v>
      </c>
      <c r="J34" s="6" t="s">
        <v>49</v>
      </c>
      <c r="K34" s="12" t="s">
        <v>98</v>
      </c>
      <c r="L34" s="12"/>
      <c r="M34" s="12" t="s">
        <v>98</v>
      </c>
      <c r="N34" s="36" t="s">
        <v>304</v>
      </c>
      <c r="O34" s="34">
        <v>102</v>
      </c>
      <c r="P34" s="6" t="s">
        <v>98</v>
      </c>
      <c r="Q34" s="34" t="s">
        <v>98</v>
      </c>
      <c r="R34" s="34" t="s">
        <v>98</v>
      </c>
      <c r="S34" s="6" t="s">
        <v>98</v>
      </c>
      <c r="T34" s="12">
        <f>Tableau1[[#This Row],[Loyer €/m²]]*Tableau1[[#This Row],[Surface GLA]]</f>
        <v>51000</v>
      </c>
      <c r="U34" s="6">
        <f>IFERROR(Tableau1[[#This Row],[Loyer annuel]]/12,"")</f>
        <v>4250</v>
      </c>
      <c r="V34" s="12">
        <v>500</v>
      </c>
      <c r="W34" s="6" t="s">
        <v>98</v>
      </c>
      <c r="X34" s="6">
        <f>Tableau1[[#This Row],[Charges €/m²]]*Tableau1[[#This Row],[Surface GLA]]</f>
        <v>22440</v>
      </c>
      <c r="Y34" s="12">
        <f>Tableau1[[#This Row],[Charges annuelles]]/12</f>
        <v>1870</v>
      </c>
      <c r="Z34" s="12">
        <v>220</v>
      </c>
      <c r="AA34" s="12">
        <f>IFERROR(Tableau1[[#This Row],[Taxe foncière €/m²]]*Tableau1[[#This Row],[Surface GLA]],)</f>
        <v>0</v>
      </c>
      <c r="AB34" s="6" t="s">
        <v>98</v>
      </c>
      <c r="AC34" s="6">
        <f>IFERROR(Tableau1[[#This Row],[Marketing €/m²]]*Tableau1[[#This Row],[Surface GLA]],)</f>
        <v>0</v>
      </c>
      <c r="AD34" s="6" t="s">
        <v>98</v>
      </c>
      <c r="AE34" s="12">
        <f>IFERROR(Tableau1[[#This Row],[Loyer annuel]]+Tableau1[[#This Row],[Charges annuelles]]+Tableau1[[#This Row],[Taxe foncière]]+Tableau1[[#This Row],[Marketing]],"")</f>
        <v>73440</v>
      </c>
      <c r="AF34" s="6" t="s">
        <v>98</v>
      </c>
      <c r="AG34" s="6" t="s">
        <v>98</v>
      </c>
      <c r="AH34" s="6" t="s">
        <v>98</v>
      </c>
      <c r="AI34" s="6" t="s">
        <v>357</v>
      </c>
      <c r="AJ34" s="10" t="s">
        <v>53</v>
      </c>
      <c r="AK34" s="4" t="s">
        <v>362</v>
      </c>
      <c r="AL34" s="4" t="s">
        <v>417</v>
      </c>
      <c r="AM34" s="11" t="s">
        <v>583</v>
      </c>
      <c r="AN34" s="11"/>
      <c r="AO34" s="5" t="s">
        <v>361</v>
      </c>
      <c r="AP34" s="11" t="s">
        <v>595</v>
      </c>
      <c r="AQ34" s="11" t="s">
        <v>596</v>
      </c>
      <c r="AR34" s="11" t="s">
        <v>447</v>
      </c>
      <c r="AS34" s="35" t="s">
        <v>746</v>
      </c>
      <c r="AT34" s="5" t="s">
        <v>70</v>
      </c>
      <c r="AU34" s="11" t="s">
        <v>54</v>
      </c>
      <c r="AV34" s="13" t="s">
        <v>39</v>
      </c>
      <c r="AW34" s="14"/>
      <c r="AX34" s="44"/>
      <c r="AY34" s="1"/>
      <c r="AZ34" s="1"/>
      <c r="BG34" s="1"/>
    </row>
    <row r="35" spans="1:59" ht="25.5">
      <c r="A35" s="10" t="str">
        <f>VLOOKUP(Tableau1[[#This Row],[N° Département]],Feuil1!$C$6:$E$106,3)</f>
        <v>Pays de la Loire</v>
      </c>
      <c r="B35" s="4" t="str">
        <f>VLOOKUP(Tableau1[[#This Row],[N° Département]],Feuil1!$C$6:$E$106,2)</f>
        <v>Sarthe</v>
      </c>
      <c r="C35" s="10">
        <f>LEFT(Tableau1[[#This Row],[Code Postal]],2)*1</f>
        <v>72</v>
      </c>
      <c r="D35" s="10" t="s">
        <v>116</v>
      </c>
      <c r="E35" s="26">
        <v>72100</v>
      </c>
      <c r="F35" s="10" t="s">
        <v>83</v>
      </c>
      <c r="G35" s="5" t="str">
        <f>Tableau1[[#This Row],[Rue]]&amp;CHAR(10)&amp;Tableau1[[#This Row],[Code Postal]]&amp;" - "&amp;Tableau1[[#This Row],[Ville]]</f>
        <v>18 Avenue Pierre Mendès France
72100 - Le Mans</v>
      </c>
      <c r="H35" s="15" t="s">
        <v>55</v>
      </c>
      <c r="I35" s="6" t="s">
        <v>45</v>
      </c>
      <c r="J35" s="6" t="s">
        <v>49</v>
      </c>
      <c r="K35" s="12" t="s">
        <v>98</v>
      </c>
      <c r="L35" s="12"/>
      <c r="M35" s="12" t="s">
        <v>98</v>
      </c>
      <c r="N35" s="36" t="s">
        <v>305</v>
      </c>
      <c r="O35" s="34">
        <v>62</v>
      </c>
      <c r="P35" s="6" t="s">
        <v>98</v>
      </c>
      <c r="Q35" s="34" t="s">
        <v>98</v>
      </c>
      <c r="R35" s="34" t="s">
        <v>98</v>
      </c>
      <c r="S35" s="6" t="s">
        <v>98</v>
      </c>
      <c r="T35" s="12">
        <f>Tableau1[[#This Row],[Loyer €/m²]]*Tableau1[[#This Row],[Surface GLA]]</f>
        <v>37200</v>
      </c>
      <c r="U35" s="6">
        <f>IFERROR(Tableau1[[#This Row],[Loyer annuel]]/12,"")</f>
        <v>3100</v>
      </c>
      <c r="V35" s="12">
        <v>600</v>
      </c>
      <c r="W35" s="6" t="s">
        <v>98</v>
      </c>
      <c r="X35" s="6">
        <f>Tableau1[[#This Row],[Charges €/m²]]*Tableau1[[#This Row],[Surface GLA]]</f>
        <v>13640</v>
      </c>
      <c r="Y35" s="12">
        <f>Tableau1[[#This Row],[Charges annuelles]]/12</f>
        <v>1136.6666666666667</v>
      </c>
      <c r="Z35" s="12">
        <v>220</v>
      </c>
      <c r="AA35" s="12">
        <f>IFERROR(Tableau1[[#This Row],[Taxe foncière €/m²]]*Tableau1[[#This Row],[Surface GLA]],)</f>
        <v>0</v>
      </c>
      <c r="AB35" s="6" t="s">
        <v>98</v>
      </c>
      <c r="AC35" s="6">
        <f>IFERROR(Tableau1[[#This Row],[Marketing €/m²]]*Tableau1[[#This Row],[Surface GLA]],)</f>
        <v>0</v>
      </c>
      <c r="AD35" s="6" t="s">
        <v>98</v>
      </c>
      <c r="AE35" s="12">
        <f>IFERROR(Tableau1[[#This Row],[Loyer annuel]]+Tableau1[[#This Row],[Charges annuelles]]+Tableau1[[#This Row],[Taxe foncière]]+Tableau1[[#This Row],[Marketing]],"")</f>
        <v>50840</v>
      </c>
      <c r="AF35" s="6" t="s">
        <v>98</v>
      </c>
      <c r="AG35" s="6" t="s">
        <v>98</v>
      </c>
      <c r="AH35" s="6" t="s">
        <v>98</v>
      </c>
      <c r="AI35" s="6" t="s">
        <v>357</v>
      </c>
      <c r="AJ35" s="10" t="s">
        <v>53</v>
      </c>
      <c r="AK35" s="4" t="s">
        <v>362</v>
      </c>
      <c r="AL35" s="4" t="s">
        <v>417</v>
      </c>
      <c r="AM35" s="11" t="s">
        <v>583</v>
      </c>
      <c r="AN35" s="11"/>
      <c r="AO35" s="5" t="s">
        <v>361</v>
      </c>
      <c r="AP35" s="11" t="s">
        <v>597</v>
      </c>
      <c r="AQ35" s="11" t="s">
        <v>598</v>
      </c>
      <c r="AR35" s="32" t="s">
        <v>448</v>
      </c>
      <c r="AS35" s="35" t="s">
        <v>746</v>
      </c>
      <c r="AT35" s="5" t="s">
        <v>70</v>
      </c>
      <c r="AU35" s="11" t="s">
        <v>54</v>
      </c>
      <c r="AV35" s="13" t="s">
        <v>39</v>
      </c>
      <c r="AW35" s="14"/>
      <c r="AX35" s="44"/>
      <c r="AY35" s="1"/>
      <c r="AZ35" s="1"/>
      <c r="BG35" s="1"/>
    </row>
    <row r="36" spans="1:59" ht="25.5">
      <c r="A36" s="10" t="str">
        <f>VLOOKUP(Tableau1[[#This Row],[N° Département]],Feuil1!$C$6:$E$106,3)</f>
        <v>Pays de la Loire</v>
      </c>
      <c r="B36" s="4" t="str">
        <f>VLOOKUP(Tableau1[[#This Row],[N° Département]],Feuil1!$C$6:$E$106,2)</f>
        <v>Sarthe</v>
      </c>
      <c r="C36" s="10">
        <f>LEFT(Tableau1[[#This Row],[Code Postal]],2)*1</f>
        <v>72</v>
      </c>
      <c r="D36" s="10" t="s">
        <v>116</v>
      </c>
      <c r="E36" s="26">
        <v>72100</v>
      </c>
      <c r="F36" s="10" t="s">
        <v>83</v>
      </c>
      <c r="G36" s="5" t="str">
        <f>Tableau1[[#This Row],[Rue]]&amp;CHAR(10)&amp;Tableau1[[#This Row],[Code Postal]]&amp;" - "&amp;Tableau1[[#This Row],[Ville]]</f>
        <v>18 Avenue Pierre Mendès France
72100 - Le Mans</v>
      </c>
      <c r="H36" s="15" t="s">
        <v>55</v>
      </c>
      <c r="I36" s="6" t="s">
        <v>45</v>
      </c>
      <c r="J36" s="6" t="s">
        <v>49</v>
      </c>
      <c r="K36" s="12" t="s">
        <v>98</v>
      </c>
      <c r="L36" s="12"/>
      <c r="M36" s="12" t="s">
        <v>98</v>
      </c>
      <c r="N36" s="36" t="s">
        <v>306</v>
      </c>
      <c r="O36" s="34">
        <v>22</v>
      </c>
      <c r="P36" s="6" t="s">
        <v>98</v>
      </c>
      <c r="Q36" s="34" t="s">
        <v>98</v>
      </c>
      <c r="R36" s="34" t="s">
        <v>98</v>
      </c>
      <c r="S36" s="6" t="s">
        <v>98</v>
      </c>
      <c r="T36" s="12">
        <f>Tableau1[[#This Row],[Loyer €/m²]]*Tableau1[[#This Row],[Surface GLA]]</f>
        <v>15400</v>
      </c>
      <c r="U36" s="6">
        <f>IFERROR(Tableau1[[#This Row],[Loyer annuel]]/12,"")</f>
        <v>1283.3333333333333</v>
      </c>
      <c r="V36" s="12">
        <v>700</v>
      </c>
      <c r="W36" s="6" t="s">
        <v>98</v>
      </c>
      <c r="X36" s="6">
        <f>Tableau1[[#This Row],[Charges €/m²]]*Tableau1[[#This Row],[Surface GLA]]</f>
        <v>4840</v>
      </c>
      <c r="Y36" s="12">
        <f>Tableau1[[#This Row],[Charges annuelles]]/12</f>
        <v>403.33333333333331</v>
      </c>
      <c r="Z36" s="12">
        <v>220</v>
      </c>
      <c r="AA36" s="12">
        <f>IFERROR(Tableau1[[#This Row],[Taxe foncière €/m²]]*Tableau1[[#This Row],[Surface GLA]],)</f>
        <v>0</v>
      </c>
      <c r="AB36" s="6" t="s">
        <v>98</v>
      </c>
      <c r="AC36" s="6">
        <f>IFERROR(Tableau1[[#This Row],[Marketing €/m²]]*Tableau1[[#This Row],[Surface GLA]],)</f>
        <v>0</v>
      </c>
      <c r="AD36" s="6" t="s">
        <v>98</v>
      </c>
      <c r="AE36" s="12">
        <f>IFERROR(Tableau1[[#This Row],[Loyer annuel]]+Tableau1[[#This Row],[Charges annuelles]]+Tableau1[[#This Row],[Taxe foncière]]+Tableau1[[#This Row],[Marketing]],"")</f>
        <v>20240</v>
      </c>
      <c r="AF36" s="6" t="s">
        <v>98</v>
      </c>
      <c r="AG36" s="6" t="s">
        <v>98</v>
      </c>
      <c r="AH36" s="6" t="s">
        <v>98</v>
      </c>
      <c r="AI36" s="6" t="s">
        <v>357</v>
      </c>
      <c r="AJ36" s="10" t="s">
        <v>53</v>
      </c>
      <c r="AK36" s="4" t="s">
        <v>362</v>
      </c>
      <c r="AL36" s="4" t="s">
        <v>417</v>
      </c>
      <c r="AM36" s="11" t="s">
        <v>583</v>
      </c>
      <c r="AN36" s="11"/>
      <c r="AO36" s="5" t="s">
        <v>361</v>
      </c>
      <c r="AP36" s="11" t="s">
        <v>599</v>
      </c>
      <c r="AQ36" s="11" t="s">
        <v>600</v>
      </c>
      <c r="AR36" s="11" t="s">
        <v>449</v>
      </c>
      <c r="AS36" s="35" t="s">
        <v>746</v>
      </c>
      <c r="AT36" s="5" t="s">
        <v>70</v>
      </c>
      <c r="AU36" s="11" t="s">
        <v>54</v>
      </c>
      <c r="AV36" s="13" t="s">
        <v>39</v>
      </c>
      <c r="AW36" s="14"/>
      <c r="AX36" s="44"/>
      <c r="AY36" s="1"/>
      <c r="AZ36" s="1"/>
      <c r="BG36" s="1"/>
    </row>
    <row r="37" spans="1:59" ht="25.5">
      <c r="A37" s="10" t="str">
        <f>VLOOKUP(Tableau1[[#This Row],[N° Département]],Feuil1!$C$6:$E$106,3)</f>
        <v>Pays de la Loire</v>
      </c>
      <c r="B37" s="4" t="str">
        <f>VLOOKUP(Tableau1[[#This Row],[N° Département]],Feuil1!$C$6:$E$106,2)</f>
        <v>Sarthe</v>
      </c>
      <c r="C37" s="10">
        <f>LEFT(Tableau1[[#This Row],[Code Postal]],2)*1</f>
        <v>72</v>
      </c>
      <c r="D37" s="10" t="s">
        <v>116</v>
      </c>
      <c r="E37" s="26">
        <v>72100</v>
      </c>
      <c r="F37" s="10" t="s">
        <v>83</v>
      </c>
      <c r="G37" s="5" t="str">
        <f>Tableau1[[#This Row],[Rue]]&amp;CHAR(10)&amp;Tableau1[[#This Row],[Code Postal]]&amp;" - "&amp;Tableau1[[#This Row],[Ville]]</f>
        <v>18 Avenue Pierre Mendès France
72100 - Le Mans</v>
      </c>
      <c r="H37" s="15" t="s">
        <v>55</v>
      </c>
      <c r="I37" s="6" t="s">
        <v>45</v>
      </c>
      <c r="J37" s="6" t="s">
        <v>49</v>
      </c>
      <c r="K37" s="12" t="s">
        <v>98</v>
      </c>
      <c r="L37" s="12"/>
      <c r="M37" s="12" t="s">
        <v>98</v>
      </c>
      <c r="N37" s="36" t="s">
        <v>307</v>
      </c>
      <c r="O37" s="34">
        <v>9</v>
      </c>
      <c r="P37" s="6" t="s">
        <v>98</v>
      </c>
      <c r="Q37" s="34" t="s">
        <v>98</v>
      </c>
      <c r="R37" s="34" t="s">
        <v>98</v>
      </c>
      <c r="S37" s="6" t="s">
        <v>98</v>
      </c>
      <c r="T37" s="12">
        <f>Tableau1[[#This Row],[Loyer €/m²]]*Tableau1[[#This Row],[Surface GLA]]</f>
        <v>7200</v>
      </c>
      <c r="U37" s="6">
        <f>IFERROR(Tableau1[[#This Row],[Loyer annuel]]/12,"")</f>
        <v>600</v>
      </c>
      <c r="V37" s="12">
        <v>800</v>
      </c>
      <c r="W37" s="6" t="s">
        <v>98</v>
      </c>
      <c r="X37" s="6">
        <f>Tableau1[[#This Row],[Charges €/m²]]*Tableau1[[#This Row],[Surface GLA]]</f>
        <v>1980</v>
      </c>
      <c r="Y37" s="12">
        <f>Tableau1[[#This Row],[Charges annuelles]]/12</f>
        <v>165</v>
      </c>
      <c r="Z37" s="12">
        <v>220</v>
      </c>
      <c r="AA37" s="12">
        <f>IFERROR(Tableau1[[#This Row],[Taxe foncière €/m²]]*Tableau1[[#This Row],[Surface GLA]],)</f>
        <v>0</v>
      </c>
      <c r="AB37" s="6" t="s">
        <v>98</v>
      </c>
      <c r="AC37" s="6">
        <f>IFERROR(Tableau1[[#This Row],[Marketing €/m²]]*Tableau1[[#This Row],[Surface GLA]],)</f>
        <v>0</v>
      </c>
      <c r="AD37" s="6" t="s">
        <v>98</v>
      </c>
      <c r="AE37" s="12">
        <f>IFERROR(Tableau1[[#This Row],[Loyer annuel]]+Tableau1[[#This Row],[Charges annuelles]]+Tableau1[[#This Row],[Taxe foncière]]+Tableau1[[#This Row],[Marketing]],"")</f>
        <v>9180</v>
      </c>
      <c r="AF37" s="6" t="s">
        <v>98</v>
      </c>
      <c r="AG37" s="6" t="s">
        <v>98</v>
      </c>
      <c r="AH37" s="6" t="s">
        <v>98</v>
      </c>
      <c r="AI37" s="6" t="s">
        <v>357</v>
      </c>
      <c r="AJ37" s="10" t="s">
        <v>53</v>
      </c>
      <c r="AK37" s="4" t="s">
        <v>362</v>
      </c>
      <c r="AL37" s="4" t="s">
        <v>417</v>
      </c>
      <c r="AM37" s="11" t="s">
        <v>583</v>
      </c>
      <c r="AN37" s="11"/>
      <c r="AO37" s="5" t="s">
        <v>361</v>
      </c>
      <c r="AP37" s="11" t="s">
        <v>601</v>
      </c>
      <c r="AQ37" s="11" t="s">
        <v>602</v>
      </c>
      <c r="AR37" s="32" t="s">
        <v>450</v>
      </c>
      <c r="AS37" s="35" t="s">
        <v>746</v>
      </c>
      <c r="AT37" s="5" t="s">
        <v>70</v>
      </c>
      <c r="AU37" s="11" t="s">
        <v>54</v>
      </c>
      <c r="AV37" s="13" t="s">
        <v>39</v>
      </c>
      <c r="AW37" s="14"/>
      <c r="AX37" s="44"/>
      <c r="AY37" s="1"/>
      <c r="AZ37" s="1"/>
      <c r="BG37" s="1"/>
    </row>
    <row r="38" spans="1:59" ht="25.5">
      <c r="A38" s="10" t="str">
        <f>VLOOKUP(Tableau1[[#This Row],[N° Département]],Feuil1!$C$6:$E$106,3)</f>
        <v>Pays de la Loire</v>
      </c>
      <c r="B38" s="4" t="str">
        <f>VLOOKUP(Tableau1[[#This Row],[N° Département]],Feuil1!$C$6:$E$106,2)</f>
        <v>Sarthe</v>
      </c>
      <c r="C38" s="10">
        <f>LEFT(Tableau1[[#This Row],[Code Postal]],2)*1</f>
        <v>72</v>
      </c>
      <c r="D38" s="10" t="s">
        <v>116</v>
      </c>
      <c r="E38" s="26">
        <v>72100</v>
      </c>
      <c r="F38" s="10" t="s">
        <v>83</v>
      </c>
      <c r="G38" s="5" t="str">
        <f>Tableau1[[#This Row],[Rue]]&amp;CHAR(10)&amp;Tableau1[[#This Row],[Code Postal]]&amp;" - "&amp;Tableau1[[#This Row],[Ville]]</f>
        <v>18 Avenue Pierre Mendès France
72100 - Le Mans</v>
      </c>
      <c r="H38" s="15" t="s">
        <v>55</v>
      </c>
      <c r="I38" s="6" t="s">
        <v>45</v>
      </c>
      <c r="J38" s="6" t="s">
        <v>49</v>
      </c>
      <c r="K38" s="12" t="s">
        <v>98</v>
      </c>
      <c r="L38" s="12"/>
      <c r="M38" s="12" t="s">
        <v>98</v>
      </c>
      <c r="N38" s="36" t="s">
        <v>308</v>
      </c>
      <c r="O38" s="34">
        <v>71</v>
      </c>
      <c r="P38" s="6" t="s">
        <v>98</v>
      </c>
      <c r="Q38" s="34" t="s">
        <v>98</v>
      </c>
      <c r="R38" s="34" t="s">
        <v>98</v>
      </c>
      <c r="S38" s="6" t="s">
        <v>98</v>
      </c>
      <c r="T38" s="12">
        <f>Tableau1[[#This Row],[Loyer €/m²]]*Tableau1[[#This Row],[Surface GLA]]</f>
        <v>42600</v>
      </c>
      <c r="U38" s="6">
        <f>IFERROR(Tableau1[[#This Row],[Loyer annuel]]/12,"")</f>
        <v>3550</v>
      </c>
      <c r="V38" s="12">
        <v>600</v>
      </c>
      <c r="W38" s="6" t="s">
        <v>98</v>
      </c>
      <c r="X38" s="6">
        <f>Tableau1[[#This Row],[Charges €/m²]]*Tableau1[[#This Row],[Surface GLA]]</f>
        <v>15620</v>
      </c>
      <c r="Y38" s="12">
        <f>Tableau1[[#This Row],[Charges annuelles]]/12</f>
        <v>1301.6666666666667</v>
      </c>
      <c r="Z38" s="12">
        <v>220</v>
      </c>
      <c r="AA38" s="12">
        <f>IFERROR(Tableau1[[#This Row],[Taxe foncière €/m²]]*Tableau1[[#This Row],[Surface GLA]],)</f>
        <v>0</v>
      </c>
      <c r="AB38" s="6" t="s">
        <v>98</v>
      </c>
      <c r="AC38" s="6">
        <f>IFERROR(Tableau1[[#This Row],[Marketing €/m²]]*Tableau1[[#This Row],[Surface GLA]],)</f>
        <v>0</v>
      </c>
      <c r="AD38" s="6" t="s">
        <v>98</v>
      </c>
      <c r="AE38" s="12">
        <f>IFERROR(Tableau1[[#This Row],[Loyer annuel]]+Tableau1[[#This Row],[Charges annuelles]]+Tableau1[[#This Row],[Taxe foncière]]+Tableau1[[#This Row],[Marketing]],"")</f>
        <v>58220</v>
      </c>
      <c r="AF38" s="6" t="s">
        <v>98</v>
      </c>
      <c r="AG38" s="6" t="s">
        <v>98</v>
      </c>
      <c r="AH38" s="6" t="s">
        <v>98</v>
      </c>
      <c r="AI38" s="6" t="s">
        <v>357</v>
      </c>
      <c r="AJ38" s="10" t="s">
        <v>53</v>
      </c>
      <c r="AK38" s="4" t="s">
        <v>362</v>
      </c>
      <c r="AL38" s="4" t="s">
        <v>417</v>
      </c>
      <c r="AM38" s="11" t="s">
        <v>583</v>
      </c>
      <c r="AN38" s="11"/>
      <c r="AO38" s="5" t="s">
        <v>361</v>
      </c>
      <c r="AP38" s="11" t="s">
        <v>603</v>
      </c>
      <c r="AQ38" s="11" t="s">
        <v>604</v>
      </c>
      <c r="AR38" s="11" t="s">
        <v>451</v>
      </c>
      <c r="AS38" s="35" t="s">
        <v>746</v>
      </c>
      <c r="AT38" s="5" t="s">
        <v>70</v>
      </c>
      <c r="AU38" s="11" t="s">
        <v>54</v>
      </c>
      <c r="AV38" s="13" t="s">
        <v>39</v>
      </c>
      <c r="AW38" s="14"/>
      <c r="AX38" s="44"/>
      <c r="AY38" s="1"/>
      <c r="AZ38" s="1"/>
      <c r="BG38" s="1"/>
    </row>
    <row r="39" spans="1:59" ht="25.5">
      <c r="A39" s="10" t="str">
        <f>VLOOKUP(Tableau1[[#This Row],[N° Département]],Feuil1!$C$6:$E$106,3)</f>
        <v>Pays de la Loire</v>
      </c>
      <c r="B39" s="4" t="str">
        <f>VLOOKUP(Tableau1[[#This Row],[N° Département]],Feuil1!$C$6:$E$106,2)</f>
        <v>Sarthe</v>
      </c>
      <c r="C39" s="10">
        <f>LEFT(Tableau1[[#This Row],[Code Postal]],2)*1</f>
        <v>72</v>
      </c>
      <c r="D39" s="10" t="s">
        <v>116</v>
      </c>
      <c r="E39" s="26">
        <v>72100</v>
      </c>
      <c r="F39" s="10" t="s">
        <v>83</v>
      </c>
      <c r="G39" s="5" t="str">
        <f>Tableau1[[#This Row],[Rue]]&amp;CHAR(10)&amp;Tableau1[[#This Row],[Code Postal]]&amp;" - "&amp;Tableau1[[#This Row],[Ville]]</f>
        <v>18 Avenue Pierre Mendès France
72100 - Le Mans</v>
      </c>
      <c r="H39" s="15" t="s">
        <v>55</v>
      </c>
      <c r="I39" s="6" t="s">
        <v>45</v>
      </c>
      <c r="J39" s="6" t="s">
        <v>49</v>
      </c>
      <c r="K39" s="12" t="s">
        <v>98</v>
      </c>
      <c r="L39" s="12"/>
      <c r="M39" s="12" t="s">
        <v>98</v>
      </c>
      <c r="N39" s="36" t="s">
        <v>309</v>
      </c>
      <c r="O39" s="34">
        <v>45</v>
      </c>
      <c r="P39" s="6" t="s">
        <v>98</v>
      </c>
      <c r="Q39" s="34" t="s">
        <v>98</v>
      </c>
      <c r="R39" s="34" t="s">
        <v>98</v>
      </c>
      <c r="S39" s="6" t="s">
        <v>98</v>
      </c>
      <c r="T39" s="12">
        <f>Tableau1[[#This Row],[Loyer €/m²]]*Tableau1[[#This Row],[Surface GLA]]</f>
        <v>31500</v>
      </c>
      <c r="U39" s="6">
        <f>IFERROR(Tableau1[[#This Row],[Loyer annuel]]/12,"")</f>
        <v>2625</v>
      </c>
      <c r="V39" s="12">
        <v>700</v>
      </c>
      <c r="W39" s="6" t="s">
        <v>98</v>
      </c>
      <c r="X39" s="6">
        <f>Tableau1[[#This Row],[Charges €/m²]]*Tableau1[[#This Row],[Surface GLA]]</f>
        <v>9900</v>
      </c>
      <c r="Y39" s="12">
        <f>Tableau1[[#This Row],[Charges annuelles]]/12</f>
        <v>825</v>
      </c>
      <c r="Z39" s="12">
        <v>220</v>
      </c>
      <c r="AA39" s="12">
        <f>IFERROR(Tableau1[[#This Row],[Taxe foncière €/m²]]*Tableau1[[#This Row],[Surface GLA]],)</f>
        <v>0</v>
      </c>
      <c r="AB39" s="6" t="s">
        <v>98</v>
      </c>
      <c r="AC39" s="6">
        <f>IFERROR(Tableau1[[#This Row],[Marketing €/m²]]*Tableau1[[#This Row],[Surface GLA]],)</f>
        <v>0</v>
      </c>
      <c r="AD39" s="6" t="s">
        <v>98</v>
      </c>
      <c r="AE39" s="12">
        <f>IFERROR(Tableau1[[#This Row],[Loyer annuel]]+Tableau1[[#This Row],[Charges annuelles]]+Tableau1[[#This Row],[Taxe foncière]]+Tableau1[[#This Row],[Marketing]],"")</f>
        <v>41400</v>
      </c>
      <c r="AF39" s="6" t="s">
        <v>98</v>
      </c>
      <c r="AG39" s="6" t="s">
        <v>98</v>
      </c>
      <c r="AH39" s="6" t="s">
        <v>98</v>
      </c>
      <c r="AI39" s="6" t="s">
        <v>357</v>
      </c>
      <c r="AJ39" s="10" t="s">
        <v>53</v>
      </c>
      <c r="AK39" s="4" t="s">
        <v>362</v>
      </c>
      <c r="AL39" s="4" t="s">
        <v>417</v>
      </c>
      <c r="AM39" s="11" t="s">
        <v>583</v>
      </c>
      <c r="AN39" s="11"/>
      <c r="AO39" s="5" t="s">
        <v>361</v>
      </c>
      <c r="AP39" s="11" t="s">
        <v>605</v>
      </c>
      <c r="AQ39" s="11" t="s">
        <v>606</v>
      </c>
      <c r="AR39" s="32" t="s">
        <v>588</v>
      </c>
      <c r="AS39" s="35" t="s">
        <v>746</v>
      </c>
      <c r="AT39" s="5" t="s">
        <v>70</v>
      </c>
      <c r="AU39" s="11" t="s">
        <v>54</v>
      </c>
      <c r="AV39" s="13" t="s">
        <v>39</v>
      </c>
      <c r="AW39" s="14"/>
      <c r="AX39" s="44"/>
      <c r="AY39" s="1"/>
      <c r="AZ39" s="1"/>
      <c r="BG39" s="1"/>
    </row>
    <row r="40" spans="1:59" ht="25.5">
      <c r="A40" s="10" t="str">
        <f>VLOOKUP(Tableau1[[#This Row],[N° Département]],Feuil1!$C$6:$E$106,3)</f>
        <v>Auvergne-Rhône-Alpes</v>
      </c>
      <c r="B40" s="4" t="str">
        <f>VLOOKUP(Tableau1[[#This Row],[N° Département]],Feuil1!$C$6:$E$106,2)</f>
        <v>Rhône</v>
      </c>
      <c r="C40" s="10">
        <f>LEFT(Tableau1[[#This Row],[Code Postal]],2)*1</f>
        <v>69</v>
      </c>
      <c r="D40" s="10" t="s">
        <v>109</v>
      </c>
      <c r="E40" s="26">
        <v>69003</v>
      </c>
      <c r="F40" s="10" t="s">
        <v>84</v>
      </c>
      <c r="G40" s="5" t="str">
        <f>Tableau1[[#This Row],[Rue]]&amp;CHAR(10)&amp;Tableau1[[#This Row],[Code Postal]]&amp;" - "&amp;Tableau1[[#This Row],[Ville]]</f>
        <v>18 Rue du Général Mouton-Duvernet
69003 - Lyon</v>
      </c>
      <c r="H40" s="15" t="s">
        <v>36</v>
      </c>
      <c r="I40" s="6" t="s">
        <v>45</v>
      </c>
      <c r="J40" s="6" t="s">
        <v>44</v>
      </c>
      <c r="K40" s="12" t="s">
        <v>98</v>
      </c>
      <c r="L40" s="12"/>
      <c r="M40" s="12" t="s">
        <v>98</v>
      </c>
      <c r="N40" s="35" t="s">
        <v>98</v>
      </c>
      <c r="O40" s="34">
        <v>274</v>
      </c>
      <c r="P40" s="6" t="s">
        <v>98</v>
      </c>
      <c r="Q40" s="34" t="s">
        <v>98</v>
      </c>
      <c r="R40" s="34">
        <v>200</v>
      </c>
      <c r="S40" s="6" t="s">
        <v>98</v>
      </c>
      <c r="T40" s="12">
        <f>Tableau1[[#This Row],[Loyer €/m²]]*Tableau1[[#This Row],[Surface GLA]]</f>
        <v>49320</v>
      </c>
      <c r="U40" s="6">
        <f>IFERROR(Tableau1[[#This Row],[Loyer annuel]]/12,"")</f>
        <v>4110</v>
      </c>
      <c r="V40" s="12">
        <v>180</v>
      </c>
      <c r="W40" s="6" t="s">
        <v>98</v>
      </c>
      <c r="X40" s="6">
        <f>Tableau1[[#This Row],[Charges €/m²]]*Tableau1[[#This Row],[Surface GLA]]</f>
        <v>10138</v>
      </c>
      <c r="Y40" s="6">
        <f>IFERROR(Tableau1[[#This Row],[Charges annuelles]]/12,"")</f>
        <v>844.83333333333337</v>
      </c>
      <c r="Z40" s="12">
        <v>37</v>
      </c>
      <c r="AA40" s="12">
        <f>IFERROR(Tableau1[[#This Row],[Taxe foncière €/m²]]*Tableau1[[#This Row],[Surface GLA]],)</f>
        <v>4110</v>
      </c>
      <c r="AB40" s="6">
        <v>15</v>
      </c>
      <c r="AC40" s="6">
        <f>IFERROR(Tableau1[[#This Row],[Marketing €/m²]]*Tableau1[[#This Row],[Surface GLA]],)</f>
        <v>0</v>
      </c>
      <c r="AD40" s="6" t="s">
        <v>98</v>
      </c>
      <c r="AE40" s="6">
        <f>IFERROR(Tableau1[[#This Row],[Loyer annuel]]+Tableau1[[#This Row],[Charges annuelles]]+Tableau1[[#This Row],[Taxe foncière]]+Tableau1[[#This Row],[Marketing]],"")</f>
        <v>63568</v>
      </c>
      <c r="AF40" s="6" t="s">
        <v>98</v>
      </c>
      <c r="AG40" s="6" t="s">
        <v>98</v>
      </c>
      <c r="AH40" s="6" t="s">
        <v>98</v>
      </c>
      <c r="AI40" s="6" t="s">
        <v>373</v>
      </c>
      <c r="AJ40" s="10" t="s">
        <v>70</v>
      </c>
      <c r="AK40" s="4" t="s">
        <v>363</v>
      </c>
      <c r="AL40" s="4" t="s">
        <v>374</v>
      </c>
      <c r="AM40" s="5" t="s">
        <v>1851</v>
      </c>
      <c r="AN40" s="5"/>
      <c r="AO40" s="5" t="s">
        <v>361</v>
      </c>
      <c r="AP40" s="5" t="s">
        <v>607</v>
      </c>
      <c r="AQ40" s="5" t="s">
        <v>608</v>
      </c>
      <c r="AR40" s="32" t="s">
        <v>452</v>
      </c>
      <c r="AS40" s="35" t="s">
        <v>747</v>
      </c>
      <c r="AT40" s="5" t="s">
        <v>70</v>
      </c>
      <c r="AU40" s="11" t="s">
        <v>370</v>
      </c>
      <c r="AV40" s="13" t="s">
        <v>31</v>
      </c>
      <c r="AW40" s="14"/>
      <c r="AX40" s="44"/>
      <c r="AY40" s="1"/>
      <c r="AZ40" s="1"/>
      <c r="BG40" s="1"/>
    </row>
    <row r="41" spans="1:59" ht="25.5">
      <c r="A41" s="4" t="str">
        <f>VLOOKUP(Tableau1[[#This Row],[N° Département]],Feuil1!$C$6:$E$106,3)</f>
        <v>Ile-de-France</v>
      </c>
      <c r="B41" s="4" t="str">
        <f>VLOOKUP(Tableau1[[#This Row],[N° Département]],Feuil1!$C$6:$E$106,2)</f>
        <v>Yvelines</v>
      </c>
      <c r="C41" s="4">
        <f>LEFT(Tableau1[[#This Row],[Code Postal]],2)*1</f>
        <v>78</v>
      </c>
      <c r="D41" s="4" t="s">
        <v>117</v>
      </c>
      <c r="E41" s="25">
        <v>78310</v>
      </c>
      <c r="F41" s="10" t="s">
        <v>85</v>
      </c>
      <c r="G41" s="5" t="str">
        <f>Tableau1[[#This Row],[Rue]]&amp;CHAR(10)&amp;Tableau1[[#This Row],[Code Postal]]&amp;" - "&amp;Tableau1[[#This Row],[Ville]]</f>
        <v>3 Avenue Louis Pasteur
78310 - Maurepas</v>
      </c>
      <c r="H41" s="15" t="s">
        <v>63</v>
      </c>
      <c r="I41" s="6" t="s">
        <v>47</v>
      </c>
      <c r="J41" s="6" t="s">
        <v>50</v>
      </c>
      <c r="K41" s="12" t="s">
        <v>98</v>
      </c>
      <c r="L41" s="12"/>
      <c r="M41" s="12" t="s">
        <v>98</v>
      </c>
      <c r="N41" s="35" t="s">
        <v>310</v>
      </c>
      <c r="O41" s="33">
        <v>168</v>
      </c>
      <c r="P41" s="6" t="s">
        <v>311</v>
      </c>
      <c r="Q41" s="34" t="s">
        <v>98</v>
      </c>
      <c r="R41" s="34">
        <v>156</v>
      </c>
      <c r="S41" s="6" t="s">
        <v>312</v>
      </c>
      <c r="T41" s="12">
        <f>Tableau1[[#This Row],[Loyer €/m²]]*Tableau1[[#This Row],[Surface GLA]]</f>
        <v>42000</v>
      </c>
      <c r="U41" s="6">
        <f>IFERROR(Tableau1[[#This Row],[Loyer annuel]]/12,"")</f>
        <v>3500</v>
      </c>
      <c r="V41" s="6">
        <v>250</v>
      </c>
      <c r="W41" s="6" t="s">
        <v>98</v>
      </c>
      <c r="X41" s="6">
        <f>Tableau1[[#This Row],[Charges €/m²]]*Tableau1[[#This Row],[Surface GLA]]</f>
        <v>5880</v>
      </c>
      <c r="Y41" s="6">
        <f>IFERROR(Tableau1[[#This Row],[Charges annuelles]]/12,"")</f>
        <v>490</v>
      </c>
      <c r="Z41" s="6">
        <v>35</v>
      </c>
      <c r="AA41" s="6">
        <f>IFERROR(Tableau1[[#This Row],[Taxe foncière €/m²]]*Tableau1[[#This Row],[Surface GLA]],)</f>
        <v>0</v>
      </c>
      <c r="AB41" s="6" t="s">
        <v>98</v>
      </c>
      <c r="AC41" s="6">
        <f>IFERROR(Tableau1[[#This Row],[Marketing €/m²]]*Tableau1[[#This Row],[Surface GLA]],)</f>
        <v>0</v>
      </c>
      <c r="AD41" s="6" t="s">
        <v>98</v>
      </c>
      <c r="AE41" s="6">
        <f>IFERROR(Tableau1[[#This Row],[Loyer annuel]]+Tableau1[[#This Row],[Charges annuelles]]+Tableau1[[#This Row],[Taxe foncière]]+Tableau1[[#This Row],[Marketing]],"")</f>
        <v>47880</v>
      </c>
      <c r="AF41" s="6" t="s">
        <v>98</v>
      </c>
      <c r="AG41" s="6" t="s">
        <v>98</v>
      </c>
      <c r="AH41" s="6" t="s">
        <v>98</v>
      </c>
      <c r="AI41" s="6" t="s">
        <v>357</v>
      </c>
      <c r="AJ41" s="10" t="s">
        <v>70</v>
      </c>
      <c r="AK41" s="4" t="s">
        <v>363</v>
      </c>
      <c r="AL41" s="4" t="s">
        <v>375</v>
      </c>
      <c r="AM41" s="5" t="s">
        <v>376</v>
      </c>
      <c r="AN41" s="5"/>
      <c r="AO41" s="5" t="s">
        <v>361</v>
      </c>
      <c r="AP41" s="5" t="s">
        <v>609</v>
      </c>
      <c r="AQ41" s="5" t="s">
        <v>610</v>
      </c>
      <c r="AR41" s="32" t="s">
        <v>453</v>
      </c>
      <c r="AS41" s="35" t="s">
        <v>748</v>
      </c>
      <c r="AT41" s="5" t="s">
        <v>70</v>
      </c>
      <c r="AU41" s="5" t="s">
        <v>29</v>
      </c>
      <c r="AV41" s="7" t="s">
        <v>18</v>
      </c>
      <c r="AW41" s="9"/>
      <c r="AX41" s="44"/>
      <c r="AY41" s="1"/>
      <c r="AZ41" s="1"/>
      <c r="BG41" s="1"/>
    </row>
    <row r="42" spans="1:59" ht="25.5">
      <c r="A42" s="4" t="str">
        <f>VLOOKUP(Tableau1[[#This Row],[N° Département]],Feuil1!$C$6:$E$106,3)</f>
        <v>Ile-de-France</v>
      </c>
      <c r="B42" s="4" t="str">
        <f>VLOOKUP(Tableau1[[#This Row],[N° Département]],Feuil1!$C$6:$E$106,2)</f>
        <v>Yvelines</v>
      </c>
      <c r="C42" s="4">
        <f>LEFT(Tableau1[[#This Row],[Code Postal]],2)*1</f>
        <v>78</v>
      </c>
      <c r="D42" s="4" t="s">
        <v>117</v>
      </c>
      <c r="E42" s="25">
        <v>78310</v>
      </c>
      <c r="F42" s="10" t="s">
        <v>85</v>
      </c>
      <c r="G42" s="5" t="str">
        <f>Tableau1[[#This Row],[Rue]]&amp;CHAR(10)&amp;Tableau1[[#This Row],[Code Postal]]&amp;" - "&amp;Tableau1[[#This Row],[Ville]]</f>
        <v>3 Avenue Louis Pasteur
78310 - Maurepas</v>
      </c>
      <c r="H42" s="15" t="s">
        <v>63</v>
      </c>
      <c r="I42" s="6" t="s">
        <v>47</v>
      </c>
      <c r="J42" s="6" t="s">
        <v>50</v>
      </c>
      <c r="K42" s="12" t="s">
        <v>98</v>
      </c>
      <c r="L42" s="12"/>
      <c r="M42" s="12" t="s">
        <v>98</v>
      </c>
      <c r="N42" s="36" t="s">
        <v>302</v>
      </c>
      <c r="O42" s="34">
        <v>87</v>
      </c>
      <c r="P42" s="12"/>
      <c r="Q42" s="34" t="s">
        <v>98</v>
      </c>
      <c r="R42" s="34">
        <v>82</v>
      </c>
      <c r="S42" s="12"/>
      <c r="T42" s="12">
        <f>Tableau1[[#This Row],[Loyer €/m²]]*Tableau1[[#This Row],[Surface GLA]]</f>
        <v>17400</v>
      </c>
      <c r="U42" s="6">
        <f>IFERROR(Tableau1[[#This Row],[Loyer annuel]]/12,"")</f>
        <v>1450</v>
      </c>
      <c r="V42" s="6">
        <v>200</v>
      </c>
      <c r="W42" s="6" t="s">
        <v>98</v>
      </c>
      <c r="X42" s="6">
        <f>Tableau1[[#This Row],[Charges €/m²]]*Tableau1[[#This Row],[Surface GLA]]</f>
        <v>3045</v>
      </c>
      <c r="Y42" s="6">
        <f>IFERROR(Tableau1[[#This Row],[Charges annuelles]]/12,"")</f>
        <v>253.75</v>
      </c>
      <c r="Z42" s="6">
        <v>35</v>
      </c>
      <c r="AA42" s="12">
        <f>IFERROR(Tableau1[[#This Row],[Taxe foncière €/m²]]*Tableau1[[#This Row],[Surface GLA]],)</f>
        <v>0</v>
      </c>
      <c r="AB42" s="6" t="s">
        <v>98</v>
      </c>
      <c r="AC42" s="12">
        <f>IFERROR(Tableau1[[#This Row],[Marketing €/m²]]*Tableau1[[#This Row],[Surface GLA]],)</f>
        <v>0</v>
      </c>
      <c r="AD42" s="6" t="s">
        <v>98</v>
      </c>
      <c r="AE42" s="12">
        <f>IFERROR(Tableau1[[#This Row],[Loyer annuel]]+Tableau1[[#This Row],[Charges annuelles]]+Tableau1[[#This Row],[Taxe foncière]]+Tableau1[[#This Row],[Marketing]],"")</f>
        <v>20445</v>
      </c>
      <c r="AF42" s="6" t="s">
        <v>98</v>
      </c>
      <c r="AG42" s="6" t="s">
        <v>98</v>
      </c>
      <c r="AH42" s="6" t="s">
        <v>98</v>
      </c>
      <c r="AI42" s="6" t="s">
        <v>357</v>
      </c>
      <c r="AJ42" s="10" t="s">
        <v>369</v>
      </c>
      <c r="AK42" s="4" t="s">
        <v>363</v>
      </c>
      <c r="AL42" s="4" t="s">
        <v>375</v>
      </c>
      <c r="AM42" s="5" t="s">
        <v>376</v>
      </c>
      <c r="AN42" s="5"/>
      <c r="AO42" s="5" t="s">
        <v>361</v>
      </c>
      <c r="AP42" s="11" t="s">
        <v>611</v>
      </c>
      <c r="AQ42" s="11" t="s">
        <v>612</v>
      </c>
      <c r="AR42" s="32" t="s">
        <v>454</v>
      </c>
      <c r="AS42" s="35" t="s">
        <v>749</v>
      </c>
      <c r="AT42" s="5" t="s">
        <v>70</v>
      </c>
      <c r="AU42" s="5" t="s">
        <v>29</v>
      </c>
      <c r="AV42" s="7" t="s">
        <v>18</v>
      </c>
      <c r="AW42" s="14"/>
      <c r="AX42" s="44"/>
      <c r="AY42" s="1"/>
      <c r="AZ42" s="1"/>
      <c r="BG42" s="1"/>
    </row>
    <row r="43" spans="1:59" ht="25.5">
      <c r="A43" s="4" t="str">
        <f>VLOOKUP(Tableau1[[#This Row],[N° Département]],Feuil1!$C$6:$E$106,3)</f>
        <v>Ile-de-France</v>
      </c>
      <c r="B43" s="4" t="str">
        <f>VLOOKUP(Tableau1[[#This Row],[N° Département]],Feuil1!$C$6:$E$106,2)</f>
        <v>Yvelines</v>
      </c>
      <c r="C43" s="4">
        <f>LEFT(Tableau1[[#This Row],[Code Postal]],2)*1</f>
        <v>78</v>
      </c>
      <c r="D43" s="4" t="s">
        <v>117</v>
      </c>
      <c r="E43" s="25">
        <v>78310</v>
      </c>
      <c r="F43" s="10" t="s">
        <v>85</v>
      </c>
      <c r="G43" s="5" t="str">
        <f>Tableau1[[#This Row],[Rue]]&amp;CHAR(10)&amp;Tableau1[[#This Row],[Code Postal]]&amp;" - "&amp;Tableau1[[#This Row],[Ville]]</f>
        <v>3 Avenue Louis Pasteur
78310 - Maurepas</v>
      </c>
      <c r="H43" s="15" t="s">
        <v>63</v>
      </c>
      <c r="I43" s="6" t="s">
        <v>47</v>
      </c>
      <c r="J43" s="6" t="s">
        <v>50</v>
      </c>
      <c r="K43" s="12" t="s">
        <v>98</v>
      </c>
      <c r="L43" s="12"/>
      <c r="M43" s="12" t="s">
        <v>98</v>
      </c>
      <c r="N43" s="36" t="s">
        <v>313</v>
      </c>
      <c r="O43" s="34">
        <v>197</v>
      </c>
      <c r="P43" s="12"/>
      <c r="Q43" s="34" t="s">
        <v>98</v>
      </c>
      <c r="R43" s="34">
        <v>182</v>
      </c>
      <c r="S43" s="12"/>
      <c r="T43" s="12">
        <f>Tableau1[[#This Row],[Loyer €/m²]]*Tableau1[[#This Row],[Surface GLA]]</f>
        <v>39400</v>
      </c>
      <c r="U43" s="6">
        <f>IFERROR(Tableau1[[#This Row],[Loyer annuel]]/12,"")</f>
        <v>3283.3333333333335</v>
      </c>
      <c r="V43" s="6">
        <v>200</v>
      </c>
      <c r="W43" s="6" t="s">
        <v>98</v>
      </c>
      <c r="X43" s="6">
        <f>Tableau1[[#This Row],[Charges €/m²]]*Tableau1[[#This Row],[Surface GLA]]</f>
        <v>6895</v>
      </c>
      <c r="Y43" s="6">
        <f>IFERROR(Tableau1[[#This Row],[Charges annuelles]]/12,"")</f>
        <v>574.58333333333337</v>
      </c>
      <c r="Z43" s="6">
        <v>35</v>
      </c>
      <c r="AA43" s="12">
        <f>IFERROR(Tableau1[[#This Row],[Taxe foncière €/m²]]*Tableau1[[#This Row],[Surface GLA]],)</f>
        <v>0</v>
      </c>
      <c r="AB43" s="6" t="s">
        <v>98</v>
      </c>
      <c r="AC43" s="12">
        <f>IFERROR(Tableau1[[#This Row],[Marketing €/m²]]*Tableau1[[#This Row],[Surface GLA]],)</f>
        <v>0</v>
      </c>
      <c r="AD43" s="6" t="s">
        <v>98</v>
      </c>
      <c r="AE43" s="12">
        <f>IFERROR(Tableau1[[#This Row],[Loyer annuel]]+Tableau1[[#This Row],[Charges annuelles]]+Tableau1[[#This Row],[Taxe foncière]]+Tableau1[[#This Row],[Marketing]],"")</f>
        <v>46295</v>
      </c>
      <c r="AF43" s="6" t="s">
        <v>98</v>
      </c>
      <c r="AG43" s="6" t="s">
        <v>98</v>
      </c>
      <c r="AH43" s="6" t="s">
        <v>98</v>
      </c>
      <c r="AI43" s="6" t="s">
        <v>357</v>
      </c>
      <c r="AJ43" s="10" t="s">
        <v>369</v>
      </c>
      <c r="AK43" s="4" t="s">
        <v>363</v>
      </c>
      <c r="AL43" s="4" t="s">
        <v>375</v>
      </c>
      <c r="AM43" s="5" t="s">
        <v>376</v>
      </c>
      <c r="AN43" s="5"/>
      <c r="AO43" s="5" t="s">
        <v>361</v>
      </c>
      <c r="AP43" s="11" t="s">
        <v>613</v>
      </c>
      <c r="AQ43" s="11" t="s">
        <v>614</v>
      </c>
      <c r="AR43" s="32" t="s">
        <v>455</v>
      </c>
      <c r="AS43" s="35" t="s">
        <v>750</v>
      </c>
      <c r="AT43" s="5" t="s">
        <v>70</v>
      </c>
      <c r="AU43" s="5" t="s">
        <v>29</v>
      </c>
      <c r="AV43" s="7" t="s">
        <v>18</v>
      </c>
      <c r="AW43" s="14"/>
      <c r="AX43" s="44"/>
      <c r="AY43" s="1"/>
      <c r="AZ43" s="1"/>
      <c r="BG43" s="1"/>
    </row>
    <row r="44" spans="1:59" ht="25.5">
      <c r="A44" s="4" t="str">
        <f>VLOOKUP(Tableau1[[#This Row],[N° Département]],Feuil1!$C$6:$E$106,3)</f>
        <v>Ile-de-France</v>
      </c>
      <c r="B44" s="4" t="str">
        <f>VLOOKUP(Tableau1[[#This Row],[N° Département]],Feuil1!$C$6:$E$106,2)</f>
        <v>Yvelines</v>
      </c>
      <c r="C44" s="4">
        <f>LEFT(Tableau1[[#This Row],[Code Postal]],2)*1</f>
        <v>78</v>
      </c>
      <c r="D44" s="4" t="s">
        <v>117</v>
      </c>
      <c r="E44" s="25">
        <v>78310</v>
      </c>
      <c r="F44" s="10" t="s">
        <v>85</v>
      </c>
      <c r="G44" s="5" t="str">
        <f>Tableau1[[#This Row],[Rue]]&amp;CHAR(10)&amp;Tableau1[[#This Row],[Code Postal]]&amp;" - "&amp;Tableau1[[#This Row],[Ville]]</f>
        <v>3 Avenue Louis Pasteur
78310 - Maurepas</v>
      </c>
      <c r="H44" s="15" t="s">
        <v>63</v>
      </c>
      <c r="I44" s="6" t="s">
        <v>47</v>
      </c>
      <c r="J44" s="6" t="s">
        <v>50</v>
      </c>
      <c r="K44" s="12" t="s">
        <v>98</v>
      </c>
      <c r="L44" s="12"/>
      <c r="M44" s="12" t="s">
        <v>98</v>
      </c>
      <c r="N44" s="36" t="s">
        <v>314</v>
      </c>
      <c r="O44" s="34">
        <v>576</v>
      </c>
      <c r="P44" s="12">
        <v>1257</v>
      </c>
      <c r="Q44" s="34" t="s">
        <v>98</v>
      </c>
      <c r="R44" s="34">
        <v>543</v>
      </c>
      <c r="S44" s="12"/>
      <c r="T44" s="12">
        <f>Tableau1[[#This Row],[Loyer €/m²]]*Tableau1[[#This Row],[Surface GLA]]</f>
        <v>100800</v>
      </c>
      <c r="U44" s="6">
        <f>IFERROR(Tableau1[[#This Row],[Loyer annuel]]/12,"")</f>
        <v>8400</v>
      </c>
      <c r="V44" s="6">
        <v>175</v>
      </c>
      <c r="W44" s="6" t="s">
        <v>98</v>
      </c>
      <c r="X44" s="6">
        <f>Tableau1[[#This Row],[Charges €/m²]]*Tableau1[[#This Row],[Surface GLA]]</f>
        <v>20160</v>
      </c>
      <c r="Y44" s="6">
        <f>IFERROR(Tableau1[[#This Row],[Charges annuelles]]/12,"")</f>
        <v>1680</v>
      </c>
      <c r="Z44" s="6">
        <v>35</v>
      </c>
      <c r="AA44" s="12">
        <f>IFERROR(Tableau1[[#This Row],[Taxe foncière €/m²]]*Tableau1[[#This Row],[Surface GLA]],)</f>
        <v>0</v>
      </c>
      <c r="AB44" s="6" t="s">
        <v>98</v>
      </c>
      <c r="AC44" s="12">
        <f>IFERROR(Tableau1[[#This Row],[Marketing €/m²]]*Tableau1[[#This Row],[Surface GLA]],)</f>
        <v>0</v>
      </c>
      <c r="AD44" s="6" t="s">
        <v>98</v>
      </c>
      <c r="AE44" s="12">
        <f>IFERROR(Tableau1[[#This Row],[Loyer annuel]]+Tableau1[[#This Row],[Charges annuelles]]+Tableau1[[#This Row],[Taxe foncière]]+Tableau1[[#This Row],[Marketing]],"")</f>
        <v>120960</v>
      </c>
      <c r="AF44" s="6" t="s">
        <v>98</v>
      </c>
      <c r="AG44" s="6" t="s">
        <v>98</v>
      </c>
      <c r="AH44" s="6" t="s">
        <v>98</v>
      </c>
      <c r="AI44" s="6" t="s">
        <v>357</v>
      </c>
      <c r="AJ44" s="10" t="s">
        <v>70</v>
      </c>
      <c r="AK44" s="4" t="s">
        <v>363</v>
      </c>
      <c r="AL44" s="4" t="s">
        <v>375</v>
      </c>
      <c r="AM44" s="5" t="s">
        <v>376</v>
      </c>
      <c r="AN44" s="5"/>
      <c r="AO44" s="5" t="s">
        <v>361</v>
      </c>
      <c r="AP44" s="11" t="s">
        <v>615</v>
      </c>
      <c r="AQ44" s="11" t="s">
        <v>616</v>
      </c>
      <c r="AR44" s="32" t="s">
        <v>456</v>
      </c>
      <c r="AS44" s="35" t="s">
        <v>751</v>
      </c>
      <c r="AT44" s="5" t="s">
        <v>70</v>
      </c>
      <c r="AU44" s="5" t="s">
        <v>29</v>
      </c>
      <c r="AV44" s="7" t="s">
        <v>18</v>
      </c>
      <c r="AW44" s="14"/>
      <c r="AX44" s="44"/>
      <c r="AY44" s="1"/>
      <c r="AZ44" s="1"/>
      <c r="BG44" s="1"/>
    </row>
    <row r="45" spans="1:59" ht="25.5">
      <c r="A45" s="4" t="str">
        <f>VLOOKUP(Tableau1[[#This Row],[N° Département]],Feuil1!$C$6:$E$106,3)</f>
        <v>Ile-de-France</v>
      </c>
      <c r="B45" s="4" t="str">
        <f>VLOOKUP(Tableau1[[#This Row],[N° Département]],Feuil1!$C$6:$E$106,2)</f>
        <v>Yvelines</v>
      </c>
      <c r="C45" s="4">
        <f>LEFT(Tableau1[[#This Row],[Code Postal]],2)*1</f>
        <v>78</v>
      </c>
      <c r="D45" s="4" t="s">
        <v>117</v>
      </c>
      <c r="E45" s="25">
        <v>78310</v>
      </c>
      <c r="F45" s="10" t="s">
        <v>85</v>
      </c>
      <c r="G45" s="5" t="str">
        <f>Tableau1[[#This Row],[Rue]]&amp;CHAR(10)&amp;Tableau1[[#This Row],[Code Postal]]&amp;" - "&amp;Tableau1[[#This Row],[Ville]]</f>
        <v>3 Avenue Louis Pasteur
78310 - Maurepas</v>
      </c>
      <c r="H45" s="15" t="s">
        <v>63</v>
      </c>
      <c r="I45" s="6" t="s">
        <v>47</v>
      </c>
      <c r="J45" s="6" t="s">
        <v>50</v>
      </c>
      <c r="K45" s="12" t="s">
        <v>98</v>
      </c>
      <c r="L45" s="12"/>
      <c r="M45" s="12" t="s">
        <v>98</v>
      </c>
      <c r="N45" s="36" t="s">
        <v>315</v>
      </c>
      <c r="O45" s="34">
        <v>237</v>
      </c>
      <c r="P45" s="12" t="s">
        <v>317</v>
      </c>
      <c r="Q45" s="34" t="s">
        <v>98</v>
      </c>
      <c r="R45" s="34">
        <v>221</v>
      </c>
      <c r="S45" s="12" t="s">
        <v>318</v>
      </c>
      <c r="T45" s="12">
        <f>Tableau1[[#This Row],[Loyer €/m²]]*Tableau1[[#This Row],[Surface GLA]]</f>
        <v>47400</v>
      </c>
      <c r="U45" s="6">
        <f>IFERROR(Tableau1[[#This Row],[Loyer annuel]]/12,"")</f>
        <v>3950</v>
      </c>
      <c r="V45" s="6">
        <v>200</v>
      </c>
      <c r="W45" s="6" t="s">
        <v>98</v>
      </c>
      <c r="X45" s="6">
        <f>Tableau1[[#This Row],[Charges €/m²]]*Tableau1[[#This Row],[Surface GLA]]</f>
        <v>8295</v>
      </c>
      <c r="Y45" s="6">
        <f>IFERROR(Tableau1[[#This Row],[Charges annuelles]]/12,"")</f>
        <v>691.25</v>
      </c>
      <c r="Z45" s="6">
        <v>35</v>
      </c>
      <c r="AA45" s="12">
        <f>IFERROR(Tableau1[[#This Row],[Taxe foncière €/m²]]*Tableau1[[#This Row],[Surface GLA]],)</f>
        <v>0</v>
      </c>
      <c r="AB45" s="6" t="s">
        <v>98</v>
      </c>
      <c r="AC45" s="12">
        <f>IFERROR(Tableau1[[#This Row],[Marketing €/m²]]*Tableau1[[#This Row],[Surface GLA]],)</f>
        <v>0</v>
      </c>
      <c r="AD45" s="6" t="s">
        <v>98</v>
      </c>
      <c r="AE45" s="12">
        <f>IFERROR(Tableau1[[#This Row],[Loyer annuel]]+Tableau1[[#This Row],[Charges annuelles]]+Tableau1[[#This Row],[Taxe foncière]]+Tableau1[[#This Row],[Marketing]],"")</f>
        <v>55695</v>
      </c>
      <c r="AF45" s="6" t="s">
        <v>98</v>
      </c>
      <c r="AG45" s="6" t="s">
        <v>98</v>
      </c>
      <c r="AH45" s="6" t="s">
        <v>98</v>
      </c>
      <c r="AI45" s="6" t="s">
        <v>357</v>
      </c>
      <c r="AJ45" s="10" t="s">
        <v>70</v>
      </c>
      <c r="AK45" s="4" t="s">
        <v>363</v>
      </c>
      <c r="AL45" s="4" t="s">
        <v>375</v>
      </c>
      <c r="AM45" s="5" t="s">
        <v>376</v>
      </c>
      <c r="AN45" s="5"/>
      <c r="AO45" s="5" t="s">
        <v>361</v>
      </c>
      <c r="AP45" s="11" t="s">
        <v>617</v>
      </c>
      <c r="AQ45" s="11" t="s">
        <v>618</v>
      </c>
      <c r="AR45" s="32" t="s">
        <v>457</v>
      </c>
      <c r="AS45" s="35" t="s">
        <v>752</v>
      </c>
      <c r="AT45" s="5" t="s">
        <v>70</v>
      </c>
      <c r="AU45" s="5" t="s">
        <v>29</v>
      </c>
      <c r="AV45" s="7" t="s">
        <v>18</v>
      </c>
      <c r="AW45" s="14"/>
      <c r="AX45" s="44"/>
      <c r="AY45" s="1"/>
      <c r="AZ45" s="1"/>
      <c r="BG45" s="1"/>
    </row>
    <row r="46" spans="1:59" ht="25.5">
      <c r="A46" s="4" t="str">
        <f>VLOOKUP(Tableau1[[#This Row],[N° Département]],Feuil1!$C$6:$E$106,3)</f>
        <v>Ile-de-France</v>
      </c>
      <c r="B46" s="4" t="str">
        <f>VLOOKUP(Tableau1[[#This Row],[N° Département]],Feuil1!$C$6:$E$106,2)</f>
        <v>Yvelines</v>
      </c>
      <c r="C46" s="4">
        <f>LEFT(Tableau1[[#This Row],[Code Postal]],2)*1</f>
        <v>78</v>
      </c>
      <c r="D46" s="4" t="s">
        <v>117</v>
      </c>
      <c r="E46" s="25">
        <v>78310</v>
      </c>
      <c r="F46" s="10" t="s">
        <v>85</v>
      </c>
      <c r="G46" s="5" t="str">
        <f>Tableau1[[#This Row],[Rue]]&amp;CHAR(10)&amp;Tableau1[[#This Row],[Code Postal]]&amp;" - "&amp;Tableau1[[#This Row],[Ville]]</f>
        <v>3 Avenue Louis Pasteur
78310 - Maurepas</v>
      </c>
      <c r="H46" s="15" t="s">
        <v>63</v>
      </c>
      <c r="I46" s="6" t="s">
        <v>47</v>
      </c>
      <c r="J46" s="6" t="s">
        <v>50</v>
      </c>
      <c r="K46" s="12" t="s">
        <v>98</v>
      </c>
      <c r="L46" s="12"/>
      <c r="M46" s="12" t="s">
        <v>98</v>
      </c>
      <c r="N46" s="36" t="s">
        <v>316</v>
      </c>
      <c r="O46" s="34">
        <v>236</v>
      </c>
      <c r="P46" s="12" t="s">
        <v>319</v>
      </c>
      <c r="Q46" s="34" t="s">
        <v>98</v>
      </c>
      <c r="R46" s="34">
        <v>218</v>
      </c>
      <c r="S46" s="12" t="s">
        <v>320</v>
      </c>
      <c r="T46" s="12">
        <f>Tableau1[[#This Row],[Loyer €/m²]]*Tableau1[[#This Row],[Surface GLA]]</f>
        <v>47200</v>
      </c>
      <c r="U46" s="6">
        <f>IFERROR(Tableau1[[#This Row],[Loyer annuel]]/12,"")</f>
        <v>3933.3333333333335</v>
      </c>
      <c r="V46" s="6">
        <v>200</v>
      </c>
      <c r="W46" s="6" t="s">
        <v>98</v>
      </c>
      <c r="X46" s="6">
        <f>Tableau1[[#This Row],[Charges €/m²]]*Tableau1[[#This Row],[Surface GLA]]</f>
        <v>8260</v>
      </c>
      <c r="Y46" s="6">
        <f>IFERROR(Tableau1[[#This Row],[Charges annuelles]]/12,"")</f>
        <v>688.33333333333337</v>
      </c>
      <c r="Z46" s="6">
        <v>35</v>
      </c>
      <c r="AA46" s="12">
        <f>IFERROR(Tableau1[[#This Row],[Taxe foncière €/m²]]*Tableau1[[#This Row],[Surface GLA]],)</f>
        <v>0</v>
      </c>
      <c r="AB46" s="6" t="s">
        <v>98</v>
      </c>
      <c r="AC46" s="12">
        <f>IFERROR(Tableau1[[#This Row],[Marketing €/m²]]*Tableau1[[#This Row],[Surface GLA]],)</f>
        <v>0</v>
      </c>
      <c r="AD46" s="6" t="s">
        <v>98</v>
      </c>
      <c r="AE46" s="12">
        <f>IFERROR(Tableau1[[#This Row],[Loyer annuel]]+Tableau1[[#This Row],[Charges annuelles]]+Tableau1[[#This Row],[Taxe foncière]]+Tableau1[[#This Row],[Marketing]],"")</f>
        <v>55460</v>
      </c>
      <c r="AF46" s="6" t="s">
        <v>98</v>
      </c>
      <c r="AG46" s="6" t="s">
        <v>98</v>
      </c>
      <c r="AH46" s="6" t="s">
        <v>98</v>
      </c>
      <c r="AI46" s="6" t="s">
        <v>357</v>
      </c>
      <c r="AJ46" s="10" t="s">
        <v>70</v>
      </c>
      <c r="AK46" s="4" t="s">
        <v>363</v>
      </c>
      <c r="AL46" s="4" t="s">
        <v>375</v>
      </c>
      <c r="AM46" s="5" t="s">
        <v>376</v>
      </c>
      <c r="AN46" s="5"/>
      <c r="AO46" s="5" t="s">
        <v>361</v>
      </c>
      <c r="AP46" s="11" t="s">
        <v>619</v>
      </c>
      <c r="AQ46" s="11" t="s">
        <v>620</v>
      </c>
      <c r="AR46" s="32" t="s">
        <v>458</v>
      </c>
      <c r="AS46" s="35" t="s">
        <v>753</v>
      </c>
      <c r="AT46" s="11" t="s">
        <v>53</v>
      </c>
      <c r="AU46" s="5" t="s">
        <v>29</v>
      </c>
      <c r="AV46" s="7" t="s">
        <v>18</v>
      </c>
      <c r="AW46" s="14"/>
      <c r="AX46" s="44"/>
      <c r="AY46" s="1"/>
      <c r="AZ46" s="1"/>
      <c r="BG46" s="1"/>
    </row>
    <row r="47" spans="1:59" ht="25.5">
      <c r="A47" s="4" t="str">
        <f>VLOOKUP(Tableau1[[#This Row],[N° Département]],Feuil1!$C$6:$E$106,3)</f>
        <v>Grand Est</v>
      </c>
      <c r="B47" s="4" t="str">
        <f>VLOOKUP(Tableau1[[#This Row],[N° Département]],Feuil1!$C$6:$E$106,2)</f>
        <v>Moselle</v>
      </c>
      <c r="C47" s="4">
        <f>LEFT(Tableau1[[#This Row],[Code Postal]],2)*1</f>
        <v>57</v>
      </c>
      <c r="D47" s="4" t="s">
        <v>110</v>
      </c>
      <c r="E47" s="25">
        <v>57000</v>
      </c>
      <c r="F47" s="10" t="s">
        <v>86</v>
      </c>
      <c r="G47" s="5" t="str">
        <f>Tableau1[[#This Row],[Rue]]&amp;CHAR(10)&amp;Tableau1[[#This Row],[Code Postal]]&amp;" - "&amp;Tableau1[[#This Row],[Ville]]</f>
        <v>60 Rue Serpenoise
57000 - Metz</v>
      </c>
      <c r="H47" s="15" t="s">
        <v>25</v>
      </c>
      <c r="I47" s="6" t="s">
        <v>45</v>
      </c>
      <c r="J47" s="6" t="s">
        <v>44</v>
      </c>
      <c r="K47" s="12" t="s">
        <v>98</v>
      </c>
      <c r="L47" s="12"/>
      <c r="M47" s="12" t="s">
        <v>98</v>
      </c>
      <c r="N47" s="35" t="s">
        <v>98</v>
      </c>
      <c r="O47" s="33">
        <v>370</v>
      </c>
      <c r="P47" s="4" t="s">
        <v>260</v>
      </c>
      <c r="Q47" s="34" t="s">
        <v>98</v>
      </c>
      <c r="R47" s="34" t="s">
        <v>98</v>
      </c>
      <c r="S47" s="6" t="s">
        <v>98</v>
      </c>
      <c r="T47" s="12">
        <f>Tableau1[[#This Row],[Loyer €/m²]]*Tableau1[[#This Row],[Surface GLA]]</f>
        <v>55500</v>
      </c>
      <c r="U47" s="6">
        <f>IFERROR(Tableau1[[#This Row],[Loyer annuel]]/12,"")</f>
        <v>4625</v>
      </c>
      <c r="V47" s="6">
        <v>150</v>
      </c>
      <c r="W47" s="6" t="s">
        <v>98</v>
      </c>
      <c r="X47" s="6">
        <f>Tableau1[[#This Row],[Charges €/m²]]*Tableau1[[#This Row],[Surface GLA]]</f>
        <v>22200</v>
      </c>
      <c r="Y47" s="6">
        <f>IFERROR(Tableau1[[#This Row],[Charges annuelles]]/12,"")</f>
        <v>1850</v>
      </c>
      <c r="Z47" s="6">
        <v>60</v>
      </c>
      <c r="AA47" s="6">
        <f>IFERROR(Tableau1[[#This Row],[Taxe foncière €/m²]]*Tableau1[[#This Row],[Surface GLA]],)</f>
        <v>0</v>
      </c>
      <c r="AB47" s="6" t="s">
        <v>98</v>
      </c>
      <c r="AC47" s="6">
        <f>IFERROR(Tableau1[[#This Row],[Marketing €/m²]]*Tableau1[[#This Row],[Surface GLA]],)</f>
        <v>0</v>
      </c>
      <c r="AD47" s="6" t="s">
        <v>98</v>
      </c>
      <c r="AE47" s="6">
        <f>IFERROR(Tableau1[[#This Row],[Loyer annuel]]+Tableau1[[#This Row],[Charges annuelles]]+Tableau1[[#This Row],[Taxe foncière]]+Tableau1[[#This Row],[Marketing]],"")</f>
        <v>77700</v>
      </c>
      <c r="AF47" s="6" t="s">
        <v>98</v>
      </c>
      <c r="AG47" s="6" t="s">
        <v>98</v>
      </c>
      <c r="AH47" s="6" t="s">
        <v>98</v>
      </c>
      <c r="AI47" s="6" t="s">
        <v>357</v>
      </c>
      <c r="AJ47" s="10" t="s">
        <v>53</v>
      </c>
      <c r="AK47" s="4" t="s">
        <v>362</v>
      </c>
      <c r="AL47" s="4" t="s">
        <v>379</v>
      </c>
      <c r="AM47" s="5" t="s">
        <v>377</v>
      </c>
      <c r="AN47" s="5"/>
      <c r="AO47" s="5" t="s">
        <v>361</v>
      </c>
      <c r="AP47" s="5" t="s">
        <v>621</v>
      </c>
      <c r="AQ47" s="5" t="s">
        <v>622</v>
      </c>
      <c r="AR47" s="32" t="s">
        <v>459</v>
      </c>
      <c r="AS47" s="35" t="s">
        <v>754</v>
      </c>
      <c r="AT47" s="5" t="s">
        <v>70</v>
      </c>
      <c r="AU47" s="5" t="s">
        <v>26</v>
      </c>
      <c r="AV47" s="7" t="s">
        <v>18</v>
      </c>
      <c r="AW47" s="8"/>
      <c r="AX47" s="44"/>
      <c r="AY47" s="1"/>
      <c r="AZ47" s="1"/>
      <c r="BG47" s="1"/>
    </row>
    <row r="48" spans="1:59" ht="25.5">
      <c r="A48" s="4" t="str">
        <f>VLOOKUP(Tableau1[[#This Row],[N° Département]],Feuil1!$C$6:$E$106,3)</f>
        <v>Grand Est</v>
      </c>
      <c r="B48" s="4" t="str">
        <f>VLOOKUP(Tableau1[[#This Row],[N° Département]],Feuil1!$C$6:$E$106,2)</f>
        <v>Moselle</v>
      </c>
      <c r="C48" s="4">
        <f>LEFT(Tableau1[[#This Row],[Code Postal]],2)*1</f>
        <v>57</v>
      </c>
      <c r="D48" s="4" t="s">
        <v>110</v>
      </c>
      <c r="E48" s="25">
        <v>57000</v>
      </c>
      <c r="F48" s="10" t="s">
        <v>86</v>
      </c>
      <c r="G48" s="5" t="str">
        <f>Tableau1[[#This Row],[Rue]]&amp;CHAR(10)&amp;Tableau1[[#This Row],[Code Postal]]&amp;" - "&amp;Tableau1[[#This Row],[Ville]]</f>
        <v>60 Rue Serpenoise
57000 - Metz</v>
      </c>
      <c r="H48" s="15" t="s">
        <v>25</v>
      </c>
      <c r="I48" s="6" t="s">
        <v>45</v>
      </c>
      <c r="J48" s="6" t="s">
        <v>44</v>
      </c>
      <c r="K48" s="12" t="s">
        <v>98</v>
      </c>
      <c r="L48" s="12"/>
      <c r="M48" s="12" t="s">
        <v>98</v>
      </c>
      <c r="N48" s="35" t="s">
        <v>98</v>
      </c>
      <c r="O48" s="33">
        <v>486</v>
      </c>
      <c r="P48" s="10" t="s">
        <v>261</v>
      </c>
      <c r="Q48" s="34" t="s">
        <v>98</v>
      </c>
      <c r="R48" s="34" t="s">
        <v>98</v>
      </c>
      <c r="S48" s="6" t="s">
        <v>98</v>
      </c>
      <c r="T48" s="12">
        <f>Tableau1[[#This Row],[Loyer €/m²]]*Tableau1[[#This Row],[Surface GLA]]</f>
        <v>63180</v>
      </c>
      <c r="U48" s="6">
        <f>IFERROR(Tableau1[[#This Row],[Loyer annuel]]/12,"")</f>
        <v>5265</v>
      </c>
      <c r="V48" s="12">
        <v>130</v>
      </c>
      <c r="W48" s="6" t="s">
        <v>98</v>
      </c>
      <c r="X48" s="6">
        <f>Tableau1[[#This Row],[Charges €/m²]]*Tableau1[[#This Row],[Surface GLA]]</f>
        <v>29646</v>
      </c>
      <c r="Y48" s="6">
        <f>IFERROR(Tableau1[[#This Row],[Charges annuelles]]/12,"")</f>
        <v>2470.5</v>
      </c>
      <c r="Z48" s="12">
        <v>61</v>
      </c>
      <c r="AA48" s="12">
        <f>IFERROR(Tableau1[[#This Row],[Taxe foncière €/m²]]*Tableau1[[#This Row],[Surface GLA]],)</f>
        <v>0</v>
      </c>
      <c r="AB48" s="6" t="s">
        <v>98</v>
      </c>
      <c r="AC48" s="6">
        <f>IFERROR(Tableau1[[#This Row],[Marketing €/m²]]*Tableau1[[#This Row],[Surface GLA]],)</f>
        <v>0</v>
      </c>
      <c r="AD48" s="6" t="s">
        <v>98</v>
      </c>
      <c r="AE48" s="6">
        <f>IFERROR(Tableau1[[#This Row],[Loyer annuel]]+Tableau1[[#This Row],[Charges annuelles]]+Tableau1[[#This Row],[Taxe foncière]]+Tableau1[[#This Row],[Marketing]],"")</f>
        <v>92826</v>
      </c>
      <c r="AF48" s="6" t="s">
        <v>98</v>
      </c>
      <c r="AG48" s="6" t="s">
        <v>98</v>
      </c>
      <c r="AH48" s="6" t="s">
        <v>98</v>
      </c>
      <c r="AI48" s="6" t="s">
        <v>357</v>
      </c>
      <c r="AJ48" s="10" t="s">
        <v>53</v>
      </c>
      <c r="AK48" s="4" t="s">
        <v>362</v>
      </c>
      <c r="AL48" s="4" t="s">
        <v>379</v>
      </c>
      <c r="AM48" s="11" t="s">
        <v>378</v>
      </c>
      <c r="AN48" s="11"/>
      <c r="AO48" s="5" t="s">
        <v>361</v>
      </c>
      <c r="AP48" s="11" t="s">
        <v>623</v>
      </c>
      <c r="AQ48" s="11" t="s">
        <v>624</v>
      </c>
      <c r="AR48" s="32" t="s">
        <v>460</v>
      </c>
      <c r="AS48" s="35" t="s">
        <v>755</v>
      </c>
      <c r="AT48" s="5" t="s">
        <v>70</v>
      </c>
      <c r="AU48" s="11" t="s">
        <v>27</v>
      </c>
      <c r="AV48" s="7" t="s">
        <v>18</v>
      </c>
      <c r="AW48" s="14"/>
      <c r="AX48" s="44"/>
      <c r="AY48" s="1"/>
      <c r="AZ48" s="1"/>
      <c r="BG48" s="1"/>
    </row>
    <row r="49" spans="1:59" ht="25.5">
      <c r="A49" s="10" t="str">
        <f>VLOOKUP(Tableau1[[#This Row],[N° Département]],Feuil1!$C$6:$E$106,3)</f>
        <v>Ile-de-France</v>
      </c>
      <c r="B49" s="4" t="str">
        <f>VLOOKUP(Tableau1[[#This Row],[N° Département]],Feuil1!$C$6:$E$106,2)</f>
        <v>Paris</v>
      </c>
      <c r="C49" s="10">
        <f>LEFT(Tableau1[[#This Row],[Code Postal]],2)*1</f>
        <v>75</v>
      </c>
      <c r="D49" s="10" t="s">
        <v>118</v>
      </c>
      <c r="E49" s="26">
        <v>75008</v>
      </c>
      <c r="F49" s="10" t="s">
        <v>87</v>
      </c>
      <c r="G49" s="5" t="str">
        <f>Tableau1[[#This Row],[Rue]]&amp;CHAR(10)&amp;Tableau1[[#This Row],[Code Postal]]&amp;" - "&amp;Tableau1[[#This Row],[Ville]]</f>
        <v>32 Rue Marbeuf
75008 - Paris</v>
      </c>
      <c r="H49" s="15" t="s">
        <v>56</v>
      </c>
      <c r="I49" s="12" t="s">
        <v>45</v>
      </c>
      <c r="J49" s="12" t="s">
        <v>44</v>
      </c>
      <c r="K49" s="12" t="s">
        <v>98</v>
      </c>
      <c r="L49" s="12"/>
      <c r="M49" s="12" t="s">
        <v>98</v>
      </c>
      <c r="N49" s="35" t="s">
        <v>98</v>
      </c>
      <c r="O49" s="33">
        <v>681</v>
      </c>
      <c r="P49" s="10" t="s">
        <v>262</v>
      </c>
      <c r="Q49" s="34" t="s">
        <v>98</v>
      </c>
      <c r="R49" s="34" t="s">
        <v>98</v>
      </c>
      <c r="S49" s="6" t="s">
        <v>98</v>
      </c>
      <c r="T49" s="12">
        <f>Tableau1[[#This Row],[Loyer €/m²]]*Tableau1[[#This Row],[Surface GLA]]</f>
        <v>630606</v>
      </c>
      <c r="U49" s="6">
        <f>IFERROR(Tableau1[[#This Row],[Loyer annuel]]/12,"")</f>
        <v>52550.5</v>
      </c>
      <c r="V49" s="12">
        <v>926</v>
      </c>
      <c r="W49" s="6" t="s">
        <v>98</v>
      </c>
      <c r="X49" s="6">
        <f>Tableau1[[#This Row],[Charges €/m²]]*Tableau1[[#This Row],[Surface GLA]]</f>
        <v>64695</v>
      </c>
      <c r="Y49" s="12">
        <f>Tableau1[[#This Row],[Charges annuelles]]/12</f>
        <v>5391.25</v>
      </c>
      <c r="Z49" s="12">
        <v>95</v>
      </c>
      <c r="AA49" s="12">
        <f>IFERROR(Tableau1[[#This Row],[Taxe foncière €/m²]]*Tableau1[[#This Row],[Surface GLA]],)</f>
        <v>26559</v>
      </c>
      <c r="AB49" s="6">
        <v>39</v>
      </c>
      <c r="AC49" s="6">
        <f>IFERROR(Tableau1[[#This Row],[Marketing €/m²]]*Tableau1[[#This Row],[Surface GLA]],)</f>
        <v>0</v>
      </c>
      <c r="AD49" s="6" t="s">
        <v>98</v>
      </c>
      <c r="AE49" s="6">
        <f>IFERROR(Tableau1[[#This Row],[Loyer annuel]]+Tableau1[[#This Row],[Charges annuelles]]+Tableau1[[#This Row],[Taxe foncière]]+Tableau1[[#This Row],[Marketing]],"")</f>
        <v>721860</v>
      </c>
      <c r="AF49" s="6" t="s">
        <v>98</v>
      </c>
      <c r="AG49" s="6" t="s">
        <v>98</v>
      </c>
      <c r="AH49" s="6" t="s">
        <v>98</v>
      </c>
      <c r="AI49" s="6" t="s">
        <v>373</v>
      </c>
      <c r="AJ49" s="10" t="s">
        <v>53</v>
      </c>
      <c r="AK49" s="4" t="s">
        <v>98</v>
      </c>
      <c r="AL49" s="4" t="s">
        <v>380</v>
      </c>
      <c r="AM49" s="11" t="s">
        <v>381</v>
      </c>
      <c r="AN49" s="11"/>
      <c r="AO49" s="5" t="s">
        <v>361</v>
      </c>
      <c r="AP49" s="11" t="s">
        <v>625</v>
      </c>
      <c r="AQ49" s="11" t="s">
        <v>626</v>
      </c>
      <c r="AR49" s="32" t="s">
        <v>461</v>
      </c>
      <c r="AS49" s="35" t="s">
        <v>756</v>
      </c>
      <c r="AT49" s="5" t="s">
        <v>70</v>
      </c>
      <c r="AU49" s="11" t="s">
        <v>370</v>
      </c>
      <c r="AV49" s="13" t="s">
        <v>31</v>
      </c>
      <c r="AW49" s="14"/>
      <c r="AX49" s="44"/>
      <c r="AY49" s="1"/>
      <c r="AZ49" s="1"/>
      <c r="BG49" s="1"/>
    </row>
    <row r="50" spans="1:59" ht="25.5">
      <c r="A50" s="10" t="str">
        <f>VLOOKUP(Tableau1[[#This Row],[N° Département]],Feuil1!$C$6:$E$106,3)</f>
        <v>Ile-de-France</v>
      </c>
      <c r="B50" s="4" t="str">
        <f>VLOOKUP(Tableau1[[#This Row],[N° Département]],Feuil1!$C$6:$E$106,2)</f>
        <v>Paris</v>
      </c>
      <c r="C50" s="10">
        <f>LEFT(Tableau1[[#This Row],[Code Postal]],2)*1</f>
        <v>75</v>
      </c>
      <c r="D50" s="10" t="s">
        <v>125</v>
      </c>
      <c r="E50" s="26">
        <v>75008</v>
      </c>
      <c r="F50" s="10" t="s">
        <v>87</v>
      </c>
      <c r="G50" s="5" t="str">
        <f>Tableau1[[#This Row],[Rue]]&amp;CHAR(10)&amp;Tableau1[[#This Row],[Code Postal]]&amp;" - "&amp;Tableau1[[#This Row],[Ville]]</f>
        <v>18 - 20 Rue Treilhard
75008 - Paris</v>
      </c>
      <c r="H50" s="15" t="s">
        <v>61</v>
      </c>
      <c r="I50" s="12" t="s">
        <v>45</v>
      </c>
      <c r="J50" s="12" t="s">
        <v>44</v>
      </c>
      <c r="K50" s="12" t="s">
        <v>98</v>
      </c>
      <c r="L50" s="12"/>
      <c r="M50" s="12" t="s">
        <v>98</v>
      </c>
      <c r="N50" s="35" t="s">
        <v>98</v>
      </c>
      <c r="O50" s="34">
        <v>672</v>
      </c>
      <c r="P50" s="6" t="s">
        <v>62</v>
      </c>
      <c r="Q50" s="34" t="s">
        <v>98</v>
      </c>
      <c r="R50" s="34" t="s">
        <v>98</v>
      </c>
      <c r="S50" s="6" t="s">
        <v>98</v>
      </c>
      <c r="T50" s="12">
        <f>Tableau1[[#This Row],[Loyer €/m²]]*Tableau1[[#This Row],[Surface GLA]]</f>
        <v>140448</v>
      </c>
      <c r="U50" s="6">
        <f>IFERROR(Tableau1[[#This Row],[Loyer annuel]]/12,"")</f>
        <v>11704</v>
      </c>
      <c r="V50" s="12">
        <v>209</v>
      </c>
      <c r="W50" s="6" t="s">
        <v>98</v>
      </c>
      <c r="X50" s="6">
        <f>Tableau1[[#This Row],[Charges €/m²]]*Tableau1[[#This Row],[Surface GLA]]</f>
        <v>51744</v>
      </c>
      <c r="Y50" s="12">
        <f>Tableau1[[#This Row],[Charges annuelles]]/12</f>
        <v>4312</v>
      </c>
      <c r="Z50" s="12">
        <v>77</v>
      </c>
      <c r="AA50" s="12">
        <f>IFERROR(Tableau1[[#This Row],[Taxe foncière €/m²]]*Tableau1[[#This Row],[Surface GLA]],)</f>
        <v>15456</v>
      </c>
      <c r="AB50" s="6">
        <v>23</v>
      </c>
      <c r="AC50" s="6">
        <f>IFERROR(Tableau1[[#This Row],[Marketing €/m²]]*Tableau1[[#This Row],[Surface GLA]],)</f>
        <v>0</v>
      </c>
      <c r="AD50" s="6" t="s">
        <v>98</v>
      </c>
      <c r="AE50" s="6">
        <f>IFERROR(Tableau1[[#This Row],[Loyer annuel]]+Tableau1[[#This Row],[Charges annuelles]]+Tableau1[[#This Row],[Taxe foncière]]+Tableau1[[#This Row],[Marketing]],"")</f>
        <v>207648</v>
      </c>
      <c r="AF50" s="6" t="s">
        <v>98</v>
      </c>
      <c r="AG50" s="6" t="s">
        <v>98</v>
      </c>
      <c r="AH50" s="6" t="s">
        <v>98</v>
      </c>
      <c r="AI50" s="6" t="s">
        <v>373</v>
      </c>
      <c r="AJ50" s="10" t="s">
        <v>70</v>
      </c>
      <c r="AK50" s="4" t="s">
        <v>363</v>
      </c>
      <c r="AL50" s="4" t="s">
        <v>382</v>
      </c>
      <c r="AM50" s="11" t="s">
        <v>1845</v>
      </c>
      <c r="AN50" s="11"/>
      <c r="AO50" s="5" t="s">
        <v>361</v>
      </c>
      <c r="AP50" s="11" t="s">
        <v>627</v>
      </c>
      <c r="AQ50" s="11" t="s">
        <v>628</v>
      </c>
      <c r="AR50" s="32" t="s">
        <v>302</v>
      </c>
      <c r="AS50" s="35" t="s">
        <v>1220</v>
      </c>
      <c r="AT50" s="5" t="s">
        <v>70</v>
      </c>
      <c r="AU50" s="11" t="s">
        <v>370</v>
      </c>
      <c r="AV50" s="13" t="s">
        <v>31</v>
      </c>
      <c r="AW50" s="14"/>
      <c r="AX50" s="44"/>
      <c r="AY50" s="1"/>
      <c r="AZ50" s="1"/>
      <c r="BG50" s="1"/>
    </row>
    <row r="51" spans="1:59" ht="25.5">
      <c r="A51" s="10" t="str">
        <f>VLOOKUP(Tableau1[[#This Row],[N° Département]],Feuil1!$C$6:$E$106,3)</f>
        <v>Ile-de-France</v>
      </c>
      <c r="B51" s="4" t="str">
        <f>VLOOKUP(Tableau1[[#This Row],[N° Département]],Feuil1!$C$6:$E$106,2)</f>
        <v>Paris</v>
      </c>
      <c r="C51" s="10">
        <f>LEFT(Tableau1[[#This Row],[Code Postal]],2)*1</f>
        <v>75</v>
      </c>
      <c r="D51" s="10" t="s">
        <v>126</v>
      </c>
      <c r="E51" s="26">
        <v>75009</v>
      </c>
      <c r="F51" s="10" t="s">
        <v>87</v>
      </c>
      <c r="G51" s="5" t="str">
        <f>Tableau1[[#This Row],[Rue]]&amp;CHAR(10)&amp;Tableau1[[#This Row],[Code Postal]]&amp;" - "&amp;Tableau1[[#This Row],[Ville]]</f>
        <v>1 Rue de Caumartin
75009 - Paris</v>
      </c>
      <c r="H51" s="15" t="s">
        <v>270</v>
      </c>
      <c r="I51" s="12" t="s">
        <v>45</v>
      </c>
      <c r="J51" s="12" t="s">
        <v>44</v>
      </c>
      <c r="K51" s="12" t="s">
        <v>98</v>
      </c>
      <c r="L51" s="12"/>
      <c r="M51" s="12" t="s">
        <v>98</v>
      </c>
      <c r="N51" s="35" t="s">
        <v>98</v>
      </c>
      <c r="O51" s="33">
        <v>115</v>
      </c>
      <c r="P51" s="10" t="s">
        <v>263</v>
      </c>
      <c r="Q51" s="34" t="s">
        <v>98</v>
      </c>
      <c r="R51" s="34" t="s">
        <v>98</v>
      </c>
      <c r="S51" s="6" t="s">
        <v>98</v>
      </c>
      <c r="T51" s="12">
        <f>Tableau1[[#This Row],[Loyer €/m²]]*Tableau1[[#This Row],[Surface GLA]]</f>
        <v>115000</v>
      </c>
      <c r="U51" s="6">
        <f>IFERROR(Tableau1[[#This Row],[Loyer annuel]]/12,"")</f>
        <v>9583.3333333333339</v>
      </c>
      <c r="V51" s="12">
        <v>1000</v>
      </c>
      <c r="W51" s="6" t="s">
        <v>98</v>
      </c>
      <c r="X51" s="6">
        <f>Tableau1[[#This Row],[Charges €/m²]]*Tableau1[[#This Row],[Surface GLA]]</f>
        <v>11615</v>
      </c>
      <c r="Y51" s="12">
        <f>Tableau1[[#This Row],[Charges annuelles]]/12</f>
        <v>967.91666666666663</v>
      </c>
      <c r="Z51" s="12">
        <v>101</v>
      </c>
      <c r="AA51" s="12">
        <f>IFERROR(Tableau1[[#This Row],[Taxe foncière €/m²]]*Tableau1[[#This Row],[Surface GLA]],)</f>
        <v>3910</v>
      </c>
      <c r="AB51" s="6">
        <v>34</v>
      </c>
      <c r="AC51" s="6">
        <f>IFERROR(Tableau1[[#This Row],[Marketing €/m²]]*Tableau1[[#This Row],[Surface GLA]],)</f>
        <v>0</v>
      </c>
      <c r="AD51" s="6" t="s">
        <v>98</v>
      </c>
      <c r="AE51" s="6">
        <f>IFERROR(Tableau1[[#This Row],[Loyer annuel]]+Tableau1[[#This Row],[Charges annuelles]]+Tableau1[[#This Row],[Taxe foncière]]+Tableau1[[#This Row],[Marketing]],"")</f>
        <v>130525</v>
      </c>
      <c r="AF51" s="6" t="s">
        <v>98</v>
      </c>
      <c r="AG51" s="6" t="s">
        <v>98</v>
      </c>
      <c r="AH51" s="6" t="s">
        <v>98</v>
      </c>
      <c r="AI51" s="6" t="s">
        <v>357</v>
      </c>
      <c r="AJ51" s="10" t="s">
        <v>53</v>
      </c>
      <c r="AK51" s="4" t="s">
        <v>98</v>
      </c>
      <c r="AL51" s="4" t="s">
        <v>98</v>
      </c>
      <c r="AM51" s="11" t="s">
        <v>58</v>
      </c>
      <c r="AN51" s="11"/>
      <c r="AO51" s="5" t="s">
        <v>361</v>
      </c>
      <c r="AP51" s="11" t="s">
        <v>629</v>
      </c>
      <c r="AQ51" s="11" t="s">
        <v>630</v>
      </c>
      <c r="AR51" s="32" t="s">
        <v>462</v>
      </c>
      <c r="AS51" s="35"/>
      <c r="AT51" s="5" t="s">
        <v>53</v>
      </c>
      <c r="AU51" s="11" t="s">
        <v>57</v>
      </c>
      <c r="AV51" s="13" t="s">
        <v>31</v>
      </c>
      <c r="AW51" s="14"/>
      <c r="AX51" s="44"/>
      <c r="AY51" s="1"/>
      <c r="AZ51" s="1"/>
      <c r="BG51" s="1"/>
    </row>
    <row r="52" spans="1:59" ht="25.5">
      <c r="A52" s="10" t="str">
        <f>VLOOKUP(Tableau1[[#This Row],[N° Département]],Feuil1!$C$6:$E$106,3)</f>
        <v>Ile-de-France</v>
      </c>
      <c r="B52" s="4" t="str">
        <f>VLOOKUP(Tableau1[[#This Row],[N° Département]],Feuil1!$C$6:$E$106,2)</f>
        <v>Paris</v>
      </c>
      <c r="C52" s="10">
        <f>LEFT(Tableau1[[#This Row],[Code Postal]],2)*1</f>
        <v>75</v>
      </c>
      <c r="D52" s="10" t="s">
        <v>111</v>
      </c>
      <c r="E52" s="26">
        <v>75010</v>
      </c>
      <c r="F52" s="10" t="s">
        <v>87</v>
      </c>
      <c r="G52" s="5" t="str">
        <f>Tableau1[[#This Row],[Rue]]&amp;CHAR(10)&amp;Tableau1[[#This Row],[Code Postal]]&amp;" - "&amp;Tableau1[[#This Row],[Ville]]</f>
        <v>204 Quai de Jemmapes
75010 - Paris</v>
      </c>
      <c r="H52" s="15" t="s">
        <v>59</v>
      </c>
      <c r="I52" s="12" t="s">
        <v>45</v>
      </c>
      <c r="J52" s="12" t="s">
        <v>44</v>
      </c>
      <c r="K52" s="12" t="s">
        <v>98</v>
      </c>
      <c r="L52" s="12"/>
      <c r="M52" s="12" t="s">
        <v>98</v>
      </c>
      <c r="N52" s="35" t="s">
        <v>98</v>
      </c>
      <c r="O52" s="33">
        <v>189</v>
      </c>
      <c r="P52" s="10" t="s">
        <v>264</v>
      </c>
      <c r="Q52" s="34" t="s">
        <v>98</v>
      </c>
      <c r="R52" s="34" t="s">
        <v>98</v>
      </c>
      <c r="S52" s="6" t="s">
        <v>98</v>
      </c>
      <c r="T52" s="12">
        <f>Tableau1[[#This Row],[Loyer €/m²]]*Tableau1[[#This Row],[Surface GLA]]</f>
        <v>54999</v>
      </c>
      <c r="U52" s="6">
        <f>IFERROR(Tableau1[[#This Row],[Loyer annuel]]/12,"")</f>
        <v>4583.25</v>
      </c>
      <c r="V52" s="12">
        <v>291</v>
      </c>
      <c r="W52" s="6" t="s">
        <v>98</v>
      </c>
      <c r="X52" s="6">
        <f>Tableau1[[#This Row],[Charges €/m²]]*Tableau1[[#This Row],[Surface GLA]]</f>
        <v>11718</v>
      </c>
      <c r="Y52" s="12">
        <f>Tableau1[[#This Row],[Charges annuelles]]/12</f>
        <v>976.5</v>
      </c>
      <c r="Z52" s="12">
        <v>62</v>
      </c>
      <c r="AA52" s="12">
        <f>IFERROR(Tableau1[[#This Row],[Taxe foncière €/m²]]*Tableau1[[#This Row],[Surface GLA]],)</f>
        <v>1890</v>
      </c>
      <c r="AB52" s="6">
        <v>10</v>
      </c>
      <c r="AC52" s="6">
        <f>IFERROR(Tableau1[[#This Row],[Marketing €/m²]]*Tableau1[[#This Row],[Surface GLA]],)</f>
        <v>0</v>
      </c>
      <c r="AD52" s="6" t="s">
        <v>98</v>
      </c>
      <c r="AE52" s="6">
        <f>IFERROR(Tableau1[[#This Row],[Loyer annuel]]+Tableau1[[#This Row],[Charges annuelles]]+Tableau1[[#This Row],[Taxe foncière]]+Tableau1[[#This Row],[Marketing]],"")</f>
        <v>68607</v>
      </c>
      <c r="AF52" s="6" t="s">
        <v>98</v>
      </c>
      <c r="AG52" s="6" t="s">
        <v>98</v>
      </c>
      <c r="AH52" s="6" t="s">
        <v>98</v>
      </c>
      <c r="AI52" s="6" t="s">
        <v>357</v>
      </c>
      <c r="AJ52" s="10" t="s">
        <v>53</v>
      </c>
      <c r="AK52" s="4" t="s">
        <v>362</v>
      </c>
      <c r="AL52" s="4" t="s">
        <v>383</v>
      </c>
      <c r="AM52" s="11" t="s">
        <v>1844</v>
      </c>
      <c r="AN52" s="11"/>
      <c r="AO52" s="5" t="s">
        <v>361</v>
      </c>
      <c r="AP52" s="11" t="s">
        <v>631</v>
      </c>
      <c r="AQ52" s="11" t="s">
        <v>632</v>
      </c>
      <c r="AR52" s="32" t="s">
        <v>463</v>
      </c>
      <c r="AS52" s="35" t="s">
        <v>757</v>
      </c>
      <c r="AT52" s="5" t="s">
        <v>70</v>
      </c>
      <c r="AU52" s="11" t="s">
        <v>370</v>
      </c>
      <c r="AV52" s="13" t="s">
        <v>31</v>
      </c>
      <c r="AW52" s="14"/>
      <c r="AX52" s="44"/>
      <c r="AY52" s="1"/>
      <c r="AZ52" s="1"/>
      <c r="BG52" s="1"/>
    </row>
    <row r="53" spans="1:59" ht="25.5">
      <c r="A53" s="10" t="str">
        <f>VLOOKUP(Tableau1[[#This Row],[N° Département]],Feuil1!$C$6:$E$106,3)</f>
        <v>Ile-de-France</v>
      </c>
      <c r="B53" s="4" t="str">
        <f>VLOOKUP(Tableau1[[#This Row],[N° Département]],Feuil1!$C$6:$E$106,2)</f>
        <v>Paris</v>
      </c>
      <c r="C53" s="10">
        <f>LEFT(Tableau1[[#This Row],[Code Postal]],2)*1</f>
        <v>75</v>
      </c>
      <c r="D53" s="10" t="s">
        <v>119</v>
      </c>
      <c r="E53" s="26">
        <v>75012</v>
      </c>
      <c r="F53" s="10" t="s">
        <v>87</v>
      </c>
      <c r="G53" s="5" t="str">
        <f>Tableau1[[#This Row],[Rue]]&amp;CHAR(10)&amp;Tableau1[[#This Row],[Code Postal]]&amp;" - "&amp;Tableau1[[#This Row],[Ville]]</f>
        <v>9 Avenue Ledru Rollin
75012 - Paris</v>
      </c>
      <c r="H53" s="15" t="s">
        <v>60</v>
      </c>
      <c r="I53" s="12" t="s">
        <v>45</v>
      </c>
      <c r="J53" s="12" t="s">
        <v>44</v>
      </c>
      <c r="K53" s="12" t="s">
        <v>98</v>
      </c>
      <c r="L53" s="12"/>
      <c r="M53" s="12" t="s">
        <v>98</v>
      </c>
      <c r="N53" s="35" t="s">
        <v>98</v>
      </c>
      <c r="O53" s="33">
        <v>177</v>
      </c>
      <c r="P53" s="10" t="s">
        <v>1848</v>
      </c>
      <c r="Q53" s="34" t="s">
        <v>98</v>
      </c>
      <c r="R53" s="34" t="s">
        <v>98</v>
      </c>
      <c r="S53" s="6" t="s">
        <v>98</v>
      </c>
      <c r="T53" s="12">
        <f>Tableau1[[#This Row],[Loyer €/m²]]*Tableau1[[#This Row],[Surface GLA]]</f>
        <v>75048</v>
      </c>
      <c r="U53" s="6">
        <f>IFERROR(Tableau1[[#This Row],[Loyer annuel]]/12,"")</f>
        <v>6254</v>
      </c>
      <c r="V53" s="12">
        <v>424</v>
      </c>
      <c r="W53" s="6" t="s">
        <v>98</v>
      </c>
      <c r="X53" s="6">
        <f>Tableau1[[#This Row],[Charges €/m²]]*Tableau1[[#This Row],[Surface GLA]]</f>
        <v>7257</v>
      </c>
      <c r="Y53" s="12">
        <f>Tableau1[[#This Row],[Charges annuelles]]/12</f>
        <v>604.75</v>
      </c>
      <c r="Z53" s="12">
        <v>41</v>
      </c>
      <c r="AA53" s="12">
        <f>IFERROR(Tableau1[[#This Row],[Taxe foncière €/m²]]*Tableau1[[#This Row],[Surface GLA]],)</f>
        <v>4248</v>
      </c>
      <c r="AB53" s="6">
        <v>24</v>
      </c>
      <c r="AC53" s="6">
        <f>IFERROR(Tableau1[[#This Row],[Marketing €/m²]]*Tableau1[[#This Row],[Surface GLA]],)</f>
        <v>0</v>
      </c>
      <c r="AD53" s="6" t="s">
        <v>98</v>
      </c>
      <c r="AE53" s="6">
        <f>IFERROR(Tableau1[[#This Row],[Loyer annuel]]+Tableau1[[#This Row],[Charges annuelles]]+Tableau1[[#This Row],[Taxe foncière]]+Tableau1[[#This Row],[Marketing]],"")</f>
        <v>86553</v>
      </c>
      <c r="AF53" s="6" t="s">
        <v>98</v>
      </c>
      <c r="AG53" s="6" t="s">
        <v>98</v>
      </c>
      <c r="AH53" s="6" t="s">
        <v>98</v>
      </c>
      <c r="AI53" s="6" t="s">
        <v>357</v>
      </c>
      <c r="AJ53" s="10" t="s">
        <v>53</v>
      </c>
      <c r="AK53" s="4" t="s">
        <v>362</v>
      </c>
      <c r="AL53" s="4" t="s">
        <v>384</v>
      </c>
      <c r="AM53" s="11" t="s">
        <v>1847</v>
      </c>
      <c r="AN53" s="11"/>
      <c r="AO53" s="5" t="s">
        <v>361</v>
      </c>
      <c r="AP53" s="11" t="s">
        <v>633</v>
      </c>
      <c r="AQ53" s="11" t="s">
        <v>634</v>
      </c>
      <c r="AR53" s="32" t="s">
        <v>464</v>
      </c>
      <c r="AS53" s="35" t="s">
        <v>758</v>
      </c>
      <c r="AT53" s="5" t="s">
        <v>70</v>
      </c>
      <c r="AU53" s="11" t="s">
        <v>370</v>
      </c>
      <c r="AV53" s="13" t="s">
        <v>31</v>
      </c>
      <c r="AW53" s="14"/>
      <c r="AX53" s="44"/>
      <c r="AY53" s="1"/>
      <c r="AZ53" s="1"/>
      <c r="BG53" s="1"/>
    </row>
    <row r="54" spans="1:59" ht="25.5">
      <c r="A54" s="10" t="str">
        <f>VLOOKUP(Tableau1[[#This Row],[N° Département]],Feuil1!$C$6:$E$106,3)</f>
        <v>Ile-de-France</v>
      </c>
      <c r="B54" s="4" t="str">
        <f>VLOOKUP(Tableau1[[#This Row],[N° Département]],Feuil1!$C$6:$E$106,2)</f>
        <v>Paris</v>
      </c>
      <c r="C54" s="10">
        <f>LEFT(Tableau1[[#This Row],[Code Postal]],2)*1</f>
        <v>75</v>
      </c>
      <c r="D54" s="10" t="s">
        <v>120</v>
      </c>
      <c r="E54" s="26">
        <v>75012</v>
      </c>
      <c r="F54" s="10" t="s">
        <v>87</v>
      </c>
      <c r="G54" s="5" t="str">
        <f>Tableau1[[#This Row],[Rue]]&amp;CHAR(10)&amp;Tableau1[[#This Row],[Code Postal]]&amp;" - "&amp;Tableau1[[#This Row],[Ville]]</f>
        <v>25 Avenue de Saint-Mandé
75012 - Paris</v>
      </c>
      <c r="H54" s="15" t="s">
        <v>30</v>
      </c>
      <c r="I54" s="6" t="s">
        <v>45</v>
      </c>
      <c r="J54" s="6" t="s">
        <v>44</v>
      </c>
      <c r="K54" s="12" t="s">
        <v>98</v>
      </c>
      <c r="L54" s="12"/>
      <c r="M54" s="12" t="s">
        <v>98</v>
      </c>
      <c r="N54" s="35" t="s">
        <v>98</v>
      </c>
      <c r="O54" s="34">
        <v>85</v>
      </c>
      <c r="P54" s="6" t="s">
        <v>98</v>
      </c>
      <c r="Q54" s="34" t="s">
        <v>98</v>
      </c>
      <c r="R54" s="34" t="s">
        <v>98</v>
      </c>
      <c r="S54" s="6" t="s">
        <v>98</v>
      </c>
      <c r="T54" s="12">
        <f>Tableau1[[#This Row],[Loyer €/m²]]*Tableau1[[#This Row],[Surface GLA]]</f>
        <v>55250</v>
      </c>
      <c r="U54" s="6">
        <f>IFERROR(Tableau1[[#This Row],[Loyer annuel]]/12,"")</f>
        <v>4604.166666666667</v>
      </c>
      <c r="V54" s="12">
        <v>650</v>
      </c>
      <c r="W54" s="6" t="s">
        <v>98</v>
      </c>
      <c r="X54" s="6">
        <f>Tableau1[[#This Row],[Charges €/m²]]*Tableau1[[#This Row],[Surface GLA]]</f>
        <v>6205</v>
      </c>
      <c r="Y54" s="6">
        <f>IFERROR(Tableau1[[#This Row],[Charges annuelles]]/12,"")</f>
        <v>517.08333333333337</v>
      </c>
      <c r="Z54" s="12">
        <v>73</v>
      </c>
      <c r="AA54" s="12">
        <f>IFERROR(Tableau1[[#This Row],[Taxe foncière €/m²]]*Tableau1[[#This Row],[Surface GLA]],)</f>
        <v>1785</v>
      </c>
      <c r="AB54" s="6">
        <v>21</v>
      </c>
      <c r="AC54" s="6">
        <f>IFERROR(Tableau1[[#This Row],[Marketing €/m²]]*Tableau1[[#This Row],[Surface GLA]],)</f>
        <v>0</v>
      </c>
      <c r="AD54" s="6" t="s">
        <v>98</v>
      </c>
      <c r="AE54" s="6">
        <f>IFERROR(Tableau1[[#This Row],[Loyer annuel]]+Tableau1[[#This Row],[Charges annuelles]]+Tableau1[[#This Row],[Taxe foncière]]+Tableau1[[#This Row],[Marketing]],"")</f>
        <v>63240</v>
      </c>
      <c r="AF54" s="6" t="s">
        <v>98</v>
      </c>
      <c r="AG54" s="6" t="s">
        <v>98</v>
      </c>
      <c r="AH54" s="6" t="s">
        <v>98</v>
      </c>
      <c r="AI54" s="6" t="s">
        <v>357</v>
      </c>
      <c r="AJ54" s="10" t="s">
        <v>369</v>
      </c>
      <c r="AK54" s="4" t="s">
        <v>363</v>
      </c>
      <c r="AL54" s="4" t="s">
        <v>385</v>
      </c>
      <c r="AM54" s="11" t="s">
        <v>52</v>
      </c>
      <c r="AN54" s="11"/>
      <c r="AO54" s="5" t="s">
        <v>361</v>
      </c>
      <c r="AP54" s="11" t="s">
        <v>635</v>
      </c>
      <c r="AQ54" s="11" t="s">
        <v>636</v>
      </c>
      <c r="AR54" s="32" t="s">
        <v>465</v>
      </c>
      <c r="AS54" s="35" t="s">
        <v>759</v>
      </c>
      <c r="AT54" s="5" t="s">
        <v>53</v>
      </c>
      <c r="AU54" s="11" t="s">
        <v>32</v>
      </c>
      <c r="AV54" s="13" t="s">
        <v>31</v>
      </c>
      <c r="AW54" s="14"/>
      <c r="AX54" s="44"/>
      <c r="AY54" s="1"/>
      <c r="AZ54" s="1"/>
      <c r="BG54" s="1"/>
    </row>
    <row r="55" spans="1:59" ht="25.5">
      <c r="A55" s="10" t="str">
        <f>VLOOKUP(Tableau1[[#This Row],[N° Département]],Feuil1!$C$6:$E$106,3)</f>
        <v>Ile-de-France</v>
      </c>
      <c r="B55" s="4" t="str">
        <f>VLOOKUP(Tableau1[[#This Row],[N° Département]],Feuil1!$C$6:$E$106,2)</f>
        <v>Paris</v>
      </c>
      <c r="C55" s="10">
        <f>LEFT(Tableau1[[#This Row],[Code Postal]],2)*1</f>
        <v>75</v>
      </c>
      <c r="D55" s="10" t="s">
        <v>121</v>
      </c>
      <c r="E55" s="26">
        <v>75016</v>
      </c>
      <c r="F55" s="10" t="s">
        <v>87</v>
      </c>
      <c r="G55" s="5" t="str">
        <f>Tableau1[[#This Row],[Rue]]&amp;CHAR(10)&amp;Tableau1[[#This Row],[Code Postal]]&amp;" - "&amp;Tableau1[[#This Row],[Ville]]</f>
        <v>16 Avenue Mozart
75016 - Paris</v>
      </c>
      <c r="H55" s="15" t="s">
        <v>271</v>
      </c>
      <c r="I55" s="12" t="s">
        <v>45</v>
      </c>
      <c r="J55" s="12" t="s">
        <v>44</v>
      </c>
      <c r="K55" s="12" t="s">
        <v>98</v>
      </c>
      <c r="L55" s="12"/>
      <c r="M55" s="12" t="s">
        <v>98</v>
      </c>
      <c r="N55" s="35" t="s">
        <v>98</v>
      </c>
      <c r="O55" s="33">
        <v>26</v>
      </c>
      <c r="P55" s="10" t="s">
        <v>265</v>
      </c>
      <c r="Q55" s="34" t="s">
        <v>98</v>
      </c>
      <c r="R55" s="34" t="s">
        <v>98</v>
      </c>
      <c r="S55" s="6" t="s">
        <v>98</v>
      </c>
      <c r="T55" s="12">
        <f>Tableau1[[#This Row],[Loyer €/m²]]*Tableau1[[#This Row],[Surface GLA]]</f>
        <v>31200</v>
      </c>
      <c r="U55" s="6">
        <f>IFERROR(Tableau1[[#This Row],[Loyer annuel]]/12,"")</f>
        <v>2600</v>
      </c>
      <c r="V55" s="12">
        <v>1200</v>
      </c>
      <c r="W55" s="6" t="s">
        <v>98</v>
      </c>
      <c r="X55" s="6">
        <f>Tableau1[[#This Row],[Charges €/m²]]*Tableau1[[#This Row],[Surface GLA]]</f>
        <v>1300</v>
      </c>
      <c r="Y55" s="12">
        <f>Tableau1[[#This Row],[Charges annuelles]]/12</f>
        <v>108.33333333333333</v>
      </c>
      <c r="Z55" s="12">
        <v>50</v>
      </c>
      <c r="AA55" s="12">
        <f>IFERROR(Tableau1[[#This Row],[Taxe foncière €/m²]]*Tableau1[[#This Row],[Surface GLA]],)</f>
        <v>0</v>
      </c>
      <c r="AB55" s="6" t="s">
        <v>98</v>
      </c>
      <c r="AC55" s="6">
        <f>IFERROR(Tableau1[[#This Row],[Marketing €/m²]]*Tableau1[[#This Row],[Surface GLA]],)</f>
        <v>0</v>
      </c>
      <c r="AD55" s="6" t="s">
        <v>98</v>
      </c>
      <c r="AE55" s="6">
        <f>IFERROR(Tableau1[[#This Row],[Loyer annuel]]+Tableau1[[#This Row],[Charges annuelles]]+Tableau1[[#This Row],[Taxe foncière]]+Tableau1[[#This Row],[Marketing]],"")</f>
        <v>32500</v>
      </c>
      <c r="AF55" s="6" t="s">
        <v>98</v>
      </c>
      <c r="AG55" s="6" t="s">
        <v>98</v>
      </c>
      <c r="AH55" s="6" t="s">
        <v>98</v>
      </c>
      <c r="AI55" s="6" t="s">
        <v>357</v>
      </c>
      <c r="AJ55" s="10" t="s">
        <v>53</v>
      </c>
      <c r="AK55" s="4" t="s">
        <v>362</v>
      </c>
      <c r="AL55" s="4" t="s">
        <v>386</v>
      </c>
      <c r="AM55" s="11" t="s">
        <v>67</v>
      </c>
      <c r="AN55" s="11"/>
      <c r="AO55" s="5" t="s">
        <v>361</v>
      </c>
      <c r="AP55" s="11" t="s">
        <v>637</v>
      </c>
      <c r="AQ55" s="11" t="s">
        <v>638</v>
      </c>
      <c r="AR55" s="32" t="s">
        <v>466</v>
      </c>
      <c r="AS55" s="35" t="s">
        <v>760</v>
      </c>
      <c r="AT55" s="5" t="s">
        <v>70</v>
      </c>
      <c r="AU55" s="11" t="s">
        <v>66</v>
      </c>
      <c r="AV55" s="13" t="s">
        <v>64</v>
      </c>
      <c r="AW55" s="14"/>
      <c r="AX55" s="44"/>
      <c r="AY55" s="1"/>
      <c r="AZ55" s="1"/>
      <c r="BG55" s="1"/>
    </row>
    <row r="56" spans="1:59" ht="25.5">
      <c r="A56" s="10" t="str">
        <f>VLOOKUP(Tableau1[[#This Row],[N° Département]],Feuil1!$C$6:$E$106,3)</f>
        <v>Ile-de-France</v>
      </c>
      <c r="B56" s="4" t="str">
        <f>VLOOKUP(Tableau1[[#This Row],[N° Département]],Feuil1!$C$6:$E$106,2)</f>
        <v>Paris</v>
      </c>
      <c r="C56" s="10">
        <f>LEFT(Tableau1[[#This Row],[Code Postal]],2)*1</f>
        <v>75</v>
      </c>
      <c r="D56" s="10" t="s">
        <v>112</v>
      </c>
      <c r="E56" s="26">
        <v>75016</v>
      </c>
      <c r="F56" s="10" t="s">
        <v>87</v>
      </c>
      <c r="G56" s="5" t="str">
        <f>Tableau1[[#This Row],[Rue]]&amp;CHAR(10)&amp;Tableau1[[#This Row],[Code Postal]]&amp;" - "&amp;Tableau1[[#This Row],[Ville]]</f>
        <v>14 Rue de Rémusat
75016 - Paris</v>
      </c>
      <c r="H56" s="15" t="s">
        <v>272</v>
      </c>
      <c r="I56" s="12" t="s">
        <v>45</v>
      </c>
      <c r="J56" s="12" t="s">
        <v>44</v>
      </c>
      <c r="K56" s="12" t="s">
        <v>98</v>
      </c>
      <c r="L56" s="12"/>
      <c r="M56" s="12" t="s">
        <v>98</v>
      </c>
      <c r="N56" s="35" t="s">
        <v>98</v>
      </c>
      <c r="O56" s="33">
        <v>87</v>
      </c>
      <c r="P56" s="10" t="s">
        <v>1257</v>
      </c>
      <c r="Q56" s="34" t="s">
        <v>98</v>
      </c>
      <c r="R56" s="34" t="s">
        <v>98</v>
      </c>
      <c r="S56" s="6" t="s">
        <v>98</v>
      </c>
      <c r="T56" s="12">
        <f>Tableau1[[#This Row],[Loyer €/m²]]*Tableau1[[#This Row],[Surface GLA]]</f>
        <v>35061</v>
      </c>
      <c r="U56" s="6">
        <f>IFERROR(Tableau1[[#This Row],[Loyer annuel]]/12,"")</f>
        <v>2921.75</v>
      </c>
      <c r="V56" s="12">
        <v>403</v>
      </c>
      <c r="W56" s="6" t="s">
        <v>98</v>
      </c>
      <c r="X56" s="6">
        <f>Tableau1[[#This Row],[Charges €/m²]]*Tableau1[[#This Row],[Surface GLA]]</f>
        <v>2697</v>
      </c>
      <c r="Y56" s="12">
        <f>Tableau1[[#This Row],[Charges annuelles]]/12</f>
        <v>224.75</v>
      </c>
      <c r="Z56" s="12">
        <v>31</v>
      </c>
      <c r="AA56" s="12">
        <f>IFERROR(Tableau1[[#This Row],[Taxe foncière €/m²]]*Tableau1[[#This Row],[Surface GLA]],)</f>
        <v>1479</v>
      </c>
      <c r="AB56" s="6">
        <v>17</v>
      </c>
      <c r="AC56" s="6">
        <f>IFERROR(Tableau1[[#This Row],[Marketing €/m²]]*Tableau1[[#This Row],[Surface GLA]],)</f>
        <v>0</v>
      </c>
      <c r="AD56" s="6" t="s">
        <v>98</v>
      </c>
      <c r="AE56" s="6">
        <f>IFERROR(Tableau1[[#This Row],[Loyer annuel]]+Tableau1[[#This Row],[Charges annuelles]]+Tableau1[[#This Row],[Taxe foncière]]+Tableau1[[#This Row],[Marketing]],"")</f>
        <v>39237</v>
      </c>
      <c r="AF56" s="6" t="s">
        <v>98</v>
      </c>
      <c r="AG56" s="6" t="s">
        <v>98</v>
      </c>
      <c r="AH56" s="6" t="s">
        <v>98</v>
      </c>
      <c r="AI56" s="6" t="s">
        <v>357</v>
      </c>
      <c r="AJ56" s="10" t="s">
        <v>53</v>
      </c>
      <c r="AK56" s="4" t="s">
        <v>362</v>
      </c>
      <c r="AL56" s="4" t="s">
        <v>387</v>
      </c>
      <c r="AM56" s="11" t="s">
        <v>1846</v>
      </c>
      <c r="AN56" s="11"/>
      <c r="AO56" s="5" t="s">
        <v>361</v>
      </c>
      <c r="AP56" s="11" t="s">
        <v>639</v>
      </c>
      <c r="AQ56" s="11" t="s">
        <v>640</v>
      </c>
      <c r="AR56" s="32" t="s">
        <v>467</v>
      </c>
      <c r="AS56" s="35" t="s">
        <v>761</v>
      </c>
      <c r="AT56" s="5" t="s">
        <v>70</v>
      </c>
      <c r="AU56" s="11" t="s">
        <v>370</v>
      </c>
      <c r="AV56" s="13" t="s">
        <v>31</v>
      </c>
      <c r="AW56" s="14"/>
      <c r="AX56" s="44"/>
      <c r="AY56" s="1"/>
      <c r="AZ56" s="1"/>
      <c r="BG56" s="1"/>
    </row>
    <row r="57" spans="1:59" ht="25.5">
      <c r="A57" s="10" t="str">
        <f>VLOOKUP(Tableau1[[#This Row],[N° Département]],Feuil1!$C$6:$E$106,3)</f>
        <v>Ile-de-France</v>
      </c>
      <c r="B57" s="4" t="str">
        <f>VLOOKUP(Tableau1[[#This Row],[N° Département]],Feuil1!$C$6:$E$106,2)</f>
        <v>Hauts-de-Seine</v>
      </c>
      <c r="C57" s="10">
        <f>LEFT(Tableau1[[#This Row],[Code Postal]],2)*1</f>
        <v>92</v>
      </c>
      <c r="D57" s="10" t="s">
        <v>127</v>
      </c>
      <c r="E57" s="26">
        <v>92100</v>
      </c>
      <c r="F57" s="10" t="s">
        <v>88</v>
      </c>
      <c r="G57" s="5" t="str">
        <f>Tableau1[[#This Row],[Rue]]&amp;CHAR(10)&amp;Tableau1[[#This Row],[Code Postal]]&amp;" - "&amp;Tableau1[[#This Row],[Ville]]</f>
        <v>Passage Châteaudun
92100 - Boulogne-Billancourt</v>
      </c>
      <c r="H57" s="15" t="s">
        <v>40</v>
      </c>
      <c r="I57" s="6" t="s">
        <v>45</v>
      </c>
      <c r="J57" s="6" t="s">
        <v>44</v>
      </c>
      <c r="K57" s="12" t="s">
        <v>98</v>
      </c>
      <c r="L57" s="12"/>
      <c r="M57" s="12" t="s">
        <v>98</v>
      </c>
      <c r="N57" s="35" t="s">
        <v>321</v>
      </c>
      <c r="O57" s="34">
        <v>110</v>
      </c>
      <c r="P57" s="6" t="s">
        <v>98</v>
      </c>
      <c r="Q57" s="34" t="s">
        <v>98</v>
      </c>
      <c r="R57" s="34" t="s">
        <v>98</v>
      </c>
      <c r="S57" s="6" t="s">
        <v>98</v>
      </c>
      <c r="T57" s="12">
        <f>Tableau1[[#This Row],[Loyer €/m²]]*Tableau1[[#This Row],[Surface GLA]]</f>
        <v>60500</v>
      </c>
      <c r="U57" s="6">
        <f>IFERROR(Tableau1[[#This Row],[Loyer annuel]]/12,"")</f>
        <v>5041.666666666667</v>
      </c>
      <c r="V57" s="12">
        <v>550</v>
      </c>
      <c r="W57" s="6" t="s">
        <v>98</v>
      </c>
      <c r="X57" s="6">
        <f>Tableau1[[#This Row],[Charges €/m²]]*Tableau1[[#This Row],[Surface GLA]]</f>
        <v>770</v>
      </c>
      <c r="Y57" s="12">
        <f>Tableau1[[#This Row],[Charges annuelles]]/12</f>
        <v>64.166666666666671</v>
      </c>
      <c r="Z57" s="12">
        <v>7</v>
      </c>
      <c r="AA57" s="12">
        <f>IFERROR(Tableau1[[#This Row],[Taxe foncière €/m²]]*Tableau1[[#This Row],[Surface GLA]],)</f>
        <v>1430</v>
      </c>
      <c r="AB57" s="6">
        <v>13</v>
      </c>
      <c r="AC57" s="6">
        <f>IFERROR(Tableau1[[#This Row],[Marketing €/m²]]*Tableau1[[#This Row],[Surface GLA]],)</f>
        <v>0</v>
      </c>
      <c r="AD57" s="6" t="s">
        <v>98</v>
      </c>
      <c r="AE57" s="6">
        <f>IFERROR(Tableau1[[#This Row],[Loyer annuel]]+Tableau1[[#This Row],[Charges annuelles]]+Tableau1[[#This Row],[Taxe foncière]]+Tableau1[[#This Row],[Marketing]],"")</f>
        <v>62700</v>
      </c>
      <c r="AF57" s="12" t="str">
        <f t="shared" ref="AF57:AF64" si="0">"3 mois = "&amp;TEXT(ROUND(3/12*T57,0),"### ### ##0 €")</f>
        <v>3 mois = 15 125 €</v>
      </c>
      <c r="AG57" s="6" t="s">
        <v>98</v>
      </c>
      <c r="AH57" s="6" t="s">
        <v>98</v>
      </c>
      <c r="AI57" s="6" t="s">
        <v>373</v>
      </c>
      <c r="AJ57" s="10" t="s">
        <v>369</v>
      </c>
      <c r="AK57" s="4" t="s">
        <v>363</v>
      </c>
      <c r="AL57" s="4" t="s">
        <v>98</v>
      </c>
      <c r="AM57" s="5" t="s">
        <v>388</v>
      </c>
      <c r="AN57" s="5"/>
      <c r="AO57" s="5" t="s">
        <v>361</v>
      </c>
      <c r="AP57" s="5" t="s">
        <v>641</v>
      </c>
      <c r="AQ57" s="5" t="s">
        <v>642</v>
      </c>
      <c r="AR57" s="32" t="s">
        <v>468</v>
      </c>
      <c r="AS57" s="35" t="s">
        <v>762</v>
      </c>
      <c r="AT57" s="5" t="s">
        <v>70</v>
      </c>
      <c r="AU57" s="11" t="s">
        <v>370</v>
      </c>
      <c r="AV57" s="13" t="s">
        <v>37</v>
      </c>
      <c r="AW57" s="14"/>
      <c r="AX57" s="44"/>
      <c r="AY57" s="1"/>
      <c r="AZ57" s="1"/>
      <c r="BG57" s="1"/>
    </row>
    <row r="58" spans="1:59" ht="25.5">
      <c r="A58" s="10" t="str">
        <f>VLOOKUP(Tableau1[[#This Row],[N° Département]],Feuil1!$C$6:$E$106,3)</f>
        <v>Ile-de-France</v>
      </c>
      <c r="B58" s="4" t="str">
        <f>VLOOKUP(Tableau1[[#This Row],[N° Département]],Feuil1!$C$6:$E$106,2)</f>
        <v>Hauts-de-Seine</v>
      </c>
      <c r="C58" s="10">
        <f>LEFT(Tableau1[[#This Row],[Code Postal]],2)*1</f>
        <v>92</v>
      </c>
      <c r="D58" s="10" t="s">
        <v>127</v>
      </c>
      <c r="E58" s="26">
        <v>92100</v>
      </c>
      <c r="F58" s="10" t="s">
        <v>88</v>
      </c>
      <c r="G58" s="5" t="str">
        <f>Tableau1[[#This Row],[Rue]]&amp;CHAR(10)&amp;Tableau1[[#This Row],[Code Postal]]&amp;" - "&amp;Tableau1[[#This Row],[Ville]]</f>
        <v>Passage Châteaudun
92100 - Boulogne-Billancourt</v>
      </c>
      <c r="H58" s="15" t="s">
        <v>40</v>
      </c>
      <c r="I58" s="6" t="s">
        <v>45</v>
      </c>
      <c r="J58" s="6" t="s">
        <v>44</v>
      </c>
      <c r="K58" s="12" t="s">
        <v>98</v>
      </c>
      <c r="L58" s="12"/>
      <c r="M58" s="12" t="s">
        <v>98</v>
      </c>
      <c r="N58" s="36" t="s">
        <v>322</v>
      </c>
      <c r="O58" s="34">
        <v>66</v>
      </c>
      <c r="P58" s="6" t="s">
        <v>98</v>
      </c>
      <c r="Q58" s="34" t="s">
        <v>98</v>
      </c>
      <c r="R58" s="34" t="s">
        <v>98</v>
      </c>
      <c r="S58" s="6" t="s">
        <v>98</v>
      </c>
      <c r="T58" s="12">
        <f>Tableau1[[#This Row],[Loyer €/m²]]*Tableau1[[#This Row],[Surface GLA]]</f>
        <v>29700</v>
      </c>
      <c r="U58" s="6">
        <f>IFERROR(Tableau1[[#This Row],[Loyer annuel]]/12,"")</f>
        <v>2475</v>
      </c>
      <c r="V58" s="12">
        <v>450</v>
      </c>
      <c r="W58" s="6" t="s">
        <v>98</v>
      </c>
      <c r="X58" s="6">
        <f>Tableau1[[#This Row],[Charges €/m²]]*Tableau1[[#This Row],[Surface GLA]]</f>
        <v>462</v>
      </c>
      <c r="Y58" s="12">
        <f>Tableau1[[#This Row],[Charges annuelles]]/12</f>
        <v>38.5</v>
      </c>
      <c r="Z58" s="12">
        <v>7</v>
      </c>
      <c r="AA58" s="12">
        <f>IFERROR(Tableau1[[#This Row],[Taxe foncière €/m²]]*Tableau1[[#This Row],[Surface GLA]],)</f>
        <v>858</v>
      </c>
      <c r="AB58" s="6">
        <v>13</v>
      </c>
      <c r="AC58" s="12">
        <f>IFERROR(Tableau1[[#This Row],[Marketing €/m²]]*Tableau1[[#This Row],[Surface GLA]],)</f>
        <v>0</v>
      </c>
      <c r="AD58" s="6" t="s">
        <v>98</v>
      </c>
      <c r="AE58" s="12">
        <f>IFERROR(Tableau1[[#This Row],[Loyer annuel]]+Tableau1[[#This Row],[Charges annuelles]]+Tableau1[[#This Row],[Taxe foncière]]+Tableau1[[#This Row],[Marketing]],"")</f>
        <v>31020</v>
      </c>
      <c r="AF58" s="12" t="str">
        <f t="shared" si="0"/>
        <v>3 mois = 7 425 €</v>
      </c>
      <c r="AG58" s="6" t="s">
        <v>98</v>
      </c>
      <c r="AH58" s="6" t="s">
        <v>98</v>
      </c>
      <c r="AI58" s="6" t="s">
        <v>373</v>
      </c>
      <c r="AJ58" s="10" t="s">
        <v>369</v>
      </c>
      <c r="AK58" s="4" t="s">
        <v>363</v>
      </c>
      <c r="AL58" s="4" t="s">
        <v>98</v>
      </c>
      <c r="AM58" s="5" t="s">
        <v>388</v>
      </c>
      <c r="AN58" s="5"/>
      <c r="AO58" s="5" t="s">
        <v>361</v>
      </c>
      <c r="AP58" s="11" t="s">
        <v>643</v>
      </c>
      <c r="AQ58" s="11" t="s">
        <v>644</v>
      </c>
      <c r="AR58" s="32" t="s">
        <v>469</v>
      </c>
      <c r="AS58" s="35" t="s">
        <v>763</v>
      </c>
      <c r="AT58" s="5" t="s">
        <v>70</v>
      </c>
      <c r="AU58" s="11" t="s">
        <v>370</v>
      </c>
      <c r="AV58" s="13" t="s">
        <v>37</v>
      </c>
      <c r="AW58" s="14"/>
      <c r="AX58" s="44"/>
      <c r="AY58" s="1"/>
      <c r="AZ58" s="1"/>
      <c r="BG58" s="1"/>
    </row>
    <row r="59" spans="1:59" ht="25.5">
      <c r="A59" s="10" t="str">
        <f>VLOOKUP(Tableau1[[#This Row],[N° Département]],Feuil1!$C$6:$E$106,3)</f>
        <v>Ile-de-France</v>
      </c>
      <c r="B59" s="4" t="str">
        <f>VLOOKUP(Tableau1[[#This Row],[N° Département]],Feuil1!$C$6:$E$106,2)</f>
        <v>Hauts-de-Seine</v>
      </c>
      <c r="C59" s="10">
        <f>LEFT(Tableau1[[#This Row],[Code Postal]],2)*1</f>
        <v>92</v>
      </c>
      <c r="D59" s="10" t="s">
        <v>127</v>
      </c>
      <c r="E59" s="26">
        <v>92100</v>
      </c>
      <c r="F59" s="10" t="s">
        <v>88</v>
      </c>
      <c r="G59" s="5" t="str">
        <f>Tableau1[[#This Row],[Rue]]&amp;CHAR(10)&amp;Tableau1[[#This Row],[Code Postal]]&amp;" - "&amp;Tableau1[[#This Row],[Ville]]</f>
        <v>Passage Châteaudun
92100 - Boulogne-Billancourt</v>
      </c>
      <c r="H59" s="15" t="s">
        <v>40</v>
      </c>
      <c r="I59" s="6" t="s">
        <v>45</v>
      </c>
      <c r="J59" s="6" t="s">
        <v>44</v>
      </c>
      <c r="K59" s="12" t="s">
        <v>98</v>
      </c>
      <c r="L59" s="12"/>
      <c r="M59" s="12" t="s">
        <v>98</v>
      </c>
      <c r="N59" s="36" t="s">
        <v>323</v>
      </c>
      <c r="O59" s="34">
        <v>79</v>
      </c>
      <c r="P59" s="6" t="s">
        <v>98</v>
      </c>
      <c r="Q59" s="34" t="s">
        <v>98</v>
      </c>
      <c r="R59" s="34" t="s">
        <v>98</v>
      </c>
      <c r="S59" s="6" t="s">
        <v>98</v>
      </c>
      <c r="T59" s="12">
        <f>Tableau1[[#This Row],[Loyer €/m²]]*Tableau1[[#This Row],[Surface GLA]]</f>
        <v>35550</v>
      </c>
      <c r="U59" s="6">
        <f>IFERROR(Tableau1[[#This Row],[Loyer annuel]]/12,"")</f>
        <v>2962.5</v>
      </c>
      <c r="V59" s="12">
        <v>450</v>
      </c>
      <c r="W59" s="6" t="s">
        <v>98</v>
      </c>
      <c r="X59" s="6">
        <f>Tableau1[[#This Row],[Charges €/m²]]*Tableau1[[#This Row],[Surface GLA]]</f>
        <v>553</v>
      </c>
      <c r="Y59" s="12">
        <f>Tableau1[[#This Row],[Charges annuelles]]/12</f>
        <v>46.083333333333336</v>
      </c>
      <c r="Z59" s="12">
        <v>7</v>
      </c>
      <c r="AA59" s="12">
        <f>IFERROR(Tableau1[[#This Row],[Taxe foncière €/m²]]*Tableau1[[#This Row],[Surface GLA]],)</f>
        <v>1027</v>
      </c>
      <c r="AB59" s="6">
        <v>13</v>
      </c>
      <c r="AC59" s="12">
        <f>IFERROR(Tableau1[[#This Row],[Marketing €/m²]]*Tableau1[[#This Row],[Surface GLA]],)</f>
        <v>0</v>
      </c>
      <c r="AD59" s="6" t="s">
        <v>98</v>
      </c>
      <c r="AE59" s="12">
        <f>IFERROR(Tableau1[[#This Row],[Loyer annuel]]+Tableau1[[#This Row],[Charges annuelles]]+Tableau1[[#This Row],[Taxe foncière]]+Tableau1[[#This Row],[Marketing]],"")</f>
        <v>37130</v>
      </c>
      <c r="AF59" s="12" t="str">
        <f t="shared" si="0"/>
        <v>3 mois = 8 888 €</v>
      </c>
      <c r="AG59" s="6" t="s">
        <v>98</v>
      </c>
      <c r="AH59" s="6" t="s">
        <v>98</v>
      </c>
      <c r="AI59" s="6" t="s">
        <v>373</v>
      </c>
      <c r="AJ59" s="10" t="s">
        <v>369</v>
      </c>
      <c r="AK59" s="4" t="s">
        <v>363</v>
      </c>
      <c r="AL59" s="4" t="s">
        <v>98</v>
      </c>
      <c r="AM59" s="5" t="s">
        <v>388</v>
      </c>
      <c r="AN59" s="5"/>
      <c r="AO59" s="5" t="s">
        <v>361</v>
      </c>
      <c r="AP59" s="11" t="s">
        <v>645</v>
      </c>
      <c r="AQ59" s="11" t="s">
        <v>646</v>
      </c>
      <c r="AR59" s="32" t="s">
        <v>470</v>
      </c>
      <c r="AS59" s="35" t="s">
        <v>764</v>
      </c>
      <c r="AT59" s="5" t="s">
        <v>70</v>
      </c>
      <c r="AU59" s="11" t="s">
        <v>370</v>
      </c>
      <c r="AV59" s="13" t="s">
        <v>37</v>
      </c>
      <c r="AW59" s="14"/>
      <c r="AX59" s="44"/>
      <c r="AY59" s="1"/>
      <c r="AZ59" s="1"/>
      <c r="BG59" s="1"/>
    </row>
    <row r="60" spans="1:59" ht="25.5">
      <c r="A60" s="10" t="str">
        <f>VLOOKUP(Tableau1[[#This Row],[N° Département]],Feuil1!$C$6:$E$106,3)</f>
        <v>Ile-de-France</v>
      </c>
      <c r="B60" s="4" t="str">
        <f>VLOOKUP(Tableau1[[#This Row],[N° Département]],Feuil1!$C$6:$E$106,2)</f>
        <v>Hauts-de-Seine</v>
      </c>
      <c r="C60" s="10">
        <f>LEFT(Tableau1[[#This Row],[Code Postal]],2)*1</f>
        <v>92</v>
      </c>
      <c r="D60" s="10" t="s">
        <v>127</v>
      </c>
      <c r="E60" s="26">
        <v>92100</v>
      </c>
      <c r="F60" s="10" t="s">
        <v>88</v>
      </c>
      <c r="G60" s="5" t="str">
        <f>Tableau1[[#This Row],[Rue]]&amp;CHAR(10)&amp;Tableau1[[#This Row],[Code Postal]]&amp;" - "&amp;Tableau1[[#This Row],[Ville]]</f>
        <v>Passage Châteaudun
92100 - Boulogne-Billancourt</v>
      </c>
      <c r="H60" s="15" t="s">
        <v>40</v>
      </c>
      <c r="I60" s="6" t="s">
        <v>45</v>
      </c>
      <c r="J60" s="6" t="s">
        <v>44</v>
      </c>
      <c r="K60" s="12" t="s">
        <v>98</v>
      </c>
      <c r="L60" s="12"/>
      <c r="M60" s="12" t="s">
        <v>98</v>
      </c>
      <c r="N60" s="36" t="s">
        <v>324</v>
      </c>
      <c r="O60" s="34">
        <v>47</v>
      </c>
      <c r="P60" s="6" t="s">
        <v>98</v>
      </c>
      <c r="Q60" s="34">
        <v>188</v>
      </c>
      <c r="R60" s="34" t="s">
        <v>98</v>
      </c>
      <c r="S60" s="6" t="s">
        <v>98</v>
      </c>
      <c r="T60" s="12">
        <f>Tableau1[[#This Row],[Loyer €/m²]]*Tableau1[[#This Row],[Surface GLA]]</f>
        <v>25850</v>
      </c>
      <c r="U60" s="6">
        <f>IFERROR(Tableau1[[#This Row],[Loyer annuel]]/12,"")</f>
        <v>2154.1666666666665</v>
      </c>
      <c r="V60" s="12">
        <v>550</v>
      </c>
      <c r="W60" s="6" t="s">
        <v>98</v>
      </c>
      <c r="X60" s="6">
        <f>Tableau1[[#This Row],[Charges €/m²]]*Tableau1[[#This Row],[Surface GLA]]</f>
        <v>329</v>
      </c>
      <c r="Y60" s="12">
        <f>Tableau1[[#This Row],[Charges annuelles]]/12</f>
        <v>27.416666666666668</v>
      </c>
      <c r="Z60" s="12">
        <v>7</v>
      </c>
      <c r="AA60" s="12">
        <f>IFERROR(Tableau1[[#This Row],[Taxe foncière €/m²]]*Tableau1[[#This Row],[Surface GLA]],)</f>
        <v>611</v>
      </c>
      <c r="AB60" s="6">
        <v>13</v>
      </c>
      <c r="AC60" s="12">
        <f>IFERROR(Tableau1[[#This Row],[Marketing €/m²]]*Tableau1[[#This Row],[Surface GLA]],)</f>
        <v>0</v>
      </c>
      <c r="AD60" s="6" t="s">
        <v>98</v>
      </c>
      <c r="AE60" s="12">
        <f>IFERROR(Tableau1[[#This Row],[Loyer annuel]]+Tableau1[[#This Row],[Charges annuelles]]+Tableau1[[#This Row],[Taxe foncière]]+Tableau1[[#This Row],[Marketing]],"")</f>
        <v>26790</v>
      </c>
      <c r="AF60" s="12" t="str">
        <f t="shared" si="0"/>
        <v>3 mois = 6 463 €</v>
      </c>
      <c r="AG60" s="6" t="s">
        <v>98</v>
      </c>
      <c r="AH60" s="6" t="s">
        <v>98</v>
      </c>
      <c r="AI60" s="6" t="s">
        <v>373</v>
      </c>
      <c r="AJ60" s="10" t="s">
        <v>369</v>
      </c>
      <c r="AK60" s="4" t="s">
        <v>363</v>
      </c>
      <c r="AL60" s="4" t="s">
        <v>98</v>
      </c>
      <c r="AM60" s="5" t="s">
        <v>388</v>
      </c>
      <c r="AN60" s="5"/>
      <c r="AO60" s="5" t="s">
        <v>361</v>
      </c>
      <c r="AP60" s="11" t="s">
        <v>647</v>
      </c>
      <c r="AQ60" s="11" t="s">
        <v>648</v>
      </c>
      <c r="AR60" s="32" t="s">
        <v>471</v>
      </c>
      <c r="AS60" s="35" t="s">
        <v>765</v>
      </c>
      <c r="AT60" s="5" t="s">
        <v>70</v>
      </c>
      <c r="AU60" s="11" t="s">
        <v>370</v>
      </c>
      <c r="AV60" s="13" t="s">
        <v>37</v>
      </c>
      <c r="AW60" s="14"/>
      <c r="AX60" s="44"/>
      <c r="AY60" s="1"/>
      <c r="AZ60" s="1"/>
      <c r="BG60" s="1"/>
    </row>
    <row r="61" spans="1:59" ht="25.5">
      <c r="A61" s="10" t="str">
        <f>VLOOKUP(Tableau1[[#This Row],[N° Département]],Feuil1!$C$6:$E$106,3)</f>
        <v>Ile-de-France</v>
      </c>
      <c r="B61" s="4" t="str">
        <f>VLOOKUP(Tableau1[[#This Row],[N° Département]],Feuil1!$C$6:$E$106,2)</f>
        <v>Hauts-de-Seine</v>
      </c>
      <c r="C61" s="10">
        <f>LEFT(Tableau1[[#This Row],[Code Postal]],2)*1</f>
        <v>92</v>
      </c>
      <c r="D61" s="10" t="s">
        <v>127</v>
      </c>
      <c r="E61" s="26">
        <v>92100</v>
      </c>
      <c r="F61" s="10" t="s">
        <v>88</v>
      </c>
      <c r="G61" s="5" t="str">
        <f>Tableau1[[#This Row],[Rue]]&amp;CHAR(10)&amp;Tableau1[[#This Row],[Code Postal]]&amp;" - "&amp;Tableau1[[#This Row],[Ville]]</f>
        <v>Passage Châteaudun
92100 - Boulogne-Billancourt</v>
      </c>
      <c r="H61" s="15" t="s">
        <v>40</v>
      </c>
      <c r="I61" s="6" t="s">
        <v>45</v>
      </c>
      <c r="J61" s="6" t="s">
        <v>44</v>
      </c>
      <c r="K61" s="12" t="s">
        <v>98</v>
      </c>
      <c r="L61" s="12"/>
      <c r="M61" s="12" t="s">
        <v>98</v>
      </c>
      <c r="N61" s="36" t="s">
        <v>325</v>
      </c>
      <c r="O61" s="34">
        <v>60</v>
      </c>
      <c r="P61" s="6" t="s">
        <v>98</v>
      </c>
      <c r="Q61" s="34">
        <v>188</v>
      </c>
      <c r="R61" s="34" t="s">
        <v>98</v>
      </c>
      <c r="S61" s="6" t="s">
        <v>98</v>
      </c>
      <c r="T61" s="12">
        <f>Tableau1[[#This Row],[Loyer €/m²]]*Tableau1[[#This Row],[Surface GLA]]</f>
        <v>33000</v>
      </c>
      <c r="U61" s="6">
        <f>IFERROR(Tableau1[[#This Row],[Loyer annuel]]/12,"")</f>
        <v>2750</v>
      </c>
      <c r="V61" s="12">
        <v>550</v>
      </c>
      <c r="W61" s="6" t="s">
        <v>98</v>
      </c>
      <c r="X61" s="6">
        <f>Tableau1[[#This Row],[Charges €/m²]]*Tableau1[[#This Row],[Surface GLA]]</f>
        <v>420</v>
      </c>
      <c r="Y61" s="12">
        <f>Tableau1[[#This Row],[Charges annuelles]]/12</f>
        <v>35</v>
      </c>
      <c r="Z61" s="12">
        <v>7</v>
      </c>
      <c r="AA61" s="12">
        <f>IFERROR(Tableau1[[#This Row],[Taxe foncière €/m²]]*Tableau1[[#This Row],[Surface GLA]],)</f>
        <v>780</v>
      </c>
      <c r="AB61" s="6">
        <v>13</v>
      </c>
      <c r="AC61" s="12">
        <f>IFERROR(Tableau1[[#This Row],[Marketing €/m²]]*Tableau1[[#This Row],[Surface GLA]],)</f>
        <v>0</v>
      </c>
      <c r="AD61" s="6" t="s">
        <v>98</v>
      </c>
      <c r="AE61" s="12">
        <f>IFERROR(Tableau1[[#This Row],[Loyer annuel]]+Tableau1[[#This Row],[Charges annuelles]]+Tableau1[[#This Row],[Taxe foncière]]+Tableau1[[#This Row],[Marketing]],"")</f>
        <v>34200</v>
      </c>
      <c r="AF61" s="12" t="str">
        <f t="shared" si="0"/>
        <v>3 mois = 8 250 €</v>
      </c>
      <c r="AG61" s="6" t="s">
        <v>98</v>
      </c>
      <c r="AH61" s="6" t="s">
        <v>98</v>
      </c>
      <c r="AI61" s="6" t="s">
        <v>373</v>
      </c>
      <c r="AJ61" s="10" t="s">
        <v>369</v>
      </c>
      <c r="AK61" s="4" t="s">
        <v>363</v>
      </c>
      <c r="AL61" s="4" t="s">
        <v>98</v>
      </c>
      <c r="AM61" s="5" t="s">
        <v>388</v>
      </c>
      <c r="AN61" s="5"/>
      <c r="AO61" s="5" t="s">
        <v>361</v>
      </c>
      <c r="AP61" s="11" t="s">
        <v>649</v>
      </c>
      <c r="AQ61" s="11" t="s">
        <v>650</v>
      </c>
      <c r="AR61" s="32" t="s">
        <v>472</v>
      </c>
      <c r="AS61" s="35" t="s">
        <v>766</v>
      </c>
      <c r="AT61" s="5" t="s">
        <v>70</v>
      </c>
      <c r="AU61" s="11" t="s">
        <v>370</v>
      </c>
      <c r="AV61" s="13" t="s">
        <v>37</v>
      </c>
      <c r="AW61" s="14"/>
      <c r="AX61" s="44"/>
      <c r="AY61" s="1"/>
      <c r="AZ61" s="1"/>
      <c r="BG61" s="1"/>
    </row>
    <row r="62" spans="1:59" ht="25.5">
      <c r="A62" s="10" t="str">
        <f>VLOOKUP(Tableau1[[#This Row],[N° Département]],Feuil1!$C$6:$E$106,3)</f>
        <v>Ile-de-France</v>
      </c>
      <c r="B62" s="4" t="str">
        <f>VLOOKUP(Tableau1[[#This Row],[N° Département]],Feuil1!$C$6:$E$106,2)</f>
        <v>Hauts-de-Seine</v>
      </c>
      <c r="C62" s="10">
        <f>LEFT(Tableau1[[#This Row],[Code Postal]],2)*1</f>
        <v>92</v>
      </c>
      <c r="D62" s="10" t="s">
        <v>127</v>
      </c>
      <c r="E62" s="26">
        <v>92100</v>
      </c>
      <c r="F62" s="10" t="s">
        <v>88</v>
      </c>
      <c r="G62" s="5" t="str">
        <f>Tableau1[[#This Row],[Rue]]&amp;CHAR(10)&amp;Tableau1[[#This Row],[Code Postal]]&amp;" - "&amp;Tableau1[[#This Row],[Ville]]</f>
        <v>Passage Châteaudun
92100 - Boulogne-Billancourt</v>
      </c>
      <c r="H62" s="15" t="s">
        <v>40</v>
      </c>
      <c r="I62" s="6" t="s">
        <v>45</v>
      </c>
      <c r="J62" s="6" t="s">
        <v>44</v>
      </c>
      <c r="K62" s="12" t="s">
        <v>98</v>
      </c>
      <c r="L62" s="12"/>
      <c r="M62" s="12" t="s">
        <v>98</v>
      </c>
      <c r="N62" s="36" t="s">
        <v>326</v>
      </c>
      <c r="O62" s="34">
        <v>81</v>
      </c>
      <c r="P62" s="6" t="s">
        <v>98</v>
      </c>
      <c r="Q62" s="34">
        <v>188</v>
      </c>
      <c r="R62" s="34" t="s">
        <v>98</v>
      </c>
      <c r="S62" s="6" t="s">
        <v>98</v>
      </c>
      <c r="T62" s="12">
        <f>Tableau1[[#This Row],[Loyer €/m²]]*Tableau1[[#This Row],[Surface GLA]]</f>
        <v>44550</v>
      </c>
      <c r="U62" s="6">
        <f>IFERROR(Tableau1[[#This Row],[Loyer annuel]]/12,"")</f>
        <v>3712.5</v>
      </c>
      <c r="V62" s="12">
        <v>550</v>
      </c>
      <c r="W62" s="6" t="s">
        <v>98</v>
      </c>
      <c r="X62" s="6">
        <f>Tableau1[[#This Row],[Charges €/m²]]*Tableau1[[#This Row],[Surface GLA]]</f>
        <v>567</v>
      </c>
      <c r="Y62" s="12">
        <f>Tableau1[[#This Row],[Charges annuelles]]/12</f>
        <v>47.25</v>
      </c>
      <c r="Z62" s="12">
        <v>7</v>
      </c>
      <c r="AA62" s="12">
        <f>IFERROR(Tableau1[[#This Row],[Taxe foncière €/m²]]*Tableau1[[#This Row],[Surface GLA]],)</f>
        <v>1053</v>
      </c>
      <c r="AB62" s="6">
        <v>13</v>
      </c>
      <c r="AC62" s="12">
        <f>IFERROR(Tableau1[[#This Row],[Marketing €/m²]]*Tableau1[[#This Row],[Surface GLA]],)</f>
        <v>0</v>
      </c>
      <c r="AD62" s="6" t="s">
        <v>98</v>
      </c>
      <c r="AE62" s="12">
        <f>IFERROR(Tableau1[[#This Row],[Loyer annuel]]+Tableau1[[#This Row],[Charges annuelles]]+Tableau1[[#This Row],[Taxe foncière]]+Tableau1[[#This Row],[Marketing]],"")</f>
        <v>46170</v>
      </c>
      <c r="AF62" s="12" t="str">
        <f t="shared" si="0"/>
        <v>3 mois = 11 138 €</v>
      </c>
      <c r="AG62" s="6" t="s">
        <v>98</v>
      </c>
      <c r="AH62" s="6" t="s">
        <v>98</v>
      </c>
      <c r="AI62" s="6" t="s">
        <v>373</v>
      </c>
      <c r="AJ62" s="10" t="s">
        <v>369</v>
      </c>
      <c r="AK62" s="4" t="s">
        <v>363</v>
      </c>
      <c r="AL62" s="4" t="s">
        <v>98</v>
      </c>
      <c r="AM62" s="5" t="s">
        <v>388</v>
      </c>
      <c r="AN62" s="5"/>
      <c r="AO62" s="5" t="s">
        <v>361</v>
      </c>
      <c r="AP62" s="11" t="s">
        <v>651</v>
      </c>
      <c r="AQ62" s="11" t="s">
        <v>650</v>
      </c>
      <c r="AR62" s="32" t="s">
        <v>473</v>
      </c>
      <c r="AS62" s="35" t="s">
        <v>767</v>
      </c>
      <c r="AT62" s="5" t="s">
        <v>70</v>
      </c>
      <c r="AU62" s="11" t="s">
        <v>370</v>
      </c>
      <c r="AV62" s="13" t="s">
        <v>37</v>
      </c>
      <c r="AW62" s="14"/>
      <c r="AX62" s="44"/>
      <c r="AY62" s="1"/>
      <c r="AZ62" s="1"/>
      <c r="BG62" s="1"/>
    </row>
    <row r="63" spans="1:59" ht="25.5">
      <c r="A63" s="10" t="str">
        <f>VLOOKUP(Tableau1[[#This Row],[N° Département]],Feuil1!$C$6:$E$106,3)</f>
        <v>Ile-de-France</v>
      </c>
      <c r="B63" s="4" t="str">
        <f>VLOOKUP(Tableau1[[#This Row],[N° Département]],Feuil1!$C$6:$E$106,2)</f>
        <v>Hauts-de-Seine</v>
      </c>
      <c r="C63" s="10">
        <f>LEFT(Tableau1[[#This Row],[Code Postal]],2)*1</f>
        <v>92</v>
      </c>
      <c r="D63" s="10" t="s">
        <v>127</v>
      </c>
      <c r="E63" s="26">
        <v>92100</v>
      </c>
      <c r="F63" s="10" t="s">
        <v>88</v>
      </c>
      <c r="G63" s="5" t="str">
        <f>Tableau1[[#This Row],[Rue]]&amp;CHAR(10)&amp;Tableau1[[#This Row],[Code Postal]]&amp;" - "&amp;Tableau1[[#This Row],[Ville]]</f>
        <v>Passage Châteaudun
92100 - Boulogne-Billancourt</v>
      </c>
      <c r="H63" s="15" t="s">
        <v>40</v>
      </c>
      <c r="I63" s="6" t="s">
        <v>45</v>
      </c>
      <c r="J63" s="6" t="s">
        <v>44</v>
      </c>
      <c r="K63" s="12" t="s">
        <v>98</v>
      </c>
      <c r="L63" s="12"/>
      <c r="M63" s="12" t="s">
        <v>98</v>
      </c>
      <c r="N63" s="36" t="s">
        <v>327</v>
      </c>
      <c r="O63" s="34">
        <v>45</v>
      </c>
      <c r="P63" s="6" t="s">
        <v>98</v>
      </c>
      <c r="Q63" s="34" t="s">
        <v>98</v>
      </c>
      <c r="R63" s="34" t="s">
        <v>98</v>
      </c>
      <c r="S63" s="6" t="s">
        <v>98</v>
      </c>
      <c r="T63" s="12">
        <f>Tableau1[[#This Row],[Loyer €/m²]]*Tableau1[[#This Row],[Surface GLA]]</f>
        <v>24750</v>
      </c>
      <c r="U63" s="6">
        <f>IFERROR(Tableau1[[#This Row],[Loyer annuel]]/12,"")</f>
        <v>2062.5</v>
      </c>
      <c r="V63" s="12">
        <v>550</v>
      </c>
      <c r="W63" s="6" t="s">
        <v>98</v>
      </c>
      <c r="X63" s="6">
        <f>Tableau1[[#This Row],[Charges €/m²]]*Tableau1[[#This Row],[Surface GLA]]</f>
        <v>315</v>
      </c>
      <c r="Y63" s="12">
        <f>Tableau1[[#This Row],[Charges annuelles]]/12</f>
        <v>26.25</v>
      </c>
      <c r="Z63" s="12">
        <v>7</v>
      </c>
      <c r="AA63" s="12">
        <f>IFERROR(Tableau1[[#This Row],[Taxe foncière €/m²]]*Tableau1[[#This Row],[Surface GLA]],)</f>
        <v>585</v>
      </c>
      <c r="AB63" s="6">
        <v>13</v>
      </c>
      <c r="AC63" s="12">
        <f>IFERROR(Tableau1[[#This Row],[Marketing €/m²]]*Tableau1[[#This Row],[Surface GLA]],)</f>
        <v>0</v>
      </c>
      <c r="AD63" s="6" t="s">
        <v>98</v>
      </c>
      <c r="AE63" s="12">
        <f>IFERROR(Tableau1[[#This Row],[Loyer annuel]]+Tableau1[[#This Row],[Charges annuelles]]+Tableau1[[#This Row],[Taxe foncière]]+Tableau1[[#This Row],[Marketing]],"")</f>
        <v>25650</v>
      </c>
      <c r="AF63" s="12" t="str">
        <f t="shared" si="0"/>
        <v>3 mois = 6 188 €</v>
      </c>
      <c r="AG63" s="6" t="s">
        <v>98</v>
      </c>
      <c r="AH63" s="6" t="s">
        <v>98</v>
      </c>
      <c r="AI63" s="6" t="s">
        <v>373</v>
      </c>
      <c r="AJ63" s="10" t="s">
        <v>369</v>
      </c>
      <c r="AK63" s="4" t="s">
        <v>363</v>
      </c>
      <c r="AL63" s="4" t="s">
        <v>98</v>
      </c>
      <c r="AM63" s="5" t="s">
        <v>388</v>
      </c>
      <c r="AN63" s="5"/>
      <c r="AO63" s="5" t="s">
        <v>361</v>
      </c>
      <c r="AP63" s="11" t="s">
        <v>652</v>
      </c>
      <c r="AQ63" s="11" t="s">
        <v>653</v>
      </c>
      <c r="AR63" s="32" t="s">
        <v>474</v>
      </c>
      <c r="AS63" s="35" t="s">
        <v>768</v>
      </c>
      <c r="AT63" s="5" t="s">
        <v>70</v>
      </c>
      <c r="AU63" s="11" t="s">
        <v>370</v>
      </c>
      <c r="AV63" s="13" t="s">
        <v>37</v>
      </c>
      <c r="AW63" s="14"/>
      <c r="AX63" s="44"/>
      <c r="AY63" s="1"/>
      <c r="AZ63" s="1"/>
      <c r="BG63" s="1"/>
    </row>
    <row r="64" spans="1:59" ht="25.5">
      <c r="A64" s="10" t="str">
        <f>VLOOKUP(Tableau1[[#This Row],[N° Département]],Feuil1!$C$6:$E$106,3)</f>
        <v>Ile-de-France</v>
      </c>
      <c r="B64" s="4" t="str">
        <f>VLOOKUP(Tableau1[[#This Row],[N° Département]],Feuil1!$C$6:$E$106,2)</f>
        <v>Hauts-de-Seine</v>
      </c>
      <c r="C64" s="10">
        <f>LEFT(Tableau1[[#This Row],[Code Postal]],2)*1</f>
        <v>92</v>
      </c>
      <c r="D64" s="10" t="s">
        <v>127</v>
      </c>
      <c r="E64" s="26">
        <v>92100</v>
      </c>
      <c r="F64" s="10" t="s">
        <v>88</v>
      </c>
      <c r="G64" s="5" t="str">
        <f>Tableau1[[#This Row],[Rue]]&amp;CHAR(10)&amp;Tableau1[[#This Row],[Code Postal]]&amp;" - "&amp;Tableau1[[#This Row],[Ville]]</f>
        <v>Passage Châteaudun
92100 - Boulogne-Billancourt</v>
      </c>
      <c r="H64" s="15" t="s">
        <v>40</v>
      </c>
      <c r="I64" s="6" t="s">
        <v>45</v>
      </c>
      <c r="J64" s="6" t="s">
        <v>44</v>
      </c>
      <c r="K64" s="12" t="s">
        <v>98</v>
      </c>
      <c r="L64" s="12"/>
      <c r="M64" s="12" t="s">
        <v>98</v>
      </c>
      <c r="N64" s="36" t="s">
        <v>328</v>
      </c>
      <c r="O64" s="34">
        <v>73</v>
      </c>
      <c r="P64" s="6" t="s">
        <v>98</v>
      </c>
      <c r="Q64" s="34" t="s">
        <v>98</v>
      </c>
      <c r="R64" s="34" t="s">
        <v>98</v>
      </c>
      <c r="S64" s="6" t="s">
        <v>98</v>
      </c>
      <c r="T64" s="12">
        <f>Tableau1[[#This Row],[Loyer €/m²]]*Tableau1[[#This Row],[Surface GLA]]</f>
        <v>32850</v>
      </c>
      <c r="U64" s="6">
        <f>IFERROR(Tableau1[[#This Row],[Loyer annuel]]/12,"")</f>
        <v>2737.5</v>
      </c>
      <c r="V64" s="12">
        <v>450</v>
      </c>
      <c r="W64" s="6" t="s">
        <v>98</v>
      </c>
      <c r="X64" s="6">
        <f>Tableau1[[#This Row],[Charges €/m²]]*Tableau1[[#This Row],[Surface GLA]]</f>
        <v>511</v>
      </c>
      <c r="Y64" s="12">
        <f>Tableau1[[#This Row],[Charges annuelles]]/12</f>
        <v>42.583333333333336</v>
      </c>
      <c r="Z64" s="12">
        <v>7</v>
      </c>
      <c r="AA64" s="12">
        <f>IFERROR(Tableau1[[#This Row],[Taxe foncière €/m²]]*Tableau1[[#This Row],[Surface GLA]],)</f>
        <v>949</v>
      </c>
      <c r="AB64" s="6">
        <v>13</v>
      </c>
      <c r="AC64" s="12">
        <f>IFERROR(Tableau1[[#This Row],[Marketing €/m²]]*Tableau1[[#This Row],[Surface GLA]],)</f>
        <v>0</v>
      </c>
      <c r="AD64" s="6" t="s">
        <v>98</v>
      </c>
      <c r="AE64" s="12">
        <f>IFERROR(Tableau1[[#This Row],[Loyer annuel]]+Tableau1[[#This Row],[Charges annuelles]]+Tableau1[[#This Row],[Taxe foncière]]+Tableau1[[#This Row],[Marketing]],"")</f>
        <v>34310</v>
      </c>
      <c r="AF64" s="12" t="str">
        <f t="shared" si="0"/>
        <v>3 mois = 8 213 €</v>
      </c>
      <c r="AG64" s="6" t="s">
        <v>98</v>
      </c>
      <c r="AH64" s="6" t="s">
        <v>98</v>
      </c>
      <c r="AI64" s="6" t="s">
        <v>373</v>
      </c>
      <c r="AJ64" s="10" t="s">
        <v>369</v>
      </c>
      <c r="AK64" s="4" t="s">
        <v>363</v>
      </c>
      <c r="AL64" s="4" t="s">
        <v>98</v>
      </c>
      <c r="AM64" s="5" t="s">
        <v>388</v>
      </c>
      <c r="AN64" s="5"/>
      <c r="AO64" s="5" t="s">
        <v>361</v>
      </c>
      <c r="AP64" s="11" t="s">
        <v>654</v>
      </c>
      <c r="AQ64" s="11" t="s">
        <v>655</v>
      </c>
      <c r="AR64" s="32" t="s">
        <v>475</v>
      </c>
      <c r="AS64" s="35" t="s">
        <v>769</v>
      </c>
      <c r="AT64" s="5" t="s">
        <v>70</v>
      </c>
      <c r="AU64" s="11" t="s">
        <v>370</v>
      </c>
      <c r="AV64" s="13" t="s">
        <v>37</v>
      </c>
      <c r="AW64" s="14"/>
      <c r="AX64" s="44"/>
      <c r="AY64" s="1"/>
      <c r="AZ64" s="1"/>
      <c r="BG64" s="1"/>
    </row>
    <row r="65" spans="1:59" ht="25.5">
      <c r="A65" s="10" t="str">
        <f>VLOOKUP(Tableau1[[#This Row],[N° Département]],Feuil1!$C$6:$E$106,3)</f>
        <v>Ile-de-France</v>
      </c>
      <c r="B65" s="4" t="str">
        <f>VLOOKUP(Tableau1[[#This Row],[N° Département]],Feuil1!$C$6:$E$106,2)</f>
        <v>Hauts-de-Seine</v>
      </c>
      <c r="C65" s="10">
        <f>LEFT(Tableau1[[#This Row],[Code Postal]],2)*1</f>
        <v>92</v>
      </c>
      <c r="D65" s="10" t="s">
        <v>128</v>
      </c>
      <c r="E65" s="26">
        <v>92250</v>
      </c>
      <c r="F65" s="10" t="s">
        <v>91</v>
      </c>
      <c r="G65" s="5" t="str">
        <f>Tableau1[[#This Row],[Rue]]&amp;CHAR(10)&amp;Tableau1[[#This Row],[Code Postal]]&amp;" - "&amp;Tableau1[[#This Row],[Ville]]</f>
        <v>143 Rue des Fauvelles
92250 - La Garenne-Colombes</v>
      </c>
      <c r="H65" s="15" t="s">
        <v>33</v>
      </c>
      <c r="I65" s="6" t="s">
        <v>45</v>
      </c>
      <c r="J65" s="6" t="s">
        <v>44</v>
      </c>
      <c r="K65" s="12" t="s">
        <v>98</v>
      </c>
      <c r="L65" s="12"/>
      <c r="M65" s="12" t="s">
        <v>98</v>
      </c>
      <c r="N65" s="35" t="s">
        <v>329</v>
      </c>
      <c r="O65" s="34">
        <v>80</v>
      </c>
      <c r="P65" s="6" t="s">
        <v>98</v>
      </c>
      <c r="Q65" s="34">
        <v>190</v>
      </c>
      <c r="R65" s="34" t="s">
        <v>98</v>
      </c>
      <c r="S65" s="6" t="s">
        <v>98</v>
      </c>
      <c r="T65" s="12">
        <f>Tableau1[[#This Row],[Loyer €/m²]]*Tableau1[[#This Row],[Surface GLA]]</f>
        <v>30000</v>
      </c>
      <c r="U65" s="6">
        <f>IFERROR(Tableau1[[#This Row],[Loyer annuel]]/12,"")</f>
        <v>2500</v>
      </c>
      <c r="V65" s="12">
        <v>375</v>
      </c>
      <c r="W65" s="6" t="s">
        <v>98</v>
      </c>
      <c r="X65" s="6">
        <f>Tableau1[[#This Row],[Charges €/m²]]*Tableau1[[#This Row],[Surface GLA]]</f>
        <v>320</v>
      </c>
      <c r="Y65" s="12">
        <f>Tableau1[[#This Row],[Charges annuelles]]/12</f>
        <v>26.666666666666668</v>
      </c>
      <c r="Z65" s="12">
        <v>4</v>
      </c>
      <c r="AA65" s="12">
        <f>IFERROR(Tableau1[[#This Row],[Taxe foncière €/m²]]*Tableau1[[#This Row],[Surface GLA]],)</f>
        <v>1520</v>
      </c>
      <c r="AB65" s="6">
        <v>19</v>
      </c>
      <c r="AC65" s="6">
        <f>IFERROR(Tableau1[[#This Row],[Marketing €/m²]]*Tableau1[[#This Row],[Surface GLA]],)</f>
        <v>0</v>
      </c>
      <c r="AD65" s="6" t="s">
        <v>98</v>
      </c>
      <c r="AE65" s="12">
        <f>IFERROR(Tableau1[[#This Row],[Loyer annuel]]+Tableau1[[#This Row],[Charges annuelles]]+Tableau1[[#This Row],[Taxe foncière]]+Tableau1[[#This Row],[Marketing]],"")</f>
        <v>31840</v>
      </c>
      <c r="AF65" s="6" t="s">
        <v>98</v>
      </c>
      <c r="AG65" s="6" t="s">
        <v>98</v>
      </c>
      <c r="AH65" s="6" t="s">
        <v>98</v>
      </c>
      <c r="AI65" s="6" t="s">
        <v>373</v>
      </c>
      <c r="AJ65" s="10" t="s">
        <v>53</v>
      </c>
      <c r="AK65" s="4" t="s">
        <v>362</v>
      </c>
      <c r="AL65" s="4" t="s">
        <v>389</v>
      </c>
      <c r="AM65" s="5" t="s">
        <v>1849</v>
      </c>
      <c r="AN65" s="5"/>
      <c r="AO65" s="5" t="s">
        <v>361</v>
      </c>
      <c r="AP65" s="5" t="s">
        <v>656</v>
      </c>
      <c r="AQ65" s="5" t="s">
        <v>657</v>
      </c>
      <c r="AR65" s="32" t="s">
        <v>476</v>
      </c>
      <c r="AS65" s="35" t="s">
        <v>770</v>
      </c>
      <c r="AT65" s="5" t="s">
        <v>70</v>
      </c>
      <c r="AU65" s="11" t="s">
        <v>370</v>
      </c>
      <c r="AV65" s="13" t="s">
        <v>31</v>
      </c>
      <c r="AW65" s="14"/>
      <c r="AX65" s="44"/>
      <c r="AY65" s="1"/>
      <c r="AZ65" s="1"/>
      <c r="BG65" s="1"/>
    </row>
    <row r="66" spans="1:59" ht="25.5">
      <c r="A66" s="10" t="str">
        <f>VLOOKUP(Tableau1[[#This Row],[N° Département]],Feuil1!$C$6:$E$106,3)</f>
        <v>Ile-de-France</v>
      </c>
      <c r="B66" s="4" t="str">
        <f>VLOOKUP(Tableau1[[#This Row],[N° Département]],Feuil1!$C$6:$E$106,2)</f>
        <v>Hauts-de-Seine</v>
      </c>
      <c r="C66" s="10">
        <f>LEFT(Tableau1[[#This Row],[Code Postal]],2)*1</f>
        <v>92</v>
      </c>
      <c r="D66" s="10" t="s">
        <v>128</v>
      </c>
      <c r="E66" s="26">
        <v>92250</v>
      </c>
      <c r="F66" s="10" t="s">
        <v>91</v>
      </c>
      <c r="G66" s="5" t="str">
        <f>Tableau1[[#This Row],[Rue]]&amp;CHAR(10)&amp;Tableau1[[#This Row],[Code Postal]]&amp;" - "&amp;Tableau1[[#This Row],[Ville]]</f>
        <v>143 Rue des Fauvelles
92250 - La Garenne-Colombes</v>
      </c>
      <c r="H66" s="15" t="s">
        <v>33</v>
      </c>
      <c r="I66" s="6" t="s">
        <v>45</v>
      </c>
      <c r="J66" s="6" t="s">
        <v>44</v>
      </c>
      <c r="K66" s="12" t="s">
        <v>98</v>
      </c>
      <c r="L66" s="12"/>
      <c r="M66" s="12" t="s">
        <v>98</v>
      </c>
      <c r="N66" s="36" t="s">
        <v>330</v>
      </c>
      <c r="O66" s="34">
        <v>110</v>
      </c>
      <c r="P66" s="6" t="s">
        <v>98</v>
      </c>
      <c r="Q66" s="34">
        <v>190</v>
      </c>
      <c r="R66" s="34" t="s">
        <v>98</v>
      </c>
      <c r="S66" s="6" t="s">
        <v>98</v>
      </c>
      <c r="T66" s="12">
        <f>Tableau1[[#This Row],[Loyer €/m²]]*Tableau1[[#This Row],[Surface GLA]]</f>
        <v>42020</v>
      </c>
      <c r="U66" s="6">
        <f>IFERROR(Tableau1[[#This Row],[Loyer annuel]]/12,"")</f>
        <v>3501.6666666666665</v>
      </c>
      <c r="V66" s="12">
        <v>382</v>
      </c>
      <c r="W66" s="6" t="s">
        <v>98</v>
      </c>
      <c r="X66" s="6">
        <f>Tableau1[[#This Row],[Charges €/m²]]*Tableau1[[#This Row],[Surface GLA]]</f>
        <v>440</v>
      </c>
      <c r="Y66" s="12">
        <f>Tableau1[[#This Row],[Charges annuelles]]/12</f>
        <v>36.666666666666664</v>
      </c>
      <c r="Z66" s="12">
        <v>4</v>
      </c>
      <c r="AA66" s="12">
        <f>IFERROR(Tableau1[[#This Row],[Taxe foncière €/m²]]*Tableau1[[#This Row],[Surface GLA]],)</f>
        <v>2090</v>
      </c>
      <c r="AB66" s="12">
        <v>19</v>
      </c>
      <c r="AC66" s="12">
        <f>IFERROR(Tableau1[[#This Row],[Marketing €/m²]]*Tableau1[[#This Row],[Surface GLA]],)</f>
        <v>0</v>
      </c>
      <c r="AD66" s="6" t="s">
        <v>98</v>
      </c>
      <c r="AE66" s="12">
        <f>IFERROR(Tableau1[[#This Row],[Loyer annuel]]+Tableau1[[#This Row],[Charges annuelles]]+Tableau1[[#This Row],[Taxe foncière]]+Tableau1[[#This Row],[Marketing]],"")</f>
        <v>44550</v>
      </c>
      <c r="AF66" s="6" t="s">
        <v>98</v>
      </c>
      <c r="AG66" s="6" t="s">
        <v>98</v>
      </c>
      <c r="AH66" s="6" t="s">
        <v>98</v>
      </c>
      <c r="AI66" s="12" t="s">
        <v>373</v>
      </c>
      <c r="AJ66" s="10" t="s">
        <v>70</v>
      </c>
      <c r="AK66" s="10" t="s">
        <v>363</v>
      </c>
      <c r="AL66" s="4" t="s">
        <v>389</v>
      </c>
      <c r="AM66" s="5" t="s">
        <v>1849</v>
      </c>
      <c r="AN66" s="5"/>
      <c r="AO66" s="5" t="s">
        <v>361</v>
      </c>
      <c r="AP66" s="11" t="s">
        <v>658</v>
      </c>
      <c r="AQ66" s="11" t="s">
        <v>659</v>
      </c>
      <c r="AR66" s="32" t="s">
        <v>477</v>
      </c>
      <c r="AS66" s="36" t="s">
        <v>771</v>
      </c>
      <c r="AT66" s="5" t="s">
        <v>70</v>
      </c>
      <c r="AU66" s="11" t="s">
        <v>370</v>
      </c>
      <c r="AV66" s="13" t="s">
        <v>31</v>
      </c>
      <c r="AW66" s="14"/>
      <c r="AX66" s="44"/>
      <c r="AY66" s="1"/>
      <c r="AZ66" s="1"/>
      <c r="BG66" s="1"/>
    </row>
    <row r="67" spans="1:59" ht="25.5">
      <c r="A67" s="10" t="str">
        <f>VLOOKUP(Tableau1[[#This Row],[N° Département]],Feuil1!$C$6:$E$106,3)</f>
        <v>Ile-de-France</v>
      </c>
      <c r="B67" s="4" t="str">
        <f>VLOOKUP(Tableau1[[#This Row],[N° Département]],Feuil1!$C$6:$E$106,2)</f>
        <v>Hauts-de-Seine</v>
      </c>
      <c r="C67" s="10">
        <f>LEFT(Tableau1[[#This Row],[Code Postal]],2)*1</f>
        <v>92</v>
      </c>
      <c r="D67" s="10" t="s">
        <v>129</v>
      </c>
      <c r="E67" s="26">
        <v>92290</v>
      </c>
      <c r="F67" s="10" t="s">
        <v>89</v>
      </c>
      <c r="G67" s="5" t="str">
        <f>Tableau1[[#This Row],[Rue]]&amp;CHAR(10)&amp;Tableau1[[#This Row],[Code Postal]]&amp;" - "&amp;Tableau1[[#This Row],[Ville]]</f>
        <v>Cours du Commerce
92290 - Châtenay-Malabry</v>
      </c>
      <c r="H67" s="15" t="s">
        <v>837</v>
      </c>
      <c r="I67" s="6" t="s">
        <v>45</v>
      </c>
      <c r="J67" s="6" t="s">
        <v>44</v>
      </c>
      <c r="K67" s="12" t="s">
        <v>98</v>
      </c>
      <c r="L67" s="12"/>
      <c r="M67" s="12" t="s">
        <v>98</v>
      </c>
      <c r="N67" s="35" t="s">
        <v>824</v>
      </c>
      <c r="O67" s="34">
        <v>321</v>
      </c>
      <c r="P67" s="6" t="s">
        <v>98</v>
      </c>
      <c r="Q67" s="34" t="s">
        <v>98</v>
      </c>
      <c r="R67" s="34" t="s">
        <v>98</v>
      </c>
      <c r="S67" s="6" t="s">
        <v>98</v>
      </c>
      <c r="T67" s="12">
        <f>Tableau1[[#This Row],[Loyer €/m²]]*Tableau1[[#This Row],[Surface GLA]]</f>
        <v>104325</v>
      </c>
      <c r="U67" s="6">
        <f>IFERROR(Tableau1[[#This Row],[Loyer annuel]]/12,"")</f>
        <v>8693.75</v>
      </c>
      <c r="V67" s="12">
        <v>325</v>
      </c>
      <c r="W67" s="6" t="s">
        <v>98</v>
      </c>
      <c r="X67" s="6">
        <f>Tableau1[[#This Row],[Charges €/m²]]*Tableau1[[#This Row],[Surface GLA]]</f>
        <v>9630</v>
      </c>
      <c r="Y67" s="12">
        <f>Tableau1[[#This Row],[Charges annuelles]]/12</f>
        <v>802.5</v>
      </c>
      <c r="Z67" s="12">
        <v>30</v>
      </c>
      <c r="AA67" s="12">
        <f>IFERROR(Tableau1[[#This Row],[Taxe foncière €/m²]]*Tableau1[[#This Row],[Surface GLA]],)</f>
        <v>0</v>
      </c>
      <c r="AB67" s="6" t="s">
        <v>98</v>
      </c>
      <c r="AC67" s="6">
        <f>IFERROR(Tableau1[[#This Row],[Marketing €/m²]]*Tableau1[[#This Row],[Surface GLA]],)</f>
        <v>0</v>
      </c>
      <c r="AD67" s="6" t="s">
        <v>98</v>
      </c>
      <c r="AE67" s="6">
        <f>IFERROR(Tableau1[[#This Row],[Loyer annuel]]+Tableau1[[#This Row],[Charges annuelles]]+Tableau1[[#This Row],[Taxe foncière]]+Tableau1[[#This Row],[Marketing]],"")</f>
        <v>113955</v>
      </c>
      <c r="AF67" s="12" t="str">
        <f t="shared" ref="AF67:AF89" si="1">"3 mois = "&amp;TEXT(ROUND(3/12*T67,0),"### ### ##0 €")</f>
        <v>3 mois = 26 081 €</v>
      </c>
      <c r="AG67" s="6" t="s">
        <v>98</v>
      </c>
      <c r="AH67" s="6" t="s">
        <v>98</v>
      </c>
      <c r="AI67" s="12" t="s">
        <v>373</v>
      </c>
      <c r="AJ67" s="10" t="s">
        <v>70</v>
      </c>
      <c r="AK67" s="10" t="s">
        <v>363</v>
      </c>
      <c r="AL67" s="4" t="s">
        <v>836</v>
      </c>
      <c r="AM67" s="5" t="s">
        <v>350</v>
      </c>
      <c r="AN67" s="5"/>
      <c r="AO67" s="5" t="s">
        <v>361</v>
      </c>
      <c r="AP67" s="5" t="s">
        <v>828</v>
      </c>
      <c r="AQ67" s="5" t="s">
        <v>829</v>
      </c>
      <c r="AR67" s="32" t="s">
        <v>478</v>
      </c>
      <c r="AS67" s="35" t="s">
        <v>1035</v>
      </c>
      <c r="AT67" s="5" t="s">
        <v>70</v>
      </c>
      <c r="AU67" s="11" t="s">
        <v>370</v>
      </c>
      <c r="AV67" s="13" t="s">
        <v>37</v>
      </c>
      <c r="AW67" s="14"/>
      <c r="AX67" s="44"/>
      <c r="AY67" s="1"/>
      <c r="AZ67" s="1"/>
      <c r="BG67" s="1"/>
    </row>
    <row r="68" spans="1:59" ht="25.5">
      <c r="A68" s="10" t="str">
        <f>VLOOKUP(Tableau1[[#This Row],[N° Département]],Feuil1!$C$6:$E$106,3)</f>
        <v>Ile-de-France</v>
      </c>
      <c r="B68" s="4" t="str">
        <f>VLOOKUP(Tableau1[[#This Row],[N° Département]],Feuil1!$C$6:$E$106,2)</f>
        <v>Hauts-de-Seine</v>
      </c>
      <c r="C68" s="10">
        <f>LEFT(Tableau1[[#This Row],[Code Postal]],2)*1</f>
        <v>92</v>
      </c>
      <c r="D68" s="10" t="s">
        <v>129</v>
      </c>
      <c r="E68" s="26">
        <v>92290</v>
      </c>
      <c r="F68" s="10" t="s">
        <v>89</v>
      </c>
      <c r="G68" s="5" t="str">
        <f>Tableau1[[#This Row],[Rue]]&amp;CHAR(10)&amp;Tableau1[[#This Row],[Code Postal]]&amp;" - "&amp;Tableau1[[#This Row],[Ville]]</f>
        <v>Cours du Commerce
92290 - Châtenay-Malabry</v>
      </c>
      <c r="H68" s="15" t="s">
        <v>838</v>
      </c>
      <c r="I68" s="6" t="s">
        <v>45</v>
      </c>
      <c r="J68" s="6" t="s">
        <v>44</v>
      </c>
      <c r="K68" s="12" t="s">
        <v>98</v>
      </c>
      <c r="L68" s="12"/>
      <c r="M68" s="12" t="s">
        <v>98</v>
      </c>
      <c r="N68" s="36" t="s">
        <v>825</v>
      </c>
      <c r="O68" s="34">
        <v>159</v>
      </c>
      <c r="P68" s="6" t="s">
        <v>98</v>
      </c>
      <c r="Q68" s="34" t="s">
        <v>98</v>
      </c>
      <c r="R68" s="34" t="s">
        <v>98</v>
      </c>
      <c r="S68" s="6" t="s">
        <v>98</v>
      </c>
      <c r="T68" s="12">
        <f>Tableau1[[#This Row],[Loyer €/m²]]*Tableau1[[#This Row],[Surface GLA]]</f>
        <v>51675</v>
      </c>
      <c r="U68" s="6">
        <f>IFERROR(Tableau1[[#This Row],[Loyer annuel]]/12,"")</f>
        <v>4306.25</v>
      </c>
      <c r="V68" s="12">
        <v>325</v>
      </c>
      <c r="W68" s="6" t="s">
        <v>98</v>
      </c>
      <c r="X68" s="6">
        <f>Tableau1[[#This Row],[Charges €/m²]]*Tableau1[[#This Row],[Surface GLA]]</f>
        <v>4770</v>
      </c>
      <c r="Y68" s="12">
        <f>Tableau1[[#This Row],[Charges annuelles]]/12</f>
        <v>397.5</v>
      </c>
      <c r="Z68" s="12">
        <v>30</v>
      </c>
      <c r="AA68" s="12">
        <f>IFERROR(Tableau1[[#This Row],[Taxe foncière €/m²]]*Tableau1[[#This Row],[Surface GLA]],)</f>
        <v>0</v>
      </c>
      <c r="AB68" s="6" t="s">
        <v>98</v>
      </c>
      <c r="AC68" s="12">
        <f>IFERROR(Tableau1[[#This Row],[Marketing €/m²]]*Tableau1[[#This Row],[Surface GLA]],)</f>
        <v>0</v>
      </c>
      <c r="AD68" s="6" t="s">
        <v>98</v>
      </c>
      <c r="AE68" s="12">
        <f>IFERROR(Tableau1[[#This Row],[Loyer annuel]]+Tableau1[[#This Row],[Charges annuelles]]+Tableau1[[#This Row],[Taxe foncière]]+Tableau1[[#This Row],[Marketing]],"")</f>
        <v>56445</v>
      </c>
      <c r="AF68" s="12" t="str">
        <f t="shared" si="1"/>
        <v>3 mois = 12 919 €</v>
      </c>
      <c r="AG68" s="6" t="s">
        <v>98</v>
      </c>
      <c r="AH68" s="6" t="s">
        <v>98</v>
      </c>
      <c r="AI68" s="12" t="s">
        <v>373</v>
      </c>
      <c r="AJ68" s="10" t="s">
        <v>70</v>
      </c>
      <c r="AK68" s="10" t="s">
        <v>363</v>
      </c>
      <c r="AL68" s="4" t="s">
        <v>836</v>
      </c>
      <c r="AM68" s="5" t="s">
        <v>350</v>
      </c>
      <c r="AN68" s="5"/>
      <c r="AO68" s="5" t="s">
        <v>361</v>
      </c>
      <c r="AP68" s="11" t="s">
        <v>830</v>
      </c>
      <c r="AQ68" s="11" t="s">
        <v>831</v>
      </c>
      <c r="AR68" s="32" t="s">
        <v>479</v>
      </c>
      <c r="AS68" s="35" t="s">
        <v>1036</v>
      </c>
      <c r="AT68" s="5" t="s">
        <v>70</v>
      </c>
      <c r="AU68" s="11" t="s">
        <v>370</v>
      </c>
      <c r="AV68" s="13" t="s">
        <v>37</v>
      </c>
      <c r="AW68" s="14"/>
      <c r="AX68" s="44"/>
      <c r="AY68" s="1"/>
      <c r="AZ68" s="1"/>
      <c r="BG68" s="1"/>
    </row>
    <row r="69" spans="1:59" ht="25.5">
      <c r="A69" s="10" t="str">
        <f>VLOOKUP(Tableau1[[#This Row],[N° Département]],Feuil1!$C$6:$E$106,3)</f>
        <v>Ile-de-France</v>
      </c>
      <c r="B69" s="4" t="str">
        <f>VLOOKUP(Tableau1[[#This Row],[N° Département]],Feuil1!$C$6:$E$106,2)</f>
        <v>Hauts-de-Seine</v>
      </c>
      <c r="C69" s="10">
        <f>LEFT(Tableau1[[#This Row],[Code Postal]],2)*1</f>
        <v>92</v>
      </c>
      <c r="D69" s="10" t="s">
        <v>129</v>
      </c>
      <c r="E69" s="26">
        <v>92290</v>
      </c>
      <c r="F69" s="10" t="s">
        <v>89</v>
      </c>
      <c r="G69" s="5" t="str">
        <f>Tableau1[[#This Row],[Rue]]&amp;CHAR(10)&amp;Tableau1[[#This Row],[Code Postal]]&amp;" - "&amp;Tableau1[[#This Row],[Ville]]</f>
        <v>Cours du Commerce
92290 - Châtenay-Malabry</v>
      </c>
      <c r="H69" s="15" t="s">
        <v>839</v>
      </c>
      <c r="I69" s="6" t="s">
        <v>45</v>
      </c>
      <c r="J69" s="6" t="s">
        <v>44</v>
      </c>
      <c r="K69" s="12" t="s">
        <v>98</v>
      </c>
      <c r="L69" s="12"/>
      <c r="M69" s="12" t="s">
        <v>98</v>
      </c>
      <c r="N69" s="36" t="s">
        <v>826</v>
      </c>
      <c r="O69" s="34">
        <v>281</v>
      </c>
      <c r="P69" s="6" t="s">
        <v>98</v>
      </c>
      <c r="Q69" s="34" t="s">
        <v>98</v>
      </c>
      <c r="R69" s="34" t="s">
        <v>98</v>
      </c>
      <c r="S69" s="6" t="s">
        <v>98</v>
      </c>
      <c r="T69" s="12">
        <f>Tableau1[[#This Row],[Loyer €/m²]]*Tableau1[[#This Row],[Surface GLA]]</f>
        <v>91325</v>
      </c>
      <c r="U69" s="6">
        <f>IFERROR(Tableau1[[#This Row],[Loyer annuel]]/12,"")</f>
        <v>7610.416666666667</v>
      </c>
      <c r="V69" s="12">
        <v>325</v>
      </c>
      <c r="W69" s="6" t="s">
        <v>98</v>
      </c>
      <c r="X69" s="6">
        <f>Tableau1[[#This Row],[Charges €/m²]]*Tableau1[[#This Row],[Surface GLA]]</f>
        <v>8430</v>
      </c>
      <c r="Y69" s="12">
        <f>Tableau1[[#This Row],[Charges annuelles]]/12</f>
        <v>702.5</v>
      </c>
      <c r="Z69" s="12">
        <v>30</v>
      </c>
      <c r="AA69" s="12">
        <f>IFERROR(Tableau1[[#This Row],[Taxe foncière €/m²]]*Tableau1[[#This Row],[Surface GLA]],)</f>
        <v>0</v>
      </c>
      <c r="AB69" s="6" t="s">
        <v>98</v>
      </c>
      <c r="AC69" s="12">
        <f>IFERROR(Tableau1[[#This Row],[Marketing €/m²]]*Tableau1[[#This Row],[Surface GLA]],)</f>
        <v>0</v>
      </c>
      <c r="AD69" s="6" t="s">
        <v>98</v>
      </c>
      <c r="AE69" s="12">
        <f>IFERROR(Tableau1[[#This Row],[Loyer annuel]]+Tableau1[[#This Row],[Charges annuelles]]+Tableau1[[#This Row],[Taxe foncière]]+Tableau1[[#This Row],[Marketing]],"")</f>
        <v>99755</v>
      </c>
      <c r="AF69" s="12" t="str">
        <f t="shared" si="1"/>
        <v>3 mois = 22 831 €</v>
      </c>
      <c r="AG69" s="6" t="s">
        <v>98</v>
      </c>
      <c r="AH69" s="6" t="s">
        <v>98</v>
      </c>
      <c r="AI69" s="12" t="s">
        <v>373</v>
      </c>
      <c r="AJ69" s="10" t="s">
        <v>70</v>
      </c>
      <c r="AK69" s="10" t="s">
        <v>363</v>
      </c>
      <c r="AL69" s="4" t="s">
        <v>836</v>
      </c>
      <c r="AM69" s="5" t="s">
        <v>350</v>
      </c>
      <c r="AN69" s="5"/>
      <c r="AO69" s="5" t="s">
        <v>361</v>
      </c>
      <c r="AP69" s="11" t="s">
        <v>832</v>
      </c>
      <c r="AQ69" s="11" t="s">
        <v>833</v>
      </c>
      <c r="AR69" s="32" t="s">
        <v>480</v>
      </c>
      <c r="AS69" s="35" t="s">
        <v>1037</v>
      </c>
      <c r="AT69" s="5" t="s">
        <v>70</v>
      </c>
      <c r="AU69" s="11" t="s">
        <v>370</v>
      </c>
      <c r="AV69" s="13" t="s">
        <v>37</v>
      </c>
      <c r="AW69" s="14"/>
      <c r="AX69" s="44"/>
      <c r="AY69" s="1"/>
      <c r="AZ69" s="1"/>
      <c r="BG69" s="1"/>
    </row>
    <row r="70" spans="1:59" ht="25.5">
      <c r="A70" s="10" t="str">
        <f>VLOOKUP(Tableau1[[#This Row],[N° Département]],Feuil1!$C$6:$E$106,3)</f>
        <v>Ile-de-France</v>
      </c>
      <c r="B70" s="4" t="str">
        <f>VLOOKUP(Tableau1[[#This Row],[N° Département]],Feuil1!$C$6:$E$106,2)</f>
        <v>Hauts-de-Seine</v>
      </c>
      <c r="C70" s="10">
        <f>LEFT(Tableau1[[#This Row],[Code Postal]],2)*1</f>
        <v>92</v>
      </c>
      <c r="D70" s="10" t="s">
        <v>129</v>
      </c>
      <c r="E70" s="26">
        <v>92290</v>
      </c>
      <c r="F70" s="10" t="s">
        <v>89</v>
      </c>
      <c r="G70" s="5" t="str">
        <f>Tableau1[[#This Row],[Rue]]&amp;CHAR(10)&amp;Tableau1[[#This Row],[Code Postal]]&amp;" - "&amp;Tableau1[[#This Row],[Ville]]</f>
        <v>Cours du Commerce
92290 - Châtenay-Malabry</v>
      </c>
      <c r="H70" s="15" t="s">
        <v>840</v>
      </c>
      <c r="I70" s="6" t="s">
        <v>45</v>
      </c>
      <c r="J70" s="6" t="s">
        <v>44</v>
      </c>
      <c r="K70" s="12" t="s">
        <v>98</v>
      </c>
      <c r="L70" s="12"/>
      <c r="M70" s="12" t="s">
        <v>98</v>
      </c>
      <c r="N70" s="36" t="s">
        <v>827</v>
      </c>
      <c r="O70" s="34">
        <v>168</v>
      </c>
      <c r="P70" s="6" t="s">
        <v>98</v>
      </c>
      <c r="Q70" s="34" t="s">
        <v>98</v>
      </c>
      <c r="R70" s="34" t="s">
        <v>98</v>
      </c>
      <c r="S70" s="6" t="s">
        <v>98</v>
      </c>
      <c r="T70" s="12">
        <f>Tableau1[[#This Row],[Loyer €/m²]]*Tableau1[[#This Row],[Surface GLA]]</f>
        <v>54600</v>
      </c>
      <c r="U70" s="6">
        <f>IFERROR(Tableau1[[#This Row],[Loyer annuel]]/12,"")</f>
        <v>4550</v>
      </c>
      <c r="V70" s="12">
        <v>325</v>
      </c>
      <c r="W70" s="6" t="s">
        <v>98</v>
      </c>
      <c r="X70" s="6">
        <f>Tableau1[[#This Row],[Charges €/m²]]*Tableau1[[#This Row],[Surface GLA]]</f>
        <v>5040</v>
      </c>
      <c r="Y70" s="12">
        <f>Tableau1[[#This Row],[Charges annuelles]]/12</f>
        <v>420</v>
      </c>
      <c r="Z70" s="12">
        <v>30</v>
      </c>
      <c r="AA70" s="12">
        <f>IFERROR(Tableau1[[#This Row],[Taxe foncière €/m²]]*Tableau1[[#This Row],[Surface GLA]],)</f>
        <v>0</v>
      </c>
      <c r="AB70" s="6" t="s">
        <v>98</v>
      </c>
      <c r="AC70" s="12">
        <f>IFERROR(Tableau1[[#This Row],[Marketing €/m²]]*Tableau1[[#This Row],[Surface GLA]],)</f>
        <v>0</v>
      </c>
      <c r="AD70" s="6" t="s">
        <v>98</v>
      </c>
      <c r="AE70" s="12">
        <f>IFERROR(Tableau1[[#This Row],[Loyer annuel]]+Tableau1[[#This Row],[Charges annuelles]]+Tableau1[[#This Row],[Taxe foncière]]+Tableau1[[#This Row],[Marketing]],"")</f>
        <v>59640</v>
      </c>
      <c r="AF70" s="12" t="str">
        <f t="shared" si="1"/>
        <v>3 mois = 13 650 €</v>
      </c>
      <c r="AG70" s="6" t="s">
        <v>98</v>
      </c>
      <c r="AH70" s="6" t="s">
        <v>98</v>
      </c>
      <c r="AI70" s="12" t="s">
        <v>373</v>
      </c>
      <c r="AJ70" s="10" t="s">
        <v>70</v>
      </c>
      <c r="AK70" s="10" t="s">
        <v>363</v>
      </c>
      <c r="AL70" s="4" t="s">
        <v>836</v>
      </c>
      <c r="AM70" s="5" t="s">
        <v>350</v>
      </c>
      <c r="AN70" s="5"/>
      <c r="AO70" s="5" t="s">
        <v>361</v>
      </c>
      <c r="AP70" s="11" t="s">
        <v>834</v>
      </c>
      <c r="AQ70" s="11" t="s">
        <v>835</v>
      </c>
      <c r="AR70" s="32" t="s">
        <v>481</v>
      </c>
      <c r="AS70" s="35" t="s">
        <v>1038</v>
      </c>
      <c r="AT70" s="5" t="s">
        <v>70</v>
      </c>
      <c r="AU70" s="11" t="s">
        <v>370</v>
      </c>
      <c r="AV70" s="13" t="s">
        <v>37</v>
      </c>
      <c r="AW70" s="14"/>
      <c r="AX70" s="44"/>
      <c r="AY70" s="1"/>
      <c r="AZ70" s="1"/>
      <c r="BG70" s="1"/>
    </row>
    <row r="71" spans="1:59" ht="25.5">
      <c r="A71" s="10" t="str">
        <f>VLOOKUP(Tableau1[[#This Row],[N° Département]],Feuil1!$C$6:$E$106,3)</f>
        <v>Ile-de-France</v>
      </c>
      <c r="B71" s="4" t="str">
        <f>VLOOKUP(Tableau1[[#This Row],[N° Département]],Feuil1!$C$6:$E$106,2)</f>
        <v>Hauts-de-Seine</v>
      </c>
      <c r="C71" s="10">
        <f>LEFT(Tableau1[[#This Row],[Code Postal]],2)*1</f>
        <v>92</v>
      </c>
      <c r="D71" s="10" t="s">
        <v>129</v>
      </c>
      <c r="E71" s="26">
        <v>92290</v>
      </c>
      <c r="F71" s="10" t="s">
        <v>89</v>
      </c>
      <c r="G71" s="5" t="str">
        <f>Tableau1[[#This Row],[Rue]]&amp;CHAR(10)&amp;Tableau1[[#This Row],[Code Postal]]&amp;" - "&amp;Tableau1[[#This Row],[Ville]]</f>
        <v>Cours du Commerce
92290 - Châtenay-Malabry</v>
      </c>
      <c r="H71" s="15" t="s">
        <v>841</v>
      </c>
      <c r="I71" s="6" t="s">
        <v>45</v>
      </c>
      <c r="J71" s="6" t="s">
        <v>44</v>
      </c>
      <c r="K71" s="12" t="s">
        <v>98</v>
      </c>
      <c r="L71" s="12"/>
      <c r="M71" s="12" t="s">
        <v>98</v>
      </c>
      <c r="N71" s="36" t="s">
        <v>331</v>
      </c>
      <c r="O71" s="34">
        <v>228</v>
      </c>
      <c r="P71" s="6" t="s">
        <v>98</v>
      </c>
      <c r="Q71" s="34" t="s">
        <v>98</v>
      </c>
      <c r="R71" s="34" t="s">
        <v>98</v>
      </c>
      <c r="S71" s="6" t="s">
        <v>98</v>
      </c>
      <c r="T71" s="12">
        <f>Tableau1[[#This Row],[Loyer €/m²]]*Tableau1[[#This Row],[Surface GLA]]</f>
        <v>74100</v>
      </c>
      <c r="U71" s="6">
        <f>IFERROR(Tableau1[[#This Row],[Loyer annuel]]/12,"")</f>
        <v>6175</v>
      </c>
      <c r="V71" s="12">
        <v>325</v>
      </c>
      <c r="W71" s="6" t="s">
        <v>98</v>
      </c>
      <c r="X71" s="6">
        <f>Tableau1[[#This Row],[Charges €/m²]]*Tableau1[[#This Row],[Surface GLA]]</f>
        <v>6840</v>
      </c>
      <c r="Y71" s="12">
        <f>Tableau1[[#This Row],[Charges annuelles]]/12</f>
        <v>570</v>
      </c>
      <c r="Z71" s="12">
        <v>30</v>
      </c>
      <c r="AA71" s="12">
        <f>IFERROR(Tableau1[[#This Row],[Taxe foncière €/m²]]*Tableau1[[#This Row],[Surface GLA]],)</f>
        <v>0</v>
      </c>
      <c r="AB71" s="6" t="s">
        <v>98</v>
      </c>
      <c r="AC71" s="12">
        <f>IFERROR(Tableau1[[#This Row],[Marketing €/m²]]*Tableau1[[#This Row],[Surface GLA]],)</f>
        <v>0</v>
      </c>
      <c r="AD71" s="6" t="s">
        <v>98</v>
      </c>
      <c r="AE71" s="12">
        <f>IFERROR(Tableau1[[#This Row],[Loyer annuel]]+Tableau1[[#This Row],[Charges annuelles]]+Tableau1[[#This Row],[Taxe foncière]]+Tableau1[[#This Row],[Marketing]],"")</f>
        <v>80940</v>
      </c>
      <c r="AF71" s="12" t="str">
        <f t="shared" si="1"/>
        <v>3 mois = 18 525 €</v>
      </c>
      <c r="AG71" s="6" t="s">
        <v>98</v>
      </c>
      <c r="AH71" s="6" t="s">
        <v>98</v>
      </c>
      <c r="AI71" s="12" t="s">
        <v>373</v>
      </c>
      <c r="AJ71" s="10" t="s">
        <v>70</v>
      </c>
      <c r="AK71" s="10" t="s">
        <v>363</v>
      </c>
      <c r="AL71" s="4" t="s">
        <v>836</v>
      </c>
      <c r="AM71" s="5" t="s">
        <v>350</v>
      </c>
      <c r="AN71" s="5"/>
      <c r="AO71" s="5" t="s">
        <v>361</v>
      </c>
      <c r="AP71" s="11" t="s">
        <v>812</v>
      </c>
      <c r="AQ71" s="11" t="s">
        <v>813</v>
      </c>
      <c r="AR71" s="32" t="s">
        <v>482</v>
      </c>
      <c r="AS71" s="35" t="s">
        <v>1039</v>
      </c>
      <c r="AT71" s="5" t="s">
        <v>70</v>
      </c>
      <c r="AU71" s="11" t="s">
        <v>370</v>
      </c>
      <c r="AV71" s="13" t="s">
        <v>37</v>
      </c>
      <c r="AW71" s="14"/>
      <c r="AX71" s="44"/>
      <c r="AY71" s="1"/>
      <c r="AZ71" s="1"/>
      <c r="BG71" s="1"/>
    </row>
    <row r="72" spans="1:59" ht="25.5">
      <c r="A72" s="10" t="str">
        <f>VLOOKUP(Tableau1[[#This Row],[N° Département]],Feuil1!$C$6:$E$106,3)</f>
        <v>Ile-de-France</v>
      </c>
      <c r="B72" s="4" t="str">
        <f>VLOOKUP(Tableau1[[#This Row],[N° Département]],Feuil1!$C$6:$E$106,2)</f>
        <v>Hauts-de-Seine</v>
      </c>
      <c r="C72" s="10">
        <f>LEFT(Tableau1[[#This Row],[Code Postal]],2)*1</f>
        <v>92</v>
      </c>
      <c r="D72" s="10" t="s">
        <v>129</v>
      </c>
      <c r="E72" s="26">
        <v>92290</v>
      </c>
      <c r="F72" s="10" t="s">
        <v>89</v>
      </c>
      <c r="G72" s="5" t="str">
        <f>Tableau1[[#This Row],[Rue]]&amp;CHAR(10)&amp;Tableau1[[#This Row],[Code Postal]]&amp;" - "&amp;Tableau1[[#This Row],[Ville]]</f>
        <v>Cours du Commerce
92290 - Châtenay-Malabry</v>
      </c>
      <c r="H72" s="15" t="s">
        <v>841</v>
      </c>
      <c r="I72" s="6" t="s">
        <v>45</v>
      </c>
      <c r="J72" s="6" t="s">
        <v>44</v>
      </c>
      <c r="K72" s="12" t="s">
        <v>98</v>
      </c>
      <c r="L72" s="12"/>
      <c r="M72" s="12" t="s">
        <v>98</v>
      </c>
      <c r="N72" s="36" t="s">
        <v>332</v>
      </c>
      <c r="O72" s="34">
        <v>133</v>
      </c>
      <c r="P72" s="6" t="s">
        <v>98</v>
      </c>
      <c r="Q72" s="34" t="s">
        <v>98</v>
      </c>
      <c r="R72" s="34" t="s">
        <v>98</v>
      </c>
      <c r="S72" s="6" t="s">
        <v>98</v>
      </c>
      <c r="T72" s="12">
        <f>Tableau1[[#This Row],[Loyer €/m²]]*Tableau1[[#This Row],[Surface GLA]]</f>
        <v>43225</v>
      </c>
      <c r="U72" s="6">
        <f>IFERROR(Tableau1[[#This Row],[Loyer annuel]]/12,"")</f>
        <v>3602.0833333333335</v>
      </c>
      <c r="V72" s="12">
        <v>325</v>
      </c>
      <c r="W72" s="6" t="s">
        <v>98</v>
      </c>
      <c r="X72" s="6">
        <f>Tableau1[[#This Row],[Charges €/m²]]*Tableau1[[#This Row],[Surface GLA]]</f>
        <v>3990</v>
      </c>
      <c r="Y72" s="12">
        <f>Tableau1[[#This Row],[Charges annuelles]]/12</f>
        <v>332.5</v>
      </c>
      <c r="Z72" s="12">
        <v>30</v>
      </c>
      <c r="AA72" s="12">
        <f>IFERROR(Tableau1[[#This Row],[Taxe foncière €/m²]]*Tableau1[[#This Row],[Surface GLA]],)</f>
        <v>0</v>
      </c>
      <c r="AB72" s="6" t="s">
        <v>98</v>
      </c>
      <c r="AC72" s="12">
        <f>IFERROR(Tableau1[[#This Row],[Marketing €/m²]]*Tableau1[[#This Row],[Surface GLA]],)</f>
        <v>0</v>
      </c>
      <c r="AD72" s="6" t="s">
        <v>98</v>
      </c>
      <c r="AE72" s="12">
        <f>IFERROR(Tableau1[[#This Row],[Loyer annuel]]+Tableau1[[#This Row],[Charges annuelles]]+Tableau1[[#This Row],[Taxe foncière]]+Tableau1[[#This Row],[Marketing]],"")</f>
        <v>47215</v>
      </c>
      <c r="AF72" s="12" t="str">
        <f t="shared" si="1"/>
        <v>3 mois = 10 806 €</v>
      </c>
      <c r="AG72" s="6" t="s">
        <v>98</v>
      </c>
      <c r="AH72" s="6" t="s">
        <v>98</v>
      </c>
      <c r="AI72" s="12" t="s">
        <v>373</v>
      </c>
      <c r="AJ72" s="10" t="s">
        <v>70</v>
      </c>
      <c r="AK72" s="10" t="s">
        <v>363</v>
      </c>
      <c r="AL72" s="4" t="s">
        <v>836</v>
      </c>
      <c r="AM72" s="5" t="s">
        <v>350</v>
      </c>
      <c r="AN72" s="5"/>
      <c r="AO72" s="5" t="s">
        <v>361</v>
      </c>
      <c r="AP72" s="11" t="s">
        <v>814</v>
      </c>
      <c r="AQ72" s="11" t="s">
        <v>815</v>
      </c>
      <c r="AR72" s="32" t="s">
        <v>483</v>
      </c>
      <c r="AS72" s="35" t="s">
        <v>1040</v>
      </c>
      <c r="AT72" s="5" t="s">
        <v>70</v>
      </c>
      <c r="AU72" s="11" t="s">
        <v>370</v>
      </c>
      <c r="AV72" s="13" t="s">
        <v>37</v>
      </c>
      <c r="AW72" s="14"/>
      <c r="AX72" s="44"/>
      <c r="AY72" s="1"/>
      <c r="AZ72" s="1"/>
      <c r="BG72" s="1"/>
    </row>
    <row r="73" spans="1:59" ht="25.5">
      <c r="A73" s="10" t="str">
        <f>VLOOKUP(Tableau1[[#This Row],[N° Département]],Feuil1!$C$6:$E$106,3)</f>
        <v>Ile-de-France</v>
      </c>
      <c r="B73" s="4" t="str">
        <f>VLOOKUP(Tableau1[[#This Row],[N° Département]],Feuil1!$C$6:$E$106,2)</f>
        <v>Hauts-de-Seine</v>
      </c>
      <c r="C73" s="10">
        <f>LEFT(Tableau1[[#This Row],[Code Postal]],2)*1</f>
        <v>92</v>
      </c>
      <c r="D73" s="10" t="s">
        <v>129</v>
      </c>
      <c r="E73" s="26">
        <v>92290</v>
      </c>
      <c r="F73" s="10" t="s">
        <v>89</v>
      </c>
      <c r="G73" s="5" t="str">
        <f>Tableau1[[#This Row],[Rue]]&amp;CHAR(10)&amp;Tableau1[[#This Row],[Code Postal]]&amp;" - "&amp;Tableau1[[#This Row],[Ville]]</f>
        <v>Cours du Commerce
92290 - Châtenay-Malabry</v>
      </c>
      <c r="H73" s="15" t="s">
        <v>842</v>
      </c>
      <c r="I73" s="6" t="s">
        <v>45</v>
      </c>
      <c r="J73" s="6" t="s">
        <v>44</v>
      </c>
      <c r="K73" s="12" t="s">
        <v>98</v>
      </c>
      <c r="L73" s="12"/>
      <c r="M73" s="12" t="s">
        <v>98</v>
      </c>
      <c r="N73" s="36" t="s">
        <v>333</v>
      </c>
      <c r="O73" s="34">
        <v>341</v>
      </c>
      <c r="P73" s="6" t="s">
        <v>98</v>
      </c>
      <c r="Q73" s="34" t="s">
        <v>98</v>
      </c>
      <c r="R73" s="34" t="s">
        <v>98</v>
      </c>
      <c r="S73" s="6" t="s">
        <v>98</v>
      </c>
      <c r="T73" s="12">
        <f>Tableau1[[#This Row],[Loyer €/m²]]*Tableau1[[#This Row],[Surface GLA]]</f>
        <v>119350</v>
      </c>
      <c r="U73" s="6">
        <f>IFERROR(Tableau1[[#This Row],[Loyer annuel]]/12,"")</f>
        <v>9945.8333333333339</v>
      </c>
      <c r="V73" s="12">
        <v>350</v>
      </c>
      <c r="W73" s="6" t="s">
        <v>98</v>
      </c>
      <c r="X73" s="6">
        <f>Tableau1[[#This Row],[Charges €/m²]]*Tableau1[[#This Row],[Surface GLA]]</f>
        <v>10230</v>
      </c>
      <c r="Y73" s="12">
        <f>Tableau1[[#This Row],[Charges annuelles]]/12</f>
        <v>852.5</v>
      </c>
      <c r="Z73" s="12">
        <v>30</v>
      </c>
      <c r="AA73" s="12">
        <f>IFERROR(Tableau1[[#This Row],[Taxe foncière €/m²]]*Tableau1[[#This Row],[Surface GLA]],)</f>
        <v>0</v>
      </c>
      <c r="AB73" s="6" t="s">
        <v>98</v>
      </c>
      <c r="AC73" s="12">
        <f>IFERROR(Tableau1[[#This Row],[Marketing €/m²]]*Tableau1[[#This Row],[Surface GLA]],)</f>
        <v>0</v>
      </c>
      <c r="AD73" s="6" t="s">
        <v>98</v>
      </c>
      <c r="AE73" s="12">
        <f>IFERROR(Tableau1[[#This Row],[Loyer annuel]]+Tableau1[[#This Row],[Charges annuelles]]+Tableau1[[#This Row],[Taxe foncière]]+Tableau1[[#This Row],[Marketing]],"")</f>
        <v>129580</v>
      </c>
      <c r="AF73" s="12" t="str">
        <f t="shared" si="1"/>
        <v>3 mois = 29 838 €</v>
      </c>
      <c r="AG73" s="6" t="s">
        <v>98</v>
      </c>
      <c r="AH73" s="6" t="s">
        <v>98</v>
      </c>
      <c r="AI73" s="12" t="s">
        <v>373</v>
      </c>
      <c r="AJ73" s="10" t="s">
        <v>70</v>
      </c>
      <c r="AK73" s="10" t="s">
        <v>363</v>
      </c>
      <c r="AL73" s="4" t="s">
        <v>836</v>
      </c>
      <c r="AM73" s="5" t="s">
        <v>350</v>
      </c>
      <c r="AN73" s="5"/>
      <c r="AO73" s="5" t="s">
        <v>361</v>
      </c>
      <c r="AP73" s="11" t="s">
        <v>810</v>
      </c>
      <c r="AQ73" s="11" t="s">
        <v>811</v>
      </c>
      <c r="AR73" s="32" t="s">
        <v>484</v>
      </c>
      <c r="AS73" s="35" t="s">
        <v>1041</v>
      </c>
      <c r="AT73" s="5" t="s">
        <v>70</v>
      </c>
      <c r="AU73" s="11" t="s">
        <v>370</v>
      </c>
      <c r="AV73" s="13" t="s">
        <v>37</v>
      </c>
      <c r="AW73" s="14"/>
      <c r="AX73" s="44"/>
      <c r="AY73" s="1"/>
      <c r="AZ73" s="1"/>
      <c r="BG73" s="1"/>
    </row>
    <row r="74" spans="1:59" ht="25.5">
      <c r="A74" s="10" t="str">
        <f>VLOOKUP(Tableau1[[#This Row],[N° Département]],Feuil1!$C$6:$E$106,3)</f>
        <v>Ile-de-France</v>
      </c>
      <c r="B74" s="4" t="str">
        <f>VLOOKUP(Tableau1[[#This Row],[N° Département]],Feuil1!$C$6:$E$106,2)</f>
        <v>Hauts-de-Seine</v>
      </c>
      <c r="C74" s="10">
        <f>LEFT(Tableau1[[#This Row],[Code Postal]],2)*1</f>
        <v>92</v>
      </c>
      <c r="D74" s="10" t="s">
        <v>129</v>
      </c>
      <c r="E74" s="26">
        <v>92290</v>
      </c>
      <c r="F74" s="10" t="s">
        <v>89</v>
      </c>
      <c r="G74" s="5" t="str">
        <f>Tableau1[[#This Row],[Rue]]&amp;CHAR(10)&amp;Tableau1[[#This Row],[Code Postal]]&amp;" - "&amp;Tableau1[[#This Row],[Ville]]</f>
        <v>Cours du Commerce
92290 - Châtenay-Malabry</v>
      </c>
      <c r="H74" s="15" t="s">
        <v>843</v>
      </c>
      <c r="I74" s="6" t="s">
        <v>45</v>
      </c>
      <c r="J74" s="6" t="s">
        <v>44</v>
      </c>
      <c r="K74" s="12" t="s">
        <v>98</v>
      </c>
      <c r="L74" s="12"/>
      <c r="M74" s="12" t="s">
        <v>98</v>
      </c>
      <c r="N74" s="36" t="s">
        <v>334</v>
      </c>
      <c r="O74" s="34">
        <v>444</v>
      </c>
      <c r="P74" s="6" t="s">
        <v>98</v>
      </c>
      <c r="Q74" s="34" t="s">
        <v>98</v>
      </c>
      <c r="R74" s="34" t="s">
        <v>98</v>
      </c>
      <c r="S74" s="6" t="s">
        <v>98</v>
      </c>
      <c r="T74" s="12">
        <f>Tableau1[[#This Row],[Loyer €/m²]]*Tableau1[[#This Row],[Surface GLA]]</f>
        <v>155400</v>
      </c>
      <c r="U74" s="6">
        <f>IFERROR(Tableau1[[#This Row],[Loyer annuel]]/12,"")</f>
        <v>12950</v>
      </c>
      <c r="V74" s="12">
        <v>350</v>
      </c>
      <c r="W74" s="6" t="s">
        <v>98</v>
      </c>
      <c r="X74" s="6">
        <f>Tableau1[[#This Row],[Charges €/m²]]*Tableau1[[#This Row],[Surface GLA]]</f>
        <v>13320</v>
      </c>
      <c r="Y74" s="12">
        <f>Tableau1[[#This Row],[Charges annuelles]]/12</f>
        <v>1110</v>
      </c>
      <c r="Z74" s="12">
        <v>30</v>
      </c>
      <c r="AA74" s="12">
        <f>IFERROR(Tableau1[[#This Row],[Taxe foncière €/m²]]*Tableau1[[#This Row],[Surface GLA]],)</f>
        <v>0</v>
      </c>
      <c r="AB74" s="6" t="s">
        <v>98</v>
      </c>
      <c r="AC74" s="12">
        <f>IFERROR(Tableau1[[#This Row],[Marketing €/m²]]*Tableau1[[#This Row],[Surface GLA]],)</f>
        <v>0</v>
      </c>
      <c r="AD74" s="6" t="s">
        <v>98</v>
      </c>
      <c r="AE74" s="12">
        <f>IFERROR(Tableau1[[#This Row],[Loyer annuel]]+Tableau1[[#This Row],[Charges annuelles]]+Tableau1[[#This Row],[Taxe foncière]]+Tableau1[[#This Row],[Marketing]],"")</f>
        <v>168720</v>
      </c>
      <c r="AF74" s="12" t="str">
        <f t="shared" si="1"/>
        <v>3 mois = 38 850 €</v>
      </c>
      <c r="AG74" s="6" t="s">
        <v>98</v>
      </c>
      <c r="AH74" s="6" t="s">
        <v>98</v>
      </c>
      <c r="AI74" s="12" t="s">
        <v>373</v>
      </c>
      <c r="AJ74" s="10" t="s">
        <v>70</v>
      </c>
      <c r="AK74" s="10" t="s">
        <v>363</v>
      </c>
      <c r="AL74" s="4" t="s">
        <v>836</v>
      </c>
      <c r="AM74" s="5" t="s">
        <v>350</v>
      </c>
      <c r="AN74" s="5"/>
      <c r="AO74" s="5" t="s">
        <v>361</v>
      </c>
      <c r="AP74" s="11" t="s">
        <v>816</v>
      </c>
      <c r="AQ74" s="11" t="s">
        <v>817</v>
      </c>
      <c r="AR74" s="32" t="s">
        <v>485</v>
      </c>
      <c r="AS74" s="35" t="s">
        <v>1042</v>
      </c>
      <c r="AT74" s="5" t="s">
        <v>70</v>
      </c>
      <c r="AU74" s="11" t="s">
        <v>370</v>
      </c>
      <c r="AV74" s="13" t="s">
        <v>37</v>
      </c>
      <c r="AW74" s="14"/>
      <c r="AX74" s="44"/>
      <c r="AY74" s="1"/>
      <c r="AZ74" s="1"/>
      <c r="BG74" s="1"/>
    </row>
    <row r="75" spans="1:59" ht="25.5">
      <c r="A75" s="10" t="str">
        <f>VLOOKUP(Tableau1[[#This Row],[N° Département]],Feuil1!$C$6:$E$106,3)</f>
        <v>Ile-de-France</v>
      </c>
      <c r="B75" s="4" t="str">
        <f>VLOOKUP(Tableau1[[#This Row],[N° Département]],Feuil1!$C$6:$E$106,2)</f>
        <v>Hauts-de-Seine</v>
      </c>
      <c r="C75" s="10">
        <f>LEFT(Tableau1[[#This Row],[Code Postal]],2)*1</f>
        <v>92</v>
      </c>
      <c r="D75" s="10" t="s">
        <v>129</v>
      </c>
      <c r="E75" s="26">
        <v>92290</v>
      </c>
      <c r="F75" s="10" t="s">
        <v>89</v>
      </c>
      <c r="G75" s="5" t="str">
        <f>Tableau1[[#This Row],[Rue]]&amp;CHAR(10)&amp;Tableau1[[#This Row],[Code Postal]]&amp;" - "&amp;Tableau1[[#This Row],[Ville]]</f>
        <v>Cours du Commerce
92290 - Châtenay-Malabry</v>
      </c>
      <c r="H75" s="15" t="s">
        <v>844</v>
      </c>
      <c r="I75" s="6" t="s">
        <v>45</v>
      </c>
      <c r="J75" s="6" t="s">
        <v>44</v>
      </c>
      <c r="K75" s="12" t="s">
        <v>98</v>
      </c>
      <c r="L75" s="12"/>
      <c r="M75" s="12" t="s">
        <v>98</v>
      </c>
      <c r="N75" s="36" t="s">
        <v>335</v>
      </c>
      <c r="O75" s="34">
        <v>206</v>
      </c>
      <c r="P75" s="6" t="s">
        <v>98</v>
      </c>
      <c r="Q75" s="34" t="s">
        <v>98</v>
      </c>
      <c r="R75" s="34" t="s">
        <v>98</v>
      </c>
      <c r="S75" s="6" t="s">
        <v>98</v>
      </c>
      <c r="T75" s="12">
        <f>Tableau1[[#This Row],[Loyer €/m²]]*Tableau1[[#This Row],[Surface GLA]]</f>
        <v>72100</v>
      </c>
      <c r="U75" s="6">
        <f>IFERROR(Tableau1[[#This Row],[Loyer annuel]]/12,"")</f>
        <v>6008.333333333333</v>
      </c>
      <c r="V75" s="12">
        <v>350</v>
      </c>
      <c r="W75" s="6" t="s">
        <v>98</v>
      </c>
      <c r="X75" s="6">
        <f>Tableau1[[#This Row],[Charges €/m²]]*Tableau1[[#This Row],[Surface GLA]]</f>
        <v>6180</v>
      </c>
      <c r="Y75" s="12">
        <f>Tableau1[[#This Row],[Charges annuelles]]/12</f>
        <v>515</v>
      </c>
      <c r="Z75" s="12">
        <v>30</v>
      </c>
      <c r="AA75" s="12">
        <f>IFERROR(Tableau1[[#This Row],[Taxe foncière €/m²]]*Tableau1[[#This Row],[Surface GLA]],)</f>
        <v>0</v>
      </c>
      <c r="AB75" s="6" t="s">
        <v>98</v>
      </c>
      <c r="AC75" s="12">
        <f>IFERROR(Tableau1[[#This Row],[Marketing €/m²]]*Tableau1[[#This Row],[Surface GLA]],)</f>
        <v>0</v>
      </c>
      <c r="AD75" s="6" t="s">
        <v>98</v>
      </c>
      <c r="AE75" s="12">
        <f>IFERROR(Tableau1[[#This Row],[Loyer annuel]]+Tableau1[[#This Row],[Charges annuelles]]+Tableau1[[#This Row],[Taxe foncière]]+Tableau1[[#This Row],[Marketing]],"")</f>
        <v>78280</v>
      </c>
      <c r="AF75" s="12" t="str">
        <f t="shared" si="1"/>
        <v>3 mois = 18 025 €</v>
      </c>
      <c r="AG75" s="6" t="s">
        <v>98</v>
      </c>
      <c r="AH75" s="6" t="s">
        <v>98</v>
      </c>
      <c r="AI75" s="12" t="s">
        <v>373</v>
      </c>
      <c r="AJ75" s="10" t="s">
        <v>70</v>
      </c>
      <c r="AK75" s="10" t="s">
        <v>363</v>
      </c>
      <c r="AL75" s="4" t="s">
        <v>836</v>
      </c>
      <c r="AM75" s="5" t="s">
        <v>350</v>
      </c>
      <c r="AN75" s="5"/>
      <c r="AO75" s="5" t="s">
        <v>361</v>
      </c>
      <c r="AP75" s="11" t="s">
        <v>818</v>
      </c>
      <c r="AQ75" s="11" t="s">
        <v>819</v>
      </c>
      <c r="AR75" s="32" t="s">
        <v>486</v>
      </c>
      <c r="AS75" s="35" t="s">
        <v>1043</v>
      </c>
      <c r="AT75" s="5" t="s">
        <v>70</v>
      </c>
      <c r="AU75" s="11" t="s">
        <v>370</v>
      </c>
      <c r="AV75" s="13" t="s">
        <v>37</v>
      </c>
      <c r="AW75" s="14"/>
      <c r="AX75" s="44"/>
      <c r="AY75" s="1"/>
      <c r="AZ75" s="1"/>
      <c r="BG75" s="1"/>
    </row>
    <row r="76" spans="1:59" ht="25.5">
      <c r="A76" s="10" t="str">
        <f>VLOOKUP(Tableau1[[#This Row],[N° Département]],Feuil1!$C$6:$E$106,3)</f>
        <v>Ile-de-France</v>
      </c>
      <c r="B76" s="4" t="str">
        <f>VLOOKUP(Tableau1[[#This Row],[N° Département]],Feuil1!$C$6:$E$106,2)</f>
        <v>Hauts-de-Seine</v>
      </c>
      <c r="C76" s="10">
        <f>LEFT(Tableau1[[#This Row],[Code Postal]],2)*1</f>
        <v>92</v>
      </c>
      <c r="D76" s="10" t="s">
        <v>129</v>
      </c>
      <c r="E76" s="26">
        <v>92290</v>
      </c>
      <c r="F76" s="10" t="s">
        <v>89</v>
      </c>
      <c r="G76" s="5" t="str">
        <f>Tableau1[[#This Row],[Rue]]&amp;CHAR(10)&amp;Tableau1[[#This Row],[Code Postal]]&amp;" - "&amp;Tableau1[[#This Row],[Ville]]</f>
        <v>Cours du Commerce
92290 - Châtenay-Malabry</v>
      </c>
      <c r="H76" s="15" t="s">
        <v>846</v>
      </c>
      <c r="I76" s="6" t="s">
        <v>45</v>
      </c>
      <c r="J76" s="6" t="s">
        <v>44</v>
      </c>
      <c r="K76" s="12" t="s">
        <v>98</v>
      </c>
      <c r="L76" s="12"/>
      <c r="M76" s="12" t="s">
        <v>98</v>
      </c>
      <c r="N76" s="36" t="s">
        <v>336</v>
      </c>
      <c r="O76" s="34">
        <v>231</v>
      </c>
      <c r="P76" s="6" t="s">
        <v>98</v>
      </c>
      <c r="Q76" s="34" t="s">
        <v>98</v>
      </c>
      <c r="R76" s="34" t="s">
        <v>98</v>
      </c>
      <c r="S76" s="6" t="s">
        <v>98</v>
      </c>
      <c r="T76" s="12">
        <f>Tableau1[[#This Row],[Loyer €/m²]]*Tableau1[[#This Row],[Surface GLA]]</f>
        <v>92400</v>
      </c>
      <c r="U76" s="6">
        <f>IFERROR(Tableau1[[#This Row],[Loyer annuel]]/12,"")</f>
        <v>7700</v>
      </c>
      <c r="V76" s="12">
        <v>400</v>
      </c>
      <c r="W76" s="6" t="s">
        <v>98</v>
      </c>
      <c r="X76" s="6">
        <f>Tableau1[[#This Row],[Charges €/m²]]*Tableau1[[#This Row],[Surface GLA]]</f>
        <v>6930</v>
      </c>
      <c r="Y76" s="12">
        <f>Tableau1[[#This Row],[Charges annuelles]]/12</f>
        <v>577.5</v>
      </c>
      <c r="Z76" s="12">
        <v>30</v>
      </c>
      <c r="AA76" s="12">
        <f>IFERROR(Tableau1[[#This Row],[Taxe foncière €/m²]]*Tableau1[[#This Row],[Surface GLA]],)</f>
        <v>0</v>
      </c>
      <c r="AB76" s="6" t="s">
        <v>98</v>
      </c>
      <c r="AC76" s="12">
        <f>IFERROR(Tableau1[[#This Row],[Marketing €/m²]]*Tableau1[[#This Row],[Surface GLA]],)</f>
        <v>0</v>
      </c>
      <c r="AD76" s="6" t="s">
        <v>98</v>
      </c>
      <c r="AE76" s="12">
        <f>IFERROR(Tableau1[[#This Row],[Loyer annuel]]+Tableau1[[#This Row],[Charges annuelles]]+Tableau1[[#This Row],[Taxe foncière]]+Tableau1[[#This Row],[Marketing]],"")</f>
        <v>99330</v>
      </c>
      <c r="AF76" s="12" t="str">
        <f t="shared" si="1"/>
        <v>3 mois = 23 100 €</v>
      </c>
      <c r="AG76" s="6" t="s">
        <v>98</v>
      </c>
      <c r="AH76" s="6" t="s">
        <v>98</v>
      </c>
      <c r="AI76" s="12" t="s">
        <v>373</v>
      </c>
      <c r="AJ76" s="10" t="s">
        <v>70</v>
      </c>
      <c r="AK76" s="10" t="s">
        <v>363</v>
      </c>
      <c r="AL76" s="4" t="s">
        <v>836</v>
      </c>
      <c r="AM76" s="5" t="s">
        <v>350</v>
      </c>
      <c r="AN76" s="5"/>
      <c r="AO76" s="5" t="s">
        <v>361</v>
      </c>
      <c r="AP76" s="11" t="s">
        <v>820</v>
      </c>
      <c r="AQ76" s="11" t="s">
        <v>821</v>
      </c>
      <c r="AR76" s="32" t="s">
        <v>487</v>
      </c>
      <c r="AS76" s="35" t="s">
        <v>1044</v>
      </c>
      <c r="AT76" s="5" t="s">
        <v>70</v>
      </c>
      <c r="AU76" s="11" t="s">
        <v>370</v>
      </c>
      <c r="AV76" s="13" t="s">
        <v>37</v>
      </c>
      <c r="AW76" s="14"/>
      <c r="AX76" s="44"/>
      <c r="AY76" s="1"/>
      <c r="AZ76" s="1"/>
      <c r="BG76" s="1"/>
    </row>
    <row r="77" spans="1:59" ht="25.5">
      <c r="A77" s="10" t="str">
        <f>VLOOKUP(Tableau1[[#This Row],[N° Département]],Feuil1!$C$6:$E$106,3)</f>
        <v>Ile-de-France</v>
      </c>
      <c r="B77" s="4" t="str">
        <f>VLOOKUP(Tableau1[[#This Row],[N° Département]],Feuil1!$C$6:$E$106,2)</f>
        <v>Hauts-de-Seine</v>
      </c>
      <c r="C77" s="10">
        <f>LEFT(Tableau1[[#This Row],[Code Postal]],2)*1</f>
        <v>92</v>
      </c>
      <c r="D77" s="10" t="s">
        <v>129</v>
      </c>
      <c r="E77" s="26">
        <v>92290</v>
      </c>
      <c r="F77" s="10" t="s">
        <v>89</v>
      </c>
      <c r="G77" s="5" t="str">
        <f>Tableau1[[#This Row],[Rue]]&amp;CHAR(10)&amp;Tableau1[[#This Row],[Code Postal]]&amp;" - "&amp;Tableau1[[#This Row],[Ville]]</f>
        <v>Cours du Commerce
92290 - Châtenay-Malabry</v>
      </c>
      <c r="H77" s="15" t="s">
        <v>845</v>
      </c>
      <c r="I77" s="6" t="s">
        <v>45</v>
      </c>
      <c r="J77" s="6" t="s">
        <v>44</v>
      </c>
      <c r="K77" s="12" t="s">
        <v>98</v>
      </c>
      <c r="L77" s="12"/>
      <c r="M77" s="12" t="s">
        <v>98</v>
      </c>
      <c r="N77" s="36" t="s">
        <v>337</v>
      </c>
      <c r="O77" s="34">
        <v>235</v>
      </c>
      <c r="P77" s="6" t="s">
        <v>98</v>
      </c>
      <c r="Q77" s="34" t="s">
        <v>98</v>
      </c>
      <c r="R77" s="34" t="s">
        <v>98</v>
      </c>
      <c r="S77" s="6" t="s">
        <v>98</v>
      </c>
      <c r="T77" s="12">
        <f>Tableau1[[#This Row],[Loyer €/m²]]*Tableau1[[#This Row],[Surface GLA]]</f>
        <v>82250</v>
      </c>
      <c r="U77" s="6">
        <f>IFERROR(Tableau1[[#This Row],[Loyer annuel]]/12,"")</f>
        <v>6854.166666666667</v>
      </c>
      <c r="V77" s="12">
        <v>350</v>
      </c>
      <c r="W77" s="6" t="s">
        <v>98</v>
      </c>
      <c r="X77" s="6">
        <f>Tableau1[[#This Row],[Charges €/m²]]*Tableau1[[#This Row],[Surface GLA]]</f>
        <v>7050</v>
      </c>
      <c r="Y77" s="12">
        <f>Tableau1[[#This Row],[Charges annuelles]]/12</f>
        <v>587.5</v>
      </c>
      <c r="Z77" s="12">
        <v>30</v>
      </c>
      <c r="AA77" s="12">
        <f>IFERROR(Tableau1[[#This Row],[Taxe foncière €/m²]]*Tableau1[[#This Row],[Surface GLA]],)</f>
        <v>0</v>
      </c>
      <c r="AB77" s="6" t="s">
        <v>98</v>
      </c>
      <c r="AC77" s="12">
        <f>IFERROR(Tableau1[[#This Row],[Marketing €/m²]]*Tableau1[[#This Row],[Surface GLA]],)</f>
        <v>0</v>
      </c>
      <c r="AD77" s="6" t="s">
        <v>98</v>
      </c>
      <c r="AE77" s="12">
        <f>IFERROR(Tableau1[[#This Row],[Loyer annuel]]+Tableau1[[#This Row],[Charges annuelles]]+Tableau1[[#This Row],[Taxe foncière]]+Tableau1[[#This Row],[Marketing]],"")</f>
        <v>89300</v>
      </c>
      <c r="AF77" s="12" t="str">
        <f t="shared" si="1"/>
        <v>3 mois = 20 563 €</v>
      </c>
      <c r="AG77" s="6" t="s">
        <v>98</v>
      </c>
      <c r="AH77" s="6" t="s">
        <v>98</v>
      </c>
      <c r="AI77" s="12" t="s">
        <v>373</v>
      </c>
      <c r="AJ77" s="10" t="s">
        <v>70</v>
      </c>
      <c r="AK77" s="10" t="s">
        <v>363</v>
      </c>
      <c r="AL77" s="4" t="s">
        <v>836</v>
      </c>
      <c r="AM77" s="5" t="s">
        <v>350</v>
      </c>
      <c r="AN77" s="5"/>
      <c r="AO77" s="5" t="s">
        <v>361</v>
      </c>
      <c r="AP77" s="11" t="s">
        <v>822</v>
      </c>
      <c r="AQ77" s="11" t="s">
        <v>823</v>
      </c>
      <c r="AR77" s="32" t="s">
        <v>488</v>
      </c>
      <c r="AS77" s="35" t="s">
        <v>1045</v>
      </c>
      <c r="AT77" s="5" t="s">
        <v>70</v>
      </c>
      <c r="AU77" s="11" t="s">
        <v>370</v>
      </c>
      <c r="AV77" s="13" t="s">
        <v>37</v>
      </c>
      <c r="AW77" s="14"/>
      <c r="AX77" s="44"/>
      <c r="AY77" s="1"/>
      <c r="AZ77" s="1"/>
      <c r="BG77" s="1"/>
    </row>
    <row r="78" spans="1:59" ht="25.5">
      <c r="A78" s="10" t="str">
        <f>VLOOKUP(Tableau1[[#This Row],[N° Département]],Feuil1!$C$6:$E$106,3)</f>
        <v>Ile-de-France</v>
      </c>
      <c r="B78" s="4" t="str">
        <f>VLOOKUP(Tableau1[[#This Row],[N° Département]],Feuil1!$C$6:$E$106,2)</f>
        <v>Hauts-de-Seine</v>
      </c>
      <c r="C78" s="10">
        <f>LEFT(Tableau1[[#This Row],[Code Postal]],2)*1</f>
        <v>92</v>
      </c>
      <c r="D78" s="10" t="s">
        <v>129</v>
      </c>
      <c r="E78" s="26">
        <v>92290</v>
      </c>
      <c r="F78" s="10" t="s">
        <v>89</v>
      </c>
      <c r="G78" s="5" t="str">
        <f>Tableau1[[#This Row],[Rue]]&amp;CHAR(10)&amp;Tableau1[[#This Row],[Code Postal]]&amp;" - "&amp;Tableau1[[#This Row],[Ville]]</f>
        <v>Cours du Commerce
92290 - Châtenay-Malabry</v>
      </c>
      <c r="H78" s="15" t="s">
        <v>847</v>
      </c>
      <c r="I78" s="6" t="s">
        <v>45</v>
      </c>
      <c r="J78" s="6" t="s">
        <v>44</v>
      </c>
      <c r="K78" s="12" t="s">
        <v>98</v>
      </c>
      <c r="L78" s="12"/>
      <c r="M78" s="12" t="s">
        <v>98</v>
      </c>
      <c r="N78" s="36" t="s">
        <v>338</v>
      </c>
      <c r="O78" s="34">
        <v>333</v>
      </c>
      <c r="P78" s="6" t="s">
        <v>98</v>
      </c>
      <c r="Q78" s="34" t="s">
        <v>98</v>
      </c>
      <c r="R78" s="34" t="s">
        <v>98</v>
      </c>
      <c r="S78" s="6" t="s">
        <v>98</v>
      </c>
      <c r="T78" s="12">
        <f>Tableau1[[#This Row],[Loyer €/m²]]*Tableau1[[#This Row],[Surface GLA]]</f>
        <v>108225</v>
      </c>
      <c r="U78" s="6">
        <f>IFERROR(Tableau1[[#This Row],[Loyer annuel]]/12,"")</f>
        <v>9018.75</v>
      </c>
      <c r="V78" s="12">
        <v>325</v>
      </c>
      <c r="W78" s="6" t="s">
        <v>98</v>
      </c>
      <c r="X78" s="6">
        <f>Tableau1[[#This Row],[Charges €/m²]]*Tableau1[[#This Row],[Surface GLA]]</f>
        <v>9990</v>
      </c>
      <c r="Y78" s="12">
        <f>Tableau1[[#This Row],[Charges annuelles]]/12</f>
        <v>832.5</v>
      </c>
      <c r="Z78" s="12">
        <v>30</v>
      </c>
      <c r="AA78" s="12">
        <f>IFERROR(Tableau1[[#This Row],[Taxe foncière €/m²]]*Tableau1[[#This Row],[Surface GLA]],)</f>
        <v>0</v>
      </c>
      <c r="AB78" s="6" t="s">
        <v>98</v>
      </c>
      <c r="AC78" s="12">
        <f>IFERROR(Tableau1[[#This Row],[Marketing €/m²]]*Tableau1[[#This Row],[Surface GLA]],)</f>
        <v>0</v>
      </c>
      <c r="AD78" s="6" t="s">
        <v>98</v>
      </c>
      <c r="AE78" s="12">
        <f>IFERROR(Tableau1[[#This Row],[Loyer annuel]]+Tableau1[[#This Row],[Charges annuelles]]+Tableau1[[#This Row],[Taxe foncière]]+Tableau1[[#This Row],[Marketing]],"")</f>
        <v>118215</v>
      </c>
      <c r="AF78" s="12" t="str">
        <f t="shared" si="1"/>
        <v>3 mois = 27 056 €</v>
      </c>
      <c r="AG78" s="6" t="s">
        <v>98</v>
      </c>
      <c r="AH78" s="6" t="s">
        <v>98</v>
      </c>
      <c r="AI78" s="12" t="s">
        <v>373</v>
      </c>
      <c r="AJ78" s="10" t="s">
        <v>70</v>
      </c>
      <c r="AK78" s="10" t="s">
        <v>363</v>
      </c>
      <c r="AL78" s="4" t="s">
        <v>836</v>
      </c>
      <c r="AM78" s="5" t="s">
        <v>350</v>
      </c>
      <c r="AN78" s="5"/>
      <c r="AO78" s="5" t="s">
        <v>361</v>
      </c>
      <c r="AP78" s="11" t="s">
        <v>786</v>
      </c>
      <c r="AQ78" s="11" t="s">
        <v>787</v>
      </c>
      <c r="AR78" s="32" t="s">
        <v>489</v>
      </c>
      <c r="AS78" s="35" t="s">
        <v>1046</v>
      </c>
      <c r="AT78" s="5" t="s">
        <v>70</v>
      </c>
      <c r="AU78" s="11" t="s">
        <v>370</v>
      </c>
      <c r="AV78" s="13" t="s">
        <v>37</v>
      </c>
      <c r="AW78" s="14"/>
      <c r="AX78" s="44"/>
      <c r="AY78" s="1"/>
      <c r="AZ78" s="1"/>
      <c r="BG78" s="1"/>
    </row>
    <row r="79" spans="1:59" ht="25.5">
      <c r="A79" s="10" t="str">
        <f>VLOOKUP(Tableau1[[#This Row],[N° Département]],Feuil1!$C$6:$E$106,3)</f>
        <v>Ile-de-France</v>
      </c>
      <c r="B79" s="4" t="str">
        <f>VLOOKUP(Tableau1[[#This Row],[N° Département]],Feuil1!$C$6:$E$106,2)</f>
        <v>Hauts-de-Seine</v>
      </c>
      <c r="C79" s="10">
        <f>LEFT(Tableau1[[#This Row],[Code Postal]],2)*1</f>
        <v>92</v>
      </c>
      <c r="D79" s="10" t="s">
        <v>129</v>
      </c>
      <c r="E79" s="26">
        <v>92290</v>
      </c>
      <c r="F79" s="10" t="s">
        <v>89</v>
      </c>
      <c r="G79" s="5" t="str">
        <f>Tableau1[[#This Row],[Rue]]&amp;CHAR(10)&amp;Tableau1[[#This Row],[Code Postal]]&amp;" - "&amp;Tableau1[[#This Row],[Ville]]</f>
        <v>Cours du Commerce
92290 - Châtenay-Malabry</v>
      </c>
      <c r="H79" s="15" t="s">
        <v>848</v>
      </c>
      <c r="I79" s="6" t="s">
        <v>45</v>
      </c>
      <c r="J79" s="6" t="s">
        <v>44</v>
      </c>
      <c r="K79" s="12" t="s">
        <v>98</v>
      </c>
      <c r="L79" s="12"/>
      <c r="M79" s="12" t="s">
        <v>98</v>
      </c>
      <c r="N79" s="36" t="s">
        <v>339</v>
      </c>
      <c r="O79" s="34">
        <v>177</v>
      </c>
      <c r="P79" s="6" t="s">
        <v>98</v>
      </c>
      <c r="Q79" s="34" t="s">
        <v>98</v>
      </c>
      <c r="R79" s="34" t="s">
        <v>98</v>
      </c>
      <c r="S79" s="6" t="s">
        <v>98</v>
      </c>
      <c r="T79" s="12">
        <f>Tableau1[[#This Row],[Loyer €/m²]]*Tableau1[[#This Row],[Surface GLA]]</f>
        <v>61950</v>
      </c>
      <c r="U79" s="6">
        <f>IFERROR(Tableau1[[#This Row],[Loyer annuel]]/12,"")</f>
        <v>5162.5</v>
      </c>
      <c r="V79" s="12">
        <v>350</v>
      </c>
      <c r="W79" s="6" t="s">
        <v>98</v>
      </c>
      <c r="X79" s="6">
        <f>Tableau1[[#This Row],[Charges €/m²]]*Tableau1[[#This Row],[Surface GLA]]</f>
        <v>5310</v>
      </c>
      <c r="Y79" s="12">
        <f>Tableau1[[#This Row],[Charges annuelles]]/12</f>
        <v>442.5</v>
      </c>
      <c r="Z79" s="12">
        <v>30</v>
      </c>
      <c r="AA79" s="12">
        <f>IFERROR(Tableau1[[#This Row],[Taxe foncière €/m²]]*Tableau1[[#This Row],[Surface GLA]],)</f>
        <v>0</v>
      </c>
      <c r="AB79" s="6" t="s">
        <v>98</v>
      </c>
      <c r="AC79" s="12">
        <f>IFERROR(Tableau1[[#This Row],[Marketing €/m²]]*Tableau1[[#This Row],[Surface GLA]],)</f>
        <v>0</v>
      </c>
      <c r="AD79" s="6" t="s">
        <v>98</v>
      </c>
      <c r="AE79" s="12">
        <f>IFERROR(Tableau1[[#This Row],[Loyer annuel]]+Tableau1[[#This Row],[Charges annuelles]]+Tableau1[[#This Row],[Taxe foncière]]+Tableau1[[#This Row],[Marketing]],"")</f>
        <v>67260</v>
      </c>
      <c r="AF79" s="12" t="str">
        <f t="shared" si="1"/>
        <v>3 mois = 15 488 €</v>
      </c>
      <c r="AG79" s="6" t="s">
        <v>98</v>
      </c>
      <c r="AH79" s="6" t="s">
        <v>98</v>
      </c>
      <c r="AI79" s="12" t="s">
        <v>373</v>
      </c>
      <c r="AJ79" s="10" t="s">
        <v>70</v>
      </c>
      <c r="AK79" s="10" t="s">
        <v>363</v>
      </c>
      <c r="AL79" s="4" t="s">
        <v>836</v>
      </c>
      <c r="AM79" s="5" t="s">
        <v>350</v>
      </c>
      <c r="AN79" s="5"/>
      <c r="AO79" s="5" t="s">
        <v>361</v>
      </c>
      <c r="AP79" s="11" t="s">
        <v>788</v>
      </c>
      <c r="AQ79" s="11" t="s">
        <v>789</v>
      </c>
      <c r="AR79" s="32" t="s">
        <v>490</v>
      </c>
      <c r="AS79" s="35" t="s">
        <v>1047</v>
      </c>
      <c r="AT79" s="5" t="s">
        <v>70</v>
      </c>
      <c r="AU79" s="11" t="s">
        <v>370</v>
      </c>
      <c r="AV79" s="13" t="s">
        <v>37</v>
      </c>
      <c r="AW79" s="14"/>
      <c r="AX79" s="44"/>
      <c r="AY79" s="1"/>
      <c r="AZ79" s="1"/>
      <c r="BG79" s="1"/>
    </row>
    <row r="80" spans="1:59" ht="25.5">
      <c r="A80" s="10" t="str">
        <f>VLOOKUP(Tableau1[[#This Row],[N° Département]],Feuil1!$C$6:$E$106,3)</f>
        <v>Ile-de-France</v>
      </c>
      <c r="B80" s="4" t="str">
        <f>VLOOKUP(Tableau1[[#This Row],[N° Département]],Feuil1!$C$6:$E$106,2)</f>
        <v>Hauts-de-Seine</v>
      </c>
      <c r="C80" s="10">
        <f>LEFT(Tableau1[[#This Row],[Code Postal]],2)*1</f>
        <v>92</v>
      </c>
      <c r="D80" s="10" t="s">
        <v>129</v>
      </c>
      <c r="E80" s="26">
        <v>92290</v>
      </c>
      <c r="F80" s="10" t="s">
        <v>89</v>
      </c>
      <c r="G80" s="5" t="str">
        <f>Tableau1[[#This Row],[Rue]]&amp;CHAR(10)&amp;Tableau1[[#This Row],[Code Postal]]&amp;" - "&amp;Tableau1[[#This Row],[Ville]]</f>
        <v>Cours du Commerce
92290 - Châtenay-Malabry</v>
      </c>
      <c r="H80" s="15" t="s">
        <v>849</v>
      </c>
      <c r="I80" s="6" t="s">
        <v>45</v>
      </c>
      <c r="J80" s="6" t="s">
        <v>44</v>
      </c>
      <c r="K80" s="12" t="s">
        <v>98</v>
      </c>
      <c r="L80" s="12"/>
      <c r="M80" s="12" t="s">
        <v>98</v>
      </c>
      <c r="N80" s="36" t="s">
        <v>340</v>
      </c>
      <c r="O80" s="34">
        <v>99</v>
      </c>
      <c r="P80" s="6" t="s">
        <v>98</v>
      </c>
      <c r="Q80" s="34" t="s">
        <v>98</v>
      </c>
      <c r="R80" s="34" t="s">
        <v>98</v>
      </c>
      <c r="S80" s="6" t="s">
        <v>98</v>
      </c>
      <c r="T80" s="12">
        <f>Tableau1[[#This Row],[Loyer €/m²]]*Tableau1[[#This Row],[Surface GLA]]</f>
        <v>34650</v>
      </c>
      <c r="U80" s="6">
        <f>IFERROR(Tableau1[[#This Row],[Loyer annuel]]/12,"")</f>
        <v>2887.5</v>
      </c>
      <c r="V80" s="12">
        <v>350</v>
      </c>
      <c r="W80" s="6" t="s">
        <v>98</v>
      </c>
      <c r="X80" s="6">
        <f>Tableau1[[#This Row],[Charges €/m²]]*Tableau1[[#This Row],[Surface GLA]]</f>
        <v>2970</v>
      </c>
      <c r="Y80" s="12">
        <f>Tableau1[[#This Row],[Charges annuelles]]/12</f>
        <v>247.5</v>
      </c>
      <c r="Z80" s="12">
        <v>30</v>
      </c>
      <c r="AA80" s="12">
        <f>IFERROR(Tableau1[[#This Row],[Taxe foncière €/m²]]*Tableau1[[#This Row],[Surface GLA]],)</f>
        <v>0</v>
      </c>
      <c r="AB80" s="6" t="s">
        <v>98</v>
      </c>
      <c r="AC80" s="12">
        <f>IFERROR(Tableau1[[#This Row],[Marketing €/m²]]*Tableau1[[#This Row],[Surface GLA]],)</f>
        <v>0</v>
      </c>
      <c r="AD80" s="6" t="s">
        <v>98</v>
      </c>
      <c r="AE80" s="12">
        <f>IFERROR(Tableau1[[#This Row],[Loyer annuel]]+Tableau1[[#This Row],[Charges annuelles]]+Tableau1[[#This Row],[Taxe foncière]]+Tableau1[[#This Row],[Marketing]],"")</f>
        <v>37620</v>
      </c>
      <c r="AF80" s="12" t="str">
        <f t="shared" si="1"/>
        <v>3 mois = 8 663 €</v>
      </c>
      <c r="AG80" s="6" t="s">
        <v>98</v>
      </c>
      <c r="AH80" s="6" t="s">
        <v>98</v>
      </c>
      <c r="AI80" s="12" t="s">
        <v>373</v>
      </c>
      <c r="AJ80" s="10" t="s">
        <v>70</v>
      </c>
      <c r="AK80" s="10" t="s">
        <v>363</v>
      </c>
      <c r="AL80" s="4" t="s">
        <v>836</v>
      </c>
      <c r="AM80" s="5" t="s">
        <v>350</v>
      </c>
      <c r="AN80" s="5"/>
      <c r="AO80" s="5" t="s">
        <v>361</v>
      </c>
      <c r="AP80" s="11" t="s">
        <v>790</v>
      </c>
      <c r="AQ80" s="11" t="s">
        <v>791</v>
      </c>
      <c r="AR80" s="32" t="s">
        <v>491</v>
      </c>
      <c r="AS80" s="35" t="s">
        <v>1048</v>
      </c>
      <c r="AT80" s="5" t="s">
        <v>70</v>
      </c>
      <c r="AU80" s="11" t="s">
        <v>370</v>
      </c>
      <c r="AV80" s="13" t="s">
        <v>37</v>
      </c>
      <c r="AW80" s="14"/>
      <c r="AX80" s="44"/>
      <c r="AY80" s="1"/>
      <c r="AZ80" s="1"/>
      <c r="BG80" s="1"/>
    </row>
    <row r="81" spans="1:59" ht="25.5">
      <c r="A81" s="10" t="str">
        <f>VLOOKUP(Tableau1[[#This Row],[N° Département]],Feuil1!$C$6:$E$106,3)</f>
        <v>Ile-de-France</v>
      </c>
      <c r="B81" s="4" t="str">
        <f>VLOOKUP(Tableau1[[#This Row],[N° Département]],Feuil1!$C$6:$E$106,2)</f>
        <v>Hauts-de-Seine</v>
      </c>
      <c r="C81" s="10">
        <f>LEFT(Tableau1[[#This Row],[Code Postal]],2)*1</f>
        <v>92</v>
      </c>
      <c r="D81" s="10" t="s">
        <v>129</v>
      </c>
      <c r="E81" s="26">
        <v>92290</v>
      </c>
      <c r="F81" s="10" t="s">
        <v>89</v>
      </c>
      <c r="G81" s="5" t="str">
        <f>Tableau1[[#This Row],[Rue]]&amp;CHAR(10)&amp;Tableau1[[#This Row],[Code Postal]]&amp;" - "&amp;Tableau1[[#This Row],[Ville]]</f>
        <v>Cours du Commerce
92290 - Châtenay-Malabry</v>
      </c>
      <c r="H81" s="15" t="s">
        <v>850</v>
      </c>
      <c r="I81" s="6" t="s">
        <v>45</v>
      </c>
      <c r="J81" s="6" t="s">
        <v>44</v>
      </c>
      <c r="K81" s="12" t="s">
        <v>98</v>
      </c>
      <c r="L81" s="12"/>
      <c r="M81" s="12" t="s">
        <v>98</v>
      </c>
      <c r="N81" s="36" t="s">
        <v>341</v>
      </c>
      <c r="O81" s="34">
        <v>169</v>
      </c>
      <c r="P81" s="6" t="s">
        <v>98</v>
      </c>
      <c r="Q81" s="34" t="s">
        <v>98</v>
      </c>
      <c r="R81" s="34" t="s">
        <v>98</v>
      </c>
      <c r="S81" s="6" t="s">
        <v>98</v>
      </c>
      <c r="T81" s="12">
        <f>Tableau1[[#This Row],[Loyer €/m²]]*Tableau1[[#This Row],[Surface GLA]]</f>
        <v>54925</v>
      </c>
      <c r="U81" s="6">
        <f>IFERROR(Tableau1[[#This Row],[Loyer annuel]]/12,"")</f>
        <v>4577.083333333333</v>
      </c>
      <c r="V81" s="12">
        <v>325</v>
      </c>
      <c r="W81" s="6" t="s">
        <v>98</v>
      </c>
      <c r="X81" s="6">
        <f>Tableau1[[#This Row],[Charges €/m²]]*Tableau1[[#This Row],[Surface GLA]]</f>
        <v>5070</v>
      </c>
      <c r="Y81" s="12">
        <f>Tableau1[[#This Row],[Charges annuelles]]/12</f>
        <v>422.5</v>
      </c>
      <c r="Z81" s="12">
        <v>30</v>
      </c>
      <c r="AA81" s="12">
        <f>IFERROR(Tableau1[[#This Row],[Taxe foncière €/m²]]*Tableau1[[#This Row],[Surface GLA]],)</f>
        <v>0</v>
      </c>
      <c r="AB81" s="6" t="s">
        <v>98</v>
      </c>
      <c r="AC81" s="12">
        <f>IFERROR(Tableau1[[#This Row],[Marketing €/m²]]*Tableau1[[#This Row],[Surface GLA]],)</f>
        <v>0</v>
      </c>
      <c r="AD81" s="6" t="s">
        <v>98</v>
      </c>
      <c r="AE81" s="12">
        <f>IFERROR(Tableau1[[#This Row],[Loyer annuel]]+Tableau1[[#This Row],[Charges annuelles]]+Tableau1[[#This Row],[Taxe foncière]]+Tableau1[[#This Row],[Marketing]],"")</f>
        <v>59995</v>
      </c>
      <c r="AF81" s="12" t="str">
        <f t="shared" si="1"/>
        <v>3 mois = 13 731 €</v>
      </c>
      <c r="AG81" s="6" t="s">
        <v>98</v>
      </c>
      <c r="AH81" s="6" t="s">
        <v>98</v>
      </c>
      <c r="AI81" s="12" t="s">
        <v>373</v>
      </c>
      <c r="AJ81" s="10" t="s">
        <v>70</v>
      </c>
      <c r="AK81" s="10" t="s">
        <v>363</v>
      </c>
      <c r="AL81" s="4" t="s">
        <v>836</v>
      </c>
      <c r="AM81" s="5" t="s">
        <v>350</v>
      </c>
      <c r="AN81" s="5"/>
      <c r="AO81" s="5" t="s">
        <v>361</v>
      </c>
      <c r="AP81" s="11" t="s">
        <v>792</v>
      </c>
      <c r="AQ81" s="11" t="s">
        <v>793</v>
      </c>
      <c r="AR81" s="32" t="s">
        <v>492</v>
      </c>
      <c r="AS81" s="35" t="s">
        <v>1049</v>
      </c>
      <c r="AT81" s="5" t="s">
        <v>70</v>
      </c>
      <c r="AU81" s="11" t="s">
        <v>370</v>
      </c>
      <c r="AV81" s="13" t="s">
        <v>37</v>
      </c>
      <c r="AW81" s="14"/>
      <c r="AX81" s="44"/>
      <c r="AY81" s="1"/>
      <c r="AZ81" s="1"/>
      <c r="BG81" s="1"/>
    </row>
    <row r="82" spans="1:59" ht="25.5">
      <c r="A82" s="10" t="str">
        <f>VLOOKUP(Tableau1[[#This Row],[N° Département]],Feuil1!$C$6:$E$106,3)</f>
        <v>Ile-de-France</v>
      </c>
      <c r="B82" s="4" t="str">
        <f>VLOOKUP(Tableau1[[#This Row],[N° Département]],Feuil1!$C$6:$E$106,2)</f>
        <v>Hauts-de-Seine</v>
      </c>
      <c r="C82" s="10">
        <f>LEFT(Tableau1[[#This Row],[Code Postal]],2)*1</f>
        <v>92</v>
      </c>
      <c r="D82" s="10" t="s">
        <v>129</v>
      </c>
      <c r="E82" s="26">
        <v>92290</v>
      </c>
      <c r="F82" s="10" t="s">
        <v>89</v>
      </c>
      <c r="G82" s="5" t="str">
        <f>Tableau1[[#This Row],[Rue]]&amp;CHAR(10)&amp;Tableau1[[#This Row],[Code Postal]]&amp;" - "&amp;Tableau1[[#This Row],[Ville]]</f>
        <v>Cours du Commerce
92290 - Châtenay-Malabry</v>
      </c>
      <c r="H82" s="15" t="s">
        <v>851</v>
      </c>
      <c r="I82" s="6" t="s">
        <v>45</v>
      </c>
      <c r="J82" s="6" t="s">
        <v>44</v>
      </c>
      <c r="K82" s="12" t="s">
        <v>98</v>
      </c>
      <c r="L82" s="12"/>
      <c r="M82" s="12" t="s">
        <v>98</v>
      </c>
      <c r="N82" s="36" t="s">
        <v>342</v>
      </c>
      <c r="O82" s="34">
        <v>196</v>
      </c>
      <c r="P82" s="6" t="s">
        <v>98</v>
      </c>
      <c r="Q82" s="34" t="s">
        <v>98</v>
      </c>
      <c r="R82" s="34" t="s">
        <v>98</v>
      </c>
      <c r="S82" s="6" t="s">
        <v>98</v>
      </c>
      <c r="T82" s="12">
        <f>Tableau1[[#This Row],[Loyer €/m²]]*Tableau1[[#This Row],[Surface GLA]]</f>
        <v>68600</v>
      </c>
      <c r="U82" s="6">
        <f>IFERROR(Tableau1[[#This Row],[Loyer annuel]]/12,"")</f>
        <v>5716.666666666667</v>
      </c>
      <c r="V82" s="12">
        <v>350</v>
      </c>
      <c r="W82" s="6" t="s">
        <v>98</v>
      </c>
      <c r="X82" s="6">
        <f>Tableau1[[#This Row],[Charges €/m²]]*Tableau1[[#This Row],[Surface GLA]]</f>
        <v>5880</v>
      </c>
      <c r="Y82" s="12">
        <f>Tableau1[[#This Row],[Charges annuelles]]/12</f>
        <v>490</v>
      </c>
      <c r="Z82" s="12">
        <v>30</v>
      </c>
      <c r="AA82" s="12">
        <f>IFERROR(Tableau1[[#This Row],[Taxe foncière €/m²]]*Tableau1[[#This Row],[Surface GLA]],)</f>
        <v>0</v>
      </c>
      <c r="AB82" s="6" t="s">
        <v>98</v>
      </c>
      <c r="AC82" s="12">
        <f>IFERROR(Tableau1[[#This Row],[Marketing €/m²]]*Tableau1[[#This Row],[Surface GLA]],)</f>
        <v>0</v>
      </c>
      <c r="AD82" s="6" t="s">
        <v>98</v>
      </c>
      <c r="AE82" s="12">
        <f>IFERROR(Tableau1[[#This Row],[Loyer annuel]]+Tableau1[[#This Row],[Charges annuelles]]+Tableau1[[#This Row],[Taxe foncière]]+Tableau1[[#This Row],[Marketing]],"")</f>
        <v>74480</v>
      </c>
      <c r="AF82" s="12" t="str">
        <f t="shared" si="1"/>
        <v>3 mois = 17 150 €</v>
      </c>
      <c r="AG82" s="6" t="s">
        <v>98</v>
      </c>
      <c r="AH82" s="6" t="s">
        <v>98</v>
      </c>
      <c r="AI82" s="12" t="s">
        <v>373</v>
      </c>
      <c r="AJ82" s="10" t="s">
        <v>70</v>
      </c>
      <c r="AK82" s="10" t="s">
        <v>363</v>
      </c>
      <c r="AL82" s="4" t="s">
        <v>836</v>
      </c>
      <c r="AM82" s="5" t="s">
        <v>350</v>
      </c>
      <c r="AN82" s="5"/>
      <c r="AO82" s="5" t="s">
        <v>361</v>
      </c>
      <c r="AP82" s="11" t="s">
        <v>794</v>
      </c>
      <c r="AQ82" s="11" t="s">
        <v>795</v>
      </c>
      <c r="AR82" s="32" t="s">
        <v>493</v>
      </c>
      <c r="AS82" s="35" t="s">
        <v>1050</v>
      </c>
      <c r="AT82" s="5" t="s">
        <v>70</v>
      </c>
      <c r="AU82" s="11" t="s">
        <v>370</v>
      </c>
      <c r="AV82" s="13" t="s">
        <v>37</v>
      </c>
      <c r="AW82" s="14"/>
      <c r="AX82" s="44"/>
      <c r="AY82" s="1"/>
      <c r="AZ82" s="1"/>
      <c r="BG82" s="1"/>
    </row>
    <row r="83" spans="1:59" ht="25.5">
      <c r="A83" s="10" t="str">
        <f>VLOOKUP(Tableau1[[#This Row],[N° Département]],Feuil1!$C$6:$E$106,3)</f>
        <v>Ile-de-France</v>
      </c>
      <c r="B83" s="4" t="str">
        <f>VLOOKUP(Tableau1[[#This Row],[N° Département]],Feuil1!$C$6:$E$106,2)</f>
        <v>Hauts-de-Seine</v>
      </c>
      <c r="C83" s="10">
        <f>LEFT(Tableau1[[#This Row],[Code Postal]],2)*1</f>
        <v>92</v>
      </c>
      <c r="D83" s="10" t="s">
        <v>129</v>
      </c>
      <c r="E83" s="26">
        <v>92290</v>
      </c>
      <c r="F83" s="10" t="s">
        <v>89</v>
      </c>
      <c r="G83" s="5" t="str">
        <f>Tableau1[[#This Row],[Rue]]&amp;CHAR(10)&amp;Tableau1[[#This Row],[Code Postal]]&amp;" - "&amp;Tableau1[[#This Row],[Ville]]</f>
        <v>Cours du Commerce
92290 - Châtenay-Malabry</v>
      </c>
      <c r="H83" s="15" t="s">
        <v>852</v>
      </c>
      <c r="I83" s="6" t="s">
        <v>45</v>
      </c>
      <c r="J83" s="6" t="s">
        <v>44</v>
      </c>
      <c r="K83" s="12" t="s">
        <v>98</v>
      </c>
      <c r="L83" s="12"/>
      <c r="M83" s="12" t="s">
        <v>98</v>
      </c>
      <c r="N83" s="36" t="s">
        <v>343</v>
      </c>
      <c r="O83" s="34">
        <v>195</v>
      </c>
      <c r="P83" s="6" t="s">
        <v>98</v>
      </c>
      <c r="Q83" s="34" t="s">
        <v>98</v>
      </c>
      <c r="R83" s="34" t="s">
        <v>98</v>
      </c>
      <c r="S83" s="6" t="s">
        <v>98</v>
      </c>
      <c r="T83" s="12">
        <f>Tableau1[[#This Row],[Loyer €/m²]]*Tableau1[[#This Row],[Surface GLA]]</f>
        <v>68250</v>
      </c>
      <c r="U83" s="6">
        <f>IFERROR(Tableau1[[#This Row],[Loyer annuel]]/12,"")</f>
        <v>5687.5</v>
      </c>
      <c r="V83" s="12">
        <v>350</v>
      </c>
      <c r="W83" s="6" t="s">
        <v>98</v>
      </c>
      <c r="X83" s="6">
        <f>Tableau1[[#This Row],[Charges €/m²]]*Tableau1[[#This Row],[Surface GLA]]</f>
        <v>5850</v>
      </c>
      <c r="Y83" s="12">
        <f>Tableau1[[#This Row],[Charges annuelles]]/12</f>
        <v>487.5</v>
      </c>
      <c r="Z83" s="12">
        <v>30</v>
      </c>
      <c r="AA83" s="12">
        <f>IFERROR(Tableau1[[#This Row],[Taxe foncière €/m²]]*Tableau1[[#This Row],[Surface GLA]],)</f>
        <v>0</v>
      </c>
      <c r="AB83" s="6" t="s">
        <v>98</v>
      </c>
      <c r="AC83" s="12">
        <f>IFERROR(Tableau1[[#This Row],[Marketing €/m²]]*Tableau1[[#This Row],[Surface GLA]],)</f>
        <v>0</v>
      </c>
      <c r="AD83" s="6" t="s">
        <v>98</v>
      </c>
      <c r="AE83" s="12">
        <f>IFERROR(Tableau1[[#This Row],[Loyer annuel]]+Tableau1[[#This Row],[Charges annuelles]]+Tableau1[[#This Row],[Taxe foncière]]+Tableau1[[#This Row],[Marketing]],"")</f>
        <v>74100</v>
      </c>
      <c r="AF83" s="12" t="str">
        <f t="shared" si="1"/>
        <v>3 mois = 17 063 €</v>
      </c>
      <c r="AG83" s="6" t="s">
        <v>98</v>
      </c>
      <c r="AH83" s="6" t="s">
        <v>98</v>
      </c>
      <c r="AI83" s="12" t="s">
        <v>373</v>
      </c>
      <c r="AJ83" s="10" t="s">
        <v>70</v>
      </c>
      <c r="AK83" s="10" t="s">
        <v>363</v>
      </c>
      <c r="AL83" s="4" t="s">
        <v>836</v>
      </c>
      <c r="AM83" s="5" t="s">
        <v>350</v>
      </c>
      <c r="AN83" s="5"/>
      <c r="AO83" s="5" t="s">
        <v>361</v>
      </c>
      <c r="AP83" s="11" t="s">
        <v>796</v>
      </c>
      <c r="AQ83" s="11" t="s">
        <v>797</v>
      </c>
      <c r="AR83" s="32" t="s">
        <v>494</v>
      </c>
      <c r="AS83" s="35" t="s">
        <v>1051</v>
      </c>
      <c r="AT83" s="5" t="s">
        <v>70</v>
      </c>
      <c r="AU83" s="11" t="s">
        <v>370</v>
      </c>
      <c r="AV83" s="13" t="s">
        <v>37</v>
      </c>
      <c r="AW83" s="14"/>
      <c r="AX83" s="44"/>
      <c r="AY83" s="1"/>
      <c r="AZ83" s="1"/>
      <c r="BG83" s="1"/>
    </row>
    <row r="84" spans="1:59" ht="25.5">
      <c r="A84" s="10" t="str">
        <f>VLOOKUP(Tableau1[[#This Row],[N° Département]],Feuil1!$C$6:$E$106,3)</f>
        <v>Ile-de-France</v>
      </c>
      <c r="B84" s="4" t="str">
        <f>VLOOKUP(Tableau1[[#This Row],[N° Département]],Feuil1!$C$6:$E$106,2)</f>
        <v>Hauts-de-Seine</v>
      </c>
      <c r="C84" s="10">
        <f>LEFT(Tableau1[[#This Row],[Code Postal]],2)*1</f>
        <v>92</v>
      </c>
      <c r="D84" s="10" t="s">
        <v>129</v>
      </c>
      <c r="E84" s="26">
        <v>92290</v>
      </c>
      <c r="F84" s="10" t="s">
        <v>89</v>
      </c>
      <c r="G84" s="5" t="str">
        <f>Tableau1[[#This Row],[Rue]]&amp;CHAR(10)&amp;Tableau1[[#This Row],[Code Postal]]&amp;" - "&amp;Tableau1[[#This Row],[Ville]]</f>
        <v>Cours du Commerce
92290 - Châtenay-Malabry</v>
      </c>
      <c r="H84" s="15" t="s">
        <v>853</v>
      </c>
      <c r="I84" s="6" t="s">
        <v>45</v>
      </c>
      <c r="J84" s="6" t="s">
        <v>44</v>
      </c>
      <c r="K84" s="12" t="s">
        <v>98</v>
      </c>
      <c r="L84" s="12"/>
      <c r="M84" s="12" t="s">
        <v>98</v>
      </c>
      <c r="N84" s="36" t="s">
        <v>344</v>
      </c>
      <c r="O84" s="34">
        <v>181</v>
      </c>
      <c r="P84" s="6" t="s">
        <v>98</v>
      </c>
      <c r="Q84" s="34" t="s">
        <v>98</v>
      </c>
      <c r="R84" s="34" t="s">
        <v>98</v>
      </c>
      <c r="S84" s="6" t="s">
        <v>98</v>
      </c>
      <c r="T84" s="12">
        <f>Tableau1[[#This Row],[Loyer €/m²]]*Tableau1[[#This Row],[Surface GLA]]</f>
        <v>63350</v>
      </c>
      <c r="U84" s="6">
        <f>IFERROR(Tableau1[[#This Row],[Loyer annuel]]/12,"")</f>
        <v>5279.166666666667</v>
      </c>
      <c r="V84" s="12">
        <v>350</v>
      </c>
      <c r="W84" s="6" t="s">
        <v>98</v>
      </c>
      <c r="X84" s="6">
        <f>Tableau1[[#This Row],[Charges €/m²]]*Tableau1[[#This Row],[Surface GLA]]</f>
        <v>5430</v>
      </c>
      <c r="Y84" s="12">
        <f>Tableau1[[#This Row],[Charges annuelles]]/12</f>
        <v>452.5</v>
      </c>
      <c r="Z84" s="12">
        <v>30</v>
      </c>
      <c r="AA84" s="12">
        <f>IFERROR(Tableau1[[#This Row],[Taxe foncière €/m²]]*Tableau1[[#This Row],[Surface GLA]],)</f>
        <v>0</v>
      </c>
      <c r="AB84" s="6" t="s">
        <v>98</v>
      </c>
      <c r="AC84" s="12">
        <f>IFERROR(Tableau1[[#This Row],[Marketing €/m²]]*Tableau1[[#This Row],[Surface GLA]],)</f>
        <v>0</v>
      </c>
      <c r="AD84" s="6" t="s">
        <v>98</v>
      </c>
      <c r="AE84" s="12">
        <f>IFERROR(Tableau1[[#This Row],[Loyer annuel]]+Tableau1[[#This Row],[Charges annuelles]]+Tableau1[[#This Row],[Taxe foncière]]+Tableau1[[#This Row],[Marketing]],"")</f>
        <v>68780</v>
      </c>
      <c r="AF84" s="12" t="str">
        <f t="shared" si="1"/>
        <v>3 mois = 15 838 €</v>
      </c>
      <c r="AG84" s="6" t="s">
        <v>98</v>
      </c>
      <c r="AH84" s="6" t="s">
        <v>98</v>
      </c>
      <c r="AI84" s="12" t="s">
        <v>373</v>
      </c>
      <c r="AJ84" s="10" t="s">
        <v>70</v>
      </c>
      <c r="AK84" s="10" t="s">
        <v>363</v>
      </c>
      <c r="AL84" s="4" t="s">
        <v>836</v>
      </c>
      <c r="AM84" s="5" t="s">
        <v>350</v>
      </c>
      <c r="AN84" s="5"/>
      <c r="AO84" s="5" t="s">
        <v>361</v>
      </c>
      <c r="AP84" s="11" t="s">
        <v>798</v>
      </c>
      <c r="AQ84" s="11" t="s">
        <v>799</v>
      </c>
      <c r="AR84" s="32" t="s">
        <v>495</v>
      </c>
      <c r="AS84" s="35" t="s">
        <v>1052</v>
      </c>
      <c r="AT84" s="5" t="s">
        <v>70</v>
      </c>
      <c r="AU84" s="11" t="s">
        <v>370</v>
      </c>
      <c r="AV84" s="13" t="s">
        <v>37</v>
      </c>
      <c r="AW84" s="14"/>
      <c r="AX84" s="44"/>
      <c r="AY84" s="1"/>
      <c r="AZ84" s="1"/>
      <c r="BG84" s="1"/>
    </row>
    <row r="85" spans="1:59" ht="25.5">
      <c r="A85" s="10" t="str">
        <f>VLOOKUP(Tableau1[[#This Row],[N° Département]],Feuil1!$C$6:$E$106,3)</f>
        <v>Ile-de-France</v>
      </c>
      <c r="B85" s="4" t="str">
        <f>VLOOKUP(Tableau1[[#This Row],[N° Département]],Feuil1!$C$6:$E$106,2)</f>
        <v>Hauts-de-Seine</v>
      </c>
      <c r="C85" s="10">
        <f>LEFT(Tableau1[[#This Row],[Code Postal]],2)*1</f>
        <v>92</v>
      </c>
      <c r="D85" s="10" t="s">
        <v>129</v>
      </c>
      <c r="E85" s="26">
        <v>92290</v>
      </c>
      <c r="F85" s="10" t="s">
        <v>89</v>
      </c>
      <c r="G85" s="5" t="str">
        <f>Tableau1[[#This Row],[Rue]]&amp;CHAR(10)&amp;Tableau1[[#This Row],[Code Postal]]&amp;" - "&amp;Tableau1[[#This Row],[Ville]]</f>
        <v>Cours du Commerce
92290 - Châtenay-Malabry</v>
      </c>
      <c r="H85" s="15" t="s">
        <v>854</v>
      </c>
      <c r="I85" s="6" t="s">
        <v>45</v>
      </c>
      <c r="J85" s="6" t="s">
        <v>44</v>
      </c>
      <c r="K85" s="12" t="s">
        <v>98</v>
      </c>
      <c r="L85" s="12"/>
      <c r="M85" s="12" t="s">
        <v>98</v>
      </c>
      <c r="N85" s="36" t="s">
        <v>345</v>
      </c>
      <c r="O85" s="34">
        <v>277</v>
      </c>
      <c r="P85" s="6" t="s">
        <v>98</v>
      </c>
      <c r="Q85" s="34" t="s">
        <v>98</v>
      </c>
      <c r="R85" s="34" t="s">
        <v>98</v>
      </c>
      <c r="S85" s="6" t="s">
        <v>98</v>
      </c>
      <c r="T85" s="12">
        <f>Tableau1[[#This Row],[Loyer €/m²]]*Tableau1[[#This Row],[Surface GLA]]</f>
        <v>96950</v>
      </c>
      <c r="U85" s="6">
        <f>IFERROR(Tableau1[[#This Row],[Loyer annuel]]/12,"")</f>
        <v>8079.166666666667</v>
      </c>
      <c r="V85" s="12">
        <v>350</v>
      </c>
      <c r="W85" s="6" t="s">
        <v>98</v>
      </c>
      <c r="X85" s="6">
        <f>Tableau1[[#This Row],[Charges €/m²]]*Tableau1[[#This Row],[Surface GLA]]</f>
        <v>8310</v>
      </c>
      <c r="Y85" s="12">
        <f>Tableau1[[#This Row],[Charges annuelles]]/12</f>
        <v>692.5</v>
      </c>
      <c r="Z85" s="12">
        <v>30</v>
      </c>
      <c r="AA85" s="12">
        <f>IFERROR(Tableau1[[#This Row],[Taxe foncière €/m²]]*Tableau1[[#This Row],[Surface GLA]],)</f>
        <v>0</v>
      </c>
      <c r="AB85" s="6" t="s">
        <v>98</v>
      </c>
      <c r="AC85" s="12">
        <f>IFERROR(Tableau1[[#This Row],[Marketing €/m²]]*Tableau1[[#This Row],[Surface GLA]],)</f>
        <v>0</v>
      </c>
      <c r="AD85" s="6" t="s">
        <v>98</v>
      </c>
      <c r="AE85" s="12">
        <f>IFERROR(Tableau1[[#This Row],[Loyer annuel]]+Tableau1[[#This Row],[Charges annuelles]]+Tableau1[[#This Row],[Taxe foncière]]+Tableau1[[#This Row],[Marketing]],"")</f>
        <v>105260</v>
      </c>
      <c r="AF85" s="12" t="str">
        <f t="shared" si="1"/>
        <v>3 mois = 24 238 €</v>
      </c>
      <c r="AG85" s="6" t="s">
        <v>98</v>
      </c>
      <c r="AH85" s="6" t="s">
        <v>98</v>
      </c>
      <c r="AI85" s="12" t="s">
        <v>373</v>
      </c>
      <c r="AJ85" s="10" t="s">
        <v>70</v>
      </c>
      <c r="AK85" s="10" t="s">
        <v>363</v>
      </c>
      <c r="AL85" s="4" t="s">
        <v>836</v>
      </c>
      <c r="AM85" s="5" t="s">
        <v>350</v>
      </c>
      <c r="AN85" s="5"/>
      <c r="AO85" s="5" t="s">
        <v>361</v>
      </c>
      <c r="AP85" s="11" t="s">
        <v>800</v>
      </c>
      <c r="AQ85" s="11" t="s">
        <v>801</v>
      </c>
      <c r="AR85" s="32" t="s">
        <v>496</v>
      </c>
      <c r="AS85" s="35" t="s">
        <v>1053</v>
      </c>
      <c r="AT85" s="5" t="s">
        <v>70</v>
      </c>
      <c r="AU85" s="11" t="s">
        <v>370</v>
      </c>
      <c r="AV85" s="13" t="s">
        <v>37</v>
      </c>
      <c r="AW85" s="14"/>
      <c r="AX85" s="44"/>
      <c r="AY85" s="1"/>
      <c r="AZ85" s="1"/>
      <c r="BG85" s="1"/>
    </row>
    <row r="86" spans="1:59" ht="25.5">
      <c r="A86" s="10" t="str">
        <f>VLOOKUP(Tableau1[[#This Row],[N° Département]],Feuil1!$C$6:$E$106,3)</f>
        <v>Ile-de-France</v>
      </c>
      <c r="B86" s="4" t="str">
        <f>VLOOKUP(Tableau1[[#This Row],[N° Département]],Feuil1!$C$6:$E$106,2)</f>
        <v>Hauts-de-Seine</v>
      </c>
      <c r="C86" s="10">
        <f>LEFT(Tableau1[[#This Row],[Code Postal]],2)*1</f>
        <v>92</v>
      </c>
      <c r="D86" s="10" t="s">
        <v>129</v>
      </c>
      <c r="E86" s="26">
        <v>92290</v>
      </c>
      <c r="F86" s="10" t="s">
        <v>89</v>
      </c>
      <c r="G86" s="5" t="str">
        <f>Tableau1[[#This Row],[Rue]]&amp;CHAR(10)&amp;Tableau1[[#This Row],[Code Postal]]&amp;" - "&amp;Tableau1[[#This Row],[Ville]]</f>
        <v>Cours du Commerce
92290 - Châtenay-Malabry</v>
      </c>
      <c r="H86" s="15" t="s">
        <v>855</v>
      </c>
      <c r="I86" s="6" t="s">
        <v>45</v>
      </c>
      <c r="J86" s="6" t="s">
        <v>44</v>
      </c>
      <c r="K86" s="12" t="s">
        <v>98</v>
      </c>
      <c r="L86" s="12"/>
      <c r="M86" s="12" t="s">
        <v>98</v>
      </c>
      <c r="N86" s="36" t="s">
        <v>346</v>
      </c>
      <c r="O86" s="34">
        <v>142</v>
      </c>
      <c r="P86" s="6" t="s">
        <v>98</v>
      </c>
      <c r="Q86" s="34" t="s">
        <v>98</v>
      </c>
      <c r="R86" s="34" t="s">
        <v>98</v>
      </c>
      <c r="S86" s="6" t="s">
        <v>98</v>
      </c>
      <c r="T86" s="12">
        <f>Tableau1[[#This Row],[Loyer €/m²]]*Tableau1[[#This Row],[Surface GLA]]</f>
        <v>46150</v>
      </c>
      <c r="U86" s="6">
        <f>IFERROR(Tableau1[[#This Row],[Loyer annuel]]/12,"")</f>
        <v>3845.8333333333335</v>
      </c>
      <c r="V86" s="12">
        <v>325</v>
      </c>
      <c r="W86" s="6" t="s">
        <v>98</v>
      </c>
      <c r="X86" s="6">
        <f>Tableau1[[#This Row],[Charges €/m²]]*Tableau1[[#This Row],[Surface GLA]]</f>
        <v>4260</v>
      </c>
      <c r="Y86" s="12">
        <f>Tableau1[[#This Row],[Charges annuelles]]/12</f>
        <v>355</v>
      </c>
      <c r="Z86" s="12">
        <v>30</v>
      </c>
      <c r="AA86" s="12">
        <f>IFERROR(Tableau1[[#This Row],[Taxe foncière €/m²]]*Tableau1[[#This Row],[Surface GLA]],)</f>
        <v>0</v>
      </c>
      <c r="AB86" s="6" t="s">
        <v>98</v>
      </c>
      <c r="AC86" s="12">
        <f>IFERROR(Tableau1[[#This Row],[Marketing €/m²]]*Tableau1[[#This Row],[Surface GLA]],)</f>
        <v>0</v>
      </c>
      <c r="AD86" s="6" t="s">
        <v>98</v>
      </c>
      <c r="AE86" s="12">
        <f>IFERROR(Tableau1[[#This Row],[Loyer annuel]]+Tableau1[[#This Row],[Charges annuelles]]+Tableau1[[#This Row],[Taxe foncière]]+Tableau1[[#This Row],[Marketing]],"")</f>
        <v>50410</v>
      </c>
      <c r="AF86" s="12" t="str">
        <f t="shared" si="1"/>
        <v>3 mois = 11 538 €</v>
      </c>
      <c r="AG86" s="6" t="s">
        <v>98</v>
      </c>
      <c r="AH86" s="6" t="s">
        <v>98</v>
      </c>
      <c r="AI86" s="12" t="s">
        <v>373</v>
      </c>
      <c r="AJ86" s="10" t="s">
        <v>70</v>
      </c>
      <c r="AK86" s="10" t="s">
        <v>363</v>
      </c>
      <c r="AL86" s="4" t="s">
        <v>836</v>
      </c>
      <c r="AM86" s="5" t="s">
        <v>350</v>
      </c>
      <c r="AN86" s="5"/>
      <c r="AO86" s="5" t="s">
        <v>361</v>
      </c>
      <c r="AP86" s="11" t="s">
        <v>802</v>
      </c>
      <c r="AQ86" s="11" t="s">
        <v>803</v>
      </c>
      <c r="AR86" s="32" t="s">
        <v>497</v>
      </c>
      <c r="AS86" s="35" t="s">
        <v>1054</v>
      </c>
      <c r="AT86" s="5" t="s">
        <v>70</v>
      </c>
      <c r="AU86" s="11" t="s">
        <v>370</v>
      </c>
      <c r="AV86" s="13" t="s">
        <v>37</v>
      </c>
      <c r="AW86" s="14"/>
      <c r="AX86" s="44"/>
      <c r="AY86" s="1"/>
      <c r="AZ86" s="1"/>
      <c r="BG86" s="1"/>
    </row>
    <row r="87" spans="1:59" ht="25.5">
      <c r="A87" s="10" t="str">
        <f>VLOOKUP(Tableau1[[#This Row],[N° Département]],Feuil1!$C$6:$E$106,3)</f>
        <v>Ile-de-France</v>
      </c>
      <c r="B87" s="4" t="str">
        <f>VLOOKUP(Tableau1[[#This Row],[N° Département]],Feuil1!$C$6:$E$106,2)</f>
        <v>Hauts-de-Seine</v>
      </c>
      <c r="C87" s="10">
        <f>LEFT(Tableau1[[#This Row],[Code Postal]],2)*1</f>
        <v>92</v>
      </c>
      <c r="D87" s="10" t="s">
        <v>129</v>
      </c>
      <c r="E87" s="26">
        <v>92290</v>
      </c>
      <c r="F87" s="10" t="s">
        <v>89</v>
      </c>
      <c r="G87" s="5" t="str">
        <f>Tableau1[[#This Row],[Rue]]&amp;CHAR(10)&amp;Tableau1[[#This Row],[Code Postal]]&amp;" - "&amp;Tableau1[[#This Row],[Ville]]</f>
        <v>Cours du Commerce
92290 - Châtenay-Malabry</v>
      </c>
      <c r="H87" s="15" t="s">
        <v>855</v>
      </c>
      <c r="I87" s="6" t="s">
        <v>45</v>
      </c>
      <c r="J87" s="6" t="s">
        <v>44</v>
      </c>
      <c r="K87" s="12" t="s">
        <v>98</v>
      </c>
      <c r="L87" s="12"/>
      <c r="M87" s="12" t="s">
        <v>98</v>
      </c>
      <c r="N87" s="36" t="s">
        <v>347</v>
      </c>
      <c r="O87" s="34">
        <v>114</v>
      </c>
      <c r="P87" s="6" t="s">
        <v>98</v>
      </c>
      <c r="Q87" s="34" t="s">
        <v>98</v>
      </c>
      <c r="R87" s="34" t="s">
        <v>98</v>
      </c>
      <c r="S87" s="6" t="s">
        <v>98</v>
      </c>
      <c r="T87" s="12">
        <f>Tableau1[[#This Row],[Loyer €/m²]]*Tableau1[[#This Row],[Surface GLA]]</f>
        <v>37050</v>
      </c>
      <c r="U87" s="6">
        <f>IFERROR(Tableau1[[#This Row],[Loyer annuel]]/12,"")</f>
        <v>3087.5</v>
      </c>
      <c r="V87" s="12">
        <v>325</v>
      </c>
      <c r="W87" s="6" t="s">
        <v>98</v>
      </c>
      <c r="X87" s="6">
        <f>Tableau1[[#This Row],[Charges €/m²]]*Tableau1[[#This Row],[Surface GLA]]</f>
        <v>3420</v>
      </c>
      <c r="Y87" s="12">
        <f>Tableau1[[#This Row],[Charges annuelles]]/12</f>
        <v>285</v>
      </c>
      <c r="Z87" s="12">
        <v>30</v>
      </c>
      <c r="AA87" s="12">
        <f>IFERROR(Tableau1[[#This Row],[Taxe foncière €/m²]]*Tableau1[[#This Row],[Surface GLA]],)</f>
        <v>0</v>
      </c>
      <c r="AB87" s="6" t="s">
        <v>98</v>
      </c>
      <c r="AC87" s="12">
        <f>IFERROR(Tableau1[[#This Row],[Marketing €/m²]]*Tableau1[[#This Row],[Surface GLA]],)</f>
        <v>0</v>
      </c>
      <c r="AD87" s="6" t="s">
        <v>98</v>
      </c>
      <c r="AE87" s="12">
        <f>IFERROR(Tableau1[[#This Row],[Loyer annuel]]+Tableau1[[#This Row],[Charges annuelles]]+Tableau1[[#This Row],[Taxe foncière]]+Tableau1[[#This Row],[Marketing]],"")</f>
        <v>40470</v>
      </c>
      <c r="AF87" s="12" t="str">
        <f t="shared" si="1"/>
        <v>3 mois = 9 263 €</v>
      </c>
      <c r="AG87" s="6" t="s">
        <v>98</v>
      </c>
      <c r="AH87" s="6" t="s">
        <v>98</v>
      </c>
      <c r="AI87" s="12" t="s">
        <v>373</v>
      </c>
      <c r="AJ87" s="10" t="s">
        <v>70</v>
      </c>
      <c r="AK87" s="10" t="s">
        <v>363</v>
      </c>
      <c r="AL87" s="4" t="s">
        <v>836</v>
      </c>
      <c r="AM87" s="5" t="s">
        <v>350</v>
      </c>
      <c r="AN87" s="5"/>
      <c r="AO87" s="5" t="s">
        <v>361</v>
      </c>
      <c r="AP87" s="11" t="s">
        <v>804</v>
      </c>
      <c r="AQ87" s="11" t="s">
        <v>805</v>
      </c>
      <c r="AR87" s="32" t="s">
        <v>498</v>
      </c>
      <c r="AS87" s="35" t="s">
        <v>1055</v>
      </c>
      <c r="AT87" s="5" t="s">
        <v>70</v>
      </c>
      <c r="AU87" s="11" t="s">
        <v>370</v>
      </c>
      <c r="AV87" s="13" t="s">
        <v>37</v>
      </c>
      <c r="AW87" s="14"/>
      <c r="AX87" s="44"/>
      <c r="AY87" s="1"/>
      <c r="AZ87" s="1"/>
      <c r="BG87" s="1"/>
    </row>
    <row r="88" spans="1:59" ht="25.5">
      <c r="A88" s="10" t="str">
        <f>VLOOKUP(Tableau1[[#This Row],[N° Département]],Feuil1!$C$6:$E$106,3)</f>
        <v>Ile-de-France</v>
      </c>
      <c r="B88" s="4" t="str">
        <f>VLOOKUP(Tableau1[[#This Row],[N° Département]],Feuil1!$C$6:$E$106,2)</f>
        <v>Hauts-de-Seine</v>
      </c>
      <c r="C88" s="10">
        <f>LEFT(Tableau1[[#This Row],[Code Postal]],2)*1</f>
        <v>92</v>
      </c>
      <c r="D88" s="10" t="s">
        <v>129</v>
      </c>
      <c r="E88" s="26">
        <v>92290</v>
      </c>
      <c r="F88" s="10" t="s">
        <v>89</v>
      </c>
      <c r="G88" s="5" t="str">
        <f>Tableau1[[#This Row],[Rue]]&amp;CHAR(10)&amp;Tableau1[[#This Row],[Code Postal]]&amp;" - "&amp;Tableau1[[#This Row],[Ville]]</f>
        <v>Cours du Commerce
92290 - Châtenay-Malabry</v>
      </c>
      <c r="H88" s="15" t="s">
        <v>856</v>
      </c>
      <c r="I88" s="6" t="s">
        <v>45</v>
      </c>
      <c r="J88" s="6" t="s">
        <v>44</v>
      </c>
      <c r="K88" s="12" t="s">
        <v>98</v>
      </c>
      <c r="L88" s="12"/>
      <c r="M88" s="12" t="s">
        <v>98</v>
      </c>
      <c r="N88" s="36" t="s">
        <v>348</v>
      </c>
      <c r="O88" s="34">
        <v>167</v>
      </c>
      <c r="P88" s="6" t="s">
        <v>98</v>
      </c>
      <c r="Q88" s="34" t="s">
        <v>98</v>
      </c>
      <c r="R88" s="34" t="s">
        <v>98</v>
      </c>
      <c r="S88" s="6" t="s">
        <v>98</v>
      </c>
      <c r="T88" s="12">
        <f>Tableau1[[#This Row],[Loyer €/m²]]*Tableau1[[#This Row],[Surface GLA]]</f>
        <v>54275</v>
      </c>
      <c r="U88" s="6">
        <f>IFERROR(Tableau1[[#This Row],[Loyer annuel]]/12,"")</f>
        <v>4522.916666666667</v>
      </c>
      <c r="V88" s="12">
        <v>325</v>
      </c>
      <c r="W88" s="6" t="s">
        <v>98</v>
      </c>
      <c r="X88" s="6">
        <f>Tableau1[[#This Row],[Charges €/m²]]*Tableau1[[#This Row],[Surface GLA]]</f>
        <v>5010</v>
      </c>
      <c r="Y88" s="12">
        <f>Tableau1[[#This Row],[Charges annuelles]]/12</f>
        <v>417.5</v>
      </c>
      <c r="Z88" s="12">
        <v>30</v>
      </c>
      <c r="AA88" s="12">
        <f>IFERROR(Tableau1[[#This Row],[Taxe foncière €/m²]]*Tableau1[[#This Row],[Surface GLA]],)</f>
        <v>0</v>
      </c>
      <c r="AB88" s="6" t="s">
        <v>98</v>
      </c>
      <c r="AC88" s="12">
        <f>IFERROR(Tableau1[[#This Row],[Marketing €/m²]]*Tableau1[[#This Row],[Surface GLA]],)</f>
        <v>0</v>
      </c>
      <c r="AD88" s="6" t="s">
        <v>98</v>
      </c>
      <c r="AE88" s="12">
        <f>IFERROR(Tableau1[[#This Row],[Loyer annuel]]+Tableau1[[#This Row],[Charges annuelles]]+Tableau1[[#This Row],[Taxe foncière]]+Tableau1[[#This Row],[Marketing]],"")</f>
        <v>59285</v>
      </c>
      <c r="AF88" s="12" t="str">
        <f t="shared" si="1"/>
        <v>3 mois = 13 569 €</v>
      </c>
      <c r="AG88" s="6" t="s">
        <v>98</v>
      </c>
      <c r="AH88" s="6" t="s">
        <v>98</v>
      </c>
      <c r="AI88" s="12" t="s">
        <v>373</v>
      </c>
      <c r="AJ88" s="10" t="s">
        <v>70</v>
      </c>
      <c r="AK88" s="10" t="s">
        <v>363</v>
      </c>
      <c r="AL88" s="4" t="s">
        <v>836</v>
      </c>
      <c r="AM88" s="5" t="s">
        <v>350</v>
      </c>
      <c r="AN88" s="5"/>
      <c r="AO88" s="5" t="s">
        <v>361</v>
      </c>
      <c r="AP88" s="11" t="s">
        <v>806</v>
      </c>
      <c r="AQ88" s="11" t="s">
        <v>807</v>
      </c>
      <c r="AR88" s="32" t="s">
        <v>499</v>
      </c>
      <c r="AS88" s="35" t="s">
        <v>1056</v>
      </c>
      <c r="AT88" s="5" t="s">
        <v>70</v>
      </c>
      <c r="AU88" s="11" t="s">
        <v>370</v>
      </c>
      <c r="AV88" s="13" t="s">
        <v>37</v>
      </c>
      <c r="AW88" s="14"/>
      <c r="AX88" s="44"/>
      <c r="AY88" s="1"/>
      <c r="AZ88" s="1"/>
      <c r="BG88" s="1"/>
    </row>
    <row r="89" spans="1:59" ht="25.5">
      <c r="A89" s="10" t="str">
        <f>VLOOKUP(Tableau1[[#This Row],[N° Département]],Feuil1!$C$6:$E$106,3)</f>
        <v>Ile-de-France</v>
      </c>
      <c r="B89" s="4" t="str">
        <f>VLOOKUP(Tableau1[[#This Row],[N° Département]],Feuil1!$C$6:$E$106,2)</f>
        <v>Hauts-de-Seine</v>
      </c>
      <c r="C89" s="10">
        <f>LEFT(Tableau1[[#This Row],[Code Postal]],2)*1</f>
        <v>92</v>
      </c>
      <c r="D89" s="10" t="s">
        <v>129</v>
      </c>
      <c r="E89" s="26">
        <v>92290</v>
      </c>
      <c r="F89" s="10" t="s">
        <v>89</v>
      </c>
      <c r="G89" s="5" t="str">
        <f>Tableau1[[#This Row],[Rue]]&amp;CHAR(10)&amp;Tableau1[[#This Row],[Code Postal]]&amp;" - "&amp;Tableau1[[#This Row],[Ville]]</f>
        <v>Cours du Commerce
92290 - Châtenay-Malabry</v>
      </c>
      <c r="H89" s="15" t="s">
        <v>857</v>
      </c>
      <c r="I89" s="6" t="s">
        <v>45</v>
      </c>
      <c r="J89" s="6" t="s">
        <v>44</v>
      </c>
      <c r="K89" s="12" t="s">
        <v>98</v>
      </c>
      <c r="L89" s="12"/>
      <c r="M89" s="12" t="s">
        <v>98</v>
      </c>
      <c r="N89" s="36" t="s">
        <v>349</v>
      </c>
      <c r="O89" s="34">
        <v>88</v>
      </c>
      <c r="P89" s="6" t="s">
        <v>98</v>
      </c>
      <c r="Q89" s="34" t="s">
        <v>98</v>
      </c>
      <c r="R89" s="34" t="s">
        <v>98</v>
      </c>
      <c r="S89" s="6" t="s">
        <v>98</v>
      </c>
      <c r="T89" s="12">
        <f>Tableau1[[#This Row],[Loyer €/m²]]*Tableau1[[#This Row],[Surface GLA]]</f>
        <v>28600</v>
      </c>
      <c r="U89" s="6">
        <f>IFERROR(Tableau1[[#This Row],[Loyer annuel]]/12,"")</f>
        <v>2383.3333333333335</v>
      </c>
      <c r="V89" s="12">
        <v>325</v>
      </c>
      <c r="W89" s="6" t="s">
        <v>98</v>
      </c>
      <c r="X89" s="6">
        <f>Tableau1[[#This Row],[Charges €/m²]]*Tableau1[[#This Row],[Surface GLA]]</f>
        <v>2640</v>
      </c>
      <c r="Y89" s="12">
        <f>Tableau1[[#This Row],[Charges annuelles]]/12</f>
        <v>220</v>
      </c>
      <c r="Z89" s="12">
        <v>30</v>
      </c>
      <c r="AA89" s="12">
        <f>IFERROR(Tableau1[[#This Row],[Taxe foncière €/m²]]*Tableau1[[#This Row],[Surface GLA]],)</f>
        <v>0</v>
      </c>
      <c r="AB89" s="6" t="s">
        <v>98</v>
      </c>
      <c r="AC89" s="12">
        <f>IFERROR(Tableau1[[#This Row],[Marketing €/m²]]*Tableau1[[#This Row],[Surface GLA]],)</f>
        <v>0</v>
      </c>
      <c r="AD89" s="6" t="s">
        <v>98</v>
      </c>
      <c r="AE89" s="12">
        <f>IFERROR(Tableau1[[#This Row],[Loyer annuel]]+Tableau1[[#This Row],[Charges annuelles]]+Tableau1[[#This Row],[Taxe foncière]]+Tableau1[[#This Row],[Marketing]],"")</f>
        <v>31240</v>
      </c>
      <c r="AF89" s="12" t="str">
        <f t="shared" si="1"/>
        <v>3 mois = 7 150 €</v>
      </c>
      <c r="AG89" s="6" t="s">
        <v>98</v>
      </c>
      <c r="AH89" s="6" t="s">
        <v>98</v>
      </c>
      <c r="AI89" s="12" t="s">
        <v>373</v>
      </c>
      <c r="AJ89" s="10" t="s">
        <v>70</v>
      </c>
      <c r="AK89" s="10" t="s">
        <v>363</v>
      </c>
      <c r="AL89" s="4" t="s">
        <v>836</v>
      </c>
      <c r="AM89" s="5" t="s">
        <v>350</v>
      </c>
      <c r="AN89" s="5"/>
      <c r="AO89" s="5" t="s">
        <v>361</v>
      </c>
      <c r="AP89" s="11" t="s">
        <v>808</v>
      </c>
      <c r="AQ89" s="11" t="s">
        <v>809</v>
      </c>
      <c r="AR89" s="32" t="s">
        <v>500</v>
      </c>
      <c r="AS89" s="35" t="s">
        <v>1057</v>
      </c>
      <c r="AT89" s="5" t="s">
        <v>70</v>
      </c>
      <c r="AU89" s="11" t="s">
        <v>370</v>
      </c>
      <c r="AV89" s="13" t="s">
        <v>37</v>
      </c>
      <c r="AW89" s="14"/>
      <c r="AX89" s="44"/>
      <c r="AY89" s="1"/>
      <c r="AZ89" s="1"/>
      <c r="BG89" s="1"/>
    </row>
    <row r="90" spans="1:59" ht="38.25">
      <c r="A90" s="10" t="str">
        <f>VLOOKUP(Tableau1[[#This Row],[N° Département]],Feuil1!$C$6:$E$106,3)</f>
        <v>Ile-de-France</v>
      </c>
      <c r="B90" s="4" t="str">
        <f>VLOOKUP(Tableau1[[#This Row],[N° Département]],Feuil1!$C$6:$E$106,2)</f>
        <v>Hauts-de-Seine</v>
      </c>
      <c r="C90" s="10">
        <f>LEFT(Tableau1[[#This Row],[Code Postal]],2)*1</f>
        <v>92</v>
      </c>
      <c r="D90" s="10" t="s">
        <v>130</v>
      </c>
      <c r="E90" s="26">
        <v>92410</v>
      </c>
      <c r="F90" s="10" t="s">
        <v>90</v>
      </c>
      <c r="G90" s="5" t="str">
        <f>Tableau1[[#This Row],[Rue]]&amp;CHAR(10)&amp;Tableau1[[#This Row],[Code Postal]]&amp;" - "&amp;Tableau1[[#This Row],[Ville]]</f>
        <v>30 Rue de la Ronce
92410 - Ville-d'Avray</v>
      </c>
      <c r="H90" s="15" t="s">
        <v>34</v>
      </c>
      <c r="I90" s="6" t="s">
        <v>45</v>
      </c>
      <c r="J90" s="6" t="s">
        <v>44</v>
      </c>
      <c r="K90" s="12" t="s">
        <v>98</v>
      </c>
      <c r="L90" s="12"/>
      <c r="M90" s="12" t="s">
        <v>98</v>
      </c>
      <c r="N90" s="35" t="s">
        <v>329</v>
      </c>
      <c r="O90" s="34">
        <v>372</v>
      </c>
      <c r="P90" s="6" t="s">
        <v>98</v>
      </c>
      <c r="Q90" s="34">
        <v>533</v>
      </c>
      <c r="R90" s="34" t="s">
        <v>98</v>
      </c>
      <c r="S90" s="6" t="s">
        <v>98</v>
      </c>
      <c r="T90" s="12">
        <f>Tableau1[[#This Row],[Loyer €/m²]]*Tableau1[[#This Row],[Surface GLA]]</f>
        <v>69936</v>
      </c>
      <c r="U90" s="6">
        <f>IFERROR(Tableau1[[#This Row],[Loyer annuel]]/12,"")</f>
        <v>5828</v>
      </c>
      <c r="V90" s="12">
        <v>188</v>
      </c>
      <c r="W90" s="6" t="s">
        <v>98</v>
      </c>
      <c r="X90" s="6">
        <f>Tableau1[[#This Row],[Charges €/m²]]*Tableau1[[#This Row],[Surface GLA]]</f>
        <v>3720</v>
      </c>
      <c r="Y90" s="12">
        <f>Tableau1[[#This Row],[Charges annuelles]]/12</f>
        <v>310</v>
      </c>
      <c r="Z90" s="12">
        <v>10</v>
      </c>
      <c r="AA90" s="12">
        <f>IFERROR(Tableau1[[#This Row],[Taxe foncière €/m²]]*Tableau1[[#This Row],[Surface GLA]],)</f>
        <v>5952</v>
      </c>
      <c r="AB90" s="6">
        <v>16</v>
      </c>
      <c r="AC90" s="6">
        <f>IFERROR(Tableau1[[#This Row],[Marketing €/m²]]*Tableau1[[#This Row],[Surface GLA]],)</f>
        <v>0</v>
      </c>
      <c r="AD90" s="6" t="s">
        <v>98</v>
      </c>
      <c r="AE90" s="6">
        <f>IFERROR(Tableau1[[#This Row],[Loyer annuel]]+Tableau1[[#This Row],[Charges annuelles]]+Tableau1[[#This Row],[Taxe foncière]]+Tableau1[[#This Row],[Marketing]],"")</f>
        <v>79608</v>
      </c>
      <c r="AF90" s="6" t="s">
        <v>98</v>
      </c>
      <c r="AG90" s="6" t="s">
        <v>98</v>
      </c>
      <c r="AH90" s="6" t="s">
        <v>98</v>
      </c>
      <c r="AI90" s="6" t="s">
        <v>373</v>
      </c>
      <c r="AJ90" s="10" t="s">
        <v>70</v>
      </c>
      <c r="AK90" s="4" t="s">
        <v>363</v>
      </c>
      <c r="AL90" s="4" t="s">
        <v>661</v>
      </c>
      <c r="AM90" s="5" t="s">
        <v>1850</v>
      </c>
      <c r="AN90" s="5"/>
      <c r="AO90" s="5" t="s">
        <v>361</v>
      </c>
      <c r="AP90" s="5" t="s">
        <v>662</v>
      </c>
      <c r="AQ90" s="5" t="s">
        <v>663</v>
      </c>
      <c r="AR90" s="32" t="s">
        <v>501</v>
      </c>
      <c r="AS90" s="35" t="s">
        <v>772</v>
      </c>
      <c r="AT90" s="5" t="s">
        <v>70</v>
      </c>
      <c r="AU90" s="11" t="s">
        <v>370</v>
      </c>
      <c r="AV90" s="13" t="s">
        <v>31</v>
      </c>
      <c r="AW90" s="14"/>
      <c r="AX90" s="44"/>
      <c r="AY90" s="1"/>
      <c r="AZ90" s="1"/>
      <c r="BG90" s="1"/>
    </row>
    <row r="91" spans="1:59" ht="38.25">
      <c r="A91" s="10" t="str">
        <f>VLOOKUP(Tableau1[[#This Row],[N° Département]],Feuil1!$C$6:$E$106,3)</f>
        <v>Ile-de-France</v>
      </c>
      <c r="B91" s="4" t="str">
        <f>VLOOKUP(Tableau1[[#This Row],[N° Département]],Feuil1!$C$6:$E$106,2)</f>
        <v>Hauts-de-Seine</v>
      </c>
      <c r="C91" s="10">
        <f>LEFT(Tableau1[[#This Row],[Code Postal]],2)*1</f>
        <v>92</v>
      </c>
      <c r="D91" s="10" t="s">
        <v>130</v>
      </c>
      <c r="E91" s="26">
        <v>92410</v>
      </c>
      <c r="F91" s="10" t="s">
        <v>90</v>
      </c>
      <c r="G91" s="5" t="str">
        <f>Tableau1[[#This Row],[Rue]]&amp;CHAR(10)&amp;Tableau1[[#This Row],[Code Postal]]&amp;" - "&amp;Tableau1[[#This Row],[Ville]]</f>
        <v>30 Rue de la Ronce
92410 - Ville-d'Avray</v>
      </c>
      <c r="H91" s="15" t="s">
        <v>34</v>
      </c>
      <c r="I91" s="6" t="s">
        <v>45</v>
      </c>
      <c r="J91" s="6" t="s">
        <v>44</v>
      </c>
      <c r="K91" s="12" t="s">
        <v>98</v>
      </c>
      <c r="L91" s="12"/>
      <c r="M91" s="12" t="s">
        <v>98</v>
      </c>
      <c r="N91" s="36" t="s">
        <v>330</v>
      </c>
      <c r="O91" s="34">
        <v>53</v>
      </c>
      <c r="P91" s="6" t="s">
        <v>98</v>
      </c>
      <c r="Q91" s="34">
        <v>533</v>
      </c>
      <c r="R91" s="34" t="s">
        <v>98</v>
      </c>
      <c r="S91" s="6" t="s">
        <v>98</v>
      </c>
      <c r="T91" s="12">
        <f>Tableau1[[#This Row],[Loyer €/m²]]*Tableau1[[#This Row],[Surface GLA]]</f>
        <v>14840</v>
      </c>
      <c r="U91" s="6">
        <f>IFERROR(Tableau1[[#This Row],[Loyer annuel]]/12,"")</f>
        <v>1236.6666666666667</v>
      </c>
      <c r="V91" s="12">
        <v>280</v>
      </c>
      <c r="W91" s="6" t="s">
        <v>98</v>
      </c>
      <c r="X91" s="6">
        <f>Tableau1[[#This Row],[Charges €/m²]]*Tableau1[[#This Row],[Surface GLA]]</f>
        <v>530</v>
      </c>
      <c r="Y91" s="12">
        <f>Tableau1[[#This Row],[Charges annuelles]]/12</f>
        <v>44.166666666666664</v>
      </c>
      <c r="Z91" s="12">
        <v>10</v>
      </c>
      <c r="AA91" s="12">
        <f>IFERROR(Tableau1[[#This Row],[Taxe foncière €/m²]]*Tableau1[[#This Row],[Surface GLA]],)</f>
        <v>848</v>
      </c>
      <c r="AB91" s="6">
        <v>16</v>
      </c>
      <c r="AC91" s="12">
        <f>IFERROR(Tableau1[[#This Row],[Marketing €/m²]]*Tableau1[[#This Row],[Surface GLA]],)</f>
        <v>0</v>
      </c>
      <c r="AD91" s="6" t="s">
        <v>98</v>
      </c>
      <c r="AE91" s="12">
        <f>IFERROR(Tableau1[[#This Row],[Loyer annuel]]+Tableau1[[#This Row],[Charges annuelles]]+Tableau1[[#This Row],[Taxe foncière]]+Tableau1[[#This Row],[Marketing]],"")</f>
        <v>16218</v>
      </c>
      <c r="AF91" s="6" t="s">
        <v>98</v>
      </c>
      <c r="AG91" s="6" t="s">
        <v>98</v>
      </c>
      <c r="AH91" s="6" t="s">
        <v>98</v>
      </c>
      <c r="AI91" s="6" t="s">
        <v>373</v>
      </c>
      <c r="AJ91" s="10" t="s">
        <v>53</v>
      </c>
      <c r="AK91" s="10" t="s">
        <v>362</v>
      </c>
      <c r="AL91" s="4" t="s">
        <v>661</v>
      </c>
      <c r="AM91" s="5" t="s">
        <v>1850</v>
      </c>
      <c r="AN91" s="5"/>
      <c r="AO91" s="5" t="s">
        <v>361</v>
      </c>
      <c r="AP91" s="11" t="s">
        <v>664</v>
      </c>
      <c r="AQ91" s="11" t="s">
        <v>665</v>
      </c>
      <c r="AR91" s="32" t="s">
        <v>502</v>
      </c>
      <c r="AS91" s="35" t="s">
        <v>773</v>
      </c>
      <c r="AT91" s="5" t="s">
        <v>70</v>
      </c>
      <c r="AU91" s="11" t="s">
        <v>370</v>
      </c>
      <c r="AV91" s="13" t="s">
        <v>31</v>
      </c>
      <c r="AW91" s="14"/>
      <c r="AX91" s="44"/>
      <c r="AY91" s="1"/>
      <c r="AZ91" s="1"/>
      <c r="BG91" s="1"/>
    </row>
    <row r="92" spans="1:59" ht="38.25">
      <c r="A92" s="10" t="str">
        <f>VLOOKUP(Tableau1[[#This Row],[N° Département]],Feuil1!$C$6:$E$106,3)</f>
        <v>Ile-de-France</v>
      </c>
      <c r="B92" s="4" t="str">
        <f>VLOOKUP(Tableau1[[#This Row],[N° Département]],Feuil1!$C$6:$E$106,2)</f>
        <v>Hauts-de-Seine</v>
      </c>
      <c r="C92" s="10">
        <f>LEFT(Tableau1[[#This Row],[Code Postal]],2)*1</f>
        <v>92</v>
      </c>
      <c r="D92" s="10" t="s">
        <v>130</v>
      </c>
      <c r="E92" s="26">
        <v>92410</v>
      </c>
      <c r="F92" s="10" t="s">
        <v>90</v>
      </c>
      <c r="G92" s="5" t="str">
        <f>Tableau1[[#This Row],[Rue]]&amp;CHAR(10)&amp;Tableau1[[#This Row],[Code Postal]]&amp;" - "&amp;Tableau1[[#This Row],[Ville]]</f>
        <v>30 Rue de la Ronce
92410 - Ville-d'Avray</v>
      </c>
      <c r="H92" s="15" t="s">
        <v>34</v>
      </c>
      <c r="I92" s="6" t="s">
        <v>45</v>
      </c>
      <c r="J92" s="6" t="s">
        <v>44</v>
      </c>
      <c r="K92" s="12" t="s">
        <v>98</v>
      </c>
      <c r="L92" s="12"/>
      <c r="M92" s="12" t="s">
        <v>98</v>
      </c>
      <c r="N92" s="36" t="s">
        <v>351</v>
      </c>
      <c r="O92" s="34">
        <v>108</v>
      </c>
      <c r="P92" s="6" t="s">
        <v>98</v>
      </c>
      <c r="Q92" s="34">
        <v>533</v>
      </c>
      <c r="R92" s="34" t="s">
        <v>98</v>
      </c>
      <c r="S92" s="6" t="s">
        <v>98</v>
      </c>
      <c r="T92" s="12">
        <f>Tableau1[[#This Row],[Loyer €/m²]]*Tableau1[[#This Row],[Surface GLA]]</f>
        <v>31968</v>
      </c>
      <c r="U92" s="6">
        <f>IFERROR(Tableau1[[#This Row],[Loyer annuel]]/12,"")</f>
        <v>2664</v>
      </c>
      <c r="V92" s="12">
        <v>296</v>
      </c>
      <c r="W92" s="6" t="s">
        <v>98</v>
      </c>
      <c r="X92" s="6">
        <f>Tableau1[[#This Row],[Charges €/m²]]*Tableau1[[#This Row],[Surface GLA]]</f>
        <v>1080</v>
      </c>
      <c r="Y92" s="12">
        <f>Tableau1[[#This Row],[Charges annuelles]]/12</f>
        <v>90</v>
      </c>
      <c r="Z92" s="12">
        <v>10</v>
      </c>
      <c r="AA92" s="12">
        <f>IFERROR(Tableau1[[#This Row],[Taxe foncière €/m²]]*Tableau1[[#This Row],[Surface GLA]],)</f>
        <v>1728</v>
      </c>
      <c r="AB92" s="6">
        <v>16</v>
      </c>
      <c r="AC92" s="12">
        <f>IFERROR(Tableau1[[#This Row],[Marketing €/m²]]*Tableau1[[#This Row],[Surface GLA]],)</f>
        <v>0</v>
      </c>
      <c r="AD92" s="6" t="s">
        <v>98</v>
      </c>
      <c r="AE92" s="12">
        <f>IFERROR(Tableau1[[#This Row],[Loyer annuel]]+Tableau1[[#This Row],[Charges annuelles]]+Tableau1[[#This Row],[Taxe foncière]]+Tableau1[[#This Row],[Marketing]],"")</f>
        <v>34776</v>
      </c>
      <c r="AF92" s="6" t="s">
        <v>98</v>
      </c>
      <c r="AG92" s="6" t="s">
        <v>98</v>
      </c>
      <c r="AH92" s="6" t="s">
        <v>98</v>
      </c>
      <c r="AI92" s="6" t="s">
        <v>373</v>
      </c>
      <c r="AJ92" s="10" t="s">
        <v>53</v>
      </c>
      <c r="AK92" s="10" t="s">
        <v>362</v>
      </c>
      <c r="AL92" s="4" t="s">
        <v>661</v>
      </c>
      <c r="AM92" s="5" t="s">
        <v>1850</v>
      </c>
      <c r="AN92" s="5"/>
      <c r="AO92" s="5" t="s">
        <v>361</v>
      </c>
      <c r="AP92" s="11" t="s">
        <v>666</v>
      </c>
      <c r="AQ92" s="11" t="s">
        <v>667</v>
      </c>
      <c r="AR92" s="32" t="s">
        <v>503</v>
      </c>
      <c r="AS92" s="35" t="s">
        <v>774</v>
      </c>
      <c r="AT92" s="5" t="s">
        <v>70</v>
      </c>
      <c r="AU92" s="11" t="s">
        <v>370</v>
      </c>
      <c r="AV92" s="13" t="s">
        <v>31</v>
      </c>
      <c r="AW92" s="14"/>
      <c r="AX92" s="44"/>
      <c r="AY92" s="1"/>
      <c r="AZ92" s="1"/>
      <c r="BG92" s="1"/>
    </row>
    <row r="93" spans="1:59" ht="38.25">
      <c r="A93" s="10" t="str">
        <f>VLOOKUP(Tableau1[[#This Row],[N° Département]],Feuil1!$C$6:$E$106,3)</f>
        <v>Ile-de-France</v>
      </c>
      <c r="B93" s="4" t="str">
        <f>VLOOKUP(Tableau1[[#This Row],[N° Département]],Feuil1!$C$6:$E$106,2)</f>
        <v>Hauts-de-Seine</v>
      </c>
      <c r="C93" s="10">
        <f>LEFT(Tableau1[[#This Row],[Code Postal]],2)*1</f>
        <v>92</v>
      </c>
      <c r="D93" s="10" t="s">
        <v>130</v>
      </c>
      <c r="E93" s="26">
        <v>92410</v>
      </c>
      <c r="F93" s="10" t="s">
        <v>90</v>
      </c>
      <c r="G93" s="5" t="str">
        <f>Tableau1[[#This Row],[Rue]]&amp;CHAR(10)&amp;Tableau1[[#This Row],[Code Postal]]&amp;" - "&amp;Tableau1[[#This Row],[Ville]]</f>
        <v>30 Rue de la Ronce
92410 - Ville-d'Avray</v>
      </c>
      <c r="H93" s="15" t="s">
        <v>34</v>
      </c>
      <c r="I93" s="6" t="s">
        <v>45</v>
      </c>
      <c r="J93" s="6" t="s">
        <v>44</v>
      </c>
      <c r="K93" s="12" t="s">
        <v>98</v>
      </c>
      <c r="L93" s="12"/>
      <c r="M93" s="12" t="s">
        <v>98</v>
      </c>
      <c r="N93" s="36" t="s">
        <v>352</v>
      </c>
      <c r="O93" s="34">
        <v>424</v>
      </c>
      <c r="P93" s="6" t="s">
        <v>98</v>
      </c>
      <c r="Q93" s="34">
        <v>1381</v>
      </c>
      <c r="R93" s="34" t="s">
        <v>98</v>
      </c>
      <c r="S93" s="6" t="s">
        <v>98</v>
      </c>
      <c r="T93" s="12">
        <f>Tableau1[[#This Row],[Loyer €/m²]]*Tableau1[[#This Row],[Surface GLA]]</f>
        <v>86920</v>
      </c>
      <c r="U93" s="6">
        <f>IFERROR(Tableau1[[#This Row],[Loyer annuel]]/12,"")</f>
        <v>7243.333333333333</v>
      </c>
      <c r="V93" s="12">
        <v>205</v>
      </c>
      <c r="W93" s="6" t="s">
        <v>98</v>
      </c>
      <c r="X93" s="6">
        <f>Tableau1[[#This Row],[Charges €/m²]]*Tableau1[[#This Row],[Surface GLA]]</f>
        <v>4240</v>
      </c>
      <c r="Y93" s="12">
        <f>Tableau1[[#This Row],[Charges annuelles]]/12</f>
        <v>353.33333333333331</v>
      </c>
      <c r="Z93" s="12">
        <v>10</v>
      </c>
      <c r="AA93" s="12">
        <f>IFERROR(Tableau1[[#This Row],[Taxe foncière €/m²]]*Tableau1[[#This Row],[Surface GLA]],)</f>
        <v>6784</v>
      </c>
      <c r="AB93" s="6">
        <v>16</v>
      </c>
      <c r="AC93" s="12">
        <f>IFERROR(Tableau1[[#This Row],[Marketing €/m²]]*Tableau1[[#This Row],[Surface GLA]],)</f>
        <v>0</v>
      </c>
      <c r="AD93" s="6" t="s">
        <v>98</v>
      </c>
      <c r="AE93" s="12">
        <f>IFERROR(Tableau1[[#This Row],[Loyer annuel]]+Tableau1[[#This Row],[Charges annuelles]]+Tableau1[[#This Row],[Taxe foncière]]+Tableau1[[#This Row],[Marketing]],"")</f>
        <v>97944</v>
      </c>
      <c r="AF93" s="6" t="s">
        <v>98</v>
      </c>
      <c r="AG93" s="6" t="s">
        <v>98</v>
      </c>
      <c r="AH93" s="6" t="s">
        <v>98</v>
      </c>
      <c r="AI93" s="6" t="s">
        <v>373</v>
      </c>
      <c r="AJ93" s="10" t="s">
        <v>53</v>
      </c>
      <c r="AK93" s="10" t="s">
        <v>362</v>
      </c>
      <c r="AL93" s="4" t="s">
        <v>661</v>
      </c>
      <c r="AM93" s="5" t="s">
        <v>1850</v>
      </c>
      <c r="AN93" s="5"/>
      <c r="AO93" s="5" t="s">
        <v>361</v>
      </c>
      <c r="AP93" s="11" t="s">
        <v>664</v>
      </c>
      <c r="AQ93" s="11" t="s">
        <v>668</v>
      </c>
      <c r="AR93" s="32" t="s">
        <v>504</v>
      </c>
      <c r="AS93" s="36" t="s">
        <v>775</v>
      </c>
      <c r="AT93" s="5" t="s">
        <v>53</v>
      </c>
      <c r="AU93" s="11" t="s">
        <v>370</v>
      </c>
      <c r="AV93" s="13" t="s">
        <v>31</v>
      </c>
      <c r="AW93" s="14"/>
      <c r="AX93" s="44"/>
      <c r="AY93" s="1"/>
      <c r="AZ93" s="1"/>
      <c r="BG93" s="1"/>
    </row>
    <row r="94" spans="1:59" ht="38.25">
      <c r="A94" s="10" t="str">
        <f>VLOOKUP(Tableau1[[#This Row],[N° Département]],Feuil1!$C$6:$E$106,3)</f>
        <v>Ile-de-France</v>
      </c>
      <c r="B94" s="4" t="str">
        <f>VLOOKUP(Tableau1[[#This Row],[N° Département]],Feuil1!$C$6:$E$106,2)</f>
        <v>Hauts-de-Seine</v>
      </c>
      <c r="C94" s="10">
        <f>LEFT(Tableau1[[#This Row],[Code Postal]],2)*1</f>
        <v>92</v>
      </c>
      <c r="D94" s="10" t="s">
        <v>130</v>
      </c>
      <c r="E94" s="26">
        <v>92410</v>
      </c>
      <c r="F94" s="10" t="s">
        <v>90</v>
      </c>
      <c r="G94" s="5" t="str">
        <f>Tableau1[[#This Row],[Rue]]&amp;CHAR(10)&amp;Tableau1[[#This Row],[Code Postal]]&amp;" - "&amp;Tableau1[[#This Row],[Ville]]</f>
        <v>30 Rue de la Ronce
92410 - Ville-d'Avray</v>
      </c>
      <c r="H94" s="15" t="s">
        <v>34</v>
      </c>
      <c r="I94" s="6" t="s">
        <v>45</v>
      </c>
      <c r="J94" s="6" t="s">
        <v>44</v>
      </c>
      <c r="K94" s="12" t="s">
        <v>98</v>
      </c>
      <c r="L94" s="12"/>
      <c r="M94" s="12" t="s">
        <v>98</v>
      </c>
      <c r="N94" s="36" t="s">
        <v>353</v>
      </c>
      <c r="O94" s="34">
        <v>258</v>
      </c>
      <c r="P94" s="6" t="s">
        <v>98</v>
      </c>
      <c r="Q94" s="34">
        <v>1381</v>
      </c>
      <c r="R94" s="34" t="s">
        <v>98</v>
      </c>
      <c r="S94" s="6" t="s">
        <v>98</v>
      </c>
      <c r="T94" s="12">
        <f>Tableau1[[#This Row],[Loyer €/m²]]*Tableau1[[#This Row],[Surface GLA]]</f>
        <v>58050</v>
      </c>
      <c r="U94" s="6">
        <f>IFERROR(Tableau1[[#This Row],[Loyer annuel]]/12,"")</f>
        <v>4837.5</v>
      </c>
      <c r="V94" s="12">
        <v>225</v>
      </c>
      <c r="W94" s="6" t="s">
        <v>98</v>
      </c>
      <c r="X94" s="6">
        <f>Tableau1[[#This Row],[Charges €/m²]]*Tableau1[[#This Row],[Surface GLA]]</f>
        <v>2580</v>
      </c>
      <c r="Y94" s="12">
        <f>Tableau1[[#This Row],[Charges annuelles]]/12</f>
        <v>215</v>
      </c>
      <c r="Z94" s="12">
        <v>10</v>
      </c>
      <c r="AA94" s="12">
        <f>IFERROR(Tableau1[[#This Row],[Taxe foncière €/m²]]*Tableau1[[#This Row],[Surface GLA]],)</f>
        <v>4128</v>
      </c>
      <c r="AB94" s="6">
        <v>16</v>
      </c>
      <c r="AC94" s="12">
        <f>IFERROR(Tableau1[[#This Row],[Marketing €/m²]]*Tableau1[[#This Row],[Surface GLA]],)</f>
        <v>0</v>
      </c>
      <c r="AD94" s="6" t="s">
        <v>98</v>
      </c>
      <c r="AE94" s="12">
        <f>IFERROR(Tableau1[[#This Row],[Loyer annuel]]+Tableau1[[#This Row],[Charges annuelles]]+Tableau1[[#This Row],[Taxe foncière]]+Tableau1[[#This Row],[Marketing]],"")</f>
        <v>64758</v>
      </c>
      <c r="AF94" s="6" t="s">
        <v>98</v>
      </c>
      <c r="AG94" s="6" t="s">
        <v>98</v>
      </c>
      <c r="AH94" s="6" t="s">
        <v>98</v>
      </c>
      <c r="AI94" s="6" t="s">
        <v>373</v>
      </c>
      <c r="AJ94" s="10" t="s">
        <v>53</v>
      </c>
      <c r="AK94" s="10" t="s">
        <v>362</v>
      </c>
      <c r="AL94" s="4" t="s">
        <v>661</v>
      </c>
      <c r="AM94" s="5" t="s">
        <v>1850</v>
      </c>
      <c r="AN94" s="5"/>
      <c r="AO94" s="5" t="s">
        <v>361</v>
      </c>
      <c r="AP94" s="11" t="s">
        <v>669</v>
      </c>
      <c r="AQ94" s="11" t="s">
        <v>670</v>
      </c>
      <c r="AR94" s="32" t="s">
        <v>505</v>
      </c>
      <c r="AS94" s="36" t="s">
        <v>776</v>
      </c>
      <c r="AT94" s="5" t="s">
        <v>53</v>
      </c>
      <c r="AU94" s="11" t="s">
        <v>370</v>
      </c>
      <c r="AV94" s="13" t="s">
        <v>31</v>
      </c>
      <c r="AW94" s="14"/>
      <c r="AX94" s="44"/>
      <c r="AY94" s="1"/>
      <c r="AZ94" s="1"/>
      <c r="BG94" s="1"/>
    </row>
    <row r="95" spans="1:59" ht="38.25">
      <c r="A95" s="10" t="str">
        <f>VLOOKUP(Tableau1[[#This Row],[N° Département]],Feuil1!$C$6:$E$106,3)</f>
        <v>Ile-de-France</v>
      </c>
      <c r="B95" s="4" t="str">
        <f>VLOOKUP(Tableau1[[#This Row],[N° Département]],Feuil1!$C$6:$E$106,2)</f>
        <v>Hauts-de-Seine</v>
      </c>
      <c r="C95" s="10">
        <f>LEFT(Tableau1[[#This Row],[Code Postal]],2)*1</f>
        <v>92</v>
      </c>
      <c r="D95" s="10" t="s">
        <v>130</v>
      </c>
      <c r="E95" s="26">
        <v>92410</v>
      </c>
      <c r="F95" s="10" t="s">
        <v>90</v>
      </c>
      <c r="G95" s="5" t="str">
        <f>Tableau1[[#This Row],[Rue]]&amp;CHAR(10)&amp;Tableau1[[#This Row],[Code Postal]]&amp;" - "&amp;Tableau1[[#This Row],[Ville]]</f>
        <v>30 Rue de la Ronce
92410 - Ville-d'Avray</v>
      </c>
      <c r="H95" s="15" t="s">
        <v>34</v>
      </c>
      <c r="I95" s="6" t="s">
        <v>45</v>
      </c>
      <c r="J95" s="6" t="s">
        <v>44</v>
      </c>
      <c r="K95" s="12" t="s">
        <v>98</v>
      </c>
      <c r="L95" s="12"/>
      <c r="M95" s="12" t="s">
        <v>98</v>
      </c>
      <c r="N95" s="36" t="s">
        <v>354</v>
      </c>
      <c r="O95" s="34">
        <v>152</v>
      </c>
      <c r="P95" s="6" t="s">
        <v>98</v>
      </c>
      <c r="Q95" s="34">
        <v>1381</v>
      </c>
      <c r="R95" s="34" t="s">
        <v>98</v>
      </c>
      <c r="S95" s="6" t="s">
        <v>98</v>
      </c>
      <c r="T95" s="12">
        <f>Tableau1[[#This Row],[Loyer €/m²]]*Tableau1[[#This Row],[Surface GLA]]</f>
        <v>36024</v>
      </c>
      <c r="U95" s="6">
        <f>IFERROR(Tableau1[[#This Row],[Loyer annuel]]/12,"")</f>
        <v>3002</v>
      </c>
      <c r="V95" s="12">
        <v>237</v>
      </c>
      <c r="W95" s="6" t="s">
        <v>98</v>
      </c>
      <c r="X95" s="6">
        <f>Tableau1[[#This Row],[Charges €/m²]]*Tableau1[[#This Row],[Surface GLA]]</f>
        <v>1520</v>
      </c>
      <c r="Y95" s="12">
        <f>Tableau1[[#This Row],[Charges annuelles]]/12</f>
        <v>126.66666666666667</v>
      </c>
      <c r="Z95" s="12">
        <v>10</v>
      </c>
      <c r="AA95" s="12">
        <f>IFERROR(Tableau1[[#This Row],[Taxe foncière €/m²]]*Tableau1[[#This Row],[Surface GLA]],)</f>
        <v>2432</v>
      </c>
      <c r="AB95" s="6">
        <v>16</v>
      </c>
      <c r="AC95" s="12">
        <f>IFERROR(Tableau1[[#This Row],[Marketing €/m²]]*Tableau1[[#This Row],[Surface GLA]],)</f>
        <v>0</v>
      </c>
      <c r="AD95" s="6" t="s">
        <v>98</v>
      </c>
      <c r="AE95" s="12">
        <f>IFERROR(Tableau1[[#This Row],[Loyer annuel]]+Tableau1[[#This Row],[Charges annuelles]]+Tableau1[[#This Row],[Taxe foncière]]+Tableau1[[#This Row],[Marketing]],"")</f>
        <v>39976</v>
      </c>
      <c r="AF95" s="6" t="s">
        <v>98</v>
      </c>
      <c r="AG95" s="6" t="s">
        <v>98</v>
      </c>
      <c r="AH95" s="6" t="s">
        <v>98</v>
      </c>
      <c r="AI95" s="6" t="s">
        <v>373</v>
      </c>
      <c r="AJ95" s="10" t="s">
        <v>53</v>
      </c>
      <c r="AK95" s="10" t="s">
        <v>362</v>
      </c>
      <c r="AL95" s="4" t="s">
        <v>661</v>
      </c>
      <c r="AM95" s="5" t="s">
        <v>1850</v>
      </c>
      <c r="AN95" s="5"/>
      <c r="AO95" s="5" t="s">
        <v>361</v>
      </c>
      <c r="AP95" s="11" t="s">
        <v>671</v>
      </c>
      <c r="AQ95" s="11" t="s">
        <v>672</v>
      </c>
      <c r="AR95" s="32" t="s">
        <v>506</v>
      </c>
      <c r="AS95" s="36" t="s">
        <v>777</v>
      </c>
      <c r="AT95" s="5" t="s">
        <v>70</v>
      </c>
      <c r="AU95" s="11" t="s">
        <v>370</v>
      </c>
      <c r="AV95" s="13" t="s">
        <v>31</v>
      </c>
      <c r="AW95" s="14"/>
      <c r="AX95" s="44"/>
      <c r="AY95" s="1"/>
      <c r="AZ95" s="1"/>
      <c r="BG95" s="1"/>
    </row>
    <row r="96" spans="1:59" ht="38.25">
      <c r="A96" s="10" t="str">
        <f>VLOOKUP(Tableau1[[#This Row],[N° Département]],Feuil1!$C$6:$E$106,3)</f>
        <v>Ile-de-France</v>
      </c>
      <c r="B96" s="4" t="str">
        <f>VLOOKUP(Tableau1[[#This Row],[N° Département]],Feuil1!$C$6:$E$106,2)</f>
        <v>Hauts-de-Seine</v>
      </c>
      <c r="C96" s="10">
        <f>LEFT(Tableau1[[#This Row],[Code Postal]],2)*1</f>
        <v>92</v>
      </c>
      <c r="D96" s="10" t="s">
        <v>130</v>
      </c>
      <c r="E96" s="26">
        <v>92410</v>
      </c>
      <c r="F96" s="10" t="s">
        <v>90</v>
      </c>
      <c r="G96" s="5" t="str">
        <f>Tableau1[[#This Row],[Rue]]&amp;CHAR(10)&amp;Tableau1[[#This Row],[Code Postal]]&amp;" - "&amp;Tableau1[[#This Row],[Ville]]</f>
        <v>30 Rue de la Ronce
92410 - Ville-d'Avray</v>
      </c>
      <c r="H96" s="15" t="s">
        <v>34</v>
      </c>
      <c r="I96" s="6" t="s">
        <v>45</v>
      </c>
      <c r="J96" s="6" t="s">
        <v>44</v>
      </c>
      <c r="K96" s="12" t="s">
        <v>98</v>
      </c>
      <c r="L96" s="12"/>
      <c r="M96" s="12" t="s">
        <v>98</v>
      </c>
      <c r="N96" s="36" t="s">
        <v>355</v>
      </c>
      <c r="O96" s="34">
        <v>105</v>
      </c>
      <c r="P96" s="6" t="s">
        <v>98</v>
      </c>
      <c r="Q96" s="34" t="s">
        <v>98</v>
      </c>
      <c r="R96" s="34" t="s">
        <v>98</v>
      </c>
      <c r="S96" s="6" t="s">
        <v>98</v>
      </c>
      <c r="T96" s="12">
        <f>Tableau1[[#This Row],[Loyer €/m²]]*Tableau1[[#This Row],[Surface GLA]]</f>
        <v>30975</v>
      </c>
      <c r="U96" s="6">
        <f>IFERROR(Tableau1[[#This Row],[Loyer annuel]]/12,"")</f>
        <v>2581.25</v>
      </c>
      <c r="V96" s="12">
        <v>295</v>
      </c>
      <c r="W96" s="6" t="s">
        <v>98</v>
      </c>
      <c r="X96" s="6">
        <f>Tableau1[[#This Row],[Charges €/m²]]*Tableau1[[#This Row],[Surface GLA]]</f>
        <v>1050</v>
      </c>
      <c r="Y96" s="12">
        <f>Tableau1[[#This Row],[Charges annuelles]]/12</f>
        <v>87.5</v>
      </c>
      <c r="Z96" s="12">
        <v>10</v>
      </c>
      <c r="AA96" s="12">
        <f>IFERROR(Tableau1[[#This Row],[Taxe foncière €/m²]]*Tableau1[[#This Row],[Surface GLA]],)</f>
        <v>1680</v>
      </c>
      <c r="AB96" s="6">
        <v>16</v>
      </c>
      <c r="AC96" s="12">
        <f>IFERROR(Tableau1[[#This Row],[Marketing €/m²]]*Tableau1[[#This Row],[Surface GLA]],)</f>
        <v>0</v>
      </c>
      <c r="AD96" s="6" t="s">
        <v>98</v>
      </c>
      <c r="AE96" s="12">
        <f>IFERROR(Tableau1[[#This Row],[Loyer annuel]]+Tableau1[[#This Row],[Charges annuelles]]+Tableau1[[#This Row],[Taxe foncière]]+Tableau1[[#This Row],[Marketing]],"")</f>
        <v>33705</v>
      </c>
      <c r="AF96" s="6" t="s">
        <v>98</v>
      </c>
      <c r="AG96" s="6" t="s">
        <v>98</v>
      </c>
      <c r="AH96" s="6" t="s">
        <v>98</v>
      </c>
      <c r="AI96" s="6" t="s">
        <v>373</v>
      </c>
      <c r="AJ96" s="10" t="s">
        <v>53</v>
      </c>
      <c r="AK96" s="10" t="s">
        <v>362</v>
      </c>
      <c r="AL96" s="4" t="s">
        <v>661</v>
      </c>
      <c r="AM96" s="5" t="s">
        <v>1850</v>
      </c>
      <c r="AN96" s="5"/>
      <c r="AO96" s="5" t="s">
        <v>361</v>
      </c>
      <c r="AP96" s="11" t="s">
        <v>673</v>
      </c>
      <c r="AQ96" s="11" t="s">
        <v>674</v>
      </c>
      <c r="AR96" s="32" t="s">
        <v>507</v>
      </c>
      <c r="AS96" s="36" t="s">
        <v>778</v>
      </c>
      <c r="AT96" s="5" t="s">
        <v>70</v>
      </c>
      <c r="AU96" s="11" t="s">
        <v>370</v>
      </c>
      <c r="AV96" s="13" t="s">
        <v>31</v>
      </c>
      <c r="AW96" s="14"/>
      <c r="AX96" s="44"/>
      <c r="AY96" s="1"/>
      <c r="AZ96" s="1"/>
      <c r="BG96" s="1"/>
    </row>
    <row r="97" spans="1:59" ht="38.25">
      <c r="A97" s="10" t="str">
        <f>VLOOKUP(Tableau1[[#This Row],[N° Département]],Feuil1!$C$6:$E$106,3)</f>
        <v>Ile-de-France</v>
      </c>
      <c r="B97" s="4" t="str">
        <f>VLOOKUP(Tableau1[[#This Row],[N° Département]],Feuil1!$C$6:$E$106,2)</f>
        <v>Hauts-de-Seine</v>
      </c>
      <c r="C97" s="10">
        <f>LEFT(Tableau1[[#This Row],[Code Postal]],2)*1</f>
        <v>92</v>
      </c>
      <c r="D97" s="10" t="s">
        <v>130</v>
      </c>
      <c r="E97" s="26">
        <v>92411</v>
      </c>
      <c r="F97" s="10" t="s">
        <v>90</v>
      </c>
      <c r="G97" s="5" t="str">
        <f>Tableau1[[#This Row],[Rue]]&amp;CHAR(10)&amp;Tableau1[[#This Row],[Code Postal]]&amp;" - "&amp;Tableau1[[#This Row],[Ville]]</f>
        <v>30 Rue de la Ronce
92411 - Ville-d'Avray</v>
      </c>
      <c r="H97" s="15" t="s">
        <v>34</v>
      </c>
      <c r="I97" s="6" t="s">
        <v>45</v>
      </c>
      <c r="J97" s="6" t="s">
        <v>44</v>
      </c>
      <c r="K97" s="12" t="s">
        <v>98</v>
      </c>
      <c r="L97" s="12"/>
      <c r="M97" s="12" t="s">
        <v>98</v>
      </c>
      <c r="N97" s="36" t="s">
        <v>660</v>
      </c>
      <c r="O97" s="34">
        <v>547</v>
      </c>
      <c r="P97" s="6" t="s">
        <v>98</v>
      </c>
      <c r="Q97" s="34">
        <v>1381</v>
      </c>
      <c r="R97" s="34" t="s">
        <v>98</v>
      </c>
      <c r="S97" s="6" t="s">
        <v>98</v>
      </c>
      <c r="T97" s="12">
        <f>Tableau1[[#This Row],[Loyer €/m²]]*Tableau1[[#This Row],[Surface GLA]]</f>
        <v>123075</v>
      </c>
      <c r="U97" s="12">
        <f>IFERROR(Tableau1[[#This Row],[Loyer annuel]]/12,"")</f>
        <v>10256.25</v>
      </c>
      <c r="V97" s="12">
        <v>225</v>
      </c>
      <c r="W97" s="6" t="s">
        <v>98</v>
      </c>
      <c r="X97" s="6">
        <f>Tableau1[[#This Row],[Charges €/m²]]*Tableau1[[#This Row],[Surface GLA]]</f>
        <v>5470</v>
      </c>
      <c r="Y97" s="12">
        <f>Tableau1[[#This Row],[Charges annuelles]]/12</f>
        <v>455.83333333333331</v>
      </c>
      <c r="Z97" s="12">
        <v>10</v>
      </c>
      <c r="AA97" s="12">
        <f>IFERROR(Tableau1[[#This Row],[Taxe foncière €/m²]]*Tableau1[[#This Row],[Surface GLA]],)</f>
        <v>8752</v>
      </c>
      <c r="AB97" s="6">
        <v>16</v>
      </c>
      <c r="AC97" s="12">
        <f>IFERROR(Tableau1[[#This Row],[Marketing €/m²]]*Tableau1[[#This Row],[Surface GLA]],)</f>
        <v>0</v>
      </c>
      <c r="AD97" s="6" t="s">
        <v>98</v>
      </c>
      <c r="AE97" s="12">
        <f>IFERROR(Tableau1[[#This Row],[Loyer annuel]]+Tableau1[[#This Row],[Charges annuelles]]+Tableau1[[#This Row],[Taxe foncière]]+Tableau1[[#This Row],[Marketing]],"")</f>
        <v>137297</v>
      </c>
      <c r="AF97" s="6" t="s">
        <v>98</v>
      </c>
      <c r="AG97" s="6" t="s">
        <v>98</v>
      </c>
      <c r="AH97" s="6" t="s">
        <v>98</v>
      </c>
      <c r="AI97" s="6" t="s">
        <v>373</v>
      </c>
      <c r="AJ97" s="10" t="s">
        <v>53</v>
      </c>
      <c r="AK97" s="10" t="s">
        <v>362</v>
      </c>
      <c r="AL97" s="4" t="s">
        <v>661</v>
      </c>
      <c r="AM97" s="5" t="s">
        <v>1850</v>
      </c>
      <c r="AN97" s="5"/>
      <c r="AO97" s="5" t="s">
        <v>361</v>
      </c>
      <c r="AP97" s="11" t="s">
        <v>675</v>
      </c>
      <c r="AQ97" s="11" t="s">
        <v>676</v>
      </c>
      <c r="AR97" s="32" t="s">
        <v>677</v>
      </c>
      <c r="AS97" s="36" t="s">
        <v>779</v>
      </c>
      <c r="AT97" s="5" t="s">
        <v>53</v>
      </c>
      <c r="AU97" s="11" t="s">
        <v>678</v>
      </c>
      <c r="AV97" s="13" t="s">
        <v>31</v>
      </c>
      <c r="AW97" s="14"/>
      <c r="AX97" s="44"/>
      <c r="AY97" s="1"/>
      <c r="AZ97" s="1"/>
      <c r="BG97" s="1"/>
    </row>
    <row r="98" spans="1:59" ht="25.5">
      <c r="A98" s="10" t="str">
        <f>VLOOKUP(Tableau1[[#This Row],[N° Département]],Feuil1!$C$6:$E$106,3)</f>
        <v>Ile-de-France</v>
      </c>
      <c r="B98" s="4" t="str">
        <f>VLOOKUP(Tableau1[[#This Row],[N° Département]],Feuil1!$C$6:$E$106,2)</f>
        <v>Val-D'Oise</v>
      </c>
      <c r="C98" s="10">
        <f>LEFT(Tableau1[[#This Row],[Code Postal]],2)*1</f>
        <v>95</v>
      </c>
      <c r="D98" s="10" t="s">
        <v>113</v>
      </c>
      <c r="E98" s="26">
        <v>95000</v>
      </c>
      <c r="F98" s="10" t="s">
        <v>92</v>
      </c>
      <c r="G98" s="5" t="str">
        <f>Tableau1[[#This Row],[Rue]]&amp;CHAR(10)&amp;Tableau1[[#This Row],[Code Postal]]&amp;" - "&amp;Tableau1[[#This Row],[Ville]]</f>
        <v>Rue Stéphane Charbonnier
95000 - Pontoise</v>
      </c>
      <c r="H98" s="15" t="s">
        <v>405</v>
      </c>
      <c r="I98" s="6" t="s">
        <v>45</v>
      </c>
      <c r="J98" s="6" t="s">
        <v>44</v>
      </c>
      <c r="K98" s="12" t="s">
        <v>98</v>
      </c>
      <c r="L98" s="12"/>
      <c r="M98" s="12" t="s">
        <v>98</v>
      </c>
      <c r="N98" s="35" t="s">
        <v>390</v>
      </c>
      <c r="O98" s="34">
        <v>286</v>
      </c>
      <c r="P98" s="6" t="s">
        <v>98</v>
      </c>
      <c r="Q98" s="34" t="s">
        <v>98</v>
      </c>
      <c r="R98" s="34" t="s">
        <v>98</v>
      </c>
      <c r="S98" s="6" t="s">
        <v>98</v>
      </c>
      <c r="T98" s="12">
        <f>Tableau1[[#This Row],[Loyer €/m²]]*Tableau1[[#This Row],[Surface GLA]]</f>
        <v>92950</v>
      </c>
      <c r="U98" s="6">
        <f>IFERROR(Tableau1[[#This Row],[Loyer annuel]]/12,"")</f>
        <v>7745.833333333333</v>
      </c>
      <c r="V98" s="12">
        <v>325</v>
      </c>
      <c r="W98" s="6" t="s">
        <v>98</v>
      </c>
      <c r="X98" s="6">
        <f>Tableau1[[#This Row],[Charges €/m²]]*Tableau1[[#This Row],[Surface GLA]]</f>
        <v>8866</v>
      </c>
      <c r="Y98" s="12">
        <f>Tableau1[[#This Row],[Charges annuelles]]/12</f>
        <v>738.83333333333337</v>
      </c>
      <c r="Z98" s="12">
        <v>31</v>
      </c>
      <c r="AA98" s="12">
        <f>IFERROR(Tableau1[[#This Row],[Taxe foncière €/m²]]*Tableau1[[#This Row],[Surface GLA]],)</f>
        <v>0</v>
      </c>
      <c r="AB98" s="6" t="s">
        <v>98</v>
      </c>
      <c r="AC98" s="6">
        <f>IFERROR(Tableau1[[#This Row],[Marketing €/m²]]*Tableau1[[#This Row],[Surface GLA]],)</f>
        <v>0</v>
      </c>
      <c r="AD98" s="6" t="s">
        <v>98</v>
      </c>
      <c r="AE98" s="6">
        <f>IFERROR(Tableau1[[#This Row],[Loyer annuel]]+Tableau1[[#This Row],[Charges annuelles]]+Tableau1[[#This Row],[Taxe foncière]]+Tableau1[[#This Row],[Marketing]],"")</f>
        <v>101816</v>
      </c>
      <c r="AF98" s="12" t="str">
        <f t="shared" ref="AF98:AF116" si="2">"3 mois = "&amp;TEXT(ROUND(3/12*T98,0),"### ### ##0 €")</f>
        <v>3 mois = 23 238 €</v>
      </c>
      <c r="AG98" s="6" t="s">
        <v>98</v>
      </c>
      <c r="AH98" s="6" t="s">
        <v>98</v>
      </c>
      <c r="AI98" s="6" t="s">
        <v>373</v>
      </c>
      <c r="AJ98" s="10" t="s">
        <v>369</v>
      </c>
      <c r="AK98" s="4" t="s">
        <v>363</v>
      </c>
      <c r="AL98" s="4" t="s">
        <v>399</v>
      </c>
      <c r="AM98" s="5" t="s">
        <v>398</v>
      </c>
      <c r="AN98" s="5"/>
      <c r="AO98" s="5" t="s">
        <v>361</v>
      </c>
      <c r="AP98" s="5" t="s">
        <v>681</v>
      </c>
      <c r="AQ98" s="5" t="s">
        <v>682</v>
      </c>
      <c r="AR98" s="32" t="s">
        <v>508</v>
      </c>
      <c r="AS98" s="35" t="s">
        <v>780</v>
      </c>
      <c r="AT98" s="5" t="s">
        <v>70</v>
      </c>
      <c r="AU98" s="11" t="s">
        <v>395</v>
      </c>
      <c r="AV98" s="13" t="s">
        <v>37</v>
      </c>
      <c r="AW98" s="14"/>
      <c r="AX98" s="44"/>
      <c r="AY98" s="1"/>
      <c r="AZ98" s="1"/>
      <c r="BG98" s="1"/>
    </row>
    <row r="99" spans="1:59" ht="25.5">
      <c r="A99" s="10" t="str">
        <f>VLOOKUP(Tableau1[[#This Row],[N° Département]],Feuil1!$C$6:$E$106,3)</f>
        <v>Ile-de-France</v>
      </c>
      <c r="B99" s="4" t="str">
        <f>VLOOKUP(Tableau1[[#This Row],[N° Département]],Feuil1!$C$6:$E$106,2)</f>
        <v>Val-D'Oise</v>
      </c>
      <c r="C99" s="10">
        <f>LEFT(Tableau1[[#This Row],[Code Postal]],2)*1</f>
        <v>95</v>
      </c>
      <c r="D99" s="10" t="s">
        <v>113</v>
      </c>
      <c r="E99" s="26">
        <v>95000</v>
      </c>
      <c r="F99" s="10" t="s">
        <v>92</v>
      </c>
      <c r="G99" s="5" t="str">
        <f>Tableau1[[#This Row],[Rue]]&amp;CHAR(10)&amp;Tableau1[[#This Row],[Code Postal]]&amp;" - "&amp;Tableau1[[#This Row],[Ville]]</f>
        <v>Rue Stéphane Charbonnier
95000 - Pontoise</v>
      </c>
      <c r="H99" s="15" t="s">
        <v>403</v>
      </c>
      <c r="I99" s="6" t="s">
        <v>45</v>
      </c>
      <c r="J99" s="6" t="s">
        <v>44</v>
      </c>
      <c r="K99" s="12" t="s">
        <v>98</v>
      </c>
      <c r="L99" s="12"/>
      <c r="M99" s="12" t="s">
        <v>98</v>
      </c>
      <c r="N99" s="36" t="s">
        <v>392</v>
      </c>
      <c r="O99" s="34">
        <v>84</v>
      </c>
      <c r="P99" s="6" t="s">
        <v>98</v>
      </c>
      <c r="Q99" s="34" t="s">
        <v>98</v>
      </c>
      <c r="R99" s="34" t="s">
        <v>98</v>
      </c>
      <c r="S99" s="6" t="s">
        <v>98</v>
      </c>
      <c r="T99" s="12">
        <f>Tableau1[[#This Row],[Loyer €/m²]]*Tableau1[[#This Row],[Surface GLA]]</f>
        <v>29400</v>
      </c>
      <c r="U99" s="12">
        <f>IFERROR(Tableau1[[#This Row],[Loyer annuel]]/12,"")</f>
        <v>2450</v>
      </c>
      <c r="V99" s="12">
        <v>350</v>
      </c>
      <c r="W99" s="6" t="s">
        <v>98</v>
      </c>
      <c r="X99" s="6">
        <f>Tableau1[[#This Row],[Charges €/m²]]*Tableau1[[#This Row],[Surface GLA]]</f>
        <v>1680</v>
      </c>
      <c r="Y99" s="12">
        <f>Tableau1[[#This Row],[Charges annuelles]]/12</f>
        <v>140</v>
      </c>
      <c r="Z99" s="12">
        <v>20</v>
      </c>
      <c r="AA99" s="12">
        <f>IFERROR(Tableau1[[#This Row],[Taxe foncière €/m²]]*Tableau1[[#This Row],[Surface GLA]],)</f>
        <v>0</v>
      </c>
      <c r="AB99" s="6" t="s">
        <v>98</v>
      </c>
      <c r="AC99" s="12">
        <f>IFERROR(Tableau1[[#This Row],[Marketing €/m²]]*Tableau1[[#This Row],[Surface GLA]],)</f>
        <v>0</v>
      </c>
      <c r="AD99" s="6" t="s">
        <v>98</v>
      </c>
      <c r="AE99" s="12">
        <f>IFERROR(Tableau1[[#This Row],[Loyer annuel]]+Tableau1[[#This Row],[Charges annuelles]]+Tableau1[[#This Row],[Taxe foncière]]+Tableau1[[#This Row],[Marketing]],"")</f>
        <v>31080</v>
      </c>
      <c r="AF99" s="12" t="str">
        <f t="shared" si="2"/>
        <v>3 mois = 7 350 €</v>
      </c>
      <c r="AG99" s="6" t="s">
        <v>98</v>
      </c>
      <c r="AH99" s="6" t="s">
        <v>98</v>
      </c>
      <c r="AI99" s="6" t="s">
        <v>373</v>
      </c>
      <c r="AJ99" s="10" t="s">
        <v>369</v>
      </c>
      <c r="AK99" s="4" t="s">
        <v>363</v>
      </c>
      <c r="AL99" s="4" t="s">
        <v>399</v>
      </c>
      <c r="AM99" s="5" t="s">
        <v>398</v>
      </c>
      <c r="AN99" s="5"/>
      <c r="AO99" s="5" t="s">
        <v>361</v>
      </c>
      <c r="AP99" s="11" t="s">
        <v>683</v>
      </c>
      <c r="AQ99" s="11" t="s">
        <v>684</v>
      </c>
      <c r="AR99" s="32" t="s">
        <v>509</v>
      </c>
      <c r="AS99" s="35" t="s">
        <v>781</v>
      </c>
      <c r="AT99" s="5" t="s">
        <v>53</v>
      </c>
      <c r="AU99" s="11" t="s">
        <v>396</v>
      </c>
      <c r="AV99" s="13" t="s">
        <v>37</v>
      </c>
      <c r="AW99" s="14"/>
      <c r="AX99" s="44"/>
      <c r="AY99" s="1"/>
      <c r="AZ99" s="1"/>
      <c r="BG99" s="1"/>
    </row>
    <row r="100" spans="1:59" ht="25.5">
      <c r="A100" s="10" t="str">
        <f>VLOOKUP(Tableau1[[#This Row],[N° Département]],Feuil1!$C$6:$E$106,3)</f>
        <v>Ile-de-France</v>
      </c>
      <c r="B100" s="4" t="str">
        <f>VLOOKUP(Tableau1[[#This Row],[N° Département]],Feuil1!$C$6:$E$106,2)</f>
        <v>Val-D'Oise</v>
      </c>
      <c r="C100" s="10">
        <f>LEFT(Tableau1[[#This Row],[Code Postal]],2)*1</f>
        <v>95</v>
      </c>
      <c r="D100" s="10" t="s">
        <v>113</v>
      </c>
      <c r="E100" s="26">
        <v>95000</v>
      </c>
      <c r="F100" s="10" t="s">
        <v>92</v>
      </c>
      <c r="G100" s="5" t="str">
        <f>Tableau1[[#This Row],[Rue]]&amp;CHAR(10)&amp;Tableau1[[#This Row],[Code Postal]]&amp;" - "&amp;Tableau1[[#This Row],[Ville]]</f>
        <v>Rue Stéphane Charbonnier
95000 - Pontoise</v>
      </c>
      <c r="H100" s="15" t="s">
        <v>401</v>
      </c>
      <c r="I100" s="6" t="s">
        <v>45</v>
      </c>
      <c r="J100" s="6" t="s">
        <v>44</v>
      </c>
      <c r="K100" s="12" t="s">
        <v>98</v>
      </c>
      <c r="L100" s="12"/>
      <c r="M100" s="12" t="s">
        <v>98</v>
      </c>
      <c r="N100" s="36" t="s">
        <v>391</v>
      </c>
      <c r="O100" s="34">
        <v>272</v>
      </c>
      <c r="P100" s="6" t="s">
        <v>98</v>
      </c>
      <c r="Q100" s="34" t="s">
        <v>98</v>
      </c>
      <c r="R100" s="34" t="s">
        <v>98</v>
      </c>
      <c r="S100" s="6" t="s">
        <v>98</v>
      </c>
      <c r="T100" s="12">
        <f>Tableau1[[#This Row],[Loyer €/m²]]*Tableau1[[#This Row],[Surface GLA]]</f>
        <v>74800</v>
      </c>
      <c r="U100" s="12">
        <f>IFERROR(Tableau1[[#This Row],[Loyer annuel]]/12,"")</f>
        <v>6233.333333333333</v>
      </c>
      <c r="V100" s="12">
        <v>275</v>
      </c>
      <c r="W100" s="6" t="s">
        <v>98</v>
      </c>
      <c r="X100" s="6">
        <f>Tableau1[[#This Row],[Charges €/m²]]*Tableau1[[#This Row],[Surface GLA]]</f>
        <v>5440</v>
      </c>
      <c r="Y100" s="12">
        <f>Tableau1[[#This Row],[Charges annuelles]]/12</f>
        <v>453.33333333333331</v>
      </c>
      <c r="Z100" s="12">
        <v>20</v>
      </c>
      <c r="AA100" s="12">
        <f>IFERROR(Tableau1[[#This Row],[Taxe foncière €/m²]]*Tableau1[[#This Row],[Surface GLA]],)</f>
        <v>0</v>
      </c>
      <c r="AB100" s="6" t="s">
        <v>98</v>
      </c>
      <c r="AC100" s="12">
        <f>IFERROR(Tableau1[[#This Row],[Marketing €/m²]]*Tableau1[[#This Row],[Surface GLA]],)</f>
        <v>0</v>
      </c>
      <c r="AD100" s="6" t="s">
        <v>98</v>
      </c>
      <c r="AE100" s="12">
        <f>IFERROR(Tableau1[[#This Row],[Loyer annuel]]+Tableau1[[#This Row],[Charges annuelles]]+Tableau1[[#This Row],[Taxe foncière]]+Tableau1[[#This Row],[Marketing]],"")</f>
        <v>80240</v>
      </c>
      <c r="AF100" s="12" t="str">
        <f t="shared" si="2"/>
        <v>3 mois = 18 700 €</v>
      </c>
      <c r="AG100" s="6" t="s">
        <v>98</v>
      </c>
      <c r="AH100" s="6" t="s">
        <v>98</v>
      </c>
      <c r="AI100" s="6" t="s">
        <v>373</v>
      </c>
      <c r="AJ100" s="10" t="s">
        <v>369</v>
      </c>
      <c r="AK100" s="4" t="s">
        <v>363</v>
      </c>
      <c r="AL100" s="4" t="s">
        <v>399</v>
      </c>
      <c r="AM100" s="5" t="s">
        <v>400</v>
      </c>
      <c r="AN100" s="5"/>
      <c r="AO100" s="5" t="s">
        <v>361</v>
      </c>
      <c r="AP100" s="11" t="s">
        <v>679</v>
      </c>
      <c r="AQ100" s="11" t="s">
        <v>680</v>
      </c>
      <c r="AR100" s="32" t="s">
        <v>510</v>
      </c>
      <c r="AS100" s="35" t="s">
        <v>782</v>
      </c>
      <c r="AT100" s="5" t="s">
        <v>70</v>
      </c>
      <c r="AU100" s="11" t="s">
        <v>397</v>
      </c>
      <c r="AV100" s="13" t="s">
        <v>37</v>
      </c>
      <c r="AW100" s="14"/>
      <c r="AX100" s="44"/>
      <c r="AY100" s="1"/>
      <c r="AZ100" s="1"/>
      <c r="BG100" s="1"/>
    </row>
    <row r="101" spans="1:59" ht="25.5">
      <c r="A101" s="10" t="str">
        <f>VLOOKUP(Tableau1[[#This Row],[N° Département]],Feuil1!$C$6:$E$106,3)</f>
        <v>Ile-de-France</v>
      </c>
      <c r="B101" s="4" t="str">
        <f>VLOOKUP(Tableau1[[#This Row],[N° Département]],Feuil1!$C$6:$E$106,2)</f>
        <v>Val-D'Oise</v>
      </c>
      <c r="C101" s="10">
        <f>LEFT(Tableau1[[#This Row],[Code Postal]],2)*1</f>
        <v>95</v>
      </c>
      <c r="D101" s="10" t="s">
        <v>113</v>
      </c>
      <c r="E101" s="26">
        <v>95000</v>
      </c>
      <c r="F101" s="10" t="s">
        <v>92</v>
      </c>
      <c r="G101" s="5" t="str">
        <f>Tableau1[[#This Row],[Rue]]&amp;CHAR(10)&amp;Tableau1[[#This Row],[Code Postal]]&amp;" - "&amp;Tableau1[[#This Row],[Ville]]</f>
        <v>Rue Stéphane Charbonnier
95000 - Pontoise</v>
      </c>
      <c r="H101" s="15" t="s">
        <v>402</v>
      </c>
      <c r="I101" s="6" t="s">
        <v>45</v>
      </c>
      <c r="J101" s="6" t="s">
        <v>44</v>
      </c>
      <c r="K101" s="12" t="s">
        <v>98</v>
      </c>
      <c r="L101" s="12"/>
      <c r="M101" s="12" t="s">
        <v>98</v>
      </c>
      <c r="N101" s="36" t="s">
        <v>393</v>
      </c>
      <c r="O101" s="34">
        <v>162</v>
      </c>
      <c r="P101" s="6" t="s">
        <v>98</v>
      </c>
      <c r="Q101" s="34" t="s">
        <v>98</v>
      </c>
      <c r="R101" s="34" t="s">
        <v>98</v>
      </c>
      <c r="S101" s="6" t="s">
        <v>98</v>
      </c>
      <c r="T101" s="12">
        <f>Tableau1[[#This Row],[Loyer €/m²]]*Tableau1[[#This Row],[Surface GLA]]</f>
        <v>52650</v>
      </c>
      <c r="U101" s="12">
        <f>IFERROR(Tableau1[[#This Row],[Loyer annuel]]/12,"")</f>
        <v>4387.5</v>
      </c>
      <c r="V101" s="12">
        <v>325</v>
      </c>
      <c r="W101" s="6" t="s">
        <v>98</v>
      </c>
      <c r="X101" s="6">
        <f>Tableau1[[#This Row],[Charges €/m²]]*Tableau1[[#This Row],[Surface GLA]]</f>
        <v>8910</v>
      </c>
      <c r="Y101" s="12">
        <f>Tableau1[[#This Row],[Charges annuelles]]/12</f>
        <v>742.5</v>
      </c>
      <c r="Z101" s="12">
        <v>55</v>
      </c>
      <c r="AA101" s="12">
        <f>IFERROR(Tableau1[[#This Row],[Taxe foncière €/m²]]*Tableau1[[#This Row],[Surface GLA]],)</f>
        <v>0</v>
      </c>
      <c r="AB101" s="6" t="s">
        <v>98</v>
      </c>
      <c r="AC101" s="12">
        <f>IFERROR(Tableau1[[#This Row],[Marketing €/m²]]*Tableau1[[#This Row],[Surface GLA]],)</f>
        <v>0</v>
      </c>
      <c r="AD101" s="6" t="s">
        <v>98</v>
      </c>
      <c r="AE101" s="12">
        <f>IFERROR(Tableau1[[#This Row],[Loyer annuel]]+Tableau1[[#This Row],[Charges annuelles]]+Tableau1[[#This Row],[Taxe foncière]]+Tableau1[[#This Row],[Marketing]],"")</f>
        <v>61560</v>
      </c>
      <c r="AF101" s="12" t="str">
        <f t="shared" si="2"/>
        <v>3 mois = 13 163 €</v>
      </c>
      <c r="AG101" s="6" t="s">
        <v>98</v>
      </c>
      <c r="AH101" s="6" t="s">
        <v>98</v>
      </c>
      <c r="AI101" s="6" t="s">
        <v>373</v>
      </c>
      <c r="AJ101" s="10" t="s">
        <v>369</v>
      </c>
      <c r="AK101" s="4" t="s">
        <v>363</v>
      </c>
      <c r="AL101" s="4" t="s">
        <v>399</v>
      </c>
      <c r="AM101" s="5" t="s">
        <v>398</v>
      </c>
      <c r="AN101" s="5"/>
      <c r="AO101" s="5" t="s">
        <v>361</v>
      </c>
      <c r="AP101" s="11" t="s">
        <v>685</v>
      </c>
      <c r="AQ101" s="11" t="s">
        <v>686</v>
      </c>
      <c r="AR101" s="32" t="s">
        <v>511</v>
      </c>
      <c r="AS101" s="35" t="s">
        <v>783</v>
      </c>
      <c r="AT101" s="5" t="s">
        <v>70</v>
      </c>
      <c r="AU101" s="11" t="s">
        <v>395</v>
      </c>
      <c r="AV101" s="13" t="s">
        <v>37</v>
      </c>
      <c r="AW101" s="14"/>
      <c r="AX101" s="44"/>
      <c r="AY101" s="1"/>
      <c r="AZ101" s="1"/>
      <c r="BG101" s="1"/>
    </row>
    <row r="102" spans="1:59" ht="25.5">
      <c r="A102" s="10" t="str">
        <f>VLOOKUP(Tableau1[[#This Row],[N° Département]],Feuil1!$C$6:$E$106,3)</f>
        <v>Ile-de-France</v>
      </c>
      <c r="B102" s="4" t="str">
        <f>VLOOKUP(Tableau1[[#This Row],[N° Département]],Feuil1!$C$6:$E$106,2)</f>
        <v>Val-D'Oise</v>
      </c>
      <c r="C102" s="10">
        <f>LEFT(Tableau1[[#This Row],[Code Postal]],2)*1</f>
        <v>95</v>
      </c>
      <c r="D102" s="10" t="s">
        <v>113</v>
      </c>
      <c r="E102" s="26">
        <v>95000</v>
      </c>
      <c r="F102" s="10" t="s">
        <v>92</v>
      </c>
      <c r="G102" s="5" t="str">
        <f>Tableau1[[#This Row],[Rue]]&amp;CHAR(10)&amp;Tableau1[[#This Row],[Code Postal]]&amp;" - "&amp;Tableau1[[#This Row],[Ville]]</f>
        <v>Rue Stéphane Charbonnier
95000 - Pontoise</v>
      </c>
      <c r="H102" s="15" t="s">
        <v>404</v>
      </c>
      <c r="I102" s="6" t="s">
        <v>45</v>
      </c>
      <c r="J102" s="6" t="s">
        <v>44</v>
      </c>
      <c r="K102" s="12" t="s">
        <v>98</v>
      </c>
      <c r="L102" s="12"/>
      <c r="M102" s="12" t="s">
        <v>98</v>
      </c>
      <c r="N102" s="36" t="s">
        <v>394</v>
      </c>
      <c r="O102" s="34">
        <v>271</v>
      </c>
      <c r="P102" s="6" t="s">
        <v>98</v>
      </c>
      <c r="Q102" s="34" t="s">
        <v>98</v>
      </c>
      <c r="R102" s="34" t="s">
        <v>98</v>
      </c>
      <c r="S102" s="6" t="s">
        <v>98</v>
      </c>
      <c r="T102" s="12">
        <f>Tableau1[[#This Row],[Loyer €/m²]]*Tableau1[[#This Row],[Surface GLA]]</f>
        <v>88075</v>
      </c>
      <c r="U102" s="12">
        <f>IFERROR(Tableau1[[#This Row],[Loyer annuel]]/12,"")</f>
        <v>7339.583333333333</v>
      </c>
      <c r="V102" s="12">
        <v>325</v>
      </c>
      <c r="W102" s="6" t="s">
        <v>98</v>
      </c>
      <c r="X102" s="6">
        <f>Tableau1[[#This Row],[Charges €/m²]]*Tableau1[[#This Row],[Surface GLA]]</f>
        <v>5420</v>
      </c>
      <c r="Y102" s="12">
        <f>Tableau1[[#This Row],[Charges annuelles]]/12</f>
        <v>451.66666666666669</v>
      </c>
      <c r="Z102" s="12">
        <v>20</v>
      </c>
      <c r="AA102" s="12">
        <f>IFERROR(Tableau1[[#This Row],[Taxe foncière €/m²]]*Tableau1[[#This Row],[Surface GLA]],)</f>
        <v>0</v>
      </c>
      <c r="AB102" s="6" t="s">
        <v>98</v>
      </c>
      <c r="AC102" s="12">
        <f>IFERROR(Tableau1[[#This Row],[Marketing €/m²]]*Tableau1[[#This Row],[Surface GLA]],)</f>
        <v>0</v>
      </c>
      <c r="AD102" s="6" t="s">
        <v>98</v>
      </c>
      <c r="AE102" s="12">
        <f>IFERROR(Tableau1[[#This Row],[Loyer annuel]]+Tableau1[[#This Row],[Charges annuelles]]+Tableau1[[#This Row],[Taxe foncière]]+Tableau1[[#This Row],[Marketing]],"")</f>
        <v>93495</v>
      </c>
      <c r="AF102" s="12" t="str">
        <f t="shared" si="2"/>
        <v>3 mois = 22 019 €</v>
      </c>
      <c r="AG102" s="6" t="s">
        <v>98</v>
      </c>
      <c r="AH102" s="6" t="s">
        <v>98</v>
      </c>
      <c r="AI102" s="6" t="s">
        <v>373</v>
      </c>
      <c r="AJ102" s="10" t="s">
        <v>369</v>
      </c>
      <c r="AK102" s="4" t="s">
        <v>363</v>
      </c>
      <c r="AL102" s="4" t="s">
        <v>399</v>
      </c>
      <c r="AM102" s="5" t="s">
        <v>398</v>
      </c>
      <c r="AN102" s="5"/>
      <c r="AO102" s="5" t="s">
        <v>361</v>
      </c>
      <c r="AP102" s="11" t="s">
        <v>687</v>
      </c>
      <c r="AQ102" s="11" t="s">
        <v>688</v>
      </c>
      <c r="AR102" s="32" t="s">
        <v>512</v>
      </c>
      <c r="AS102" s="35" t="s">
        <v>784</v>
      </c>
      <c r="AT102" s="5" t="s">
        <v>70</v>
      </c>
      <c r="AU102" s="11" t="s">
        <v>395</v>
      </c>
      <c r="AV102" s="13" t="s">
        <v>37</v>
      </c>
      <c r="AW102" s="14"/>
      <c r="AX102" s="44"/>
      <c r="AY102" s="1"/>
      <c r="AZ102" s="1"/>
      <c r="BG102" s="1"/>
    </row>
    <row r="103" spans="1:59" ht="25.5">
      <c r="A103" s="10" t="str">
        <f>VLOOKUP(Tableau1[[#This Row],[N° Département]],Feuil1!$C$6:$E$106,3)</f>
        <v>Occitanie</v>
      </c>
      <c r="B103" s="4" t="str">
        <f>VLOOKUP(Tableau1[[#This Row],[N° Département]],Feuil1!$C$6:$E$106,2)</f>
        <v>Hérault</v>
      </c>
      <c r="C103" s="10">
        <f>LEFT(Tableau1[[#This Row],[Code Postal]],2)*1</f>
        <v>34</v>
      </c>
      <c r="D103" s="4" t="s">
        <v>131</v>
      </c>
      <c r="E103" s="25">
        <v>34470</v>
      </c>
      <c r="F103" s="10" t="s">
        <v>93</v>
      </c>
      <c r="G103" s="5" t="str">
        <f>Tableau1[[#This Row],[Rue]]&amp;CHAR(10)&amp;Tableau1[[#This Row],[Code Postal]]&amp;" - "&amp;Tableau1[[#This Row],[Ville]]</f>
        <v>C.C. Auchan Avenue Georges Frêche
34470 - Pérols</v>
      </c>
      <c r="H103" s="15" t="s">
        <v>65</v>
      </c>
      <c r="I103" s="6" t="s">
        <v>47</v>
      </c>
      <c r="J103" s="6" t="s">
        <v>51</v>
      </c>
      <c r="K103" s="12" t="s">
        <v>98</v>
      </c>
      <c r="L103" s="12"/>
      <c r="M103" s="12" t="s">
        <v>98</v>
      </c>
      <c r="N103" s="35" t="s">
        <v>406</v>
      </c>
      <c r="O103" s="34">
        <v>144</v>
      </c>
      <c r="P103" s="6" t="s">
        <v>98</v>
      </c>
      <c r="Q103" s="34" t="s">
        <v>98</v>
      </c>
      <c r="R103" s="34" t="s">
        <v>98</v>
      </c>
      <c r="S103" s="6" t="s">
        <v>98</v>
      </c>
      <c r="T103" s="12">
        <f>Tableau1[[#This Row],[Loyer €/m²]]*Tableau1[[#This Row],[Surface GLA]]</f>
        <v>28800</v>
      </c>
      <c r="U103" s="6">
        <f>IFERROR(Tableau1[[#This Row],[Loyer annuel]]/12,"")</f>
        <v>2400</v>
      </c>
      <c r="V103" s="12">
        <v>200</v>
      </c>
      <c r="W103" s="6" t="s">
        <v>98</v>
      </c>
      <c r="X103" s="6">
        <f>Tableau1[[#This Row],[Charges €/m²]]*Tableau1[[#This Row],[Surface GLA]]</f>
        <v>8208</v>
      </c>
      <c r="Y103" s="12">
        <f>Tableau1[[#This Row],[Charges annuelles]]/12</f>
        <v>684</v>
      </c>
      <c r="Z103" s="12">
        <v>57</v>
      </c>
      <c r="AA103" s="12">
        <f>IFERROR(Tableau1[[#This Row],[Taxe foncière €/m²]]*Tableau1[[#This Row],[Surface GLA]],)</f>
        <v>6624</v>
      </c>
      <c r="AB103" s="6">
        <v>46</v>
      </c>
      <c r="AC103" s="6">
        <f>IFERROR(Tableau1[[#This Row],[Marketing €/m²]]*Tableau1[[#This Row],[Surface GLA]],)</f>
        <v>0</v>
      </c>
      <c r="AD103" s="6" t="s">
        <v>98</v>
      </c>
      <c r="AE103" s="6">
        <f>IFERROR(Tableau1[[#This Row],[Loyer annuel]]+Tableau1[[#This Row],[Charges annuelles]]+Tableau1[[#This Row],[Taxe foncière]]+Tableau1[[#This Row],[Marketing]],"")</f>
        <v>43632</v>
      </c>
      <c r="AF103" s="12" t="str">
        <f t="shared" si="2"/>
        <v>3 mois = 7 200 €</v>
      </c>
      <c r="AG103" s="6" t="s">
        <v>98</v>
      </c>
      <c r="AH103" s="6">
        <f>10*Tableau1[[#This Row],[Surface GLA]]</f>
        <v>1440</v>
      </c>
      <c r="AI103" s="6" t="s">
        <v>357</v>
      </c>
      <c r="AJ103" s="10" t="s">
        <v>369</v>
      </c>
      <c r="AK103" s="10" t="s">
        <v>363</v>
      </c>
      <c r="AL103" s="4" t="s">
        <v>416</v>
      </c>
      <c r="AM103" s="11" t="s">
        <v>1770</v>
      </c>
      <c r="AN103" s="11" t="s">
        <v>1654</v>
      </c>
      <c r="AO103" s="5" t="s">
        <v>361</v>
      </c>
      <c r="AP103" s="11" t="s">
        <v>689</v>
      </c>
      <c r="AQ103" s="11" t="s">
        <v>690</v>
      </c>
      <c r="AR103" s="32" t="s">
        <v>513</v>
      </c>
      <c r="AS103" s="35" t="s">
        <v>785</v>
      </c>
      <c r="AT103" s="5" t="s">
        <v>70</v>
      </c>
      <c r="AU103" s="11" t="s">
        <v>28</v>
      </c>
      <c r="AV103" s="7" t="s">
        <v>18</v>
      </c>
      <c r="AW103" s="16"/>
      <c r="AX103" s="44"/>
      <c r="AY103" s="1"/>
      <c r="AZ103" s="1"/>
      <c r="BG103" s="1"/>
    </row>
    <row r="104" spans="1:59" ht="25.5">
      <c r="A104" s="38" t="str">
        <f>VLOOKUP(Tableau1[[#This Row],[N° Département]],Feuil1!$C$6:$E$106,3)</f>
        <v>Occitanie</v>
      </c>
      <c r="B104" s="38" t="str">
        <f>VLOOKUP(Tableau1[[#This Row],[N° Département]],Feuil1!$C$6:$E$106,2)</f>
        <v>Hérault</v>
      </c>
      <c r="C104" s="38">
        <f>LEFT(Tableau1[[#This Row],[Code Postal]],2)*1</f>
        <v>34</v>
      </c>
      <c r="D104" s="10" t="s">
        <v>131</v>
      </c>
      <c r="E104" s="26">
        <v>34470</v>
      </c>
      <c r="F104" s="10" t="s">
        <v>93</v>
      </c>
      <c r="G104" s="39" t="str">
        <f>Tableau1[[#This Row],[Rue]]&amp;CHAR(10)&amp;Tableau1[[#This Row],[Code Postal]]&amp;" - "&amp;Tableau1[[#This Row],[Ville]]</f>
        <v>C.C. Auchan Avenue Georges Frêche
34470 - Pérols</v>
      </c>
      <c r="H104" s="15" t="s">
        <v>65</v>
      </c>
      <c r="I104" s="12" t="s">
        <v>47</v>
      </c>
      <c r="J104" s="12" t="s">
        <v>51</v>
      </c>
      <c r="K104" s="12" t="s">
        <v>98</v>
      </c>
      <c r="L104" s="12"/>
      <c r="M104" s="12" t="s">
        <v>98</v>
      </c>
      <c r="N104" s="36" t="s">
        <v>407</v>
      </c>
      <c r="O104" s="34">
        <v>133</v>
      </c>
      <c r="P104" s="6" t="s">
        <v>98</v>
      </c>
      <c r="Q104" s="34" t="s">
        <v>98</v>
      </c>
      <c r="R104" s="34" t="s">
        <v>98</v>
      </c>
      <c r="S104" s="6" t="s">
        <v>98</v>
      </c>
      <c r="T104" s="12">
        <f>Tableau1[[#This Row],[Loyer €/m²]]*Tableau1[[#This Row],[Surface GLA]]</f>
        <v>39900</v>
      </c>
      <c r="U104" s="12">
        <f>IFERROR(Tableau1[[#This Row],[Loyer annuel]]/12,"")</f>
        <v>3325</v>
      </c>
      <c r="V104" s="12">
        <v>300</v>
      </c>
      <c r="W104" s="6" t="s">
        <v>98</v>
      </c>
      <c r="X104" s="6">
        <f>Tableau1[[#This Row],[Charges €/m²]]*Tableau1[[#This Row],[Surface GLA]]</f>
        <v>7581</v>
      </c>
      <c r="Y104" s="12">
        <f>Tableau1[[#This Row],[Charges annuelles]]/12</f>
        <v>631.75</v>
      </c>
      <c r="Z104" s="12">
        <v>57</v>
      </c>
      <c r="AA104" s="12">
        <f>IFERROR(Tableau1[[#This Row],[Taxe foncière €/m²]]*Tableau1[[#This Row],[Surface GLA]],)</f>
        <v>6118</v>
      </c>
      <c r="AB104" s="6">
        <v>46</v>
      </c>
      <c r="AC104" s="12">
        <f>IFERROR(Tableau1[[#This Row],[Marketing €/m²]]*Tableau1[[#This Row],[Surface GLA]],)</f>
        <v>0</v>
      </c>
      <c r="AD104" s="6" t="s">
        <v>98</v>
      </c>
      <c r="AE104" s="12">
        <f>IFERROR(Tableau1[[#This Row],[Loyer annuel]]+Tableau1[[#This Row],[Charges annuelles]]+Tableau1[[#This Row],[Taxe foncière]]+Tableau1[[#This Row],[Marketing]],"")</f>
        <v>53599</v>
      </c>
      <c r="AF104" s="12" t="str">
        <f t="shared" si="2"/>
        <v>3 mois = 9 975 €</v>
      </c>
      <c r="AG104" s="6" t="s">
        <v>98</v>
      </c>
      <c r="AH104" s="6">
        <f>10*Tableau1[[#This Row],[Surface GLA]]</f>
        <v>1330</v>
      </c>
      <c r="AI104" s="6" t="s">
        <v>357</v>
      </c>
      <c r="AJ104" s="10" t="s">
        <v>53</v>
      </c>
      <c r="AK104" s="10" t="s">
        <v>362</v>
      </c>
      <c r="AL104" s="4" t="s">
        <v>416</v>
      </c>
      <c r="AM104" s="11" t="s">
        <v>1770</v>
      </c>
      <c r="AN104" s="11" t="s">
        <v>1654</v>
      </c>
      <c r="AO104" s="5" t="s">
        <v>361</v>
      </c>
      <c r="AP104" s="11" t="s">
        <v>691</v>
      </c>
      <c r="AQ104" s="11" t="s">
        <v>692</v>
      </c>
      <c r="AR104" s="32" t="s">
        <v>514</v>
      </c>
      <c r="AS104" s="35" t="s">
        <v>785</v>
      </c>
      <c r="AT104" s="5" t="s">
        <v>70</v>
      </c>
      <c r="AU104" s="11" t="s">
        <v>28</v>
      </c>
      <c r="AV104" s="7" t="s">
        <v>18</v>
      </c>
      <c r="AW104" s="14"/>
      <c r="AX104" s="44"/>
      <c r="AZ104" s="10"/>
      <c r="BA104" s="10"/>
      <c r="BB104" s="11"/>
      <c r="BC104" s="11"/>
      <c r="BD104" s="13"/>
      <c r="BE104" s="16"/>
      <c r="BF104"/>
      <c r="BG104" s="1"/>
    </row>
    <row r="105" spans="1:59" ht="25.5">
      <c r="A105" s="38" t="str">
        <f>VLOOKUP(Tableau1[[#This Row],[N° Département]],Feuil1!$C$6:$E$106,3)</f>
        <v>Occitanie</v>
      </c>
      <c r="B105" s="38" t="str">
        <f>VLOOKUP(Tableau1[[#This Row],[N° Département]],Feuil1!$C$6:$E$106,2)</f>
        <v>Hérault</v>
      </c>
      <c r="C105" s="38">
        <f>LEFT(Tableau1[[#This Row],[Code Postal]],2)*1</f>
        <v>34</v>
      </c>
      <c r="D105" s="10" t="s">
        <v>131</v>
      </c>
      <c r="E105" s="25">
        <v>34470</v>
      </c>
      <c r="F105" s="10" t="s">
        <v>93</v>
      </c>
      <c r="G105" s="39" t="str">
        <f>Tableau1[[#This Row],[Rue]]&amp;CHAR(10)&amp;Tableau1[[#This Row],[Code Postal]]&amp;" - "&amp;Tableau1[[#This Row],[Ville]]</f>
        <v>C.C. Auchan Avenue Georges Frêche
34470 - Pérols</v>
      </c>
      <c r="H105" s="15" t="s">
        <v>65</v>
      </c>
      <c r="I105" s="12" t="s">
        <v>47</v>
      </c>
      <c r="J105" s="12" t="s">
        <v>51</v>
      </c>
      <c r="K105" s="12" t="s">
        <v>98</v>
      </c>
      <c r="L105" s="12"/>
      <c r="M105" s="12" t="s">
        <v>98</v>
      </c>
      <c r="N105" s="36" t="s">
        <v>408</v>
      </c>
      <c r="O105" s="34">
        <v>114</v>
      </c>
      <c r="P105" s="6" t="s">
        <v>98</v>
      </c>
      <c r="Q105" s="34" t="s">
        <v>98</v>
      </c>
      <c r="R105" s="34" t="s">
        <v>98</v>
      </c>
      <c r="S105" s="6" t="s">
        <v>98</v>
      </c>
      <c r="T105" s="12">
        <f>Tableau1[[#This Row],[Loyer €/m²]]*Tableau1[[#This Row],[Surface GLA]]</f>
        <v>34200</v>
      </c>
      <c r="U105" s="12">
        <f>IFERROR(Tableau1[[#This Row],[Loyer annuel]]/12,"")</f>
        <v>2850</v>
      </c>
      <c r="V105" s="12">
        <v>300</v>
      </c>
      <c r="W105" s="6" t="s">
        <v>98</v>
      </c>
      <c r="X105" s="6">
        <f>Tableau1[[#This Row],[Charges €/m²]]*Tableau1[[#This Row],[Surface GLA]]</f>
        <v>6498</v>
      </c>
      <c r="Y105" s="12">
        <f>Tableau1[[#This Row],[Charges annuelles]]/12</f>
        <v>541.5</v>
      </c>
      <c r="Z105" s="12">
        <v>57</v>
      </c>
      <c r="AA105" s="12">
        <f>IFERROR(Tableau1[[#This Row],[Taxe foncière €/m²]]*Tableau1[[#This Row],[Surface GLA]],)</f>
        <v>5244</v>
      </c>
      <c r="AB105" s="6">
        <v>46</v>
      </c>
      <c r="AC105" s="12">
        <f>IFERROR(Tableau1[[#This Row],[Marketing €/m²]]*Tableau1[[#This Row],[Surface GLA]],)</f>
        <v>0</v>
      </c>
      <c r="AD105" s="6" t="s">
        <v>98</v>
      </c>
      <c r="AE105" s="12">
        <f>IFERROR(Tableau1[[#This Row],[Loyer annuel]]+Tableau1[[#This Row],[Charges annuelles]]+Tableau1[[#This Row],[Taxe foncière]]+Tableau1[[#This Row],[Marketing]],"")</f>
        <v>45942</v>
      </c>
      <c r="AF105" s="12" t="str">
        <f t="shared" si="2"/>
        <v>3 mois = 8 550 €</v>
      </c>
      <c r="AG105" s="6" t="s">
        <v>98</v>
      </c>
      <c r="AH105" s="6">
        <f>10*Tableau1[[#This Row],[Surface GLA]]</f>
        <v>1140</v>
      </c>
      <c r="AI105" s="6" t="s">
        <v>357</v>
      </c>
      <c r="AJ105" s="10" t="s">
        <v>53</v>
      </c>
      <c r="AK105" s="10" t="s">
        <v>362</v>
      </c>
      <c r="AL105" s="4" t="s">
        <v>416</v>
      </c>
      <c r="AM105" s="11" t="s">
        <v>1770</v>
      </c>
      <c r="AN105" s="11" t="s">
        <v>1654</v>
      </c>
      <c r="AO105" s="5" t="s">
        <v>361</v>
      </c>
      <c r="AP105" s="11" t="s">
        <v>693</v>
      </c>
      <c r="AQ105" s="11" t="s">
        <v>694</v>
      </c>
      <c r="AR105" s="32" t="s">
        <v>515</v>
      </c>
      <c r="AS105" s="35" t="s">
        <v>785</v>
      </c>
      <c r="AT105" s="5" t="s">
        <v>70</v>
      </c>
      <c r="AU105" s="11" t="s">
        <v>28</v>
      </c>
      <c r="AV105" s="7" t="s">
        <v>18</v>
      </c>
      <c r="AW105" s="14"/>
      <c r="AX105" s="44"/>
      <c r="AZ105" s="1"/>
      <c r="BF105"/>
      <c r="BG105" s="1"/>
    </row>
    <row r="106" spans="1:59" ht="25.5">
      <c r="A106" s="38" t="str">
        <f>VLOOKUP(Tableau1[[#This Row],[N° Département]],Feuil1!$C$6:$E$106,3)</f>
        <v>Occitanie</v>
      </c>
      <c r="B106" s="38" t="str">
        <f>VLOOKUP(Tableau1[[#This Row],[N° Département]],Feuil1!$C$6:$E$106,2)</f>
        <v>Hérault</v>
      </c>
      <c r="C106" s="38">
        <f>LEFT(Tableau1[[#This Row],[Code Postal]],2)*1</f>
        <v>34</v>
      </c>
      <c r="D106" s="10" t="s">
        <v>131</v>
      </c>
      <c r="E106" s="26">
        <v>34470</v>
      </c>
      <c r="F106" s="10" t="s">
        <v>93</v>
      </c>
      <c r="G106" s="39" t="str">
        <f>Tableau1[[#This Row],[Rue]]&amp;CHAR(10)&amp;Tableau1[[#This Row],[Code Postal]]&amp;" - "&amp;Tableau1[[#This Row],[Ville]]</f>
        <v>C.C. Auchan Avenue Georges Frêche
34470 - Pérols</v>
      </c>
      <c r="H106" s="15" t="s">
        <v>65</v>
      </c>
      <c r="I106" s="12" t="s">
        <v>47</v>
      </c>
      <c r="J106" s="12" t="s">
        <v>51</v>
      </c>
      <c r="K106" s="12" t="s">
        <v>98</v>
      </c>
      <c r="L106" s="12"/>
      <c r="M106" s="12" t="s">
        <v>98</v>
      </c>
      <c r="N106" s="36" t="s">
        <v>309</v>
      </c>
      <c r="O106" s="34">
        <v>36</v>
      </c>
      <c r="P106" s="6" t="s">
        <v>98</v>
      </c>
      <c r="Q106" s="34" t="s">
        <v>98</v>
      </c>
      <c r="R106" s="34" t="s">
        <v>98</v>
      </c>
      <c r="S106" s="6" t="s">
        <v>98</v>
      </c>
      <c r="T106" s="12">
        <f>Tableau1[[#This Row],[Loyer €/m²]]*Tableau1[[#This Row],[Surface GLA]]</f>
        <v>14400</v>
      </c>
      <c r="U106" s="12">
        <f>IFERROR(Tableau1[[#This Row],[Loyer annuel]]/12,"")</f>
        <v>1200</v>
      </c>
      <c r="V106" s="12">
        <v>400</v>
      </c>
      <c r="W106" s="6" t="s">
        <v>98</v>
      </c>
      <c r="X106" s="6">
        <f>Tableau1[[#This Row],[Charges €/m²]]*Tableau1[[#This Row],[Surface GLA]]</f>
        <v>2052</v>
      </c>
      <c r="Y106" s="12">
        <f>Tableau1[[#This Row],[Charges annuelles]]/12</f>
        <v>171</v>
      </c>
      <c r="Z106" s="12">
        <v>57</v>
      </c>
      <c r="AA106" s="12">
        <f>IFERROR(Tableau1[[#This Row],[Taxe foncière €/m²]]*Tableau1[[#This Row],[Surface GLA]],)</f>
        <v>1656</v>
      </c>
      <c r="AB106" s="6">
        <v>46</v>
      </c>
      <c r="AC106" s="12">
        <f>IFERROR(Tableau1[[#This Row],[Marketing €/m²]]*Tableau1[[#This Row],[Surface GLA]],)</f>
        <v>0</v>
      </c>
      <c r="AD106" s="6" t="s">
        <v>98</v>
      </c>
      <c r="AE106" s="12">
        <f>IFERROR(Tableau1[[#This Row],[Loyer annuel]]+Tableau1[[#This Row],[Charges annuelles]]+Tableau1[[#This Row],[Taxe foncière]]+Tableau1[[#This Row],[Marketing]],"")</f>
        <v>18108</v>
      </c>
      <c r="AF106" s="12" t="str">
        <f t="shared" si="2"/>
        <v>3 mois = 3 600 €</v>
      </c>
      <c r="AG106" s="6" t="s">
        <v>98</v>
      </c>
      <c r="AH106" s="6">
        <f>10*Tableau1[[#This Row],[Surface GLA]]</f>
        <v>360</v>
      </c>
      <c r="AI106" s="6" t="s">
        <v>357</v>
      </c>
      <c r="AJ106" s="10" t="s">
        <v>53</v>
      </c>
      <c r="AK106" s="10" t="s">
        <v>362</v>
      </c>
      <c r="AL106" s="4" t="s">
        <v>416</v>
      </c>
      <c r="AM106" s="11" t="s">
        <v>1770</v>
      </c>
      <c r="AN106" s="11" t="s">
        <v>1654</v>
      </c>
      <c r="AO106" s="5" t="s">
        <v>361</v>
      </c>
      <c r="AP106" s="11" t="s">
        <v>695</v>
      </c>
      <c r="AQ106" s="11" t="s">
        <v>696</v>
      </c>
      <c r="AR106" s="32" t="s">
        <v>516</v>
      </c>
      <c r="AS106" s="35" t="s">
        <v>785</v>
      </c>
      <c r="AT106" s="5" t="s">
        <v>70</v>
      </c>
      <c r="AU106" s="11" t="s">
        <v>28</v>
      </c>
      <c r="AV106" s="7" t="s">
        <v>18</v>
      </c>
      <c r="AW106" s="14"/>
      <c r="AX106" s="44"/>
      <c r="AZ106" s="1"/>
      <c r="BF106"/>
      <c r="BG106" s="1"/>
    </row>
    <row r="107" spans="1:59" ht="25.5">
      <c r="A107" s="38" t="str">
        <f>VLOOKUP(Tableau1[[#This Row],[N° Département]],Feuil1!$C$6:$E$106,3)</f>
        <v>Occitanie</v>
      </c>
      <c r="B107" s="38" t="str">
        <f>VLOOKUP(Tableau1[[#This Row],[N° Département]],Feuil1!$C$6:$E$106,2)</f>
        <v>Hérault</v>
      </c>
      <c r="C107" s="38">
        <f>LEFT(Tableau1[[#This Row],[Code Postal]],2)*1</f>
        <v>34</v>
      </c>
      <c r="D107" s="10" t="s">
        <v>131</v>
      </c>
      <c r="E107" s="25">
        <v>34470</v>
      </c>
      <c r="F107" s="10" t="s">
        <v>93</v>
      </c>
      <c r="G107" s="39" t="str">
        <f>Tableau1[[#This Row],[Rue]]&amp;CHAR(10)&amp;Tableau1[[#This Row],[Code Postal]]&amp;" - "&amp;Tableau1[[#This Row],[Ville]]</f>
        <v>C.C. Auchan Avenue Georges Frêche
34470 - Pérols</v>
      </c>
      <c r="H107" s="15" t="s">
        <v>65</v>
      </c>
      <c r="I107" s="12" t="s">
        <v>47</v>
      </c>
      <c r="J107" s="12" t="s">
        <v>51</v>
      </c>
      <c r="K107" s="12" t="s">
        <v>98</v>
      </c>
      <c r="L107" s="12"/>
      <c r="M107" s="12" t="s">
        <v>98</v>
      </c>
      <c r="N107" s="36" t="s">
        <v>409</v>
      </c>
      <c r="O107" s="34">
        <v>60</v>
      </c>
      <c r="P107" s="6" t="s">
        <v>98</v>
      </c>
      <c r="Q107" s="34">
        <v>120</v>
      </c>
      <c r="R107" s="34" t="s">
        <v>98</v>
      </c>
      <c r="S107" s="6" t="s">
        <v>98</v>
      </c>
      <c r="T107" s="12">
        <f>Tableau1[[#This Row],[Loyer €/m²]]*Tableau1[[#This Row],[Surface GLA]]</f>
        <v>24000</v>
      </c>
      <c r="U107" s="12">
        <f>IFERROR(Tableau1[[#This Row],[Loyer annuel]]/12,"")</f>
        <v>2000</v>
      </c>
      <c r="V107" s="12">
        <v>400</v>
      </c>
      <c r="W107" s="6" t="s">
        <v>98</v>
      </c>
      <c r="X107" s="6">
        <f>Tableau1[[#This Row],[Charges €/m²]]*Tableau1[[#This Row],[Surface GLA]]</f>
        <v>3420</v>
      </c>
      <c r="Y107" s="12">
        <f>Tableau1[[#This Row],[Charges annuelles]]/12</f>
        <v>285</v>
      </c>
      <c r="Z107" s="12">
        <v>57</v>
      </c>
      <c r="AA107" s="12">
        <f>IFERROR(Tableau1[[#This Row],[Taxe foncière €/m²]]*Tableau1[[#This Row],[Surface GLA]],)</f>
        <v>2760</v>
      </c>
      <c r="AB107" s="6">
        <v>46</v>
      </c>
      <c r="AC107" s="12">
        <f>IFERROR(Tableau1[[#This Row],[Marketing €/m²]]*Tableau1[[#This Row],[Surface GLA]],)</f>
        <v>0</v>
      </c>
      <c r="AD107" s="6" t="s">
        <v>98</v>
      </c>
      <c r="AE107" s="12">
        <f>IFERROR(Tableau1[[#This Row],[Loyer annuel]]+Tableau1[[#This Row],[Charges annuelles]]+Tableau1[[#This Row],[Taxe foncière]]+Tableau1[[#This Row],[Marketing]],"")</f>
        <v>30180</v>
      </c>
      <c r="AF107" s="12" t="str">
        <f t="shared" si="2"/>
        <v>3 mois = 6 000 €</v>
      </c>
      <c r="AG107" s="6" t="s">
        <v>98</v>
      </c>
      <c r="AH107" s="6">
        <f>10*Tableau1[[#This Row],[Surface GLA]]</f>
        <v>600</v>
      </c>
      <c r="AI107" s="6" t="s">
        <v>357</v>
      </c>
      <c r="AJ107" s="10" t="s">
        <v>53</v>
      </c>
      <c r="AK107" s="10" t="s">
        <v>362</v>
      </c>
      <c r="AL107" s="4" t="s">
        <v>416</v>
      </c>
      <c r="AM107" s="11" t="s">
        <v>1770</v>
      </c>
      <c r="AN107" s="11" t="s">
        <v>1654</v>
      </c>
      <c r="AO107" s="5" t="s">
        <v>361</v>
      </c>
      <c r="AP107" s="11" t="s">
        <v>697</v>
      </c>
      <c r="AQ107" s="11" t="s">
        <v>698</v>
      </c>
      <c r="AR107" s="32" t="s">
        <v>517</v>
      </c>
      <c r="AS107" s="35" t="s">
        <v>785</v>
      </c>
      <c r="AT107" s="5" t="s">
        <v>70</v>
      </c>
      <c r="AU107" s="11" t="s">
        <v>28</v>
      </c>
      <c r="AV107" s="7" t="s">
        <v>18</v>
      </c>
      <c r="AW107" s="14"/>
      <c r="AX107" s="44"/>
      <c r="AZ107" s="1"/>
      <c r="BF107"/>
      <c r="BG107" s="1"/>
    </row>
    <row r="108" spans="1:59" ht="25.5">
      <c r="A108" s="38" t="str">
        <f>VLOOKUP(Tableau1[[#This Row],[N° Département]],Feuil1!$C$6:$E$106,3)</f>
        <v>Occitanie</v>
      </c>
      <c r="B108" s="38" t="str">
        <f>VLOOKUP(Tableau1[[#This Row],[N° Département]],Feuil1!$C$6:$E$106,2)</f>
        <v>Hérault</v>
      </c>
      <c r="C108" s="38">
        <f>LEFT(Tableau1[[#This Row],[Code Postal]],2)*1</f>
        <v>34</v>
      </c>
      <c r="D108" s="10" t="s">
        <v>131</v>
      </c>
      <c r="E108" s="26">
        <v>34470</v>
      </c>
      <c r="F108" s="10" t="s">
        <v>93</v>
      </c>
      <c r="G108" s="39" t="str">
        <f>Tableau1[[#This Row],[Rue]]&amp;CHAR(10)&amp;Tableau1[[#This Row],[Code Postal]]&amp;" - "&amp;Tableau1[[#This Row],[Ville]]</f>
        <v>C.C. Auchan Avenue Georges Frêche
34470 - Pérols</v>
      </c>
      <c r="H108" s="15" t="s">
        <v>65</v>
      </c>
      <c r="I108" s="12" t="s">
        <v>47</v>
      </c>
      <c r="J108" s="12" t="s">
        <v>51</v>
      </c>
      <c r="K108" s="12" t="s">
        <v>98</v>
      </c>
      <c r="L108" s="12"/>
      <c r="M108" s="12" t="s">
        <v>98</v>
      </c>
      <c r="N108" s="36" t="s">
        <v>410</v>
      </c>
      <c r="O108" s="34">
        <v>60</v>
      </c>
      <c r="P108" s="6" t="s">
        <v>98</v>
      </c>
      <c r="Q108" s="34">
        <v>120</v>
      </c>
      <c r="R108" s="34" t="s">
        <v>98</v>
      </c>
      <c r="S108" s="6" t="s">
        <v>98</v>
      </c>
      <c r="T108" s="12">
        <f>Tableau1[[#This Row],[Loyer €/m²]]*Tableau1[[#This Row],[Surface GLA]]</f>
        <v>24000</v>
      </c>
      <c r="U108" s="12">
        <f>IFERROR(Tableau1[[#This Row],[Loyer annuel]]/12,"")</f>
        <v>2000</v>
      </c>
      <c r="V108" s="12">
        <v>400</v>
      </c>
      <c r="W108" s="6" t="s">
        <v>98</v>
      </c>
      <c r="X108" s="6">
        <f>Tableau1[[#This Row],[Charges €/m²]]*Tableau1[[#This Row],[Surface GLA]]</f>
        <v>3420</v>
      </c>
      <c r="Y108" s="12">
        <f>Tableau1[[#This Row],[Charges annuelles]]/12</f>
        <v>285</v>
      </c>
      <c r="Z108" s="12">
        <v>57</v>
      </c>
      <c r="AA108" s="12">
        <f>IFERROR(Tableau1[[#This Row],[Taxe foncière €/m²]]*Tableau1[[#This Row],[Surface GLA]],)</f>
        <v>2760</v>
      </c>
      <c r="AB108" s="6">
        <v>46</v>
      </c>
      <c r="AC108" s="12">
        <f>IFERROR(Tableau1[[#This Row],[Marketing €/m²]]*Tableau1[[#This Row],[Surface GLA]],)</f>
        <v>0</v>
      </c>
      <c r="AD108" s="6" t="s">
        <v>98</v>
      </c>
      <c r="AE108" s="12">
        <f>IFERROR(Tableau1[[#This Row],[Loyer annuel]]+Tableau1[[#This Row],[Charges annuelles]]+Tableau1[[#This Row],[Taxe foncière]]+Tableau1[[#This Row],[Marketing]],"")</f>
        <v>30180</v>
      </c>
      <c r="AF108" s="12" t="str">
        <f t="shared" si="2"/>
        <v>3 mois = 6 000 €</v>
      </c>
      <c r="AG108" s="6" t="s">
        <v>98</v>
      </c>
      <c r="AH108" s="6">
        <f>10*Tableau1[[#This Row],[Surface GLA]]</f>
        <v>600</v>
      </c>
      <c r="AI108" s="6" t="s">
        <v>357</v>
      </c>
      <c r="AJ108" s="10" t="s">
        <v>53</v>
      </c>
      <c r="AK108" s="10" t="s">
        <v>362</v>
      </c>
      <c r="AL108" s="4" t="s">
        <v>416</v>
      </c>
      <c r="AM108" s="11" t="s">
        <v>1770</v>
      </c>
      <c r="AN108" s="11" t="s">
        <v>1654</v>
      </c>
      <c r="AO108" s="5" t="s">
        <v>361</v>
      </c>
      <c r="AP108" s="11" t="s">
        <v>699</v>
      </c>
      <c r="AQ108" s="11" t="s">
        <v>700</v>
      </c>
      <c r="AR108" s="32" t="s">
        <v>518</v>
      </c>
      <c r="AS108" s="35" t="s">
        <v>785</v>
      </c>
      <c r="AT108" s="5" t="s">
        <v>70</v>
      </c>
      <c r="AU108" s="11" t="s">
        <v>28</v>
      </c>
      <c r="AV108" s="7" t="s">
        <v>18</v>
      </c>
      <c r="AW108" s="14"/>
      <c r="AX108" s="44"/>
      <c r="AZ108" s="1"/>
      <c r="BF108"/>
      <c r="BG108" s="1"/>
    </row>
    <row r="109" spans="1:59" ht="25.5">
      <c r="A109" s="38" t="str">
        <f>VLOOKUP(Tableau1[[#This Row],[N° Département]],Feuil1!$C$6:$E$106,3)</f>
        <v>Occitanie</v>
      </c>
      <c r="B109" s="38" t="str">
        <f>VLOOKUP(Tableau1[[#This Row],[N° Département]],Feuil1!$C$6:$E$106,2)</f>
        <v>Hérault</v>
      </c>
      <c r="C109" s="38">
        <f>LEFT(Tableau1[[#This Row],[Code Postal]],2)*1</f>
        <v>34</v>
      </c>
      <c r="D109" s="10" t="s">
        <v>131</v>
      </c>
      <c r="E109" s="25">
        <v>34470</v>
      </c>
      <c r="F109" s="10" t="s">
        <v>93</v>
      </c>
      <c r="G109" s="39" t="str">
        <f>Tableau1[[#This Row],[Rue]]&amp;CHAR(10)&amp;Tableau1[[#This Row],[Code Postal]]&amp;" - "&amp;Tableau1[[#This Row],[Ville]]</f>
        <v>C.C. Auchan Avenue Georges Frêche
34470 - Pérols</v>
      </c>
      <c r="H109" s="15" t="s">
        <v>65</v>
      </c>
      <c r="I109" s="12" t="s">
        <v>47</v>
      </c>
      <c r="J109" s="12" t="s">
        <v>51</v>
      </c>
      <c r="K109" s="12" t="s">
        <v>98</v>
      </c>
      <c r="L109" s="12"/>
      <c r="M109" s="12" t="s">
        <v>98</v>
      </c>
      <c r="N109" s="36" t="s">
        <v>411</v>
      </c>
      <c r="O109" s="34">
        <v>96</v>
      </c>
      <c r="P109" s="6" t="s">
        <v>98</v>
      </c>
      <c r="Q109" s="34" t="s">
        <v>98</v>
      </c>
      <c r="R109" s="34" t="s">
        <v>98</v>
      </c>
      <c r="S109" s="6" t="s">
        <v>98</v>
      </c>
      <c r="T109" s="12">
        <f>Tableau1[[#This Row],[Loyer €/m²]]*Tableau1[[#This Row],[Surface GLA]]</f>
        <v>38400</v>
      </c>
      <c r="U109" s="12">
        <f>IFERROR(Tableau1[[#This Row],[Loyer annuel]]/12,"")</f>
        <v>3200</v>
      </c>
      <c r="V109" s="12">
        <v>400</v>
      </c>
      <c r="W109" s="6" t="s">
        <v>98</v>
      </c>
      <c r="X109" s="6">
        <f>Tableau1[[#This Row],[Charges €/m²]]*Tableau1[[#This Row],[Surface GLA]]</f>
        <v>5472</v>
      </c>
      <c r="Y109" s="12">
        <f>Tableau1[[#This Row],[Charges annuelles]]/12</f>
        <v>456</v>
      </c>
      <c r="Z109" s="12">
        <v>57</v>
      </c>
      <c r="AA109" s="12">
        <f>IFERROR(Tableau1[[#This Row],[Taxe foncière €/m²]]*Tableau1[[#This Row],[Surface GLA]],)</f>
        <v>4416</v>
      </c>
      <c r="AB109" s="6">
        <v>46</v>
      </c>
      <c r="AC109" s="12">
        <f>IFERROR(Tableau1[[#This Row],[Marketing €/m²]]*Tableau1[[#This Row],[Surface GLA]],)</f>
        <v>0</v>
      </c>
      <c r="AD109" s="6" t="s">
        <v>98</v>
      </c>
      <c r="AE109" s="12">
        <f>IFERROR(Tableau1[[#This Row],[Loyer annuel]]+Tableau1[[#This Row],[Charges annuelles]]+Tableau1[[#This Row],[Taxe foncière]]+Tableau1[[#This Row],[Marketing]],"")</f>
        <v>48288</v>
      </c>
      <c r="AF109" s="12" t="str">
        <f t="shared" si="2"/>
        <v>3 mois = 9 600 €</v>
      </c>
      <c r="AG109" s="6" t="s">
        <v>98</v>
      </c>
      <c r="AH109" s="6">
        <f>10*Tableau1[[#This Row],[Surface GLA]]</f>
        <v>960</v>
      </c>
      <c r="AI109" s="6" t="s">
        <v>357</v>
      </c>
      <c r="AJ109" s="10" t="s">
        <v>53</v>
      </c>
      <c r="AK109" s="10" t="s">
        <v>362</v>
      </c>
      <c r="AL109" s="4" t="s">
        <v>416</v>
      </c>
      <c r="AM109" s="11" t="s">
        <v>1770</v>
      </c>
      <c r="AN109" s="11" t="s">
        <v>1654</v>
      </c>
      <c r="AO109" s="5" t="s">
        <v>361</v>
      </c>
      <c r="AP109" s="11" t="s">
        <v>701</v>
      </c>
      <c r="AQ109" s="11" t="s">
        <v>702</v>
      </c>
      <c r="AR109" s="32" t="s">
        <v>519</v>
      </c>
      <c r="AS109" s="35" t="s">
        <v>785</v>
      </c>
      <c r="AT109" s="5" t="s">
        <v>70</v>
      </c>
      <c r="AU109" s="11" t="s">
        <v>28</v>
      </c>
      <c r="AV109" s="7" t="s">
        <v>18</v>
      </c>
      <c r="AW109" s="14"/>
      <c r="AX109" s="44"/>
      <c r="AZ109" s="1"/>
      <c r="BF109"/>
      <c r="BG109" s="1"/>
    </row>
    <row r="110" spans="1:59" ht="25.5">
      <c r="A110" s="38" t="str">
        <f>VLOOKUP(Tableau1[[#This Row],[N° Département]],Feuil1!$C$6:$E$106,3)</f>
        <v>Occitanie</v>
      </c>
      <c r="B110" s="38" t="str">
        <f>VLOOKUP(Tableau1[[#This Row],[N° Département]],Feuil1!$C$6:$E$106,2)</f>
        <v>Hérault</v>
      </c>
      <c r="C110" s="38">
        <f>LEFT(Tableau1[[#This Row],[Code Postal]],2)*1</f>
        <v>34</v>
      </c>
      <c r="D110" s="10" t="s">
        <v>131</v>
      </c>
      <c r="E110" s="26">
        <v>34470</v>
      </c>
      <c r="F110" s="10" t="s">
        <v>93</v>
      </c>
      <c r="G110" s="39" t="str">
        <f>Tableau1[[#This Row],[Rue]]&amp;CHAR(10)&amp;Tableau1[[#This Row],[Code Postal]]&amp;" - "&amp;Tableau1[[#This Row],[Ville]]</f>
        <v>C.C. Auchan Avenue Georges Frêche
34470 - Pérols</v>
      </c>
      <c r="H110" s="15" t="s">
        <v>65</v>
      </c>
      <c r="I110" s="12" t="s">
        <v>47</v>
      </c>
      <c r="J110" s="12" t="s">
        <v>51</v>
      </c>
      <c r="K110" s="12" t="s">
        <v>98</v>
      </c>
      <c r="L110" s="12"/>
      <c r="M110" s="12" t="s">
        <v>98</v>
      </c>
      <c r="N110" s="36" t="s">
        <v>329</v>
      </c>
      <c r="O110" s="34">
        <v>265</v>
      </c>
      <c r="P110" s="6" t="s">
        <v>98</v>
      </c>
      <c r="Q110" s="34">
        <v>624</v>
      </c>
      <c r="R110" s="34" t="s">
        <v>98</v>
      </c>
      <c r="S110" s="6" t="s">
        <v>98</v>
      </c>
      <c r="T110" s="12">
        <f>Tableau1[[#This Row],[Loyer €/m²]]*Tableau1[[#This Row],[Surface GLA]]</f>
        <v>53000</v>
      </c>
      <c r="U110" s="12">
        <f>IFERROR(Tableau1[[#This Row],[Loyer annuel]]/12,"")</f>
        <v>4416.666666666667</v>
      </c>
      <c r="V110" s="12">
        <v>200</v>
      </c>
      <c r="W110" s="6" t="s">
        <v>98</v>
      </c>
      <c r="X110" s="6">
        <f>Tableau1[[#This Row],[Charges €/m²]]*Tableau1[[#This Row],[Surface GLA]]</f>
        <v>15105</v>
      </c>
      <c r="Y110" s="12">
        <f>Tableau1[[#This Row],[Charges annuelles]]/12</f>
        <v>1258.75</v>
      </c>
      <c r="Z110" s="12">
        <v>57</v>
      </c>
      <c r="AA110" s="12">
        <f>IFERROR(Tableau1[[#This Row],[Taxe foncière €/m²]]*Tableau1[[#This Row],[Surface GLA]],)</f>
        <v>12190</v>
      </c>
      <c r="AB110" s="6">
        <v>46</v>
      </c>
      <c r="AC110" s="12">
        <f>IFERROR(Tableau1[[#This Row],[Marketing €/m²]]*Tableau1[[#This Row],[Surface GLA]],)</f>
        <v>0</v>
      </c>
      <c r="AD110" s="6" t="s">
        <v>98</v>
      </c>
      <c r="AE110" s="12">
        <f>IFERROR(Tableau1[[#This Row],[Loyer annuel]]+Tableau1[[#This Row],[Charges annuelles]]+Tableau1[[#This Row],[Taxe foncière]]+Tableau1[[#This Row],[Marketing]],"")</f>
        <v>80295</v>
      </c>
      <c r="AF110" s="12" t="str">
        <f t="shared" si="2"/>
        <v>3 mois = 13 250 €</v>
      </c>
      <c r="AG110" s="6" t="s">
        <v>98</v>
      </c>
      <c r="AH110" s="6">
        <f>10*Tableau1[[#This Row],[Surface GLA]]</f>
        <v>2650</v>
      </c>
      <c r="AI110" s="6" t="s">
        <v>357</v>
      </c>
      <c r="AJ110" s="10" t="s">
        <v>53</v>
      </c>
      <c r="AK110" s="10" t="s">
        <v>362</v>
      </c>
      <c r="AL110" s="4" t="s">
        <v>416</v>
      </c>
      <c r="AM110" s="11" t="s">
        <v>1770</v>
      </c>
      <c r="AN110" s="11" t="s">
        <v>1654</v>
      </c>
      <c r="AO110" s="5" t="s">
        <v>361</v>
      </c>
      <c r="AP110" s="11" t="s">
        <v>703</v>
      </c>
      <c r="AQ110" s="11" t="s">
        <v>704</v>
      </c>
      <c r="AR110" s="32" t="s">
        <v>520</v>
      </c>
      <c r="AS110" s="35" t="s">
        <v>785</v>
      </c>
      <c r="AT110" s="5" t="s">
        <v>70</v>
      </c>
      <c r="AU110" s="11" t="s">
        <v>28</v>
      </c>
      <c r="AV110" s="7" t="s">
        <v>18</v>
      </c>
      <c r="AW110" s="14"/>
      <c r="AX110" s="44"/>
      <c r="AZ110" s="1"/>
      <c r="BF110"/>
      <c r="BG110" s="1"/>
    </row>
    <row r="111" spans="1:59" ht="25.5">
      <c r="A111" s="38" t="str">
        <f>VLOOKUP(Tableau1[[#This Row],[N° Département]],Feuil1!$C$6:$E$106,3)</f>
        <v>Occitanie</v>
      </c>
      <c r="B111" s="38" t="str">
        <f>VLOOKUP(Tableau1[[#This Row],[N° Département]],Feuil1!$C$6:$E$106,2)</f>
        <v>Hérault</v>
      </c>
      <c r="C111" s="38">
        <f>LEFT(Tableau1[[#This Row],[Code Postal]],2)*1</f>
        <v>34</v>
      </c>
      <c r="D111" s="10" t="s">
        <v>131</v>
      </c>
      <c r="E111" s="25">
        <v>34470</v>
      </c>
      <c r="F111" s="10" t="s">
        <v>93</v>
      </c>
      <c r="G111" s="39" t="str">
        <f>Tableau1[[#This Row],[Rue]]&amp;CHAR(10)&amp;Tableau1[[#This Row],[Code Postal]]&amp;" - "&amp;Tableau1[[#This Row],[Ville]]</f>
        <v>C.C. Auchan Avenue Georges Frêche
34470 - Pérols</v>
      </c>
      <c r="H111" s="15" t="s">
        <v>65</v>
      </c>
      <c r="I111" s="12" t="s">
        <v>47</v>
      </c>
      <c r="J111" s="12" t="s">
        <v>51</v>
      </c>
      <c r="K111" s="12" t="s">
        <v>98</v>
      </c>
      <c r="L111" s="12"/>
      <c r="M111" s="12" t="s">
        <v>98</v>
      </c>
      <c r="N111" s="36" t="s">
        <v>330</v>
      </c>
      <c r="O111" s="34">
        <v>63</v>
      </c>
      <c r="P111" s="6" t="s">
        <v>98</v>
      </c>
      <c r="Q111" s="34">
        <v>624</v>
      </c>
      <c r="R111" s="34" t="s">
        <v>98</v>
      </c>
      <c r="S111" s="6" t="s">
        <v>98</v>
      </c>
      <c r="T111" s="12">
        <f>Tableau1[[#This Row],[Loyer €/m²]]*Tableau1[[#This Row],[Surface GLA]]</f>
        <v>25200</v>
      </c>
      <c r="U111" s="12">
        <f>IFERROR(Tableau1[[#This Row],[Loyer annuel]]/12,"")</f>
        <v>2100</v>
      </c>
      <c r="V111" s="12">
        <v>400</v>
      </c>
      <c r="W111" s="6" t="s">
        <v>98</v>
      </c>
      <c r="X111" s="6">
        <f>Tableau1[[#This Row],[Charges €/m²]]*Tableau1[[#This Row],[Surface GLA]]</f>
        <v>3591</v>
      </c>
      <c r="Y111" s="12">
        <f>Tableau1[[#This Row],[Charges annuelles]]/12</f>
        <v>299.25</v>
      </c>
      <c r="Z111" s="12">
        <v>57</v>
      </c>
      <c r="AA111" s="12">
        <f>IFERROR(Tableau1[[#This Row],[Taxe foncière €/m²]]*Tableau1[[#This Row],[Surface GLA]],)</f>
        <v>2898</v>
      </c>
      <c r="AB111" s="6">
        <v>46</v>
      </c>
      <c r="AC111" s="12">
        <f>IFERROR(Tableau1[[#This Row],[Marketing €/m²]]*Tableau1[[#This Row],[Surface GLA]],)</f>
        <v>0</v>
      </c>
      <c r="AD111" s="6" t="s">
        <v>98</v>
      </c>
      <c r="AE111" s="12">
        <f>IFERROR(Tableau1[[#This Row],[Loyer annuel]]+Tableau1[[#This Row],[Charges annuelles]]+Tableau1[[#This Row],[Taxe foncière]]+Tableau1[[#This Row],[Marketing]],"")</f>
        <v>31689</v>
      </c>
      <c r="AF111" s="12" t="str">
        <f t="shared" si="2"/>
        <v>3 mois = 6 300 €</v>
      </c>
      <c r="AG111" s="6" t="s">
        <v>98</v>
      </c>
      <c r="AH111" s="6">
        <f>10*Tableau1[[#This Row],[Surface GLA]]</f>
        <v>630</v>
      </c>
      <c r="AI111" s="6" t="s">
        <v>357</v>
      </c>
      <c r="AJ111" s="10" t="s">
        <v>53</v>
      </c>
      <c r="AK111" s="10" t="s">
        <v>362</v>
      </c>
      <c r="AL111" s="4" t="s">
        <v>416</v>
      </c>
      <c r="AM111" s="11" t="s">
        <v>1770</v>
      </c>
      <c r="AN111" s="11" t="s">
        <v>1654</v>
      </c>
      <c r="AO111" s="5" t="s">
        <v>361</v>
      </c>
      <c r="AP111" s="11" t="s">
        <v>705</v>
      </c>
      <c r="AQ111" s="11" t="s">
        <v>706</v>
      </c>
      <c r="AR111" s="32" t="s">
        <v>521</v>
      </c>
      <c r="AS111" s="35" t="s">
        <v>785</v>
      </c>
      <c r="AT111" s="5" t="s">
        <v>70</v>
      </c>
      <c r="AU111" s="11" t="s">
        <v>28</v>
      </c>
      <c r="AV111" s="7" t="s">
        <v>18</v>
      </c>
      <c r="AW111" s="14"/>
      <c r="AX111" s="44"/>
      <c r="AZ111" s="1"/>
      <c r="BF111"/>
      <c r="BG111" s="1"/>
    </row>
    <row r="112" spans="1:59" ht="25.5">
      <c r="A112" s="38" t="str">
        <f>VLOOKUP(Tableau1[[#This Row],[N° Département]],Feuil1!$C$6:$E$106,3)</f>
        <v>Occitanie</v>
      </c>
      <c r="B112" s="38" t="str">
        <f>VLOOKUP(Tableau1[[#This Row],[N° Département]],Feuil1!$C$6:$E$106,2)</f>
        <v>Hérault</v>
      </c>
      <c r="C112" s="38">
        <f>LEFT(Tableau1[[#This Row],[Code Postal]],2)*1</f>
        <v>34</v>
      </c>
      <c r="D112" s="10" t="s">
        <v>131</v>
      </c>
      <c r="E112" s="26">
        <v>34470</v>
      </c>
      <c r="F112" s="10" t="s">
        <v>93</v>
      </c>
      <c r="G112" s="39" t="str">
        <f>Tableau1[[#This Row],[Rue]]&amp;CHAR(10)&amp;Tableau1[[#This Row],[Code Postal]]&amp;" - "&amp;Tableau1[[#This Row],[Ville]]</f>
        <v>C.C. Auchan Avenue Georges Frêche
34470 - Pérols</v>
      </c>
      <c r="H112" s="15" t="s">
        <v>65</v>
      </c>
      <c r="I112" s="12" t="s">
        <v>47</v>
      </c>
      <c r="J112" s="12" t="s">
        <v>51</v>
      </c>
      <c r="K112" s="12" t="s">
        <v>98</v>
      </c>
      <c r="L112" s="12"/>
      <c r="M112" s="12" t="s">
        <v>98</v>
      </c>
      <c r="N112" s="36" t="s">
        <v>353</v>
      </c>
      <c r="O112" s="34">
        <v>120</v>
      </c>
      <c r="P112" s="6" t="s">
        <v>98</v>
      </c>
      <c r="Q112" s="34">
        <v>624</v>
      </c>
      <c r="R112" s="34" t="s">
        <v>98</v>
      </c>
      <c r="S112" s="6" t="s">
        <v>98</v>
      </c>
      <c r="T112" s="12">
        <f>Tableau1[[#This Row],[Loyer €/m²]]*Tableau1[[#This Row],[Surface GLA]]</f>
        <v>36000</v>
      </c>
      <c r="U112" s="12">
        <f>IFERROR(Tableau1[[#This Row],[Loyer annuel]]/12,"")</f>
        <v>3000</v>
      </c>
      <c r="V112" s="12">
        <v>300</v>
      </c>
      <c r="W112" s="6" t="s">
        <v>98</v>
      </c>
      <c r="X112" s="6">
        <f>Tableau1[[#This Row],[Charges €/m²]]*Tableau1[[#This Row],[Surface GLA]]</f>
        <v>6840</v>
      </c>
      <c r="Y112" s="12">
        <f>Tableau1[[#This Row],[Charges annuelles]]/12</f>
        <v>570</v>
      </c>
      <c r="Z112" s="12">
        <v>57</v>
      </c>
      <c r="AA112" s="12">
        <f>IFERROR(Tableau1[[#This Row],[Taxe foncière €/m²]]*Tableau1[[#This Row],[Surface GLA]],)</f>
        <v>5520</v>
      </c>
      <c r="AB112" s="6">
        <v>46</v>
      </c>
      <c r="AC112" s="12">
        <f>IFERROR(Tableau1[[#This Row],[Marketing €/m²]]*Tableau1[[#This Row],[Surface GLA]],)</f>
        <v>0</v>
      </c>
      <c r="AD112" s="6" t="s">
        <v>98</v>
      </c>
      <c r="AE112" s="12">
        <f>IFERROR(Tableau1[[#This Row],[Loyer annuel]]+Tableau1[[#This Row],[Charges annuelles]]+Tableau1[[#This Row],[Taxe foncière]]+Tableau1[[#This Row],[Marketing]],"")</f>
        <v>48360</v>
      </c>
      <c r="AF112" s="12" t="str">
        <f t="shared" si="2"/>
        <v>3 mois = 9 000 €</v>
      </c>
      <c r="AG112" s="6" t="s">
        <v>98</v>
      </c>
      <c r="AH112" s="6">
        <f>10*Tableau1[[#This Row],[Surface GLA]]</f>
        <v>1200</v>
      </c>
      <c r="AI112" s="6" t="s">
        <v>357</v>
      </c>
      <c r="AJ112" s="10" t="s">
        <v>53</v>
      </c>
      <c r="AK112" s="10" t="s">
        <v>362</v>
      </c>
      <c r="AL112" s="4" t="s">
        <v>416</v>
      </c>
      <c r="AM112" s="11" t="s">
        <v>1770</v>
      </c>
      <c r="AN112" s="11" t="s">
        <v>1654</v>
      </c>
      <c r="AO112" s="5" t="s">
        <v>361</v>
      </c>
      <c r="AP112" s="11" t="s">
        <v>707</v>
      </c>
      <c r="AQ112" s="11" t="s">
        <v>708</v>
      </c>
      <c r="AR112" s="32" t="s">
        <v>522</v>
      </c>
      <c r="AS112" s="35" t="s">
        <v>785</v>
      </c>
      <c r="AT112" s="5" t="s">
        <v>70</v>
      </c>
      <c r="AU112" s="11" t="s">
        <v>28</v>
      </c>
      <c r="AV112" s="7" t="s">
        <v>18</v>
      </c>
      <c r="AW112" s="14"/>
      <c r="AX112" s="44"/>
      <c r="AY112" s="1"/>
      <c r="AZ112" s="1"/>
      <c r="BE112"/>
      <c r="BG112" s="1"/>
    </row>
    <row r="113" spans="1:59" ht="25.5">
      <c r="A113" s="38" t="str">
        <f>VLOOKUP(Tableau1[[#This Row],[N° Département]],Feuil1!$C$6:$E$106,3)</f>
        <v>Occitanie</v>
      </c>
      <c r="B113" s="38" t="str">
        <f>VLOOKUP(Tableau1[[#This Row],[N° Département]],Feuil1!$C$6:$E$106,2)</f>
        <v>Hérault</v>
      </c>
      <c r="C113" s="38">
        <f>LEFT(Tableau1[[#This Row],[Code Postal]],2)*1</f>
        <v>34</v>
      </c>
      <c r="D113" s="10" t="s">
        <v>131</v>
      </c>
      <c r="E113" s="25">
        <v>34470</v>
      </c>
      <c r="F113" s="10" t="s">
        <v>93</v>
      </c>
      <c r="G113" s="39" t="str">
        <f>Tableau1[[#This Row],[Rue]]&amp;CHAR(10)&amp;Tableau1[[#This Row],[Code Postal]]&amp;" - "&amp;Tableau1[[#This Row],[Ville]]</f>
        <v>C.C. Auchan Avenue Georges Frêche
34470 - Pérols</v>
      </c>
      <c r="H113" s="15" t="s">
        <v>65</v>
      </c>
      <c r="I113" s="12" t="s">
        <v>47</v>
      </c>
      <c r="J113" s="12" t="s">
        <v>51</v>
      </c>
      <c r="K113" s="12" t="s">
        <v>98</v>
      </c>
      <c r="L113" s="12"/>
      <c r="M113" s="12" t="s">
        <v>98</v>
      </c>
      <c r="N113" s="36" t="s">
        <v>412</v>
      </c>
      <c r="O113" s="34">
        <v>176</v>
      </c>
      <c r="P113" s="6" t="s">
        <v>98</v>
      </c>
      <c r="Q113" s="34">
        <v>624</v>
      </c>
      <c r="R113" s="34" t="s">
        <v>98</v>
      </c>
      <c r="S113" s="6" t="s">
        <v>98</v>
      </c>
      <c r="T113" s="12">
        <f>Tableau1[[#This Row],[Loyer €/m²]]*Tableau1[[#This Row],[Surface GLA]]</f>
        <v>52800</v>
      </c>
      <c r="U113" s="12">
        <f>IFERROR(Tableau1[[#This Row],[Loyer annuel]]/12,"")</f>
        <v>4400</v>
      </c>
      <c r="V113" s="12">
        <v>300</v>
      </c>
      <c r="W113" s="6" t="s">
        <v>98</v>
      </c>
      <c r="X113" s="6">
        <f>Tableau1[[#This Row],[Charges €/m²]]*Tableau1[[#This Row],[Surface GLA]]</f>
        <v>10032</v>
      </c>
      <c r="Y113" s="12">
        <f>Tableau1[[#This Row],[Charges annuelles]]/12</f>
        <v>836</v>
      </c>
      <c r="Z113" s="12">
        <v>57</v>
      </c>
      <c r="AA113" s="12">
        <f>IFERROR(Tableau1[[#This Row],[Taxe foncière €/m²]]*Tableau1[[#This Row],[Surface GLA]],)</f>
        <v>8096</v>
      </c>
      <c r="AB113" s="6">
        <v>46</v>
      </c>
      <c r="AC113" s="12">
        <f>IFERROR(Tableau1[[#This Row],[Marketing €/m²]]*Tableau1[[#This Row],[Surface GLA]],)</f>
        <v>0</v>
      </c>
      <c r="AD113" s="6" t="s">
        <v>98</v>
      </c>
      <c r="AE113" s="12">
        <f>IFERROR(Tableau1[[#This Row],[Loyer annuel]]+Tableau1[[#This Row],[Charges annuelles]]+Tableau1[[#This Row],[Taxe foncière]]+Tableau1[[#This Row],[Marketing]],"")</f>
        <v>70928</v>
      </c>
      <c r="AF113" s="12" t="str">
        <f t="shared" si="2"/>
        <v>3 mois = 13 200 €</v>
      </c>
      <c r="AG113" s="6" t="s">
        <v>98</v>
      </c>
      <c r="AH113" s="6">
        <f>10*Tableau1[[#This Row],[Surface GLA]]</f>
        <v>1760</v>
      </c>
      <c r="AI113" s="6" t="s">
        <v>357</v>
      </c>
      <c r="AJ113" s="10" t="s">
        <v>53</v>
      </c>
      <c r="AK113" s="10" t="s">
        <v>362</v>
      </c>
      <c r="AL113" s="4" t="s">
        <v>416</v>
      </c>
      <c r="AM113" s="11" t="s">
        <v>1770</v>
      </c>
      <c r="AN113" s="11" t="s">
        <v>1654</v>
      </c>
      <c r="AO113" s="5" t="s">
        <v>361</v>
      </c>
      <c r="AP113" s="11" t="s">
        <v>709</v>
      </c>
      <c r="AQ113" s="11" t="s">
        <v>710</v>
      </c>
      <c r="AR113" s="32" t="s">
        <v>523</v>
      </c>
      <c r="AS113" s="35" t="s">
        <v>785</v>
      </c>
      <c r="AT113" s="5" t="s">
        <v>70</v>
      </c>
      <c r="AU113" s="11" t="s">
        <v>28</v>
      </c>
      <c r="AV113" s="7" t="s">
        <v>18</v>
      </c>
      <c r="AW113" s="14"/>
      <c r="AX113" s="44"/>
      <c r="AY113" s="1"/>
      <c r="AZ113" s="1"/>
      <c r="BE113"/>
      <c r="BG113" s="1"/>
    </row>
    <row r="114" spans="1:59" ht="25.5">
      <c r="A114" s="38" t="str">
        <f>VLOOKUP(Tableau1[[#This Row],[N° Département]],Feuil1!$C$6:$E$106,3)</f>
        <v>Occitanie</v>
      </c>
      <c r="B114" s="38" t="str">
        <f>VLOOKUP(Tableau1[[#This Row],[N° Département]],Feuil1!$C$6:$E$106,2)</f>
        <v>Hérault</v>
      </c>
      <c r="C114" s="38">
        <f>LEFT(Tableau1[[#This Row],[Code Postal]],2)*1</f>
        <v>34</v>
      </c>
      <c r="D114" s="10" t="s">
        <v>131</v>
      </c>
      <c r="E114" s="26">
        <v>34470</v>
      </c>
      <c r="F114" s="10" t="s">
        <v>93</v>
      </c>
      <c r="G114" s="39" t="str">
        <f>Tableau1[[#This Row],[Rue]]&amp;CHAR(10)&amp;Tableau1[[#This Row],[Code Postal]]&amp;" - "&amp;Tableau1[[#This Row],[Ville]]</f>
        <v>C.C. Auchan Avenue Georges Frêche
34470 - Pérols</v>
      </c>
      <c r="H114" s="15" t="s">
        <v>65</v>
      </c>
      <c r="I114" s="12" t="s">
        <v>47</v>
      </c>
      <c r="J114" s="12" t="s">
        <v>51</v>
      </c>
      <c r="K114" s="12" t="s">
        <v>98</v>
      </c>
      <c r="L114" s="12"/>
      <c r="M114" s="12" t="s">
        <v>98</v>
      </c>
      <c r="N114" s="36" t="s">
        <v>413</v>
      </c>
      <c r="O114" s="34">
        <v>86</v>
      </c>
      <c r="P114" s="6" t="s">
        <v>98</v>
      </c>
      <c r="Q114" s="34">
        <v>172</v>
      </c>
      <c r="R114" s="34" t="s">
        <v>98</v>
      </c>
      <c r="S114" s="6" t="s">
        <v>98</v>
      </c>
      <c r="T114" s="12">
        <f>Tableau1[[#This Row],[Loyer €/m²]]*Tableau1[[#This Row],[Surface GLA]]</f>
        <v>34400</v>
      </c>
      <c r="U114" s="12">
        <f>IFERROR(Tableau1[[#This Row],[Loyer annuel]]/12,"")</f>
        <v>2866.6666666666665</v>
      </c>
      <c r="V114" s="12">
        <v>400</v>
      </c>
      <c r="W114" s="6" t="s">
        <v>98</v>
      </c>
      <c r="X114" s="6">
        <f>Tableau1[[#This Row],[Charges €/m²]]*Tableau1[[#This Row],[Surface GLA]]</f>
        <v>4902</v>
      </c>
      <c r="Y114" s="12">
        <f>Tableau1[[#This Row],[Charges annuelles]]/12</f>
        <v>408.5</v>
      </c>
      <c r="Z114" s="12">
        <v>57</v>
      </c>
      <c r="AA114" s="12">
        <f>IFERROR(Tableau1[[#This Row],[Taxe foncière €/m²]]*Tableau1[[#This Row],[Surface GLA]],)</f>
        <v>3956</v>
      </c>
      <c r="AB114" s="6">
        <v>46</v>
      </c>
      <c r="AC114" s="12">
        <f>IFERROR(Tableau1[[#This Row],[Marketing €/m²]]*Tableau1[[#This Row],[Surface GLA]],)</f>
        <v>0</v>
      </c>
      <c r="AD114" s="6" t="s">
        <v>98</v>
      </c>
      <c r="AE114" s="12">
        <f>IFERROR(Tableau1[[#This Row],[Loyer annuel]]+Tableau1[[#This Row],[Charges annuelles]]+Tableau1[[#This Row],[Taxe foncière]]+Tableau1[[#This Row],[Marketing]],"")</f>
        <v>43258</v>
      </c>
      <c r="AF114" s="12" t="str">
        <f t="shared" si="2"/>
        <v>3 mois = 8 600 €</v>
      </c>
      <c r="AG114" s="6" t="s">
        <v>98</v>
      </c>
      <c r="AH114" s="6">
        <f>10*Tableau1[[#This Row],[Surface GLA]]</f>
        <v>860</v>
      </c>
      <c r="AI114" s="6" t="s">
        <v>357</v>
      </c>
      <c r="AJ114" s="10" t="s">
        <v>369</v>
      </c>
      <c r="AK114" s="10" t="s">
        <v>363</v>
      </c>
      <c r="AL114" s="4" t="s">
        <v>416</v>
      </c>
      <c r="AM114" s="11" t="s">
        <v>1770</v>
      </c>
      <c r="AN114" s="11" t="s">
        <v>1654</v>
      </c>
      <c r="AO114" s="5" t="s">
        <v>361</v>
      </c>
      <c r="AP114" s="11" t="s">
        <v>711</v>
      </c>
      <c r="AQ114" s="11" t="s">
        <v>712</v>
      </c>
      <c r="AR114" s="32" t="s">
        <v>524</v>
      </c>
      <c r="AS114" s="35" t="s">
        <v>785</v>
      </c>
      <c r="AT114" s="5" t="s">
        <v>70</v>
      </c>
      <c r="AU114" s="11" t="s">
        <v>28</v>
      </c>
      <c r="AV114" s="7" t="s">
        <v>18</v>
      </c>
      <c r="AW114" s="14"/>
      <c r="AX114" s="44"/>
      <c r="AY114" s="1"/>
      <c r="AZ114" s="1"/>
      <c r="BE114"/>
      <c r="BG114" s="1"/>
    </row>
    <row r="115" spans="1:59" ht="25.5">
      <c r="A115" s="38" t="str">
        <f>VLOOKUP(Tableau1[[#This Row],[N° Département]],Feuil1!$C$6:$E$106,3)</f>
        <v>Occitanie</v>
      </c>
      <c r="B115" s="38" t="str">
        <f>VLOOKUP(Tableau1[[#This Row],[N° Département]],Feuil1!$C$6:$E$106,2)</f>
        <v>Hérault</v>
      </c>
      <c r="C115" s="38">
        <f>LEFT(Tableau1[[#This Row],[Code Postal]],2)*1</f>
        <v>34</v>
      </c>
      <c r="D115" s="10" t="s">
        <v>131</v>
      </c>
      <c r="E115" s="25">
        <v>34470</v>
      </c>
      <c r="F115" s="10" t="s">
        <v>93</v>
      </c>
      <c r="G115" s="39" t="str">
        <f>Tableau1[[#This Row],[Rue]]&amp;CHAR(10)&amp;Tableau1[[#This Row],[Code Postal]]&amp;" - "&amp;Tableau1[[#This Row],[Ville]]</f>
        <v>C.C. Auchan Avenue Georges Frêche
34470 - Pérols</v>
      </c>
      <c r="H115" s="15" t="s">
        <v>65</v>
      </c>
      <c r="I115" s="12" t="s">
        <v>47</v>
      </c>
      <c r="J115" s="12" t="s">
        <v>51</v>
      </c>
      <c r="K115" s="12" t="s">
        <v>98</v>
      </c>
      <c r="L115" s="12"/>
      <c r="M115" s="12" t="s">
        <v>98</v>
      </c>
      <c r="N115" s="36" t="s">
        <v>414</v>
      </c>
      <c r="O115" s="34">
        <v>86</v>
      </c>
      <c r="P115" s="6" t="s">
        <v>98</v>
      </c>
      <c r="Q115" s="34">
        <v>172</v>
      </c>
      <c r="R115" s="34" t="s">
        <v>98</v>
      </c>
      <c r="S115" s="6" t="s">
        <v>98</v>
      </c>
      <c r="T115" s="12">
        <f>Tableau1[[#This Row],[Loyer €/m²]]*Tableau1[[#This Row],[Surface GLA]]</f>
        <v>34400</v>
      </c>
      <c r="U115" s="12">
        <f>IFERROR(Tableau1[[#This Row],[Loyer annuel]]/12,"")</f>
        <v>2866.6666666666665</v>
      </c>
      <c r="V115" s="12">
        <v>400</v>
      </c>
      <c r="W115" s="6" t="s">
        <v>98</v>
      </c>
      <c r="X115" s="6">
        <f>Tableau1[[#This Row],[Charges €/m²]]*Tableau1[[#This Row],[Surface GLA]]</f>
        <v>4902</v>
      </c>
      <c r="Y115" s="12">
        <f>Tableau1[[#This Row],[Charges annuelles]]/12</f>
        <v>408.5</v>
      </c>
      <c r="Z115" s="12">
        <v>57</v>
      </c>
      <c r="AA115" s="12">
        <f>IFERROR(Tableau1[[#This Row],[Taxe foncière €/m²]]*Tableau1[[#This Row],[Surface GLA]],)</f>
        <v>3956</v>
      </c>
      <c r="AB115" s="6">
        <v>46</v>
      </c>
      <c r="AC115" s="12">
        <f>IFERROR(Tableau1[[#This Row],[Marketing €/m²]]*Tableau1[[#This Row],[Surface GLA]],)</f>
        <v>0</v>
      </c>
      <c r="AD115" s="6" t="s">
        <v>98</v>
      </c>
      <c r="AE115" s="12">
        <f>IFERROR(Tableau1[[#This Row],[Loyer annuel]]+Tableau1[[#This Row],[Charges annuelles]]+Tableau1[[#This Row],[Taxe foncière]]+Tableau1[[#This Row],[Marketing]],"")</f>
        <v>43258</v>
      </c>
      <c r="AF115" s="12" t="str">
        <f t="shared" si="2"/>
        <v>3 mois = 8 600 €</v>
      </c>
      <c r="AG115" s="6" t="s">
        <v>98</v>
      </c>
      <c r="AH115" s="6">
        <f>10*Tableau1[[#This Row],[Surface GLA]]</f>
        <v>860</v>
      </c>
      <c r="AI115" s="6" t="s">
        <v>357</v>
      </c>
      <c r="AJ115" s="10" t="s">
        <v>369</v>
      </c>
      <c r="AK115" s="10" t="s">
        <v>363</v>
      </c>
      <c r="AL115" s="4" t="s">
        <v>416</v>
      </c>
      <c r="AM115" s="11" t="s">
        <v>1770</v>
      </c>
      <c r="AN115" s="11" t="s">
        <v>1654</v>
      </c>
      <c r="AO115" s="5" t="s">
        <v>361</v>
      </c>
      <c r="AP115" s="11" t="s">
        <v>713</v>
      </c>
      <c r="AQ115" s="11" t="s">
        <v>714</v>
      </c>
      <c r="AR115" s="32" t="s">
        <v>525</v>
      </c>
      <c r="AS115" s="35" t="s">
        <v>785</v>
      </c>
      <c r="AT115" s="5" t="s">
        <v>70</v>
      </c>
      <c r="AU115" s="11" t="s">
        <v>28</v>
      </c>
      <c r="AV115" s="7" t="s">
        <v>18</v>
      </c>
      <c r="AW115" s="14"/>
      <c r="AX115" s="44"/>
      <c r="AY115" s="1"/>
      <c r="AZ115" s="1"/>
      <c r="BE115"/>
      <c r="BG115" s="1"/>
    </row>
    <row r="116" spans="1:59" ht="25.5">
      <c r="A116" s="38" t="str">
        <f>VLOOKUP(Tableau1[[#This Row],[N° Département]],Feuil1!$C$6:$E$106,3)</f>
        <v>Occitanie</v>
      </c>
      <c r="B116" s="38" t="str">
        <f>VLOOKUP(Tableau1[[#This Row],[N° Département]],Feuil1!$C$6:$E$106,2)</f>
        <v>Hérault</v>
      </c>
      <c r="C116" s="38">
        <f>LEFT(Tableau1[[#This Row],[Code Postal]],2)*1</f>
        <v>34</v>
      </c>
      <c r="D116" s="10" t="s">
        <v>131</v>
      </c>
      <c r="E116" s="26">
        <v>34470</v>
      </c>
      <c r="F116" s="10" t="s">
        <v>93</v>
      </c>
      <c r="G116" s="39" t="str">
        <f>Tableau1[[#This Row],[Rue]]&amp;CHAR(10)&amp;Tableau1[[#This Row],[Code Postal]]&amp;" - "&amp;Tableau1[[#This Row],[Ville]]</f>
        <v>C.C. Auchan Avenue Georges Frêche
34470 - Pérols</v>
      </c>
      <c r="H116" s="15" t="s">
        <v>65</v>
      </c>
      <c r="I116" s="12" t="s">
        <v>47</v>
      </c>
      <c r="J116" s="12" t="s">
        <v>51</v>
      </c>
      <c r="K116" s="12" t="s">
        <v>98</v>
      </c>
      <c r="L116" s="12"/>
      <c r="M116" s="12" t="s">
        <v>98</v>
      </c>
      <c r="N116" s="36" t="s">
        <v>415</v>
      </c>
      <c r="O116" s="34">
        <v>90</v>
      </c>
      <c r="P116" s="6" t="s">
        <v>98</v>
      </c>
      <c r="Q116" s="34" t="s">
        <v>98</v>
      </c>
      <c r="R116" s="34" t="s">
        <v>98</v>
      </c>
      <c r="S116" s="6" t="s">
        <v>98</v>
      </c>
      <c r="T116" s="12">
        <f>Tableau1[[#This Row],[Loyer €/m²]]*Tableau1[[#This Row],[Surface GLA]]</f>
        <v>36000</v>
      </c>
      <c r="U116" s="12">
        <f>IFERROR(Tableau1[[#This Row],[Loyer annuel]]/12,"")</f>
        <v>3000</v>
      </c>
      <c r="V116" s="12">
        <v>400</v>
      </c>
      <c r="W116" s="6" t="s">
        <v>98</v>
      </c>
      <c r="X116" s="6">
        <f>Tableau1[[#This Row],[Charges €/m²]]*Tableau1[[#This Row],[Surface GLA]]</f>
        <v>5130</v>
      </c>
      <c r="Y116" s="12">
        <f>Tableau1[[#This Row],[Charges annuelles]]/12</f>
        <v>427.5</v>
      </c>
      <c r="Z116" s="12">
        <v>57</v>
      </c>
      <c r="AA116" s="12">
        <f>IFERROR(Tableau1[[#This Row],[Taxe foncière €/m²]]*Tableau1[[#This Row],[Surface GLA]],)</f>
        <v>4140</v>
      </c>
      <c r="AB116" s="6">
        <v>46</v>
      </c>
      <c r="AC116" s="12">
        <f>IFERROR(Tableau1[[#This Row],[Marketing €/m²]]*Tableau1[[#This Row],[Surface GLA]],)</f>
        <v>0</v>
      </c>
      <c r="AD116" s="6" t="s">
        <v>98</v>
      </c>
      <c r="AE116" s="12">
        <f>IFERROR(Tableau1[[#This Row],[Loyer annuel]]+Tableau1[[#This Row],[Charges annuelles]]+Tableau1[[#This Row],[Taxe foncière]]+Tableau1[[#This Row],[Marketing]],"")</f>
        <v>45270</v>
      </c>
      <c r="AF116" s="12" t="str">
        <f t="shared" si="2"/>
        <v>3 mois = 9 000 €</v>
      </c>
      <c r="AG116" s="6" t="s">
        <v>98</v>
      </c>
      <c r="AH116" s="6">
        <f>10*Tableau1[[#This Row],[Surface GLA]]</f>
        <v>900</v>
      </c>
      <c r="AI116" s="6" t="s">
        <v>357</v>
      </c>
      <c r="AJ116" s="10" t="s">
        <v>369</v>
      </c>
      <c r="AK116" s="10" t="s">
        <v>363</v>
      </c>
      <c r="AL116" s="4" t="s">
        <v>416</v>
      </c>
      <c r="AM116" s="11" t="s">
        <v>1770</v>
      </c>
      <c r="AN116" s="11" t="s">
        <v>1654</v>
      </c>
      <c r="AO116" s="5" t="s">
        <v>361</v>
      </c>
      <c r="AP116" s="11" t="s">
        <v>715</v>
      </c>
      <c r="AQ116" s="11" t="s">
        <v>716</v>
      </c>
      <c r="AR116" s="32" t="s">
        <v>526</v>
      </c>
      <c r="AS116" s="35" t="s">
        <v>785</v>
      </c>
      <c r="AT116" s="5" t="s">
        <v>70</v>
      </c>
      <c r="AU116" s="11" t="s">
        <v>28</v>
      </c>
      <c r="AV116" s="7" t="s">
        <v>18</v>
      </c>
      <c r="AW116" s="14"/>
      <c r="AX116" s="44"/>
      <c r="AY116" s="1"/>
      <c r="AZ116" s="1"/>
      <c r="BE116"/>
      <c r="BG116" s="1"/>
    </row>
    <row r="117" spans="1:59" ht="38.25">
      <c r="A117" s="38" t="str">
        <f>VLOOKUP(Tableau1[[#This Row],[N° Département]],Feuil1!$C$6:$E$106,3)</f>
        <v>Grand Est</v>
      </c>
      <c r="B117" s="38" t="str">
        <f>VLOOKUP(Tableau1[[#This Row],[N° Département]],Feuil1!$C$6:$E$106,2)</f>
        <v>Bas-Rhin</v>
      </c>
      <c r="C117" s="38">
        <f>LEFT(Tableau1[[#This Row],[Code Postal]],2)*1</f>
        <v>67</v>
      </c>
      <c r="D117" s="10" t="s">
        <v>871</v>
      </c>
      <c r="E117" s="26">
        <v>67600</v>
      </c>
      <c r="F117" s="10" t="s">
        <v>858</v>
      </c>
      <c r="G117" s="39" t="str">
        <f>Tableau1[[#This Row],[Rue]]&amp;CHAR(10)&amp;Tableau1[[#This Row],[Code Postal]]&amp;" - "&amp;Tableau1[[#This Row],[Ville]]</f>
        <v>Supermarché Leclerc Ouest Heyden, All. de la Lohmuhle
67600 - Sélestat</v>
      </c>
      <c r="H117" s="15" t="s">
        <v>859</v>
      </c>
      <c r="I117" s="12" t="s">
        <v>45</v>
      </c>
      <c r="J117" s="12" t="s">
        <v>51</v>
      </c>
      <c r="K117" s="12" t="s">
        <v>98</v>
      </c>
      <c r="L117" s="12"/>
      <c r="M117" s="12">
        <v>7500</v>
      </c>
      <c r="N117" s="36" t="s">
        <v>860</v>
      </c>
      <c r="O117" s="34">
        <v>98</v>
      </c>
      <c r="P117" s="6" t="s">
        <v>98</v>
      </c>
      <c r="Q117" s="34" t="s">
        <v>98</v>
      </c>
      <c r="R117" s="34" t="s">
        <v>98</v>
      </c>
      <c r="S117" s="6" t="s">
        <v>98</v>
      </c>
      <c r="T117" s="12">
        <f>Tableau1[[#This Row],[Loyer €/m²]]*Tableau1[[#This Row],[Surface GLA]]</f>
        <v>29400</v>
      </c>
      <c r="U117" s="12">
        <f>IFERROR(Tableau1[[#This Row],[Loyer annuel]]/12,"")</f>
        <v>2450</v>
      </c>
      <c r="V117" s="12">
        <v>300</v>
      </c>
      <c r="W117" s="6" t="s">
        <v>98</v>
      </c>
      <c r="X117" s="6">
        <f>Tableau1[[#This Row],[Charges €/m²]]*Tableau1[[#This Row],[Surface GLA]]</f>
        <v>3626</v>
      </c>
      <c r="Y117" s="12">
        <f>Tableau1[[#This Row],[Charges annuelles]]/12</f>
        <v>302.16666666666669</v>
      </c>
      <c r="Z117" s="12">
        <v>37</v>
      </c>
      <c r="AA117" s="12">
        <f>IFERROR(Tableau1[[#This Row],[Taxe foncière €/m²]]*Tableau1[[#This Row],[Surface GLA]],)</f>
        <v>0</v>
      </c>
      <c r="AB117" s="6" t="s">
        <v>98</v>
      </c>
      <c r="AC117" s="12">
        <f>IFERROR(Tableau1[[#This Row],[Marketing €/m²]]*Tableau1[[#This Row],[Surface GLA]],)</f>
        <v>0</v>
      </c>
      <c r="AD117" s="6" t="s">
        <v>98</v>
      </c>
      <c r="AE117" s="12">
        <f>IFERROR(Tableau1[[#This Row],[Loyer annuel]]+Tableau1[[#This Row],[Charges annuelles]]+Tableau1[[#This Row],[Taxe foncière]]+Tableau1[[#This Row],[Marketing]],"")</f>
        <v>33026</v>
      </c>
      <c r="AF117" s="12" t="str">
        <f>"2 mois = "&amp;TEXT(ROUND(2/12*T117,0),"### ### ##0 €")</f>
        <v>2 mois = 4 900 €</v>
      </c>
      <c r="AG117" s="6" t="s">
        <v>98</v>
      </c>
      <c r="AH117" s="6" t="s">
        <v>98</v>
      </c>
      <c r="AI117" s="6" t="s">
        <v>357</v>
      </c>
      <c r="AJ117" s="10" t="s">
        <v>53</v>
      </c>
      <c r="AK117" s="10" t="s">
        <v>362</v>
      </c>
      <c r="AL117" s="10" t="s">
        <v>865</v>
      </c>
      <c r="AM117" s="11" t="s">
        <v>861</v>
      </c>
      <c r="AN117" s="11"/>
      <c r="AO117" s="5" t="s">
        <v>361</v>
      </c>
      <c r="AP117" s="11" t="s">
        <v>862</v>
      </c>
      <c r="AQ117" s="11" t="s">
        <v>863</v>
      </c>
      <c r="AR117" s="11">
        <v>25</v>
      </c>
      <c r="AS117" s="36" t="s">
        <v>866</v>
      </c>
      <c r="AT117" s="11" t="s">
        <v>70</v>
      </c>
      <c r="AU117" s="11" t="s">
        <v>370</v>
      </c>
      <c r="AV117" s="13" t="s">
        <v>864</v>
      </c>
      <c r="AW117" s="14"/>
      <c r="AX117" s="44"/>
      <c r="AY117" s="1"/>
      <c r="AZ117" s="1"/>
      <c r="BE117"/>
      <c r="BG117" s="1"/>
    </row>
    <row r="118" spans="1:59" ht="38.25">
      <c r="A118" s="38" t="str">
        <f>VLOOKUP(Tableau1[[#This Row],[N° Département]],Feuil1!$C$6:$E$106,3)</f>
        <v>Provence-Alpes-Côte d'Azur</v>
      </c>
      <c r="B118" s="38" t="str">
        <f>VLOOKUP(Tableau1[[#This Row],[N° Département]],Feuil1!$C$6:$E$106,2)</f>
        <v>Vaucluse</v>
      </c>
      <c r="C118" s="38">
        <f>LEFT(Tableau1[[#This Row],[Code Postal]],2)*1</f>
        <v>84</v>
      </c>
      <c r="D118" s="10" t="s">
        <v>872</v>
      </c>
      <c r="E118" s="26">
        <v>84507</v>
      </c>
      <c r="F118" s="10" t="s">
        <v>869</v>
      </c>
      <c r="G118" s="39" t="str">
        <f>Tableau1[[#This Row],[Rue]]&amp;CHAR(10)&amp;Tableau1[[#This Row],[Code Postal]]&amp;" - "&amp;Tableau1[[#This Row],[Ville]]</f>
        <v>Hypermarché Leclerc Bollène, 1 Route de Saint-Paul-trois-Châteaux
84507 - Bollène</v>
      </c>
      <c r="H118" s="15" t="s">
        <v>870</v>
      </c>
      <c r="I118" s="12" t="s">
        <v>47</v>
      </c>
      <c r="J118" s="12" t="s">
        <v>51</v>
      </c>
      <c r="K118" s="12" t="s">
        <v>98</v>
      </c>
      <c r="L118" s="12"/>
      <c r="M118" s="12" t="s">
        <v>98</v>
      </c>
      <c r="N118" s="36" t="s">
        <v>466</v>
      </c>
      <c r="O118" s="34">
        <v>1118</v>
      </c>
      <c r="P118" s="6" t="s">
        <v>98</v>
      </c>
      <c r="Q118" s="34" t="s">
        <v>98</v>
      </c>
      <c r="R118" s="34" t="s">
        <v>98</v>
      </c>
      <c r="S118" s="6" t="s">
        <v>98</v>
      </c>
      <c r="T118" s="12">
        <f>Tableau1[[#This Row],[Loyer €/m²]]*Tableau1[[#This Row],[Surface GLA]]</f>
        <v>89440</v>
      </c>
      <c r="U118" s="12">
        <f>IFERROR(Tableau1[[#This Row],[Loyer annuel]]/12,"")</f>
        <v>7453.333333333333</v>
      </c>
      <c r="V118" s="12">
        <v>80</v>
      </c>
      <c r="W118" s="6" t="s">
        <v>98</v>
      </c>
      <c r="X118" s="6">
        <f>Tableau1[[#This Row],[Charges €/m²]]*Tableau1[[#This Row],[Surface GLA]]</f>
        <v>36894</v>
      </c>
      <c r="Y118" s="12">
        <f>Tableau1[[#This Row],[Charges annuelles]]/12</f>
        <v>3074.5</v>
      </c>
      <c r="Z118" s="12">
        <v>33</v>
      </c>
      <c r="AA118" s="12">
        <f>IFERROR(Tableau1[[#This Row],[Taxe foncière €/m²]]*Tableau1[[#This Row],[Surface GLA]],)</f>
        <v>8161.4</v>
      </c>
      <c r="AB118" s="12">
        <v>7.3</v>
      </c>
      <c r="AC118" s="12">
        <f>IFERROR(Tableau1[[#This Row],[Marketing €/m²]]*Tableau1[[#This Row],[Surface GLA]],)</f>
        <v>0</v>
      </c>
      <c r="AD118" s="6" t="s">
        <v>98</v>
      </c>
      <c r="AE118" s="12">
        <f>IFERROR(Tableau1[[#This Row],[Loyer annuel]]+Tableau1[[#This Row],[Charges annuelles]]+Tableau1[[#This Row],[Taxe foncière]]+Tableau1[[#This Row],[Marketing]],"")</f>
        <v>134495.4</v>
      </c>
      <c r="AF118" s="12" t="str">
        <f>"2 mois = "&amp;TEXT(ROUND(2/12*T118,0),"### ### ##0 €")</f>
        <v>2 mois = 14 907 €</v>
      </c>
      <c r="AG118" s="6" t="s">
        <v>98</v>
      </c>
      <c r="AH118" s="6" t="s">
        <v>98</v>
      </c>
      <c r="AI118" s="6" t="s">
        <v>357</v>
      </c>
      <c r="AJ118" s="10" t="s">
        <v>70</v>
      </c>
      <c r="AK118" s="10" t="s">
        <v>363</v>
      </c>
      <c r="AL118" s="10" t="s">
        <v>873</v>
      </c>
      <c r="AM118" s="11" t="s">
        <v>874</v>
      </c>
      <c r="AN118" s="11"/>
      <c r="AO118" s="5" t="s">
        <v>361</v>
      </c>
      <c r="AP118" s="11" t="s">
        <v>875</v>
      </c>
      <c r="AQ118" s="11" t="s">
        <v>876</v>
      </c>
      <c r="AR118" s="11">
        <v>26</v>
      </c>
      <c r="AS118" s="36" t="s">
        <v>878</v>
      </c>
      <c r="AT118" s="11" t="s">
        <v>70</v>
      </c>
      <c r="AU118" s="11" t="s">
        <v>877</v>
      </c>
      <c r="AV118" s="13" t="s">
        <v>864</v>
      </c>
      <c r="AW118" s="14"/>
      <c r="AX118" s="44"/>
      <c r="AY118" s="1"/>
      <c r="AZ118" s="1"/>
      <c r="BE118"/>
      <c r="BG118" s="1"/>
    </row>
    <row r="119" spans="1:59" ht="25.5">
      <c r="A119" s="38" t="str">
        <f>VLOOKUP(Tableau1[[#This Row],[N° Département]],Feuil1!$C$6:$E$106,3)</f>
        <v>Ile-de-France</v>
      </c>
      <c r="B119" s="38" t="str">
        <f>VLOOKUP(Tableau1[[#This Row],[N° Département]],Feuil1!$C$6:$E$106,2)</f>
        <v>Hauts-de-Seine</v>
      </c>
      <c r="C119" s="38">
        <f>LEFT(Tableau1[[#This Row],[Code Postal]],2)*1</f>
        <v>92</v>
      </c>
      <c r="D119" s="10" t="s">
        <v>881</v>
      </c>
      <c r="E119" s="26">
        <v>92100</v>
      </c>
      <c r="F119" s="10" t="s">
        <v>88</v>
      </c>
      <c r="G119" s="39" t="str">
        <f>Tableau1[[#This Row],[Rue]]&amp;CHAR(10)&amp;Tableau1[[#This Row],[Code Postal]]&amp;" - "&amp;Tableau1[[#This Row],[Ville]]</f>
        <v>30 Cours de l'Île Seguin
92100 - Boulogne-Billancourt</v>
      </c>
      <c r="H119" s="15" t="s">
        <v>879</v>
      </c>
      <c r="I119" s="12" t="s">
        <v>45</v>
      </c>
      <c r="J119" s="12" t="s">
        <v>44</v>
      </c>
      <c r="K119" s="12" t="s">
        <v>98</v>
      </c>
      <c r="L119" s="12"/>
      <c r="M119" s="12" t="s">
        <v>98</v>
      </c>
      <c r="N119" s="36" t="s">
        <v>880</v>
      </c>
      <c r="O119" s="34">
        <v>254</v>
      </c>
      <c r="P119" s="6" t="s">
        <v>98</v>
      </c>
      <c r="Q119" s="34" t="s">
        <v>98</v>
      </c>
      <c r="R119" s="34" t="s">
        <v>98</v>
      </c>
      <c r="S119" s="6" t="s">
        <v>98</v>
      </c>
      <c r="T119" s="12">
        <f>Tableau1[[#This Row],[Loyer €/m²]]*Tableau1[[#This Row],[Surface GLA]]</f>
        <v>100330</v>
      </c>
      <c r="U119" s="12">
        <f>IFERROR(Tableau1[[#This Row],[Loyer annuel]]/12,"")</f>
        <v>8360.8333333333339</v>
      </c>
      <c r="V119" s="12">
        <v>395</v>
      </c>
      <c r="W119" s="6" t="s">
        <v>98</v>
      </c>
      <c r="X119" s="6">
        <f>Tableau1[[#This Row],[Charges €/m²]]*Tableau1[[#This Row],[Surface GLA]]</f>
        <v>6604</v>
      </c>
      <c r="Y119" s="12">
        <f>Tableau1[[#This Row],[Charges annuelles]]/12</f>
        <v>550.33333333333337</v>
      </c>
      <c r="Z119" s="12">
        <v>26</v>
      </c>
      <c r="AA119" s="12">
        <f>IFERROR(Tableau1[[#This Row],[Taxe foncière €/m²]]*Tableau1[[#This Row],[Surface GLA]],)</f>
        <v>5588</v>
      </c>
      <c r="AB119" s="12">
        <v>22</v>
      </c>
      <c r="AC119" s="12">
        <f>IFERROR(Tableau1[[#This Row],[Marketing €/m²]]*Tableau1[[#This Row],[Surface GLA]],)</f>
        <v>0</v>
      </c>
      <c r="AD119" s="6" t="s">
        <v>98</v>
      </c>
      <c r="AE119" s="12">
        <f>IFERROR(Tableau1[[#This Row],[Loyer annuel]]+Tableau1[[#This Row],[Charges annuelles]]+Tableau1[[#This Row],[Taxe foncière]]+Tableau1[[#This Row],[Marketing]],"")</f>
        <v>112522</v>
      </c>
      <c r="AF119" s="6" t="s">
        <v>98</v>
      </c>
      <c r="AG119" s="6" t="s">
        <v>98</v>
      </c>
      <c r="AH119" s="6" t="s">
        <v>98</v>
      </c>
      <c r="AI119" s="6" t="s">
        <v>357</v>
      </c>
      <c r="AJ119" s="10" t="s">
        <v>53</v>
      </c>
      <c r="AK119" s="10" t="s">
        <v>362</v>
      </c>
      <c r="AL119" s="10"/>
      <c r="AM119" s="11" t="s">
        <v>1843</v>
      </c>
      <c r="AN119" s="11"/>
      <c r="AO119" s="5" t="s">
        <v>361</v>
      </c>
      <c r="AP119" s="11" t="s">
        <v>882</v>
      </c>
      <c r="AQ119" s="11" t="s">
        <v>883</v>
      </c>
      <c r="AR119" s="11">
        <v>27</v>
      </c>
      <c r="AS119" s="36" t="s">
        <v>889</v>
      </c>
      <c r="AT119" s="11" t="s">
        <v>70</v>
      </c>
      <c r="AU119" s="11" t="s">
        <v>370</v>
      </c>
      <c r="AV119" s="13" t="s">
        <v>31</v>
      </c>
      <c r="AW119" s="14"/>
      <c r="AX119" s="44"/>
      <c r="AY119" s="1"/>
      <c r="AZ119" s="1"/>
      <c r="BE119"/>
      <c r="BG119" s="1"/>
    </row>
    <row r="120" spans="1:59" ht="25.5">
      <c r="A120" s="38" t="str">
        <f>VLOOKUP(Tableau1[[#This Row],[N° Département]],Feuil1!$C$6:$E$106,3)</f>
        <v>Ile-de-France</v>
      </c>
      <c r="B120" s="38" t="str">
        <f>VLOOKUP(Tableau1[[#This Row],[N° Département]],Feuil1!$C$6:$E$106,2)</f>
        <v>Paris</v>
      </c>
      <c r="C120" s="38">
        <f>LEFT(Tableau1[[#This Row],[Code Postal]],2)*1</f>
        <v>75</v>
      </c>
      <c r="D120" s="10" t="s">
        <v>884</v>
      </c>
      <c r="E120" s="26">
        <v>75020</v>
      </c>
      <c r="F120" s="10" t="s">
        <v>87</v>
      </c>
      <c r="G120" s="39" t="str">
        <f>Tableau1[[#This Row],[Rue]]&amp;CHAR(10)&amp;Tableau1[[#This Row],[Code Postal]]&amp;" - "&amp;Tableau1[[#This Row],[Ville]]</f>
        <v>61 rue de Bagnolet
75020 - Paris</v>
      </c>
      <c r="H120" s="15" t="s">
        <v>885</v>
      </c>
      <c r="I120" s="12" t="s">
        <v>45</v>
      </c>
      <c r="J120" s="12" t="s">
        <v>44</v>
      </c>
      <c r="K120" s="12" t="s">
        <v>98</v>
      </c>
      <c r="L120" s="12"/>
      <c r="M120" s="12" t="s">
        <v>98</v>
      </c>
      <c r="N120" s="36" t="s">
        <v>98</v>
      </c>
      <c r="O120" s="34">
        <v>99</v>
      </c>
      <c r="P120" s="6" t="s">
        <v>98</v>
      </c>
      <c r="Q120" s="34" t="s">
        <v>98</v>
      </c>
      <c r="R120" s="34" t="s">
        <v>98</v>
      </c>
      <c r="S120" s="6" t="s">
        <v>98</v>
      </c>
      <c r="T120" s="12">
        <f>Tableau1[[#This Row],[Loyer €/m²]]*Tableau1[[#This Row],[Surface GLA]]</f>
        <v>39600</v>
      </c>
      <c r="U120" s="12">
        <f>IFERROR(Tableau1[[#This Row],[Loyer annuel]]/12,"")</f>
        <v>3300</v>
      </c>
      <c r="V120" s="12">
        <v>400</v>
      </c>
      <c r="W120" s="6" t="s">
        <v>98</v>
      </c>
      <c r="X120" s="6">
        <f>Tableau1[[#This Row],[Charges €/m²]]*Tableau1[[#This Row],[Surface GLA]]</f>
        <v>3168</v>
      </c>
      <c r="Y120" s="12">
        <f>Tableau1[[#This Row],[Charges annuelles]]/12</f>
        <v>264</v>
      </c>
      <c r="Z120" s="12">
        <v>32</v>
      </c>
      <c r="AA120" s="12">
        <f>IFERROR(Tableau1[[#This Row],[Taxe foncière €/m²]]*Tableau1[[#This Row],[Surface GLA]],)</f>
        <v>1683</v>
      </c>
      <c r="AB120" s="12">
        <v>17</v>
      </c>
      <c r="AC120" s="12">
        <f>IFERROR(Tableau1[[#This Row],[Marketing €/m²]]*Tableau1[[#This Row],[Surface GLA]],)</f>
        <v>0</v>
      </c>
      <c r="AD120" s="6" t="s">
        <v>98</v>
      </c>
      <c r="AE120" s="12">
        <f>IFERROR(Tableau1[[#This Row],[Loyer annuel]]+Tableau1[[#This Row],[Charges annuelles]]+Tableau1[[#This Row],[Taxe foncière]]+Tableau1[[#This Row],[Marketing]],"")</f>
        <v>44451</v>
      </c>
      <c r="AF120" s="6" t="s">
        <v>98</v>
      </c>
      <c r="AG120" s="6" t="s">
        <v>98</v>
      </c>
      <c r="AH120" s="6" t="s">
        <v>98</v>
      </c>
      <c r="AI120" s="6" t="s">
        <v>357</v>
      </c>
      <c r="AJ120" s="10" t="s">
        <v>53</v>
      </c>
      <c r="AK120" s="10" t="s">
        <v>362</v>
      </c>
      <c r="AL120" s="10" t="s">
        <v>886</v>
      </c>
      <c r="AM120" s="11" t="s">
        <v>891</v>
      </c>
      <c r="AN120" s="11"/>
      <c r="AO120" s="5" t="s">
        <v>361</v>
      </c>
      <c r="AP120" s="11" t="s">
        <v>887</v>
      </c>
      <c r="AQ120" s="11" t="s">
        <v>888</v>
      </c>
      <c r="AR120" s="11">
        <v>28</v>
      </c>
      <c r="AS120" s="36" t="s">
        <v>890</v>
      </c>
      <c r="AT120" s="11" t="s">
        <v>53</v>
      </c>
      <c r="AU120" s="11" t="s">
        <v>1808</v>
      </c>
      <c r="AV120" s="13" t="s">
        <v>31</v>
      </c>
      <c r="AW120" s="14"/>
      <c r="AX120" s="44"/>
      <c r="AY120" s="1"/>
      <c r="AZ120" s="1"/>
      <c r="BE120"/>
      <c r="BG120" s="1"/>
    </row>
    <row r="121" spans="1:59" ht="25.5">
      <c r="A121" s="38" t="str">
        <f>VLOOKUP(Tableau1[[#This Row],[N° Département]],Feuil1!$C$6:$E$106,3)</f>
        <v>Ile-de-France</v>
      </c>
      <c r="B121" s="38" t="str">
        <f>VLOOKUP(Tableau1[[#This Row],[N° Département]],Feuil1!$C$6:$E$106,2)</f>
        <v>Seine-Saint-Denis</v>
      </c>
      <c r="C121" s="38">
        <f>LEFT(Tableau1[[#This Row],[Code Postal]],2)*1</f>
        <v>93</v>
      </c>
      <c r="D121" s="10" t="s">
        <v>893</v>
      </c>
      <c r="E121" s="26">
        <v>93430</v>
      </c>
      <c r="F121" s="10" t="s">
        <v>892</v>
      </c>
      <c r="G121" s="39" t="str">
        <f>Tableau1[[#This Row],[Rue]]&amp;CHAR(10)&amp;Tableau1[[#This Row],[Code Postal]]&amp;" - "&amp;Tableau1[[#This Row],[Ville]]</f>
        <v>8 Route de Saint-Leu
93430 - Villetaneuse</v>
      </c>
      <c r="H121" s="15" t="s">
        <v>894</v>
      </c>
      <c r="I121" s="12" t="s">
        <v>45</v>
      </c>
      <c r="J121" s="12" t="s">
        <v>49</v>
      </c>
      <c r="K121" s="12" t="s">
        <v>98</v>
      </c>
      <c r="L121" s="53" t="s">
        <v>1518</v>
      </c>
      <c r="M121" s="12" t="s">
        <v>98</v>
      </c>
      <c r="N121" s="36" t="s">
        <v>895</v>
      </c>
      <c r="O121" s="34">
        <v>163</v>
      </c>
      <c r="P121" s="6" t="s">
        <v>98</v>
      </c>
      <c r="Q121" s="34" t="s">
        <v>98</v>
      </c>
      <c r="R121" s="34" t="s">
        <v>98</v>
      </c>
      <c r="S121" s="6" t="s">
        <v>98</v>
      </c>
      <c r="T121" s="12">
        <f>Tableau1[[#This Row],[Loyer €/m²]]*Tableau1[[#This Row],[Surface GLA]]</f>
        <v>57050</v>
      </c>
      <c r="U121" s="12">
        <f>IFERROR(Tableau1[[#This Row],[Loyer annuel]]/12,"")</f>
        <v>4754.166666666667</v>
      </c>
      <c r="V121" s="12">
        <v>350</v>
      </c>
      <c r="W121" s="6" t="s">
        <v>98</v>
      </c>
      <c r="X121" s="6">
        <f>Tableau1[[#This Row],[Charges €/m²]]*Tableau1[[#This Row],[Surface GLA]]</f>
        <v>21190</v>
      </c>
      <c r="Y121" s="12">
        <f>Tableau1[[#This Row],[Charges annuelles]]/12</f>
        <v>1765.8333333333333</v>
      </c>
      <c r="Z121" s="12">
        <v>130</v>
      </c>
      <c r="AA121" s="12">
        <f>IFERROR(Tableau1[[#This Row],[Taxe foncière €/m²]]*Tableau1[[#This Row],[Surface GLA]],)</f>
        <v>0</v>
      </c>
      <c r="AB121" s="6" t="s">
        <v>98</v>
      </c>
      <c r="AC121" s="12">
        <f>IFERROR(Tableau1[[#This Row],[Marketing €/m²]]*Tableau1[[#This Row],[Surface GLA]],)</f>
        <v>0</v>
      </c>
      <c r="AD121" s="6" t="s">
        <v>98</v>
      </c>
      <c r="AE121" s="12">
        <f>IFERROR(Tableau1[[#This Row],[Loyer annuel]]+Tableau1[[#This Row],[Charges annuelles]]+Tableau1[[#This Row],[Taxe foncière]]+Tableau1[[#This Row],[Marketing]],"")</f>
        <v>78240</v>
      </c>
      <c r="AF121" s="12" t="str">
        <f t="shared" ref="AF121:AF133" si="3">"3 mois = "&amp;TEXT(ROUND(3/12*T121,0),"### ### ##0 €")</f>
        <v>3 mois = 14 263 €</v>
      </c>
      <c r="AG121" s="6" t="s">
        <v>98</v>
      </c>
      <c r="AH121" s="6" t="s">
        <v>98</v>
      </c>
      <c r="AI121" s="6" t="s">
        <v>357</v>
      </c>
      <c r="AJ121" s="10" t="s">
        <v>70</v>
      </c>
      <c r="AK121" s="10" t="s">
        <v>363</v>
      </c>
      <c r="AL121" s="10" t="s">
        <v>917</v>
      </c>
      <c r="AM121" s="11" t="s">
        <v>954</v>
      </c>
      <c r="AN121" s="11"/>
      <c r="AO121" s="5" t="s">
        <v>361</v>
      </c>
      <c r="AP121" s="11" t="s">
        <v>920</v>
      </c>
      <c r="AQ121" s="11" t="s">
        <v>921</v>
      </c>
      <c r="AR121" s="11" t="s">
        <v>900</v>
      </c>
      <c r="AS121" s="36" t="s">
        <v>1349</v>
      </c>
      <c r="AT121" s="11" t="s">
        <v>70</v>
      </c>
      <c r="AU121" s="11" t="s">
        <v>918</v>
      </c>
      <c r="AV121" s="13" t="s">
        <v>919</v>
      </c>
      <c r="AW121" s="14"/>
      <c r="AX121" s="44"/>
      <c r="AY121" s="1"/>
      <c r="AZ121" s="1"/>
      <c r="BE121"/>
      <c r="BG121" s="1"/>
    </row>
    <row r="122" spans="1:59" ht="25.5">
      <c r="A122" s="38" t="str">
        <f>VLOOKUP(Tableau1[[#This Row],[N° Département]],Feuil1!$C$6:$E$106,3)</f>
        <v>Ile-de-France</v>
      </c>
      <c r="B122" s="38" t="str">
        <f>VLOOKUP(Tableau1[[#This Row],[N° Département]],Feuil1!$C$6:$E$106,2)</f>
        <v>Seine-Saint-Denis</v>
      </c>
      <c r="C122" s="38">
        <f>LEFT(Tableau1[[#This Row],[Code Postal]],2)*1</f>
        <v>93</v>
      </c>
      <c r="D122" s="10" t="s">
        <v>893</v>
      </c>
      <c r="E122" s="26">
        <v>93430</v>
      </c>
      <c r="F122" s="10" t="s">
        <v>892</v>
      </c>
      <c r="G122" s="39" t="str">
        <f>Tableau1[[#This Row],[Rue]]&amp;CHAR(10)&amp;Tableau1[[#This Row],[Code Postal]]&amp;" - "&amp;Tableau1[[#This Row],[Ville]]</f>
        <v>8 Route de Saint-Leu
93430 - Villetaneuse</v>
      </c>
      <c r="H122" s="15" t="s">
        <v>894</v>
      </c>
      <c r="I122" s="12" t="s">
        <v>45</v>
      </c>
      <c r="J122" s="12" t="s">
        <v>49</v>
      </c>
      <c r="K122" s="12" t="s">
        <v>98</v>
      </c>
      <c r="L122" s="53" t="s">
        <v>1518</v>
      </c>
      <c r="M122" s="12" t="s">
        <v>98</v>
      </c>
      <c r="N122" s="36">
        <v>9</v>
      </c>
      <c r="O122" s="34">
        <v>102</v>
      </c>
      <c r="P122" s="6" t="s">
        <v>98</v>
      </c>
      <c r="Q122" s="34">
        <v>189</v>
      </c>
      <c r="R122" s="34" t="s">
        <v>98</v>
      </c>
      <c r="S122" s="6" t="s">
        <v>98</v>
      </c>
      <c r="T122" s="12">
        <f>Tableau1[[#This Row],[Loyer €/m²]]*Tableau1[[#This Row],[Surface GLA]]</f>
        <v>35700</v>
      </c>
      <c r="U122" s="12">
        <f>IFERROR(Tableau1[[#This Row],[Loyer annuel]]/12,"")</f>
        <v>2975</v>
      </c>
      <c r="V122" s="12">
        <v>350</v>
      </c>
      <c r="W122" s="6" t="s">
        <v>98</v>
      </c>
      <c r="X122" s="6">
        <f>Tableau1[[#This Row],[Charges €/m²]]*Tableau1[[#This Row],[Surface GLA]]</f>
        <v>13260</v>
      </c>
      <c r="Y122" s="12">
        <f>Tableau1[[#This Row],[Charges annuelles]]/12</f>
        <v>1105</v>
      </c>
      <c r="Z122" s="12">
        <v>130</v>
      </c>
      <c r="AA122" s="12">
        <f>IFERROR(Tableau1[[#This Row],[Taxe foncière €/m²]]*Tableau1[[#This Row],[Surface GLA]],)</f>
        <v>0</v>
      </c>
      <c r="AB122" s="6" t="s">
        <v>98</v>
      </c>
      <c r="AC122" s="12">
        <f>IFERROR(Tableau1[[#This Row],[Marketing €/m²]]*Tableau1[[#This Row],[Surface GLA]],)</f>
        <v>0</v>
      </c>
      <c r="AD122" s="6" t="s">
        <v>98</v>
      </c>
      <c r="AE122" s="12">
        <f>IFERROR(Tableau1[[#This Row],[Loyer annuel]]+Tableau1[[#This Row],[Charges annuelles]]+Tableau1[[#This Row],[Taxe foncière]]+Tableau1[[#This Row],[Marketing]],"")</f>
        <v>48960</v>
      </c>
      <c r="AF122" s="12" t="str">
        <f t="shared" si="3"/>
        <v>3 mois = 8 925 €</v>
      </c>
      <c r="AG122" s="6" t="s">
        <v>98</v>
      </c>
      <c r="AH122" s="6" t="s">
        <v>98</v>
      </c>
      <c r="AI122" s="6" t="s">
        <v>357</v>
      </c>
      <c r="AJ122" s="10" t="s">
        <v>53</v>
      </c>
      <c r="AK122" s="10" t="s">
        <v>362</v>
      </c>
      <c r="AL122" s="10" t="s">
        <v>917</v>
      </c>
      <c r="AM122" s="11" t="s">
        <v>954</v>
      </c>
      <c r="AN122" s="11"/>
      <c r="AO122" s="5" t="s">
        <v>361</v>
      </c>
      <c r="AP122" s="11" t="s">
        <v>922</v>
      </c>
      <c r="AQ122" s="11" t="s">
        <v>923</v>
      </c>
      <c r="AR122" s="11" t="s">
        <v>901</v>
      </c>
      <c r="AS122" s="36" t="s">
        <v>1349</v>
      </c>
      <c r="AT122" s="11" t="s">
        <v>70</v>
      </c>
      <c r="AU122" s="11" t="s">
        <v>918</v>
      </c>
      <c r="AV122" s="13" t="s">
        <v>919</v>
      </c>
      <c r="AW122" s="14"/>
      <c r="AX122" s="44"/>
      <c r="AY122" s="1"/>
      <c r="AZ122" s="1"/>
      <c r="BE122"/>
      <c r="BG122" s="1"/>
    </row>
    <row r="123" spans="1:59" ht="25.5">
      <c r="A123" s="38" t="str">
        <f>VLOOKUP(Tableau1[[#This Row],[N° Département]],Feuil1!$C$6:$E$106,3)</f>
        <v>Ile-de-France</v>
      </c>
      <c r="B123" s="38" t="str">
        <f>VLOOKUP(Tableau1[[#This Row],[N° Département]],Feuil1!$C$6:$E$106,2)</f>
        <v>Seine-Saint-Denis</v>
      </c>
      <c r="C123" s="38">
        <f>LEFT(Tableau1[[#This Row],[Code Postal]],2)*1</f>
        <v>93</v>
      </c>
      <c r="D123" s="10" t="s">
        <v>893</v>
      </c>
      <c r="E123" s="26">
        <v>93430</v>
      </c>
      <c r="F123" s="10" t="s">
        <v>892</v>
      </c>
      <c r="G123" s="39" t="str">
        <f>Tableau1[[#This Row],[Rue]]&amp;CHAR(10)&amp;Tableau1[[#This Row],[Code Postal]]&amp;" - "&amp;Tableau1[[#This Row],[Ville]]</f>
        <v>8 Route de Saint-Leu
93430 - Villetaneuse</v>
      </c>
      <c r="H123" s="15" t="s">
        <v>894</v>
      </c>
      <c r="I123" s="12" t="s">
        <v>45</v>
      </c>
      <c r="J123" s="12" t="s">
        <v>49</v>
      </c>
      <c r="K123" s="12" t="s">
        <v>98</v>
      </c>
      <c r="L123" s="53" t="s">
        <v>1518</v>
      </c>
      <c r="M123" s="12" t="s">
        <v>98</v>
      </c>
      <c r="N123" s="36">
        <v>10</v>
      </c>
      <c r="O123" s="34">
        <v>87</v>
      </c>
      <c r="P123" s="6" t="s">
        <v>98</v>
      </c>
      <c r="Q123" s="34">
        <v>189</v>
      </c>
      <c r="R123" s="34" t="s">
        <v>98</v>
      </c>
      <c r="S123" s="6" t="s">
        <v>98</v>
      </c>
      <c r="T123" s="12">
        <f>Tableau1[[#This Row],[Loyer €/m²]]*Tableau1[[#This Row],[Surface GLA]]</f>
        <v>30450</v>
      </c>
      <c r="U123" s="12">
        <f>IFERROR(Tableau1[[#This Row],[Loyer annuel]]/12,"")</f>
        <v>2537.5</v>
      </c>
      <c r="V123" s="12">
        <v>350</v>
      </c>
      <c r="W123" s="6" t="s">
        <v>98</v>
      </c>
      <c r="X123" s="6">
        <f>Tableau1[[#This Row],[Charges €/m²]]*Tableau1[[#This Row],[Surface GLA]]</f>
        <v>11310</v>
      </c>
      <c r="Y123" s="12">
        <f>Tableau1[[#This Row],[Charges annuelles]]/12</f>
        <v>942.5</v>
      </c>
      <c r="Z123" s="12">
        <v>130</v>
      </c>
      <c r="AA123" s="12">
        <f>IFERROR(Tableau1[[#This Row],[Taxe foncière €/m²]]*Tableau1[[#This Row],[Surface GLA]],)</f>
        <v>0</v>
      </c>
      <c r="AB123" s="6" t="s">
        <v>98</v>
      </c>
      <c r="AC123" s="12">
        <f>IFERROR(Tableau1[[#This Row],[Marketing €/m²]]*Tableau1[[#This Row],[Surface GLA]],)</f>
        <v>0</v>
      </c>
      <c r="AD123" s="6" t="s">
        <v>98</v>
      </c>
      <c r="AE123" s="12">
        <f>IFERROR(Tableau1[[#This Row],[Loyer annuel]]+Tableau1[[#This Row],[Charges annuelles]]+Tableau1[[#This Row],[Taxe foncière]]+Tableau1[[#This Row],[Marketing]],"")</f>
        <v>41760</v>
      </c>
      <c r="AF123" s="12" t="str">
        <f t="shared" si="3"/>
        <v>3 mois = 7 613 €</v>
      </c>
      <c r="AG123" s="6" t="s">
        <v>98</v>
      </c>
      <c r="AH123" s="6" t="s">
        <v>98</v>
      </c>
      <c r="AI123" s="6" t="s">
        <v>357</v>
      </c>
      <c r="AJ123" s="10" t="s">
        <v>53</v>
      </c>
      <c r="AK123" s="10" t="s">
        <v>362</v>
      </c>
      <c r="AL123" s="10" t="s">
        <v>917</v>
      </c>
      <c r="AM123" s="11" t="s">
        <v>954</v>
      </c>
      <c r="AN123" s="11"/>
      <c r="AO123" s="5" t="s">
        <v>361</v>
      </c>
      <c r="AP123" s="11" t="s">
        <v>924</v>
      </c>
      <c r="AQ123" s="11" t="s">
        <v>925</v>
      </c>
      <c r="AR123" s="11" t="s">
        <v>902</v>
      </c>
      <c r="AS123" s="36" t="s">
        <v>1349</v>
      </c>
      <c r="AT123" s="11" t="s">
        <v>70</v>
      </c>
      <c r="AU123" s="11" t="s">
        <v>918</v>
      </c>
      <c r="AV123" s="13" t="s">
        <v>919</v>
      </c>
      <c r="AW123" s="14"/>
      <c r="AX123" s="44"/>
      <c r="AY123" s="1"/>
      <c r="AZ123" s="1"/>
      <c r="BE123"/>
      <c r="BG123" s="1"/>
    </row>
    <row r="124" spans="1:59" ht="25.5">
      <c r="A124" s="38" t="str">
        <f>VLOOKUP(Tableau1[[#This Row],[N° Département]],Feuil1!$C$6:$E$106,3)</f>
        <v>Ile-de-France</v>
      </c>
      <c r="B124" s="38" t="str">
        <f>VLOOKUP(Tableau1[[#This Row],[N° Département]],Feuil1!$C$6:$E$106,2)</f>
        <v>Seine-Saint-Denis</v>
      </c>
      <c r="C124" s="38">
        <f>LEFT(Tableau1[[#This Row],[Code Postal]],2)*1</f>
        <v>93</v>
      </c>
      <c r="D124" s="10" t="s">
        <v>893</v>
      </c>
      <c r="E124" s="26">
        <v>93430</v>
      </c>
      <c r="F124" s="10" t="s">
        <v>892</v>
      </c>
      <c r="G124" s="39" t="str">
        <f>Tableau1[[#This Row],[Rue]]&amp;CHAR(10)&amp;Tableau1[[#This Row],[Code Postal]]&amp;" - "&amp;Tableau1[[#This Row],[Ville]]</f>
        <v>8 Route de Saint-Leu
93430 - Villetaneuse</v>
      </c>
      <c r="H124" s="15" t="s">
        <v>894</v>
      </c>
      <c r="I124" s="12" t="s">
        <v>45</v>
      </c>
      <c r="J124" s="12" t="s">
        <v>49</v>
      </c>
      <c r="K124" s="12" t="s">
        <v>98</v>
      </c>
      <c r="L124" s="53" t="s">
        <v>1518</v>
      </c>
      <c r="M124" s="12" t="s">
        <v>98</v>
      </c>
      <c r="N124" s="36" t="s">
        <v>896</v>
      </c>
      <c r="O124" s="34">
        <v>438</v>
      </c>
      <c r="P124" s="6" t="s">
        <v>98</v>
      </c>
      <c r="Q124" s="34" t="s">
        <v>98</v>
      </c>
      <c r="R124" s="34" t="s">
        <v>98</v>
      </c>
      <c r="S124" s="6" t="s">
        <v>98</v>
      </c>
      <c r="T124" s="12">
        <f>Tableau1[[#This Row],[Loyer €/m²]]*Tableau1[[#This Row],[Surface GLA]]</f>
        <v>131400</v>
      </c>
      <c r="U124" s="12">
        <f>IFERROR(Tableau1[[#This Row],[Loyer annuel]]/12,"")</f>
        <v>10950</v>
      </c>
      <c r="V124" s="12">
        <v>300</v>
      </c>
      <c r="W124" s="6" t="s">
        <v>98</v>
      </c>
      <c r="X124" s="6">
        <f>Tableau1[[#This Row],[Charges €/m²]]*Tableau1[[#This Row],[Surface GLA]]</f>
        <v>56940</v>
      </c>
      <c r="Y124" s="12">
        <f>Tableau1[[#This Row],[Charges annuelles]]/12</f>
        <v>4745</v>
      </c>
      <c r="Z124" s="12">
        <v>130</v>
      </c>
      <c r="AA124" s="12">
        <f>IFERROR(Tableau1[[#This Row],[Taxe foncière €/m²]]*Tableau1[[#This Row],[Surface GLA]],)</f>
        <v>0</v>
      </c>
      <c r="AB124" s="6" t="s">
        <v>98</v>
      </c>
      <c r="AC124" s="12">
        <f>IFERROR(Tableau1[[#This Row],[Marketing €/m²]]*Tableau1[[#This Row],[Surface GLA]],)</f>
        <v>0</v>
      </c>
      <c r="AD124" s="6" t="s">
        <v>98</v>
      </c>
      <c r="AE124" s="12">
        <f>IFERROR(Tableau1[[#This Row],[Loyer annuel]]+Tableau1[[#This Row],[Charges annuelles]]+Tableau1[[#This Row],[Taxe foncière]]+Tableau1[[#This Row],[Marketing]],"")</f>
        <v>188340</v>
      </c>
      <c r="AF124" s="12" t="str">
        <f t="shared" si="3"/>
        <v>3 mois = 32 850 €</v>
      </c>
      <c r="AG124" s="6" t="s">
        <v>98</v>
      </c>
      <c r="AH124" s="6" t="s">
        <v>98</v>
      </c>
      <c r="AI124" s="6" t="s">
        <v>357</v>
      </c>
      <c r="AJ124" s="10" t="s">
        <v>70</v>
      </c>
      <c r="AK124" s="10" t="s">
        <v>363</v>
      </c>
      <c r="AL124" s="10" t="s">
        <v>917</v>
      </c>
      <c r="AM124" s="11" t="s">
        <v>955</v>
      </c>
      <c r="AN124" s="11"/>
      <c r="AO124" s="5" t="s">
        <v>361</v>
      </c>
      <c r="AP124" s="11" t="s">
        <v>926</v>
      </c>
      <c r="AQ124" s="11" t="s">
        <v>927</v>
      </c>
      <c r="AR124" s="11" t="s">
        <v>903</v>
      </c>
      <c r="AS124" s="36" t="s">
        <v>1349</v>
      </c>
      <c r="AT124" s="11" t="s">
        <v>70</v>
      </c>
      <c r="AU124" s="11" t="s">
        <v>918</v>
      </c>
      <c r="AV124" s="13" t="s">
        <v>919</v>
      </c>
      <c r="AW124" s="14"/>
      <c r="AX124" s="44"/>
      <c r="AY124" s="1"/>
      <c r="AZ124" s="1"/>
      <c r="BE124"/>
      <c r="BG124" s="1"/>
    </row>
    <row r="125" spans="1:59" ht="25.5">
      <c r="A125" s="38" t="str">
        <f>VLOOKUP(Tableau1[[#This Row],[N° Département]],Feuil1!$C$6:$E$106,3)</f>
        <v>Ile-de-France</v>
      </c>
      <c r="B125" s="38" t="str">
        <f>VLOOKUP(Tableau1[[#This Row],[N° Département]],Feuil1!$C$6:$E$106,2)</f>
        <v>Seine-Saint-Denis</v>
      </c>
      <c r="C125" s="38">
        <f>LEFT(Tableau1[[#This Row],[Code Postal]],2)*1</f>
        <v>93</v>
      </c>
      <c r="D125" s="10" t="s">
        <v>893</v>
      </c>
      <c r="E125" s="26">
        <v>93430</v>
      </c>
      <c r="F125" s="10" t="s">
        <v>892</v>
      </c>
      <c r="G125" s="39" t="str">
        <f>Tableau1[[#This Row],[Rue]]&amp;CHAR(10)&amp;Tableau1[[#This Row],[Code Postal]]&amp;" - "&amp;Tableau1[[#This Row],[Ville]]</f>
        <v>8 Route de Saint-Leu
93430 - Villetaneuse</v>
      </c>
      <c r="H125" s="15" t="s">
        <v>894</v>
      </c>
      <c r="I125" s="12" t="s">
        <v>45</v>
      </c>
      <c r="J125" s="12" t="s">
        <v>49</v>
      </c>
      <c r="K125" s="12" t="s">
        <v>98</v>
      </c>
      <c r="L125" s="53" t="s">
        <v>1518</v>
      </c>
      <c r="M125" s="12" t="s">
        <v>98</v>
      </c>
      <c r="N125" s="36" t="s">
        <v>897</v>
      </c>
      <c r="O125" s="34">
        <v>97</v>
      </c>
      <c r="P125" s="6" t="s">
        <v>98</v>
      </c>
      <c r="Q125" s="34" t="s">
        <v>98</v>
      </c>
      <c r="R125" s="34" t="s">
        <v>98</v>
      </c>
      <c r="S125" s="6" t="s">
        <v>98</v>
      </c>
      <c r="T125" s="12">
        <f>Tableau1[[#This Row],[Loyer €/m²]]*Tableau1[[#This Row],[Surface GLA]]</f>
        <v>33950</v>
      </c>
      <c r="U125" s="12">
        <f>IFERROR(Tableau1[[#This Row],[Loyer annuel]]/12,"")</f>
        <v>2829.1666666666665</v>
      </c>
      <c r="V125" s="12">
        <v>350</v>
      </c>
      <c r="W125" s="6" t="s">
        <v>98</v>
      </c>
      <c r="X125" s="6">
        <f>Tableau1[[#This Row],[Charges €/m²]]*Tableau1[[#This Row],[Surface GLA]]</f>
        <v>12610</v>
      </c>
      <c r="Y125" s="12">
        <f>Tableau1[[#This Row],[Charges annuelles]]/12</f>
        <v>1050.8333333333333</v>
      </c>
      <c r="Z125" s="12">
        <v>130</v>
      </c>
      <c r="AA125" s="12">
        <f>IFERROR(Tableau1[[#This Row],[Taxe foncière €/m²]]*Tableau1[[#This Row],[Surface GLA]],)</f>
        <v>0</v>
      </c>
      <c r="AB125" s="6" t="s">
        <v>98</v>
      </c>
      <c r="AC125" s="12">
        <f>IFERROR(Tableau1[[#This Row],[Marketing €/m²]]*Tableau1[[#This Row],[Surface GLA]],)</f>
        <v>0</v>
      </c>
      <c r="AD125" s="6" t="s">
        <v>98</v>
      </c>
      <c r="AE125" s="12">
        <f>IFERROR(Tableau1[[#This Row],[Loyer annuel]]+Tableau1[[#This Row],[Charges annuelles]]+Tableau1[[#This Row],[Taxe foncière]]+Tableau1[[#This Row],[Marketing]],"")</f>
        <v>46560</v>
      </c>
      <c r="AF125" s="12" t="str">
        <f t="shared" si="3"/>
        <v>3 mois = 8 488 €</v>
      </c>
      <c r="AG125" s="6" t="s">
        <v>98</v>
      </c>
      <c r="AH125" s="6" t="s">
        <v>98</v>
      </c>
      <c r="AI125" s="6" t="s">
        <v>357</v>
      </c>
      <c r="AJ125" s="10" t="s">
        <v>53</v>
      </c>
      <c r="AK125" s="10" t="s">
        <v>362</v>
      </c>
      <c r="AL125" s="10" t="s">
        <v>917</v>
      </c>
      <c r="AM125" s="11" t="s">
        <v>954</v>
      </c>
      <c r="AN125" s="11"/>
      <c r="AO125" s="5" t="s">
        <v>361</v>
      </c>
      <c r="AP125" s="11" t="s">
        <v>928</v>
      </c>
      <c r="AQ125" s="11" t="s">
        <v>929</v>
      </c>
      <c r="AR125" s="11" t="s">
        <v>904</v>
      </c>
      <c r="AS125" s="36" t="s">
        <v>1349</v>
      </c>
      <c r="AT125" s="11" t="s">
        <v>70</v>
      </c>
      <c r="AU125" s="11" t="s">
        <v>918</v>
      </c>
      <c r="AV125" s="13" t="s">
        <v>919</v>
      </c>
      <c r="AW125" s="14"/>
      <c r="AX125" s="44"/>
      <c r="AY125" s="1"/>
      <c r="AZ125" s="1"/>
      <c r="BE125"/>
      <c r="BG125" s="1"/>
    </row>
    <row r="126" spans="1:59" ht="25.5">
      <c r="A126" s="38" t="str">
        <f>VLOOKUP(Tableau1[[#This Row],[N° Département]],Feuil1!$C$6:$E$106,3)</f>
        <v>Ile-de-France</v>
      </c>
      <c r="B126" s="38" t="str">
        <f>VLOOKUP(Tableau1[[#This Row],[N° Département]],Feuil1!$C$6:$E$106,2)</f>
        <v>Seine-Saint-Denis</v>
      </c>
      <c r="C126" s="38">
        <f>LEFT(Tableau1[[#This Row],[Code Postal]],2)*1</f>
        <v>93</v>
      </c>
      <c r="D126" s="10" t="s">
        <v>893</v>
      </c>
      <c r="E126" s="26">
        <v>93430</v>
      </c>
      <c r="F126" s="10" t="s">
        <v>892</v>
      </c>
      <c r="G126" s="39" t="str">
        <f>Tableau1[[#This Row],[Rue]]&amp;CHAR(10)&amp;Tableau1[[#This Row],[Code Postal]]&amp;" - "&amp;Tableau1[[#This Row],[Ville]]</f>
        <v>8 Route de Saint-Leu
93430 - Villetaneuse</v>
      </c>
      <c r="H126" s="15" t="s">
        <v>894</v>
      </c>
      <c r="I126" s="12" t="s">
        <v>45</v>
      </c>
      <c r="J126" s="12" t="s">
        <v>49</v>
      </c>
      <c r="K126" s="12" t="s">
        <v>98</v>
      </c>
      <c r="L126" s="53" t="s">
        <v>1518</v>
      </c>
      <c r="M126" s="12" t="s">
        <v>98</v>
      </c>
      <c r="N126" s="36">
        <v>29</v>
      </c>
      <c r="O126" s="34">
        <v>75</v>
      </c>
      <c r="P126" s="6" t="s">
        <v>98</v>
      </c>
      <c r="Q126" s="34">
        <v>334</v>
      </c>
      <c r="R126" s="34" t="s">
        <v>98</v>
      </c>
      <c r="S126" s="6" t="s">
        <v>98</v>
      </c>
      <c r="T126" s="12">
        <f>Tableau1[[#This Row],[Loyer €/m²]]*Tableau1[[#This Row],[Surface GLA]]</f>
        <v>26250</v>
      </c>
      <c r="U126" s="12">
        <f>IFERROR(Tableau1[[#This Row],[Loyer annuel]]/12,"")</f>
        <v>2187.5</v>
      </c>
      <c r="V126" s="12">
        <v>350</v>
      </c>
      <c r="W126" s="6" t="s">
        <v>98</v>
      </c>
      <c r="X126" s="6">
        <f>Tableau1[[#This Row],[Charges €/m²]]*Tableau1[[#This Row],[Surface GLA]]</f>
        <v>9750</v>
      </c>
      <c r="Y126" s="12">
        <f>Tableau1[[#This Row],[Charges annuelles]]/12</f>
        <v>812.5</v>
      </c>
      <c r="Z126" s="12">
        <v>130</v>
      </c>
      <c r="AA126" s="12">
        <f>IFERROR(Tableau1[[#This Row],[Taxe foncière €/m²]]*Tableau1[[#This Row],[Surface GLA]],)</f>
        <v>0</v>
      </c>
      <c r="AB126" s="6" t="s">
        <v>98</v>
      </c>
      <c r="AC126" s="12">
        <f>IFERROR(Tableau1[[#This Row],[Marketing €/m²]]*Tableau1[[#This Row],[Surface GLA]],)</f>
        <v>0</v>
      </c>
      <c r="AD126" s="6" t="s">
        <v>98</v>
      </c>
      <c r="AE126" s="12">
        <f>IFERROR(Tableau1[[#This Row],[Loyer annuel]]+Tableau1[[#This Row],[Charges annuelles]]+Tableau1[[#This Row],[Taxe foncière]]+Tableau1[[#This Row],[Marketing]],"")</f>
        <v>36000</v>
      </c>
      <c r="AF126" s="12" t="str">
        <f t="shared" si="3"/>
        <v>3 mois = 6 563 €</v>
      </c>
      <c r="AG126" s="6" t="s">
        <v>98</v>
      </c>
      <c r="AH126" s="6" t="s">
        <v>98</v>
      </c>
      <c r="AI126" s="6" t="s">
        <v>357</v>
      </c>
      <c r="AJ126" s="10" t="s">
        <v>53</v>
      </c>
      <c r="AK126" s="10" t="s">
        <v>362</v>
      </c>
      <c r="AL126" s="10" t="s">
        <v>917</v>
      </c>
      <c r="AM126" s="11" t="s">
        <v>954</v>
      </c>
      <c r="AN126" s="11"/>
      <c r="AO126" s="5" t="s">
        <v>361</v>
      </c>
      <c r="AP126" s="11" t="s">
        <v>936</v>
      </c>
      <c r="AQ126" s="11" t="s">
        <v>937</v>
      </c>
      <c r="AR126" s="11" t="s">
        <v>905</v>
      </c>
      <c r="AS126" s="36" t="s">
        <v>1349</v>
      </c>
      <c r="AT126" s="11" t="s">
        <v>70</v>
      </c>
      <c r="AU126" s="11" t="s">
        <v>918</v>
      </c>
      <c r="AV126" s="13" t="s">
        <v>919</v>
      </c>
      <c r="AW126" s="14"/>
      <c r="AX126" s="44"/>
      <c r="AZ126" s="1"/>
      <c r="BF126"/>
      <c r="BG126" s="1"/>
    </row>
    <row r="127" spans="1:59" ht="25.5">
      <c r="A127" s="38" t="str">
        <f>VLOOKUP(Tableau1[[#This Row],[N° Département]],Feuil1!$C$6:$E$106,3)</f>
        <v>Ile-de-France</v>
      </c>
      <c r="B127" s="38" t="str">
        <f>VLOOKUP(Tableau1[[#This Row],[N° Département]],Feuil1!$C$6:$E$106,2)</f>
        <v>Seine-Saint-Denis</v>
      </c>
      <c r="C127" s="38">
        <f>LEFT(Tableau1[[#This Row],[Code Postal]],2)*1</f>
        <v>93</v>
      </c>
      <c r="D127" s="10" t="s">
        <v>893</v>
      </c>
      <c r="E127" s="26">
        <v>93430</v>
      </c>
      <c r="F127" s="10" t="s">
        <v>892</v>
      </c>
      <c r="G127" s="39" t="str">
        <f>Tableau1[[#This Row],[Rue]]&amp;CHAR(10)&amp;Tableau1[[#This Row],[Code Postal]]&amp;" - "&amp;Tableau1[[#This Row],[Ville]]</f>
        <v>8 Route de Saint-Leu
93430 - Villetaneuse</v>
      </c>
      <c r="H127" s="15" t="s">
        <v>894</v>
      </c>
      <c r="I127" s="12" t="s">
        <v>45</v>
      </c>
      <c r="J127" s="12" t="s">
        <v>49</v>
      </c>
      <c r="K127" s="12" t="s">
        <v>98</v>
      </c>
      <c r="L127" s="53" t="s">
        <v>1518</v>
      </c>
      <c r="M127" s="12" t="s">
        <v>98</v>
      </c>
      <c r="N127" s="36" t="s">
        <v>898</v>
      </c>
      <c r="O127" s="34">
        <v>125</v>
      </c>
      <c r="P127" s="6" t="s">
        <v>98</v>
      </c>
      <c r="Q127" s="34">
        <v>334</v>
      </c>
      <c r="R127" s="34" t="s">
        <v>98</v>
      </c>
      <c r="S127" s="6" t="s">
        <v>98</v>
      </c>
      <c r="T127" s="12">
        <f>Tableau1[[#This Row],[Loyer €/m²]]*Tableau1[[#This Row],[Surface GLA]]</f>
        <v>43750</v>
      </c>
      <c r="U127" s="12">
        <f>IFERROR(Tableau1[[#This Row],[Loyer annuel]]/12,"")</f>
        <v>3645.8333333333335</v>
      </c>
      <c r="V127" s="12">
        <v>350</v>
      </c>
      <c r="W127" s="6" t="s">
        <v>98</v>
      </c>
      <c r="X127" s="6">
        <f>Tableau1[[#This Row],[Charges €/m²]]*Tableau1[[#This Row],[Surface GLA]]</f>
        <v>16250</v>
      </c>
      <c r="Y127" s="12">
        <f>Tableau1[[#This Row],[Charges annuelles]]/12</f>
        <v>1354.1666666666667</v>
      </c>
      <c r="Z127" s="12">
        <v>130</v>
      </c>
      <c r="AA127" s="12">
        <f>IFERROR(Tableau1[[#This Row],[Taxe foncière €/m²]]*Tableau1[[#This Row],[Surface GLA]],)</f>
        <v>0</v>
      </c>
      <c r="AB127" s="6" t="s">
        <v>98</v>
      </c>
      <c r="AC127" s="12">
        <f>IFERROR(Tableau1[[#This Row],[Marketing €/m²]]*Tableau1[[#This Row],[Surface GLA]],)</f>
        <v>0</v>
      </c>
      <c r="AD127" s="6" t="s">
        <v>98</v>
      </c>
      <c r="AE127" s="12">
        <f>IFERROR(Tableau1[[#This Row],[Loyer annuel]]+Tableau1[[#This Row],[Charges annuelles]]+Tableau1[[#This Row],[Taxe foncière]]+Tableau1[[#This Row],[Marketing]],"")</f>
        <v>60000</v>
      </c>
      <c r="AF127" s="12" t="str">
        <f t="shared" si="3"/>
        <v>3 mois = 10 938 €</v>
      </c>
      <c r="AG127" s="6" t="s">
        <v>98</v>
      </c>
      <c r="AH127" s="6" t="s">
        <v>98</v>
      </c>
      <c r="AI127" s="6" t="s">
        <v>357</v>
      </c>
      <c r="AJ127" s="10" t="s">
        <v>53</v>
      </c>
      <c r="AK127" s="10" t="s">
        <v>362</v>
      </c>
      <c r="AL127" s="10" t="s">
        <v>917</v>
      </c>
      <c r="AM127" s="11" t="s">
        <v>954</v>
      </c>
      <c r="AN127" s="11"/>
      <c r="AO127" s="5" t="s">
        <v>361</v>
      </c>
      <c r="AP127" s="11" t="s">
        <v>934</v>
      </c>
      <c r="AQ127" s="11" t="s">
        <v>935</v>
      </c>
      <c r="AR127" s="11" t="s">
        <v>906</v>
      </c>
      <c r="AS127" s="36" t="s">
        <v>1349</v>
      </c>
      <c r="AT127" s="11" t="s">
        <v>70</v>
      </c>
      <c r="AU127" s="11" t="s">
        <v>918</v>
      </c>
      <c r="AV127" s="13" t="s">
        <v>919</v>
      </c>
      <c r="AW127" s="14"/>
      <c r="AX127" s="44"/>
      <c r="AZ127" s="1"/>
      <c r="BF127"/>
      <c r="BG127" s="1"/>
    </row>
    <row r="128" spans="1:59" ht="25.5">
      <c r="A128" s="38" t="str">
        <f>VLOOKUP(Tableau1[[#This Row],[N° Département]],Feuil1!$C$6:$E$106,3)</f>
        <v>Ile-de-France</v>
      </c>
      <c r="B128" s="38" t="str">
        <f>VLOOKUP(Tableau1[[#This Row],[N° Département]],Feuil1!$C$6:$E$106,2)</f>
        <v>Seine-Saint-Denis</v>
      </c>
      <c r="C128" s="38">
        <f>LEFT(Tableau1[[#This Row],[Code Postal]],2)*1</f>
        <v>93</v>
      </c>
      <c r="D128" s="10" t="s">
        <v>893</v>
      </c>
      <c r="E128" s="26">
        <v>93430</v>
      </c>
      <c r="F128" s="10" t="s">
        <v>892</v>
      </c>
      <c r="G128" s="39" t="str">
        <f>Tableau1[[#This Row],[Rue]]&amp;CHAR(10)&amp;Tableau1[[#This Row],[Code Postal]]&amp;" - "&amp;Tableau1[[#This Row],[Ville]]</f>
        <v>8 Route de Saint-Leu
93430 - Villetaneuse</v>
      </c>
      <c r="H128" s="15" t="s">
        <v>894</v>
      </c>
      <c r="I128" s="12" t="s">
        <v>45</v>
      </c>
      <c r="J128" s="12" t="s">
        <v>49</v>
      </c>
      <c r="K128" s="12" t="s">
        <v>98</v>
      </c>
      <c r="L128" s="53" t="s">
        <v>1518</v>
      </c>
      <c r="M128" s="12" t="s">
        <v>98</v>
      </c>
      <c r="N128" s="36">
        <v>32</v>
      </c>
      <c r="O128" s="34">
        <v>69</v>
      </c>
      <c r="P128" s="6" t="s">
        <v>98</v>
      </c>
      <c r="Q128" s="34">
        <v>334</v>
      </c>
      <c r="R128" s="34" t="s">
        <v>98</v>
      </c>
      <c r="S128" s="6" t="s">
        <v>98</v>
      </c>
      <c r="T128" s="12">
        <f>Tableau1[[#This Row],[Loyer €/m²]]*Tableau1[[#This Row],[Surface GLA]]</f>
        <v>24150</v>
      </c>
      <c r="U128" s="12">
        <f>IFERROR(Tableau1[[#This Row],[Loyer annuel]]/12,"")</f>
        <v>2012.5</v>
      </c>
      <c r="V128" s="12">
        <v>350</v>
      </c>
      <c r="W128" s="6" t="s">
        <v>98</v>
      </c>
      <c r="X128" s="6">
        <f>Tableau1[[#This Row],[Charges €/m²]]*Tableau1[[#This Row],[Surface GLA]]</f>
        <v>8970</v>
      </c>
      <c r="Y128" s="12">
        <f>Tableau1[[#This Row],[Charges annuelles]]/12</f>
        <v>747.5</v>
      </c>
      <c r="Z128" s="12">
        <v>130</v>
      </c>
      <c r="AA128" s="12">
        <f>IFERROR(Tableau1[[#This Row],[Taxe foncière €/m²]]*Tableau1[[#This Row],[Surface GLA]],)</f>
        <v>0</v>
      </c>
      <c r="AB128" s="6" t="s">
        <v>98</v>
      </c>
      <c r="AC128" s="12">
        <f>IFERROR(Tableau1[[#This Row],[Marketing €/m²]]*Tableau1[[#This Row],[Surface GLA]],)</f>
        <v>0</v>
      </c>
      <c r="AD128" s="6" t="s">
        <v>98</v>
      </c>
      <c r="AE128" s="12">
        <f>IFERROR(Tableau1[[#This Row],[Loyer annuel]]+Tableau1[[#This Row],[Charges annuelles]]+Tableau1[[#This Row],[Taxe foncière]]+Tableau1[[#This Row],[Marketing]],"")</f>
        <v>33120</v>
      </c>
      <c r="AF128" s="12" t="str">
        <f t="shared" si="3"/>
        <v>3 mois = 6 038 €</v>
      </c>
      <c r="AG128" s="6" t="s">
        <v>98</v>
      </c>
      <c r="AH128" s="6" t="s">
        <v>98</v>
      </c>
      <c r="AI128" s="6" t="s">
        <v>357</v>
      </c>
      <c r="AJ128" s="10" t="s">
        <v>53</v>
      </c>
      <c r="AK128" s="10" t="s">
        <v>362</v>
      </c>
      <c r="AL128" s="10" t="s">
        <v>917</v>
      </c>
      <c r="AM128" s="11" t="s">
        <v>954</v>
      </c>
      <c r="AN128" s="11"/>
      <c r="AO128" s="5" t="s">
        <v>361</v>
      </c>
      <c r="AP128" s="11" t="s">
        <v>932</v>
      </c>
      <c r="AQ128" s="11" t="s">
        <v>933</v>
      </c>
      <c r="AR128" s="11" t="s">
        <v>907</v>
      </c>
      <c r="AS128" s="36" t="s">
        <v>1349</v>
      </c>
      <c r="AT128" s="11" t="s">
        <v>70</v>
      </c>
      <c r="AU128" s="11" t="s">
        <v>918</v>
      </c>
      <c r="AV128" s="13" t="s">
        <v>919</v>
      </c>
      <c r="AW128" s="14"/>
      <c r="AX128" s="44"/>
      <c r="AZ128" s="1"/>
      <c r="BF128"/>
      <c r="BG128" s="1"/>
    </row>
    <row r="129" spans="1:59" ht="25.5">
      <c r="A129" s="38" t="str">
        <f>VLOOKUP(Tableau1[[#This Row],[N° Département]],Feuil1!$C$6:$E$106,3)</f>
        <v>Ile-de-France</v>
      </c>
      <c r="B129" s="38" t="str">
        <f>VLOOKUP(Tableau1[[#This Row],[N° Département]],Feuil1!$C$6:$E$106,2)</f>
        <v>Seine-Saint-Denis</v>
      </c>
      <c r="C129" s="38">
        <f>LEFT(Tableau1[[#This Row],[Code Postal]],2)*1</f>
        <v>93</v>
      </c>
      <c r="D129" s="10" t="s">
        <v>893</v>
      </c>
      <c r="E129" s="26">
        <v>93430</v>
      </c>
      <c r="F129" s="10" t="s">
        <v>892</v>
      </c>
      <c r="G129" s="39" t="str">
        <f>Tableau1[[#This Row],[Rue]]&amp;CHAR(10)&amp;Tableau1[[#This Row],[Code Postal]]&amp;" - "&amp;Tableau1[[#This Row],[Ville]]</f>
        <v>8 Route de Saint-Leu
93430 - Villetaneuse</v>
      </c>
      <c r="H129" s="15" t="s">
        <v>894</v>
      </c>
      <c r="I129" s="12" t="s">
        <v>45</v>
      </c>
      <c r="J129" s="12" t="s">
        <v>49</v>
      </c>
      <c r="K129" s="12" t="s">
        <v>98</v>
      </c>
      <c r="L129" s="53" t="s">
        <v>1518</v>
      </c>
      <c r="M129" s="12" t="s">
        <v>98</v>
      </c>
      <c r="N129" s="36">
        <v>33</v>
      </c>
      <c r="O129" s="34">
        <v>65</v>
      </c>
      <c r="P129" s="6" t="s">
        <v>98</v>
      </c>
      <c r="Q129" s="34">
        <v>334</v>
      </c>
      <c r="R129" s="34" t="s">
        <v>98</v>
      </c>
      <c r="S129" s="6" t="s">
        <v>98</v>
      </c>
      <c r="T129" s="12">
        <f>Tableau1[[#This Row],[Loyer €/m²]]*Tableau1[[#This Row],[Surface GLA]]</f>
        <v>22750</v>
      </c>
      <c r="U129" s="12">
        <f>IFERROR(Tableau1[[#This Row],[Loyer annuel]]/12,"")</f>
        <v>1895.8333333333333</v>
      </c>
      <c r="V129" s="12">
        <v>350</v>
      </c>
      <c r="W129" s="6" t="s">
        <v>98</v>
      </c>
      <c r="X129" s="6">
        <f>Tableau1[[#This Row],[Charges €/m²]]*Tableau1[[#This Row],[Surface GLA]]</f>
        <v>8450</v>
      </c>
      <c r="Y129" s="12">
        <f>Tableau1[[#This Row],[Charges annuelles]]/12</f>
        <v>704.16666666666663</v>
      </c>
      <c r="Z129" s="12">
        <v>130</v>
      </c>
      <c r="AA129" s="12">
        <f>IFERROR(Tableau1[[#This Row],[Taxe foncière €/m²]]*Tableau1[[#This Row],[Surface GLA]],)</f>
        <v>0</v>
      </c>
      <c r="AB129" s="6" t="s">
        <v>98</v>
      </c>
      <c r="AC129" s="12">
        <f>IFERROR(Tableau1[[#This Row],[Marketing €/m²]]*Tableau1[[#This Row],[Surface GLA]],)</f>
        <v>0</v>
      </c>
      <c r="AD129" s="6" t="s">
        <v>98</v>
      </c>
      <c r="AE129" s="12">
        <f>IFERROR(Tableau1[[#This Row],[Loyer annuel]]+Tableau1[[#This Row],[Charges annuelles]]+Tableau1[[#This Row],[Taxe foncière]]+Tableau1[[#This Row],[Marketing]],"")</f>
        <v>31200</v>
      </c>
      <c r="AF129" s="12" t="str">
        <f t="shared" si="3"/>
        <v>3 mois = 5 688 €</v>
      </c>
      <c r="AG129" s="6" t="s">
        <v>98</v>
      </c>
      <c r="AH129" s="6" t="s">
        <v>98</v>
      </c>
      <c r="AI129" s="6" t="s">
        <v>357</v>
      </c>
      <c r="AJ129" s="10" t="s">
        <v>53</v>
      </c>
      <c r="AK129" s="10" t="s">
        <v>362</v>
      </c>
      <c r="AL129" s="10" t="s">
        <v>917</v>
      </c>
      <c r="AM129" s="11" t="s">
        <v>954</v>
      </c>
      <c r="AN129" s="11"/>
      <c r="AO129" s="5" t="s">
        <v>361</v>
      </c>
      <c r="AP129" s="11" t="s">
        <v>930</v>
      </c>
      <c r="AQ129" s="11" t="s">
        <v>931</v>
      </c>
      <c r="AR129" s="11" t="s">
        <v>908</v>
      </c>
      <c r="AS129" s="36" t="s">
        <v>1349</v>
      </c>
      <c r="AT129" s="11" t="s">
        <v>70</v>
      </c>
      <c r="AU129" s="11" t="s">
        <v>918</v>
      </c>
      <c r="AV129" s="13" t="s">
        <v>919</v>
      </c>
      <c r="AW129" s="14"/>
      <c r="AX129" s="44"/>
      <c r="AZ129" s="1"/>
      <c r="BF129"/>
      <c r="BG129" s="1"/>
    </row>
    <row r="130" spans="1:59" ht="25.5">
      <c r="A130" s="38" t="str">
        <f>VLOOKUP(Tableau1[[#This Row],[N° Département]],Feuil1!$C$6:$E$106,3)</f>
        <v>Ile-de-France</v>
      </c>
      <c r="B130" s="38" t="str">
        <f>VLOOKUP(Tableau1[[#This Row],[N° Département]],Feuil1!$C$6:$E$106,2)</f>
        <v>Seine-Saint-Denis</v>
      </c>
      <c r="C130" s="38">
        <f>LEFT(Tableau1[[#This Row],[Code Postal]],2)*1</f>
        <v>93</v>
      </c>
      <c r="D130" s="10" t="s">
        <v>893</v>
      </c>
      <c r="E130" s="26">
        <v>93430</v>
      </c>
      <c r="F130" s="10" t="s">
        <v>892</v>
      </c>
      <c r="G130" s="39" t="str">
        <f>Tableau1[[#This Row],[Rue]]&amp;CHAR(10)&amp;Tableau1[[#This Row],[Code Postal]]&amp;" - "&amp;Tableau1[[#This Row],[Ville]]</f>
        <v>8 Route de Saint-Leu
93430 - Villetaneuse</v>
      </c>
      <c r="H130" s="15" t="s">
        <v>894</v>
      </c>
      <c r="I130" s="12" t="s">
        <v>45</v>
      </c>
      <c r="J130" s="12" t="s">
        <v>49</v>
      </c>
      <c r="K130" s="12" t="s">
        <v>98</v>
      </c>
      <c r="L130" s="53" t="s">
        <v>1518</v>
      </c>
      <c r="M130" s="12" t="s">
        <v>98</v>
      </c>
      <c r="N130" s="36">
        <v>34</v>
      </c>
      <c r="O130" s="34">
        <v>73</v>
      </c>
      <c r="P130" s="6" t="s">
        <v>98</v>
      </c>
      <c r="Q130" s="34">
        <v>289</v>
      </c>
      <c r="R130" s="34" t="s">
        <v>98</v>
      </c>
      <c r="S130" s="6" t="s">
        <v>98</v>
      </c>
      <c r="T130" s="12">
        <f>Tableau1[[#This Row],[Loyer €/m²]]*Tableau1[[#This Row],[Surface GLA]]</f>
        <v>25550</v>
      </c>
      <c r="U130" s="12">
        <f>IFERROR(Tableau1[[#This Row],[Loyer annuel]]/12,"")</f>
        <v>2129.1666666666665</v>
      </c>
      <c r="V130" s="12">
        <v>350</v>
      </c>
      <c r="W130" s="6" t="s">
        <v>98</v>
      </c>
      <c r="X130" s="6">
        <f>Tableau1[[#This Row],[Charges €/m²]]*Tableau1[[#This Row],[Surface GLA]]</f>
        <v>9490</v>
      </c>
      <c r="Y130" s="12">
        <f>Tableau1[[#This Row],[Charges annuelles]]/12</f>
        <v>790.83333333333337</v>
      </c>
      <c r="Z130" s="12">
        <v>130</v>
      </c>
      <c r="AA130" s="12">
        <f>IFERROR(Tableau1[[#This Row],[Taxe foncière €/m²]]*Tableau1[[#This Row],[Surface GLA]],)</f>
        <v>0</v>
      </c>
      <c r="AB130" s="6" t="s">
        <v>98</v>
      </c>
      <c r="AC130" s="12">
        <f>IFERROR(Tableau1[[#This Row],[Marketing €/m²]]*Tableau1[[#This Row],[Surface GLA]],)</f>
        <v>0</v>
      </c>
      <c r="AD130" s="6" t="s">
        <v>98</v>
      </c>
      <c r="AE130" s="12">
        <f>IFERROR(Tableau1[[#This Row],[Loyer annuel]]+Tableau1[[#This Row],[Charges annuelles]]+Tableau1[[#This Row],[Taxe foncière]]+Tableau1[[#This Row],[Marketing]],"")</f>
        <v>35040</v>
      </c>
      <c r="AF130" s="12" t="str">
        <f t="shared" si="3"/>
        <v>3 mois = 6 388 €</v>
      </c>
      <c r="AG130" s="6" t="s">
        <v>98</v>
      </c>
      <c r="AH130" s="6" t="s">
        <v>98</v>
      </c>
      <c r="AI130" s="6" t="s">
        <v>357</v>
      </c>
      <c r="AJ130" s="10" t="s">
        <v>53</v>
      </c>
      <c r="AK130" s="10" t="s">
        <v>362</v>
      </c>
      <c r="AL130" s="10" t="s">
        <v>917</v>
      </c>
      <c r="AM130" s="11" t="s">
        <v>954</v>
      </c>
      <c r="AN130" s="11"/>
      <c r="AO130" s="5" t="s">
        <v>361</v>
      </c>
      <c r="AP130" s="11" t="s">
        <v>938</v>
      </c>
      <c r="AQ130" s="11" t="s">
        <v>939</v>
      </c>
      <c r="AR130" s="11" t="s">
        <v>909</v>
      </c>
      <c r="AS130" s="36" t="s">
        <v>1349</v>
      </c>
      <c r="AT130" s="11" t="s">
        <v>70</v>
      </c>
      <c r="AU130" s="11" t="s">
        <v>918</v>
      </c>
      <c r="AV130" s="13" t="s">
        <v>919</v>
      </c>
      <c r="AW130" s="14"/>
      <c r="AX130" s="44"/>
      <c r="AZ130" s="1"/>
      <c r="BF130"/>
      <c r="BG130" s="1"/>
    </row>
    <row r="131" spans="1:59" ht="25.5">
      <c r="A131" s="38" t="str">
        <f>VLOOKUP(Tableau1[[#This Row],[N° Département]],Feuil1!$C$6:$E$106,3)</f>
        <v>Ile-de-France</v>
      </c>
      <c r="B131" s="38" t="str">
        <f>VLOOKUP(Tableau1[[#This Row],[N° Département]],Feuil1!$C$6:$E$106,2)</f>
        <v>Seine-Saint-Denis</v>
      </c>
      <c r="C131" s="38">
        <f>LEFT(Tableau1[[#This Row],[Code Postal]],2)*1</f>
        <v>93</v>
      </c>
      <c r="D131" s="10" t="s">
        <v>893</v>
      </c>
      <c r="E131" s="26">
        <v>93430</v>
      </c>
      <c r="F131" s="10" t="s">
        <v>892</v>
      </c>
      <c r="G131" s="39" t="str">
        <f>Tableau1[[#This Row],[Rue]]&amp;CHAR(10)&amp;Tableau1[[#This Row],[Code Postal]]&amp;" - "&amp;Tableau1[[#This Row],[Ville]]</f>
        <v>8 Route de Saint-Leu
93430 - Villetaneuse</v>
      </c>
      <c r="H131" s="15" t="s">
        <v>894</v>
      </c>
      <c r="I131" s="12" t="s">
        <v>45</v>
      </c>
      <c r="J131" s="12" t="s">
        <v>49</v>
      </c>
      <c r="K131" s="12" t="s">
        <v>98</v>
      </c>
      <c r="L131" s="53" t="s">
        <v>1518</v>
      </c>
      <c r="M131" s="12" t="s">
        <v>98</v>
      </c>
      <c r="N131" s="36">
        <v>35</v>
      </c>
      <c r="O131" s="34">
        <v>75</v>
      </c>
      <c r="P131" s="6" t="s">
        <v>98</v>
      </c>
      <c r="Q131" s="34">
        <v>289</v>
      </c>
      <c r="R131" s="34" t="s">
        <v>98</v>
      </c>
      <c r="S131" s="6" t="s">
        <v>98</v>
      </c>
      <c r="T131" s="12">
        <f>Tableau1[[#This Row],[Loyer €/m²]]*Tableau1[[#This Row],[Surface GLA]]</f>
        <v>26250</v>
      </c>
      <c r="U131" s="12">
        <f>IFERROR(Tableau1[[#This Row],[Loyer annuel]]/12,"")</f>
        <v>2187.5</v>
      </c>
      <c r="V131" s="12">
        <v>350</v>
      </c>
      <c r="W131" s="6" t="s">
        <v>98</v>
      </c>
      <c r="X131" s="6">
        <f>Tableau1[[#This Row],[Charges €/m²]]*Tableau1[[#This Row],[Surface GLA]]</f>
        <v>9750</v>
      </c>
      <c r="Y131" s="12">
        <f>Tableau1[[#This Row],[Charges annuelles]]/12</f>
        <v>812.5</v>
      </c>
      <c r="Z131" s="12">
        <v>130</v>
      </c>
      <c r="AA131" s="12">
        <f>IFERROR(Tableau1[[#This Row],[Taxe foncière €/m²]]*Tableau1[[#This Row],[Surface GLA]],)</f>
        <v>0</v>
      </c>
      <c r="AB131" s="6" t="s">
        <v>98</v>
      </c>
      <c r="AC131" s="12">
        <f>IFERROR(Tableau1[[#This Row],[Marketing €/m²]]*Tableau1[[#This Row],[Surface GLA]],)</f>
        <v>0</v>
      </c>
      <c r="AD131" s="6" t="s">
        <v>98</v>
      </c>
      <c r="AE131" s="12">
        <f>IFERROR(Tableau1[[#This Row],[Loyer annuel]]+Tableau1[[#This Row],[Charges annuelles]]+Tableau1[[#This Row],[Taxe foncière]]+Tableau1[[#This Row],[Marketing]],"")</f>
        <v>36000</v>
      </c>
      <c r="AF131" s="12" t="str">
        <f t="shared" si="3"/>
        <v>3 mois = 6 563 €</v>
      </c>
      <c r="AG131" s="6" t="s">
        <v>98</v>
      </c>
      <c r="AH131" s="6" t="s">
        <v>98</v>
      </c>
      <c r="AI131" s="6" t="s">
        <v>357</v>
      </c>
      <c r="AJ131" s="10" t="s">
        <v>53</v>
      </c>
      <c r="AK131" s="10" t="s">
        <v>362</v>
      </c>
      <c r="AL131" s="10" t="s">
        <v>917</v>
      </c>
      <c r="AM131" s="11" t="s">
        <v>954</v>
      </c>
      <c r="AN131" s="11"/>
      <c r="AO131" s="5" t="s">
        <v>361</v>
      </c>
      <c r="AP131" s="11" t="s">
        <v>940</v>
      </c>
      <c r="AQ131" s="11" t="s">
        <v>941</v>
      </c>
      <c r="AR131" s="11" t="s">
        <v>910</v>
      </c>
      <c r="AS131" s="36" t="s">
        <v>1349</v>
      </c>
      <c r="AT131" s="11" t="s">
        <v>70</v>
      </c>
      <c r="AU131" s="11" t="s">
        <v>918</v>
      </c>
      <c r="AV131" s="13" t="s">
        <v>919</v>
      </c>
      <c r="AW131" s="14"/>
      <c r="AX131" s="44"/>
      <c r="AZ131" s="1"/>
      <c r="BF131"/>
      <c r="BG131" s="1"/>
    </row>
    <row r="132" spans="1:59" ht="25.5">
      <c r="A132" s="38" t="str">
        <f>VLOOKUP(Tableau1[[#This Row],[N° Département]],Feuil1!$C$6:$E$106,3)</f>
        <v>Ile-de-France</v>
      </c>
      <c r="B132" s="38" t="str">
        <f>VLOOKUP(Tableau1[[#This Row],[N° Département]],Feuil1!$C$6:$E$106,2)</f>
        <v>Seine-Saint-Denis</v>
      </c>
      <c r="C132" s="38">
        <f>LEFT(Tableau1[[#This Row],[Code Postal]],2)*1</f>
        <v>93</v>
      </c>
      <c r="D132" s="10" t="s">
        <v>893</v>
      </c>
      <c r="E132" s="26">
        <v>93430</v>
      </c>
      <c r="F132" s="10" t="s">
        <v>892</v>
      </c>
      <c r="G132" s="39" t="str">
        <f>Tableau1[[#This Row],[Rue]]&amp;CHAR(10)&amp;Tableau1[[#This Row],[Code Postal]]&amp;" - "&amp;Tableau1[[#This Row],[Ville]]</f>
        <v>8 Route de Saint-Leu
93430 - Villetaneuse</v>
      </c>
      <c r="H132" s="15" t="s">
        <v>894</v>
      </c>
      <c r="I132" s="12" t="s">
        <v>45</v>
      </c>
      <c r="J132" s="12" t="s">
        <v>49</v>
      </c>
      <c r="K132" s="12" t="s">
        <v>98</v>
      </c>
      <c r="L132" s="53" t="s">
        <v>1518</v>
      </c>
      <c r="M132" s="12" t="s">
        <v>98</v>
      </c>
      <c r="N132" s="36">
        <v>36</v>
      </c>
      <c r="O132" s="34">
        <v>57</v>
      </c>
      <c r="P132" s="6" t="s">
        <v>98</v>
      </c>
      <c r="Q132" s="34">
        <v>289</v>
      </c>
      <c r="R132" s="34" t="s">
        <v>98</v>
      </c>
      <c r="S132" s="6" t="s">
        <v>98</v>
      </c>
      <c r="T132" s="12">
        <f>Tableau1[[#This Row],[Loyer €/m²]]*Tableau1[[#This Row],[Surface GLA]]</f>
        <v>19950</v>
      </c>
      <c r="U132" s="12">
        <f>IFERROR(Tableau1[[#This Row],[Loyer annuel]]/12,"")</f>
        <v>1662.5</v>
      </c>
      <c r="V132" s="12">
        <v>350</v>
      </c>
      <c r="W132" s="6" t="s">
        <v>98</v>
      </c>
      <c r="X132" s="6">
        <f>Tableau1[[#This Row],[Charges €/m²]]*Tableau1[[#This Row],[Surface GLA]]</f>
        <v>7410</v>
      </c>
      <c r="Y132" s="12">
        <f>Tableau1[[#This Row],[Charges annuelles]]/12</f>
        <v>617.5</v>
      </c>
      <c r="Z132" s="12">
        <v>130</v>
      </c>
      <c r="AA132" s="12">
        <f>IFERROR(Tableau1[[#This Row],[Taxe foncière €/m²]]*Tableau1[[#This Row],[Surface GLA]],)</f>
        <v>0</v>
      </c>
      <c r="AB132" s="6" t="s">
        <v>98</v>
      </c>
      <c r="AC132" s="12">
        <f>IFERROR(Tableau1[[#This Row],[Marketing €/m²]]*Tableau1[[#This Row],[Surface GLA]],)</f>
        <v>0</v>
      </c>
      <c r="AD132" s="6" t="s">
        <v>98</v>
      </c>
      <c r="AE132" s="12">
        <f>IFERROR(Tableau1[[#This Row],[Loyer annuel]]+Tableau1[[#This Row],[Charges annuelles]]+Tableau1[[#This Row],[Taxe foncière]]+Tableau1[[#This Row],[Marketing]],"")</f>
        <v>27360</v>
      </c>
      <c r="AF132" s="12" t="str">
        <f t="shared" si="3"/>
        <v>3 mois = 4 988 €</v>
      </c>
      <c r="AG132" s="6" t="s">
        <v>98</v>
      </c>
      <c r="AH132" s="6" t="s">
        <v>98</v>
      </c>
      <c r="AI132" s="6" t="s">
        <v>357</v>
      </c>
      <c r="AJ132" s="10" t="s">
        <v>53</v>
      </c>
      <c r="AK132" s="10" t="s">
        <v>362</v>
      </c>
      <c r="AL132" s="10" t="s">
        <v>917</v>
      </c>
      <c r="AM132" s="11" t="s">
        <v>954</v>
      </c>
      <c r="AN132" s="11"/>
      <c r="AO132" s="5" t="s">
        <v>361</v>
      </c>
      <c r="AP132" s="11" t="s">
        <v>942</v>
      </c>
      <c r="AQ132" s="11" t="s">
        <v>943</v>
      </c>
      <c r="AR132" s="11" t="s">
        <v>911</v>
      </c>
      <c r="AS132" s="36" t="s">
        <v>1349</v>
      </c>
      <c r="AT132" s="11" t="s">
        <v>70</v>
      </c>
      <c r="AU132" s="11" t="s">
        <v>918</v>
      </c>
      <c r="AV132" s="13" t="s">
        <v>919</v>
      </c>
      <c r="AW132" s="14"/>
      <c r="AX132" s="44"/>
      <c r="AZ132" s="1"/>
      <c r="BF132"/>
      <c r="BG132" s="1"/>
    </row>
    <row r="133" spans="1:59" ht="25.5">
      <c r="A133" s="38" t="str">
        <f>VLOOKUP(Tableau1[[#This Row],[N° Département]],Feuil1!$C$6:$E$106,3)</f>
        <v>Ile-de-France</v>
      </c>
      <c r="B133" s="38" t="str">
        <f>VLOOKUP(Tableau1[[#This Row],[N° Département]],Feuil1!$C$6:$E$106,2)</f>
        <v>Seine-Saint-Denis</v>
      </c>
      <c r="C133" s="38">
        <f>LEFT(Tableau1[[#This Row],[Code Postal]],2)*1</f>
        <v>93</v>
      </c>
      <c r="D133" s="10" t="s">
        <v>893</v>
      </c>
      <c r="E133" s="26">
        <v>93430</v>
      </c>
      <c r="F133" s="10" t="s">
        <v>892</v>
      </c>
      <c r="G133" s="39" t="str">
        <f>Tableau1[[#This Row],[Rue]]&amp;CHAR(10)&amp;Tableau1[[#This Row],[Code Postal]]&amp;" - "&amp;Tableau1[[#This Row],[Ville]]</f>
        <v>8 Route de Saint-Leu
93430 - Villetaneuse</v>
      </c>
      <c r="H133" s="15" t="s">
        <v>894</v>
      </c>
      <c r="I133" s="12" t="s">
        <v>45</v>
      </c>
      <c r="J133" s="12" t="s">
        <v>49</v>
      </c>
      <c r="K133" s="12" t="s">
        <v>98</v>
      </c>
      <c r="L133" s="53" t="s">
        <v>1518</v>
      </c>
      <c r="M133" s="12" t="s">
        <v>98</v>
      </c>
      <c r="N133" s="36">
        <v>41</v>
      </c>
      <c r="O133" s="34">
        <v>58</v>
      </c>
      <c r="P133" s="6" t="s">
        <v>98</v>
      </c>
      <c r="Q133" s="34">
        <v>12</v>
      </c>
      <c r="R133" s="34" t="s">
        <v>98</v>
      </c>
      <c r="S133" s="6" t="s">
        <v>98</v>
      </c>
      <c r="T133" s="12">
        <f>Tableau1[[#This Row],[Loyer €/m²]]*Tableau1[[#This Row],[Surface GLA]]</f>
        <v>20300</v>
      </c>
      <c r="U133" s="12">
        <f>IFERROR(Tableau1[[#This Row],[Loyer annuel]]/12,"")</f>
        <v>1691.6666666666667</v>
      </c>
      <c r="V133" s="12">
        <v>350</v>
      </c>
      <c r="W133" s="6" t="s">
        <v>98</v>
      </c>
      <c r="X133" s="6">
        <f>Tableau1[[#This Row],[Charges €/m²]]*Tableau1[[#This Row],[Surface GLA]]</f>
        <v>7540</v>
      </c>
      <c r="Y133" s="12">
        <f>Tableau1[[#This Row],[Charges annuelles]]/12</f>
        <v>628.33333333333337</v>
      </c>
      <c r="Z133" s="12">
        <v>130</v>
      </c>
      <c r="AA133" s="12">
        <f>IFERROR(Tableau1[[#This Row],[Taxe foncière €/m²]]*Tableau1[[#This Row],[Surface GLA]],)</f>
        <v>0</v>
      </c>
      <c r="AB133" s="6" t="s">
        <v>98</v>
      </c>
      <c r="AC133" s="12">
        <f>IFERROR(Tableau1[[#This Row],[Marketing €/m²]]*Tableau1[[#This Row],[Surface GLA]],)</f>
        <v>0</v>
      </c>
      <c r="AD133" s="6" t="s">
        <v>98</v>
      </c>
      <c r="AE133" s="12">
        <f>IFERROR(Tableau1[[#This Row],[Loyer annuel]]+Tableau1[[#This Row],[Charges annuelles]]+Tableau1[[#This Row],[Taxe foncière]]+Tableau1[[#This Row],[Marketing]],"")</f>
        <v>27840</v>
      </c>
      <c r="AF133" s="12" t="str">
        <f t="shared" si="3"/>
        <v>3 mois = 5 075 €</v>
      </c>
      <c r="AG133" s="6" t="s">
        <v>98</v>
      </c>
      <c r="AH133" s="6" t="s">
        <v>98</v>
      </c>
      <c r="AI133" s="6" t="s">
        <v>357</v>
      </c>
      <c r="AJ133" s="10" t="s">
        <v>53</v>
      </c>
      <c r="AK133" s="10" t="s">
        <v>362</v>
      </c>
      <c r="AL133" s="10" t="s">
        <v>917</v>
      </c>
      <c r="AM133" s="11" t="s">
        <v>954</v>
      </c>
      <c r="AN133" s="11"/>
      <c r="AO133" s="5" t="s">
        <v>361</v>
      </c>
      <c r="AP133" s="11" t="s">
        <v>944</v>
      </c>
      <c r="AQ133" s="11" t="s">
        <v>945</v>
      </c>
      <c r="AR133" s="11" t="s">
        <v>912</v>
      </c>
      <c r="AS133" s="36" t="s">
        <v>1349</v>
      </c>
      <c r="AT133" s="11" t="s">
        <v>70</v>
      </c>
      <c r="AU133" s="11" t="s">
        <v>918</v>
      </c>
      <c r="AV133" s="13" t="s">
        <v>919</v>
      </c>
      <c r="AW133" s="14"/>
      <c r="AX133" s="44"/>
      <c r="AZ133" s="1"/>
      <c r="BF133"/>
      <c r="BG133" s="1"/>
    </row>
    <row r="134" spans="1:59" ht="25.5">
      <c r="A134" s="38" t="str">
        <f>VLOOKUP(Tableau1[[#This Row],[N° Département]],Feuil1!$C$6:$E$106,3)</f>
        <v>Ile-de-France</v>
      </c>
      <c r="B134" s="38" t="str">
        <f>VLOOKUP(Tableau1[[#This Row],[N° Département]],Feuil1!$C$6:$E$106,2)</f>
        <v>Seine-Saint-Denis</v>
      </c>
      <c r="C134" s="38">
        <f>LEFT(Tableau1[[#This Row],[Code Postal]],2)*1</f>
        <v>93</v>
      </c>
      <c r="D134" s="10" t="s">
        <v>893</v>
      </c>
      <c r="E134" s="26">
        <v>93430</v>
      </c>
      <c r="F134" s="10" t="s">
        <v>892</v>
      </c>
      <c r="G134" s="39" t="str">
        <f>Tableau1[[#This Row],[Rue]]&amp;CHAR(10)&amp;Tableau1[[#This Row],[Code Postal]]&amp;" - "&amp;Tableau1[[#This Row],[Ville]]</f>
        <v>8 Route de Saint-Leu
93430 - Villetaneuse</v>
      </c>
      <c r="H134" s="15" t="s">
        <v>894</v>
      </c>
      <c r="I134" s="12" t="s">
        <v>45</v>
      </c>
      <c r="J134" s="12" t="s">
        <v>49</v>
      </c>
      <c r="K134" s="12" t="s">
        <v>98</v>
      </c>
      <c r="L134" s="53" t="s">
        <v>1518</v>
      </c>
      <c r="M134" s="12" t="s">
        <v>98</v>
      </c>
      <c r="N134" s="36">
        <v>43</v>
      </c>
      <c r="O134" s="34">
        <v>63</v>
      </c>
      <c r="P134" s="6" t="s">
        <v>98</v>
      </c>
      <c r="Q134" s="34">
        <v>121</v>
      </c>
      <c r="R134" s="34" t="s">
        <v>98</v>
      </c>
      <c r="S134" s="6" t="s">
        <v>98</v>
      </c>
      <c r="T134" s="12">
        <f>Tableau1[[#This Row],[Loyer €/m²]]*Tableau1[[#This Row],[Surface GLA]]</f>
        <v>22050</v>
      </c>
      <c r="U134" s="12">
        <f>IFERROR(Tableau1[[#This Row],[Loyer annuel]]/12,"")</f>
        <v>1837.5</v>
      </c>
      <c r="V134" s="12">
        <v>350</v>
      </c>
      <c r="W134" s="6" t="s">
        <v>98</v>
      </c>
      <c r="X134" s="6">
        <f>Tableau1[[#This Row],[Charges €/m²]]*Tableau1[[#This Row],[Surface GLA]]</f>
        <v>8190</v>
      </c>
      <c r="Y134" s="12">
        <f>Tableau1[[#This Row],[Charges annuelles]]/12</f>
        <v>682.5</v>
      </c>
      <c r="Z134" s="12">
        <v>130</v>
      </c>
      <c r="AA134" s="12">
        <f>IFERROR(Tableau1[[#This Row],[Taxe foncière €/m²]]*Tableau1[[#This Row],[Surface GLA]],)</f>
        <v>0</v>
      </c>
      <c r="AB134" s="6" t="s">
        <v>98</v>
      </c>
      <c r="AC134" s="12">
        <f>IFERROR(Tableau1[[#This Row],[Marketing €/m²]]*Tableau1[[#This Row],[Surface GLA]],)</f>
        <v>0</v>
      </c>
      <c r="AD134" s="6" t="s">
        <v>98</v>
      </c>
      <c r="AE134" s="12">
        <f>IFERROR(Tableau1[[#This Row],[Loyer annuel]]+Tableau1[[#This Row],[Charges annuelles]]+Tableau1[[#This Row],[Taxe foncière]]+Tableau1[[#This Row],[Marketing]],"")</f>
        <v>30240</v>
      </c>
      <c r="AF134" s="12" t="str">
        <f t="shared" ref="AF134:AF137" si="4">"3 mois = "&amp;TEXT(ROUND(3/12*T134,0),"### ### ##0 €")</f>
        <v>3 mois = 5 513 €</v>
      </c>
      <c r="AG134" s="6" t="s">
        <v>98</v>
      </c>
      <c r="AH134" s="6" t="s">
        <v>98</v>
      </c>
      <c r="AI134" s="6" t="s">
        <v>357</v>
      </c>
      <c r="AJ134" s="10" t="s">
        <v>53</v>
      </c>
      <c r="AK134" s="10" t="s">
        <v>362</v>
      </c>
      <c r="AL134" s="10" t="s">
        <v>917</v>
      </c>
      <c r="AM134" s="11" t="s">
        <v>954</v>
      </c>
      <c r="AN134" s="11"/>
      <c r="AO134" s="5" t="s">
        <v>361</v>
      </c>
      <c r="AP134" s="11" t="s">
        <v>946</v>
      </c>
      <c r="AQ134" s="11" t="s">
        <v>947</v>
      </c>
      <c r="AR134" s="11" t="s">
        <v>913</v>
      </c>
      <c r="AS134" s="36" t="s">
        <v>1349</v>
      </c>
      <c r="AT134" s="11" t="s">
        <v>70</v>
      </c>
      <c r="AU134" s="11" t="s">
        <v>918</v>
      </c>
      <c r="AV134" s="13" t="s">
        <v>919</v>
      </c>
      <c r="AW134" s="14"/>
      <c r="AX134" s="44"/>
      <c r="AZ134" s="1"/>
      <c r="BF134"/>
      <c r="BG134" s="1"/>
    </row>
    <row r="135" spans="1:59" ht="25.5">
      <c r="A135" s="38" t="str">
        <f>VLOOKUP(Tableau1[[#This Row],[N° Département]],Feuil1!$C$6:$E$106,3)</f>
        <v>Ile-de-France</v>
      </c>
      <c r="B135" s="38" t="str">
        <f>VLOOKUP(Tableau1[[#This Row],[N° Département]],Feuil1!$C$6:$E$106,2)</f>
        <v>Seine-Saint-Denis</v>
      </c>
      <c r="C135" s="38">
        <f>LEFT(Tableau1[[#This Row],[Code Postal]],2)*1</f>
        <v>93</v>
      </c>
      <c r="D135" s="10" t="s">
        <v>893</v>
      </c>
      <c r="E135" s="26">
        <v>93430</v>
      </c>
      <c r="F135" s="10" t="s">
        <v>892</v>
      </c>
      <c r="G135" s="39" t="str">
        <f>Tableau1[[#This Row],[Rue]]&amp;CHAR(10)&amp;Tableau1[[#This Row],[Code Postal]]&amp;" - "&amp;Tableau1[[#This Row],[Ville]]</f>
        <v>8 Route de Saint-Leu
93430 - Villetaneuse</v>
      </c>
      <c r="H135" s="15" t="s">
        <v>894</v>
      </c>
      <c r="I135" s="12" t="s">
        <v>45</v>
      </c>
      <c r="J135" s="12" t="s">
        <v>49</v>
      </c>
      <c r="K135" s="12" t="s">
        <v>98</v>
      </c>
      <c r="L135" s="53" t="s">
        <v>1518</v>
      </c>
      <c r="M135" s="12" t="s">
        <v>98</v>
      </c>
      <c r="N135" s="36">
        <v>46</v>
      </c>
      <c r="O135" s="34">
        <v>84</v>
      </c>
      <c r="P135" s="6" t="s">
        <v>98</v>
      </c>
      <c r="Q135" s="34">
        <v>289</v>
      </c>
      <c r="R135" s="34" t="s">
        <v>98</v>
      </c>
      <c r="S135" s="6" t="s">
        <v>98</v>
      </c>
      <c r="T135" s="12">
        <f>Tableau1[[#This Row],[Loyer €/m²]]*Tableau1[[#This Row],[Surface GLA]]</f>
        <v>29400</v>
      </c>
      <c r="U135" s="12">
        <f>IFERROR(Tableau1[[#This Row],[Loyer annuel]]/12,"")</f>
        <v>2450</v>
      </c>
      <c r="V135" s="12">
        <v>350</v>
      </c>
      <c r="W135" s="6" t="s">
        <v>98</v>
      </c>
      <c r="X135" s="6">
        <f>Tableau1[[#This Row],[Charges €/m²]]*Tableau1[[#This Row],[Surface GLA]]</f>
        <v>10920</v>
      </c>
      <c r="Y135" s="12">
        <f>Tableau1[[#This Row],[Charges annuelles]]/12</f>
        <v>910</v>
      </c>
      <c r="Z135" s="12">
        <v>130</v>
      </c>
      <c r="AA135" s="12">
        <f>IFERROR(Tableau1[[#This Row],[Taxe foncière €/m²]]*Tableau1[[#This Row],[Surface GLA]],)</f>
        <v>0</v>
      </c>
      <c r="AB135" s="6" t="s">
        <v>98</v>
      </c>
      <c r="AC135" s="12">
        <f>IFERROR(Tableau1[[#This Row],[Marketing €/m²]]*Tableau1[[#This Row],[Surface GLA]],)</f>
        <v>0</v>
      </c>
      <c r="AD135" s="6" t="s">
        <v>98</v>
      </c>
      <c r="AE135" s="12">
        <f>IFERROR(Tableau1[[#This Row],[Loyer annuel]]+Tableau1[[#This Row],[Charges annuelles]]+Tableau1[[#This Row],[Taxe foncière]]+Tableau1[[#This Row],[Marketing]],"")</f>
        <v>40320</v>
      </c>
      <c r="AF135" s="12" t="str">
        <f t="shared" si="4"/>
        <v>3 mois = 7 350 €</v>
      </c>
      <c r="AG135" s="6" t="s">
        <v>98</v>
      </c>
      <c r="AH135" s="6" t="s">
        <v>98</v>
      </c>
      <c r="AI135" s="6" t="s">
        <v>357</v>
      </c>
      <c r="AJ135" s="10" t="s">
        <v>53</v>
      </c>
      <c r="AK135" s="10" t="s">
        <v>362</v>
      </c>
      <c r="AL135" s="10" t="s">
        <v>917</v>
      </c>
      <c r="AM135" s="11" t="s">
        <v>954</v>
      </c>
      <c r="AN135" s="11"/>
      <c r="AO135" s="5" t="s">
        <v>361</v>
      </c>
      <c r="AP135" s="11" t="s">
        <v>948</v>
      </c>
      <c r="AQ135" s="11" t="s">
        <v>949</v>
      </c>
      <c r="AR135" s="11" t="s">
        <v>914</v>
      </c>
      <c r="AS135" s="36" t="s">
        <v>1349</v>
      </c>
      <c r="AT135" s="11" t="s">
        <v>70</v>
      </c>
      <c r="AU135" s="11" t="s">
        <v>918</v>
      </c>
      <c r="AV135" s="13" t="s">
        <v>919</v>
      </c>
      <c r="AW135" s="14"/>
      <c r="AX135" s="44"/>
      <c r="AZ135" s="1"/>
      <c r="BF135"/>
      <c r="BG135" s="1"/>
    </row>
    <row r="136" spans="1:59" ht="25.5">
      <c r="A136" s="38" t="str">
        <f>VLOOKUP(Tableau1[[#This Row],[N° Département]],Feuil1!$C$6:$E$106,3)</f>
        <v>Ile-de-France</v>
      </c>
      <c r="B136" s="38" t="str">
        <f>VLOOKUP(Tableau1[[#This Row],[N° Département]],Feuil1!$C$6:$E$106,2)</f>
        <v>Seine-Saint-Denis</v>
      </c>
      <c r="C136" s="38">
        <f>LEFT(Tableau1[[#This Row],[Code Postal]],2)*1</f>
        <v>93</v>
      </c>
      <c r="D136" s="10" t="s">
        <v>893</v>
      </c>
      <c r="E136" s="26">
        <v>93430</v>
      </c>
      <c r="F136" s="10" t="s">
        <v>892</v>
      </c>
      <c r="G136" s="39" t="str">
        <f>Tableau1[[#This Row],[Rue]]&amp;CHAR(10)&amp;Tableau1[[#This Row],[Code Postal]]&amp;" - "&amp;Tableau1[[#This Row],[Ville]]</f>
        <v>8 Route de Saint-Leu
93430 - Villetaneuse</v>
      </c>
      <c r="H136" s="15" t="s">
        <v>894</v>
      </c>
      <c r="I136" s="12" t="s">
        <v>45</v>
      </c>
      <c r="J136" s="12" t="s">
        <v>49</v>
      </c>
      <c r="K136" s="12" t="s">
        <v>98</v>
      </c>
      <c r="L136" s="53" t="s">
        <v>1518</v>
      </c>
      <c r="M136" s="12" t="s">
        <v>98</v>
      </c>
      <c r="N136" s="36">
        <v>48</v>
      </c>
      <c r="O136" s="34">
        <v>94</v>
      </c>
      <c r="P136" s="6" t="s">
        <v>98</v>
      </c>
      <c r="Q136" s="34" t="s">
        <v>98</v>
      </c>
      <c r="R136" s="34" t="s">
        <v>98</v>
      </c>
      <c r="S136" s="6" t="s">
        <v>98</v>
      </c>
      <c r="T136" s="12">
        <f>Tableau1[[#This Row],[Loyer €/m²]]*Tableau1[[#This Row],[Surface GLA]]</f>
        <v>32900</v>
      </c>
      <c r="U136" s="12">
        <f>IFERROR(Tableau1[[#This Row],[Loyer annuel]]/12,"")</f>
        <v>2741.6666666666665</v>
      </c>
      <c r="V136" s="12">
        <v>350</v>
      </c>
      <c r="W136" s="6" t="s">
        <v>98</v>
      </c>
      <c r="X136" s="6">
        <f>Tableau1[[#This Row],[Charges €/m²]]*Tableau1[[#This Row],[Surface GLA]]</f>
        <v>12220</v>
      </c>
      <c r="Y136" s="12">
        <f>Tableau1[[#This Row],[Charges annuelles]]/12</f>
        <v>1018.3333333333334</v>
      </c>
      <c r="Z136" s="12">
        <v>130</v>
      </c>
      <c r="AA136" s="12">
        <f>IFERROR(Tableau1[[#This Row],[Taxe foncière €/m²]]*Tableau1[[#This Row],[Surface GLA]],)</f>
        <v>0</v>
      </c>
      <c r="AB136" s="6" t="s">
        <v>98</v>
      </c>
      <c r="AC136" s="12">
        <f>IFERROR(Tableau1[[#This Row],[Marketing €/m²]]*Tableau1[[#This Row],[Surface GLA]],)</f>
        <v>0</v>
      </c>
      <c r="AD136" s="6" t="s">
        <v>98</v>
      </c>
      <c r="AE136" s="12">
        <f>IFERROR(Tableau1[[#This Row],[Loyer annuel]]+Tableau1[[#This Row],[Charges annuelles]]+Tableau1[[#This Row],[Taxe foncière]]+Tableau1[[#This Row],[Marketing]],"")</f>
        <v>45120</v>
      </c>
      <c r="AF136" s="12" t="str">
        <f t="shared" si="4"/>
        <v>3 mois = 8 225 €</v>
      </c>
      <c r="AG136" s="6" t="s">
        <v>98</v>
      </c>
      <c r="AH136" s="6" t="s">
        <v>98</v>
      </c>
      <c r="AI136" s="6" t="s">
        <v>357</v>
      </c>
      <c r="AJ136" s="10" t="s">
        <v>53</v>
      </c>
      <c r="AK136" s="10" t="s">
        <v>362</v>
      </c>
      <c r="AL136" s="10" t="s">
        <v>917</v>
      </c>
      <c r="AM136" s="11" t="s">
        <v>954</v>
      </c>
      <c r="AN136" s="11"/>
      <c r="AO136" s="5" t="s">
        <v>361</v>
      </c>
      <c r="AP136" s="11" t="s">
        <v>950</v>
      </c>
      <c r="AQ136" s="11" t="s">
        <v>951</v>
      </c>
      <c r="AR136" s="11" t="s">
        <v>915</v>
      </c>
      <c r="AS136" s="36" t="s">
        <v>1349</v>
      </c>
      <c r="AT136" s="11" t="s">
        <v>70</v>
      </c>
      <c r="AU136" s="11" t="s">
        <v>918</v>
      </c>
      <c r="AV136" s="13" t="s">
        <v>919</v>
      </c>
      <c r="AW136" s="14"/>
      <c r="AX136" s="44"/>
      <c r="AZ136" s="1"/>
      <c r="BF136"/>
      <c r="BG136" s="1"/>
    </row>
    <row r="137" spans="1:59" ht="25.5">
      <c r="A137" s="38" t="str">
        <f>VLOOKUP(Tableau1[[#This Row],[N° Département]],Feuil1!$C$6:$E$106,3)</f>
        <v>Ile-de-France</v>
      </c>
      <c r="B137" s="38" t="str">
        <f>VLOOKUP(Tableau1[[#This Row],[N° Département]],Feuil1!$C$6:$E$106,2)</f>
        <v>Seine-Saint-Denis</v>
      </c>
      <c r="C137" s="38">
        <f>LEFT(Tableau1[[#This Row],[Code Postal]],2)*1</f>
        <v>93</v>
      </c>
      <c r="D137" s="10" t="s">
        <v>893</v>
      </c>
      <c r="E137" s="26">
        <v>93430</v>
      </c>
      <c r="F137" s="10" t="s">
        <v>892</v>
      </c>
      <c r="G137" s="39" t="str">
        <f>Tableau1[[#This Row],[Rue]]&amp;CHAR(10)&amp;Tableau1[[#This Row],[Code Postal]]&amp;" - "&amp;Tableau1[[#This Row],[Ville]]</f>
        <v>8 Route de Saint-Leu
93430 - Villetaneuse</v>
      </c>
      <c r="H137" s="15" t="s">
        <v>894</v>
      </c>
      <c r="I137" s="12" t="s">
        <v>45</v>
      </c>
      <c r="J137" s="12" t="s">
        <v>49</v>
      </c>
      <c r="K137" s="12" t="s">
        <v>98</v>
      </c>
      <c r="L137" s="53" t="s">
        <v>1518</v>
      </c>
      <c r="M137" s="12" t="s">
        <v>98</v>
      </c>
      <c r="N137" s="36" t="s">
        <v>899</v>
      </c>
      <c r="O137" s="34">
        <v>62</v>
      </c>
      <c r="P137" s="6" t="s">
        <v>98</v>
      </c>
      <c r="Q137" s="34" t="s">
        <v>98</v>
      </c>
      <c r="R137" s="34" t="s">
        <v>98</v>
      </c>
      <c r="S137" s="6" t="s">
        <v>98</v>
      </c>
      <c r="T137" s="12">
        <f>Tableau1[[#This Row],[Loyer €/m²]]*Tableau1[[#This Row],[Surface GLA]]</f>
        <v>21700</v>
      </c>
      <c r="U137" s="12">
        <f>IFERROR(Tableau1[[#This Row],[Loyer annuel]]/12,"")</f>
        <v>1808.3333333333333</v>
      </c>
      <c r="V137" s="12">
        <v>350</v>
      </c>
      <c r="W137" s="6" t="s">
        <v>98</v>
      </c>
      <c r="X137" s="6">
        <f>Tableau1[[#This Row],[Charges €/m²]]*Tableau1[[#This Row],[Surface GLA]]</f>
        <v>8060</v>
      </c>
      <c r="Y137" s="12">
        <f>Tableau1[[#This Row],[Charges annuelles]]/12</f>
        <v>671.66666666666663</v>
      </c>
      <c r="Z137" s="12">
        <v>130</v>
      </c>
      <c r="AA137" s="12">
        <f>IFERROR(Tableau1[[#This Row],[Taxe foncière €/m²]]*Tableau1[[#This Row],[Surface GLA]],)</f>
        <v>0</v>
      </c>
      <c r="AB137" s="6" t="s">
        <v>98</v>
      </c>
      <c r="AC137" s="12">
        <f>IFERROR(Tableau1[[#This Row],[Marketing €/m²]]*Tableau1[[#This Row],[Surface GLA]],)</f>
        <v>0</v>
      </c>
      <c r="AD137" s="6" t="s">
        <v>98</v>
      </c>
      <c r="AE137" s="12">
        <f>IFERROR(Tableau1[[#This Row],[Loyer annuel]]+Tableau1[[#This Row],[Charges annuelles]]+Tableau1[[#This Row],[Taxe foncière]]+Tableau1[[#This Row],[Marketing]],"")</f>
        <v>29760</v>
      </c>
      <c r="AF137" s="12" t="str">
        <f t="shared" si="4"/>
        <v>3 mois = 5 425 €</v>
      </c>
      <c r="AG137" s="6" t="s">
        <v>98</v>
      </c>
      <c r="AH137" s="6" t="s">
        <v>98</v>
      </c>
      <c r="AI137" s="6" t="s">
        <v>357</v>
      </c>
      <c r="AJ137" s="10" t="s">
        <v>53</v>
      </c>
      <c r="AK137" s="10" t="s">
        <v>362</v>
      </c>
      <c r="AL137" s="10" t="s">
        <v>917</v>
      </c>
      <c r="AM137" s="11" t="s">
        <v>954</v>
      </c>
      <c r="AN137" s="11"/>
      <c r="AO137" s="5" t="s">
        <v>361</v>
      </c>
      <c r="AP137" s="11" t="s">
        <v>952</v>
      </c>
      <c r="AQ137" s="11" t="s">
        <v>953</v>
      </c>
      <c r="AR137" s="11" t="s">
        <v>916</v>
      </c>
      <c r="AS137" s="36" t="s">
        <v>1349</v>
      </c>
      <c r="AT137" s="11" t="s">
        <v>70</v>
      </c>
      <c r="AU137" s="11" t="s">
        <v>918</v>
      </c>
      <c r="AV137" s="13" t="s">
        <v>919</v>
      </c>
      <c r="AW137" s="14"/>
      <c r="AX137" s="44"/>
      <c r="AZ137" s="1"/>
      <c r="BF137"/>
      <c r="BG137" s="1"/>
    </row>
    <row r="138" spans="1:59" ht="38.25">
      <c r="A138" s="38" t="str">
        <f>VLOOKUP(Tableau1[[#This Row],[N° Département]],Feuil1!$C$6:$E$106,3)</f>
        <v>Ile-de-France</v>
      </c>
      <c r="B138" s="38" t="str">
        <f>VLOOKUP(Tableau1[[#This Row],[N° Département]],Feuil1!$C$6:$E$106,2)</f>
        <v>Val-D'Oise</v>
      </c>
      <c r="C138" s="38">
        <f>LEFT(Tableau1[[#This Row],[Code Postal]],2)*1</f>
        <v>95</v>
      </c>
      <c r="D138" s="10" t="s">
        <v>957</v>
      </c>
      <c r="E138" s="26">
        <v>95290</v>
      </c>
      <c r="F138" s="10" t="s">
        <v>956</v>
      </c>
      <c r="G138" s="39" t="str">
        <f>Tableau1[[#This Row],[Rue]]&amp;CHAR(10)&amp;Tableau1[[#This Row],[Code Postal]]&amp;" - "&amp;Tableau1[[#This Row],[Ville]]</f>
        <v>Centre Commercial le Grand Val, Boulevard de Tilsit
95290 - L'Isle-Adam</v>
      </c>
      <c r="H138" s="15" t="s">
        <v>958</v>
      </c>
      <c r="I138" s="12" t="s">
        <v>47</v>
      </c>
      <c r="J138" s="12" t="s">
        <v>49</v>
      </c>
      <c r="K138" s="12" t="s">
        <v>98</v>
      </c>
      <c r="L138" s="53" t="s">
        <v>1518</v>
      </c>
      <c r="M138" s="12" t="s">
        <v>98</v>
      </c>
      <c r="N138" s="36" t="s">
        <v>351</v>
      </c>
      <c r="O138" s="34">
        <v>167</v>
      </c>
      <c r="P138" s="6" t="s">
        <v>1352</v>
      </c>
      <c r="Q138" s="34" t="s">
        <v>98</v>
      </c>
      <c r="R138" s="34" t="s">
        <v>98</v>
      </c>
      <c r="S138" s="6" t="s">
        <v>98</v>
      </c>
      <c r="T138" s="12">
        <f>Tableau1[[#This Row],[Loyer €/m²]]*Tableau1[[#This Row],[Surface GLA]]</f>
        <v>75150</v>
      </c>
      <c r="U138" s="12">
        <f>IFERROR(Tableau1[[#This Row],[Loyer annuel]]/12,"")</f>
        <v>6262.5</v>
      </c>
      <c r="V138" s="12">
        <v>450</v>
      </c>
      <c r="W138" s="6" t="s">
        <v>98</v>
      </c>
      <c r="X138" s="6">
        <f>Tableau1[[#This Row],[Charges €/m²]]*Tableau1[[#This Row],[Surface GLA]]</f>
        <v>17201</v>
      </c>
      <c r="Y138" s="12">
        <f>Tableau1[[#This Row],[Charges annuelles]]/12</f>
        <v>1433.4166666666667</v>
      </c>
      <c r="Z138" s="12">
        <v>103</v>
      </c>
      <c r="AA138" s="12">
        <f>IFERROR(Tableau1[[#This Row],[Taxe foncière €/m²]]*Tableau1[[#This Row],[Surface GLA]],)</f>
        <v>0</v>
      </c>
      <c r="AB138" s="6" t="s">
        <v>98</v>
      </c>
      <c r="AC138" s="12">
        <f>IFERROR(Tableau1[[#This Row],[Marketing €/m²]]*Tableau1[[#This Row],[Surface GLA]],)</f>
        <v>0</v>
      </c>
      <c r="AD138" s="6" t="s">
        <v>98</v>
      </c>
      <c r="AE138" s="12">
        <f>IFERROR(Tableau1[[#This Row],[Loyer annuel]]+Tableau1[[#This Row],[Charges annuelles]]+Tableau1[[#This Row],[Taxe foncière]]+Tableau1[[#This Row],[Marketing]],"")</f>
        <v>92351</v>
      </c>
      <c r="AF138" s="12" t="str">
        <f t="shared" ref="AF138:AF145" si="5">"3 mois = "&amp;TEXT(ROUND(3/12*T138,0),"### ### ##0 €")</f>
        <v>3 mois = 18 788 €</v>
      </c>
      <c r="AG138" s="6" t="s">
        <v>98</v>
      </c>
      <c r="AH138" s="6" t="s">
        <v>98</v>
      </c>
      <c r="AI138" s="6" t="s">
        <v>357</v>
      </c>
      <c r="AJ138" s="10" t="s">
        <v>53</v>
      </c>
      <c r="AK138" s="10" t="s">
        <v>362</v>
      </c>
      <c r="AL138" s="10" t="s">
        <v>959</v>
      </c>
      <c r="AM138" s="11" t="s">
        <v>961</v>
      </c>
      <c r="AN138" s="11"/>
      <c r="AO138" s="5" t="s">
        <v>361</v>
      </c>
      <c r="AP138" s="11" t="s">
        <v>1775</v>
      </c>
      <c r="AQ138" s="11" t="s">
        <v>1776</v>
      </c>
      <c r="AR138" s="11" t="s">
        <v>1350</v>
      </c>
      <c r="AS138" s="36" t="s">
        <v>1354</v>
      </c>
      <c r="AT138" s="11" t="s">
        <v>70</v>
      </c>
      <c r="AU138" s="11" t="s">
        <v>960</v>
      </c>
      <c r="AV138" s="13" t="s">
        <v>919</v>
      </c>
      <c r="AW138" s="14"/>
      <c r="AX138" s="44"/>
      <c r="AZ138" s="1"/>
      <c r="BF138"/>
      <c r="BG138" s="1"/>
    </row>
    <row r="139" spans="1:59" ht="38.25">
      <c r="A139" s="38" t="str">
        <f>VLOOKUP(Tableau1[[#This Row],[N° Département]],Feuil1!$C$6:$E$106,3)</f>
        <v>Ile-de-France</v>
      </c>
      <c r="B139" s="38" t="str">
        <f>VLOOKUP(Tableau1[[#This Row],[N° Département]],Feuil1!$C$6:$E$106,2)</f>
        <v>Val-D'Oise</v>
      </c>
      <c r="C139" s="38">
        <f>LEFT(Tableau1[[#This Row],[Code Postal]],2)*1</f>
        <v>95</v>
      </c>
      <c r="D139" s="10" t="s">
        <v>957</v>
      </c>
      <c r="E139" s="26">
        <v>95290</v>
      </c>
      <c r="F139" s="10" t="s">
        <v>956</v>
      </c>
      <c r="G139" s="39" t="str">
        <f>Tableau1[[#This Row],[Rue]]&amp;CHAR(10)&amp;Tableau1[[#This Row],[Code Postal]]&amp;" - "&amp;Tableau1[[#This Row],[Ville]]</f>
        <v>Centre Commercial le Grand Val, Boulevard de Tilsit
95290 - L'Isle-Adam</v>
      </c>
      <c r="H139" s="15" t="s">
        <v>958</v>
      </c>
      <c r="I139" s="12" t="s">
        <v>47</v>
      </c>
      <c r="J139" s="12" t="s">
        <v>49</v>
      </c>
      <c r="K139" s="12" t="s">
        <v>98</v>
      </c>
      <c r="L139" s="53" t="s">
        <v>1518</v>
      </c>
      <c r="M139" s="12" t="s">
        <v>98</v>
      </c>
      <c r="N139" s="36" t="s">
        <v>302</v>
      </c>
      <c r="O139" s="34">
        <v>124</v>
      </c>
      <c r="P139" s="6" t="s">
        <v>1353</v>
      </c>
      <c r="Q139" s="34" t="s">
        <v>98</v>
      </c>
      <c r="R139" s="34" t="s">
        <v>98</v>
      </c>
      <c r="S139" s="6" t="s">
        <v>98</v>
      </c>
      <c r="T139" s="12">
        <f>Tableau1[[#This Row],[Loyer €/m²]]*Tableau1[[#This Row],[Surface GLA]]</f>
        <v>62000</v>
      </c>
      <c r="U139" s="12">
        <f>IFERROR(Tableau1[[#This Row],[Loyer annuel]]/12,"")</f>
        <v>5166.666666666667</v>
      </c>
      <c r="V139" s="12">
        <v>500</v>
      </c>
      <c r="W139" s="6" t="s">
        <v>98</v>
      </c>
      <c r="X139" s="6">
        <f>Tableau1[[#This Row],[Charges €/m²]]*Tableau1[[#This Row],[Surface GLA]]</f>
        <v>12772</v>
      </c>
      <c r="Y139" s="12">
        <f>Tableau1[[#This Row],[Charges annuelles]]/12</f>
        <v>1064.3333333333333</v>
      </c>
      <c r="Z139" s="12">
        <v>103</v>
      </c>
      <c r="AA139" s="12">
        <f>IFERROR(Tableau1[[#This Row],[Taxe foncière €/m²]]*Tableau1[[#This Row],[Surface GLA]],)</f>
        <v>0</v>
      </c>
      <c r="AB139" s="6" t="s">
        <v>98</v>
      </c>
      <c r="AC139" s="12">
        <f>IFERROR(Tableau1[[#This Row],[Marketing €/m²]]*Tableau1[[#This Row],[Surface GLA]],)</f>
        <v>0</v>
      </c>
      <c r="AD139" s="6" t="s">
        <v>98</v>
      </c>
      <c r="AE139" s="12">
        <f>IFERROR(Tableau1[[#This Row],[Loyer annuel]]+Tableau1[[#This Row],[Charges annuelles]]+Tableau1[[#This Row],[Taxe foncière]]+Tableau1[[#This Row],[Marketing]],"")</f>
        <v>74772</v>
      </c>
      <c r="AF139" s="12" t="str">
        <f t="shared" si="5"/>
        <v>3 mois = 15 500 €</v>
      </c>
      <c r="AG139" s="6" t="s">
        <v>98</v>
      </c>
      <c r="AH139" s="6" t="s">
        <v>98</v>
      </c>
      <c r="AI139" s="6" t="s">
        <v>357</v>
      </c>
      <c r="AJ139" s="10" t="s">
        <v>53</v>
      </c>
      <c r="AK139" s="10" t="s">
        <v>362</v>
      </c>
      <c r="AL139" s="10" t="s">
        <v>959</v>
      </c>
      <c r="AM139" s="11" t="s">
        <v>961</v>
      </c>
      <c r="AN139" s="11"/>
      <c r="AO139" s="5" t="s">
        <v>361</v>
      </c>
      <c r="AP139" s="11" t="s">
        <v>1777</v>
      </c>
      <c r="AQ139" s="11" t="s">
        <v>1778</v>
      </c>
      <c r="AR139" s="11" t="s">
        <v>1351</v>
      </c>
      <c r="AS139" s="36" t="s">
        <v>1355</v>
      </c>
      <c r="AT139" s="11" t="s">
        <v>70</v>
      </c>
      <c r="AU139" s="11" t="s">
        <v>960</v>
      </c>
      <c r="AV139" s="13" t="s">
        <v>919</v>
      </c>
      <c r="AW139" s="14"/>
      <c r="AX139" s="44"/>
      <c r="AZ139" s="1"/>
      <c r="BF139"/>
      <c r="BG139" s="1"/>
    </row>
    <row r="140" spans="1:59" ht="38.25">
      <c r="A140" s="38" t="str">
        <f>VLOOKUP(Tableau1[[#This Row],[N° Département]],Feuil1!$C$6:$E$106,3)</f>
        <v>Ile-de-France</v>
      </c>
      <c r="B140" s="38" t="str">
        <f>VLOOKUP(Tableau1[[#This Row],[N° Département]],Feuil1!$C$6:$E$106,2)</f>
        <v>Val-D'Oise</v>
      </c>
      <c r="C140" s="38">
        <f>LEFT(Tableau1[[#This Row],[Code Postal]],2)*1</f>
        <v>95</v>
      </c>
      <c r="D140" s="10" t="s">
        <v>957</v>
      </c>
      <c r="E140" s="26">
        <v>95290</v>
      </c>
      <c r="F140" s="10" t="s">
        <v>956</v>
      </c>
      <c r="G140" s="39" t="str">
        <f>Tableau1[[#This Row],[Rue]]&amp;CHAR(10)&amp;Tableau1[[#This Row],[Code Postal]]&amp;" - "&amp;Tableau1[[#This Row],[Ville]]</f>
        <v>Centre Commercial le Grand Val, Boulevard de Tilsit
95290 - L'Isle-Adam</v>
      </c>
      <c r="H140" s="15" t="s">
        <v>958</v>
      </c>
      <c r="I140" s="12" t="s">
        <v>47</v>
      </c>
      <c r="J140" s="12" t="s">
        <v>49</v>
      </c>
      <c r="K140" s="12" t="s">
        <v>98</v>
      </c>
      <c r="L140" s="53" t="s">
        <v>1518</v>
      </c>
      <c r="M140" s="12" t="s">
        <v>98</v>
      </c>
      <c r="N140" s="36" t="s">
        <v>1771</v>
      </c>
      <c r="O140" s="34">
        <v>55</v>
      </c>
      <c r="P140" s="6" t="s">
        <v>98</v>
      </c>
      <c r="Q140" s="34" t="s">
        <v>98</v>
      </c>
      <c r="R140" s="34" t="s">
        <v>98</v>
      </c>
      <c r="S140" s="6" t="s">
        <v>98</v>
      </c>
      <c r="T140" s="12">
        <f>Tableau1[[#This Row],[Loyer €/m²]]*Tableau1[[#This Row],[Surface GLA]]</f>
        <v>38500</v>
      </c>
      <c r="U140" s="12">
        <f>IFERROR(Tableau1[[#This Row],[Loyer annuel]]/12,"")</f>
        <v>3208.3333333333335</v>
      </c>
      <c r="V140" s="12">
        <v>700</v>
      </c>
      <c r="W140" s="6" t="s">
        <v>98</v>
      </c>
      <c r="X140" s="6">
        <f>Tableau1[[#This Row],[Charges €/m²]]*Tableau1[[#This Row],[Surface GLA]]</f>
        <v>5665</v>
      </c>
      <c r="Y140" s="12">
        <f>Tableau1[[#This Row],[Charges annuelles]]/12</f>
        <v>472.08333333333331</v>
      </c>
      <c r="Z140" s="12">
        <v>103</v>
      </c>
      <c r="AA140" s="12">
        <f>IFERROR(Tableau1[[#This Row],[Taxe foncière €/m²]]*Tableau1[[#This Row],[Surface GLA]],)</f>
        <v>0</v>
      </c>
      <c r="AB140" s="6" t="s">
        <v>98</v>
      </c>
      <c r="AC140" s="12">
        <f>IFERROR(Tableau1[[#This Row],[Marketing €/m²]]*Tableau1[[#This Row],[Surface GLA]],)</f>
        <v>0</v>
      </c>
      <c r="AD140" s="6" t="s">
        <v>98</v>
      </c>
      <c r="AE140" s="12">
        <f>IFERROR(Tableau1[[#This Row],[Loyer annuel]]+Tableau1[[#This Row],[Charges annuelles]]+Tableau1[[#This Row],[Taxe foncière]]+Tableau1[[#This Row],[Marketing]],"")</f>
        <v>44165</v>
      </c>
      <c r="AF140" s="12" t="str">
        <f t="shared" si="5"/>
        <v>3 mois = 9 625 €</v>
      </c>
      <c r="AG140" s="6" t="s">
        <v>98</v>
      </c>
      <c r="AH140" s="6" t="s">
        <v>98</v>
      </c>
      <c r="AI140" s="6" t="s">
        <v>357</v>
      </c>
      <c r="AJ140" s="10" t="s">
        <v>53</v>
      </c>
      <c r="AK140" s="10" t="s">
        <v>362</v>
      </c>
      <c r="AL140" s="10" t="s">
        <v>959</v>
      </c>
      <c r="AM140" s="11" t="s">
        <v>961</v>
      </c>
      <c r="AN140" s="11"/>
      <c r="AO140" s="5" t="s">
        <v>361</v>
      </c>
      <c r="AP140" s="11" t="s">
        <v>1779</v>
      </c>
      <c r="AQ140" s="11" t="s">
        <v>1780</v>
      </c>
      <c r="AR140" s="11" t="s">
        <v>1773</v>
      </c>
      <c r="AS140" s="36" t="s">
        <v>1783</v>
      </c>
      <c r="AT140" s="11" t="s">
        <v>70</v>
      </c>
      <c r="AU140" s="11"/>
      <c r="AV140" s="13" t="s">
        <v>919</v>
      </c>
      <c r="AW140" s="14"/>
      <c r="AX140" s="44">
        <v>46085</v>
      </c>
      <c r="AZ140" s="1"/>
      <c r="BF140"/>
      <c r="BG140" s="1"/>
    </row>
    <row r="141" spans="1:59" ht="38.25">
      <c r="A141" s="38" t="str">
        <f>VLOOKUP(Tableau1[[#This Row],[N° Département]],Feuil1!$C$6:$E$106,3)</f>
        <v>Ile-de-France</v>
      </c>
      <c r="B141" s="38" t="str">
        <f>VLOOKUP(Tableau1[[#This Row],[N° Département]],Feuil1!$C$6:$E$106,2)</f>
        <v>Val-D'Oise</v>
      </c>
      <c r="C141" s="38">
        <f>LEFT(Tableau1[[#This Row],[Code Postal]],2)*1</f>
        <v>95</v>
      </c>
      <c r="D141" s="10" t="s">
        <v>957</v>
      </c>
      <c r="E141" s="26">
        <v>95290</v>
      </c>
      <c r="F141" s="10" t="s">
        <v>956</v>
      </c>
      <c r="G141" s="39" t="str">
        <f>Tableau1[[#This Row],[Rue]]&amp;CHAR(10)&amp;Tableau1[[#This Row],[Code Postal]]&amp;" - "&amp;Tableau1[[#This Row],[Ville]]</f>
        <v>Centre Commercial le Grand Val, Boulevard de Tilsit
95290 - L'Isle-Adam</v>
      </c>
      <c r="H141" s="15" t="s">
        <v>958</v>
      </c>
      <c r="I141" s="12" t="s">
        <v>47</v>
      </c>
      <c r="J141" s="12" t="s">
        <v>49</v>
      </c>
      <c r="K141" s="12" t="s">
        <v>98</v>
      </c>
      <c r="L141" s="53" t="s">
        <v>1518</v>
      </c>
      <c r="M141" s="12" t="s">
        <v>98</v>
      </c>
      <c r="N141" s="36" t="s">
        <v>1772</v>
      </c>
      <c r="O141" s="34">
        <v>61</v>
      </c>
      <c r="P141" s="6" t="s">
        <v>98</v>
      </c>
      <c r="Q141" s="34" t="s">
        <v>98</v>
      </c>
      <c r="R141" s="34" t="s">
        <v>98</v>
      </c>
      <c r="S141" s="6" t="s">
        <v>98</v>
      </c>
      <c r="T141" s="12">
        <f>Tableau1[[#This Row],[Loyer €/m²]]*Tableau1[[#This Row],[Surface GLA]]</f>
        <v>36600</v>
      </c>
      <c r="U141" s="12">
        <f>IFERROR(Tableau1[[#This Row],[Loyer annuel]]/12,"")</f>
        <v>3050</v>
      </c>
      <c r="V141" s="12">
        <v>600</v>
      </c>
      <c r="W141" s="6" t="s">
        <v>98</v>
      </c>
      <c r="X141" s="6">
        <f>Tableau1[[#This Row],[Charges €/m²]]*Tableau1[[#This Row],[Surface GLA]]</f>
        <v>6283</v>
      </c>
      <c r="Y141" s="12">
        <f>Tableau1[[#This Row],[Charges annuelles]]/12</f>
        <v>523.58333333333337</v>
      </c>
      <c r="Z141" s="12">
        <v>103</v>
      </c>
      <c r="AA141" s="12">
        <f>IFERROR(Tableau1[[#This Row],[Taxe foncière €/m²]]*Tableau1[[#This Row],[Surface GLA]],)</f>
        <v>0</v>
      </c>
      <c r="AB141" s="6" t="s">
        <v>98</v>
      </c>
      <c r="AC141" s="12">
        <f>IFERROR(Tableau1[[#This Row],[Marketing €/m²]]*Tableau1[[#This Row],[Surface GLA]],)</f>
        <v>0</v>
      </c>
      <c r="AD141" s="6" t="s">
        <v>98</v>
      </c>
      <c r="AE141" s="12">
        <f>IFERROR(Tableau1[[#This Row],[Loyer annuel]]+Tableau1[[#This Row],[Charges annuelles]]+Tableau1[[#This Row],[Taxe foncière]]+Tableau1[[#This Row],[Marketing]],"")</f>
        <v>42883</v>
      </c>
      <c r="AF141" s="12" t="str">
        <f t="shared" si="5"/>
        <v>3 mois = 9 150 €</v>
      </c>
      <c r="AG141" s="6" t="s">
        <v>98</v>
      </c>
      <c r="AH141" s="6" t="s">
        <v>98</v>
      </c>
      <c r="AI141" s="6" t="s">
        <v>357</v>
      </c>
      <c r="AJ141" s="10" t="s">
        <v>53</v>
      </c>
      <c r="AK141" s="10" t="s">
        <v>362</v>
      </c>
      <c r="AL141" s="10" t="s">
        <v>959</v>
      </c>
      <c r="AM141" s="11" t="s">
        <v>961</v>
      </c>
      <c r="AN141" s="11"/>
      <c r="AO141" s="5" t="s">
        <v>361</v>
      </c>
      <c r="AP141" s="11" t="s">
        <v>1781</v>
      </c>
      <c r="AQ141" s="11" t="s">
        <v>1782</v>
      </c>
      <c r="AR141" s="11" t="s">
        <v>1774</v>
      </c>
      <c r="AS141" s="36" t="s">
        <v>1783</v>
      </c>
      <c r="AT141" s="11" t="s">
        <v>70</v>
      </c>
      <c r="AU141" s="11"/>
      <c r="AV141" s="13" t="s">
        <v>919</v>
      </c>
      <c r="AW141" s="14"/>
      <c r="AX141" s="44">
        <v>46085</v>
      </c>
      <c r="AZ141" s="1"/>
      <c r="BF141"/>
      <c r="BG141" s="1"/>
    </row>
    <row r="142" spans="1:59" ht="38.25">
      <c r="A142" s="38" t="str">
        <f>VLOOKUP(Tableau1[[#This Row],[N° Département]],Feuil1!$C$6:$E$106,3)</f>
        <v>Ile-de-France</v>
      </c>
      <c r="B142" s="38" t="str">
        <f>VLOOKUP(Tableau1[[#This Row],[N° Département]],Feuil1!$C$6:$E$106,2)</f>
        <v>Val-D'Oise</v>
      </c>
      <c r="C142" s="38">
        <f>LEFT(Tableau1[[#This Row],[Code Postal]],2)*1</f>
        <v>95</v>
      </c>
      <c r="D142" s="10" t="s">
        <v>963</v>
      </c>
      <c r="E142" s="26">
        <v>95260</v>
      </c>
      <c r="F142" s="10" t="s">
        <v>962</v>
      </c>
      <c r="G142" s="39" t="str">
        <f>Tableau1[[#This Row],[Rue]]&amp;CHAR(10)&amp;Tableau1[[#This Row],[Code Postal]]&amp;" - "&amp;Tableau1[[#This Row],[Ville]]</f>
        <v>Parc d’activités Col’Vert Rue du Kiosque
95260 - Mours</v>
      </c>
      <c r="H142" s="15" t="s">
        <v>969</v>
      </c>
      <c r="I142" s="12" t="s">
        <v>47</v>
      </c>
      <c r="J142" s="12" t="s">
        <v>50</v>
      </c>
      <c r="K142" s="12" t="s">
        <v>98</v>
      </c>
      <c r="L142" s="53" t="s">
        <v>1518</v>
      </c>
      <c r="M142" s="12" t="s">
        <v>98</v>
      </c>
      <c r="N142" s="36" t="s">
        <v>329</v>
      </c>
      <c r="O142" s="34">
        <v>620</v>
      </c>
      <c r="P142" s="6" t="s">
        <v>98</v>
      </c>
      <c r="Q142" s="34">
        <v>5107</v>
      </c>
      <c r="R142" s="34" t="s">
        <v>98</v>
      </c>
      <c r="S142" s="6" t="s">
        <v>98</v>
      </c>
      <c r="T142" s="12">
        <f>Tableau1[[#This Row],[Loyer €/m²]]*Tableau1[[#This Row],[Surface GLA]]</f>
        <v>124000</v>
      </c>
      <c r="U142" s="12">
        <f>IFERROR(Tableau1[[#This Row],[Loyer annuel]]/12,"")</f>
        <v>10333.333333333334</v>
      </c>
      <c r="V142" s="12">
        <v>200</v>
      </c>
      <c r="W142" s="6" t="s">
        <v>98</v>
      </c>
      <c r="X142" s="6">
        <f>Tableau1[[#This Row],[Charges €/m²]]*Tableau1[[#This Row],[Surface GLA]]</f>
        <v>0</v>
      </c>
      <c r="Y142" s="12">
        <f>Tableau1[[#This Row],[Charges annuelles]]/12</f>
        <v>0</v>
      </c>
      <c r="Z142" s="12"/>
      <c r="AA142" s="12">
        <f>IFERROR(Tableau1[[#This Row],[Taxe foncière €/m²]]*Tableau1[[#This Row],[Surface GLA]],)</f>
        <v>0</v>
      </c>
      <c r="AB142" s="6" t="s">
        <v>98</v>
      </c>
      <c r="AC142" s="12">
        <f>IFERROR(Tableau1[[#This Row],[Marketing €/m²]]*Tableau1[[#This Row],[Surface GLA]],)</f>
        <v>0</v>
      </c>
      <c r="AD142" s="6" t="s">
        <v>98</v>
      </c>
      <c r="AE142" s="12">
        <f>IFERROR(Tableau1[[#This Row],[Loyer annuel]]+Tableau1[[#This Row],[Charges annuelles]]+Tableau1[[#This Row],[Taxe foncière]]+Tableau1[[#This Row],[Marketing]],"")</f>
        <v>124000</v>
      </c>
      <c r="AF142" s="12" t="str">
        <f t="shared" si="5"/>
        <v>3 mois = 31 000 €</v>
      </c>
      <c r="AG142" s="6" t="s">
        <v>98</v>
      </c>
      <c r="AH142" s="6" t="s">
        <v>98</v>
      </c>
      <c r="AI142" s="12" t="s">
        <v>373</v>
      </c>
      <c r="AJ142" s="10" t="s">
        <v>369</v>
      </c>
      <c r="AK142" s="10" t="s">
        <v>363</v>
      </c>
      <c r="AL142" s="10" t="s">
        <v>970</v>
      </c>
      <c r="AM142" s="11" t="s">
        <v>971</v>
      </c>
      <c r="AN142" s="11"/>
      <c r="AO142" s="5" t="s">
        <v>361</v>
      </c>
      <c r="AP142" s="11" t="s">
        <v>972</v>
      </c>
      <c r="AQ142" s="11" t="s">
        <v>973</v>
      </c>
      <c r="AR142" s="11" t="s">
        <v>964</v>
      </c>
      <c r="AS142" s="36" t="s">
        <v>998</v>
      </c>
      <c r="AT142" s="11" t="s">
        <v>70</v>
      </c>
      <c r="AU142" s="11" t="s">
        <v>1357</v>
      </c>
      <c r="AV142" s="13" t="s">
        <v>919</v>
      </c>
      <c r="AW142" s="14"/>
      <c r="AX142" s="44"/>
      <c r="AZ142" s="1"/>
      <c r="BF142"/>
      <c r="BG142" s="1"/>
    </row>
    <row r="143" spans="1:59" ht="38.25">
      <c r="A143" s="38" t="str">
        <f>VLOOKUP(Tableau1[[#This Row],[N° Département]],Feuil1!$C$6:$E$106,3)</f>
        <v>Ile-de-France</v>
      </c>
      <c r="B143" s="38" t="str">
        <f>VLOOKUP(Tableau1[[#This Row],[N° Département]],Feuil1!$C$6:$E$106,2)</f>
        <v>Val-D'Oise</v>
      </c>
      <c r="C143" s="38">
        <f>LEFT(Tableau1[[#This Row],[Code Postal]],2)*1</f>
        <v>95</v>
      </c>
      <c r="D143" s="10" t="s">
        <v>963</v>
      </c>
      <c r="E143" s="26">
        <v>95260</v>
      </c>
      <c r="F143" s="10" t="s">
        <v>962</v>
      </c>
      <c r="G143" s="39" t="str">
        <f>Tableau1[[#This Row],[Rue]]&amp;CHAR(10)&amp;Tableau1[[#This Row],[Code Postal]]&amp;" - "&amp;Tableau1[[#This Row],[Ville]]</f>
        <v>Parc d’activités Col’Vert Rue du Kiosque
95260 - Mours</v>
      </c>
      <c r="H143" s="15" t="s">
        <v>969</v>
      </c>
      <c r="I143" s="12" t="s">
        <v>47</v>
      </c>
      <c r="J143" s="12" t="s">
        <v>50</v>
      </c>
      <c r="K143" s="12" t="s">
        <v>98</v>
      </c>
      <c r="L143" s="53" t="s">
        <v>1518</v>
      </c>
      <c r="M143" s="12" t="s">
        <v>98</v>
      </c>
      <c r="N143" s="36" t="s">
        <v>330</v>
      </c>
      <c r="O143" s="34">
        <v>620</v>
      </c>
      <c r="P143" s="6" t="s">
        <v>98</v>
      </c>
      <c r="Q143" s="34">
        <v>5107</v>
      </c>
      <c r="R143" s="34" t="s">
        <v>98</v>
      </c>
      <c r="S143" s="6" t="s">
        <v>98</v>
      </c>
      <c r="T143" s="12">
        <f>Tableau1[[#This Row],[Loyer €/m²]]*Tableau1[[#This Row],[Surface GLA]]</f>
        <v>124000</v>
      </c>
      <c r="U143" s="12">
        <f>IFERROR(Tableau1[[#This Row],[Loyer annuel]]/12,"")</f>
        <v>10333.333333333334</v>
      </c>
      <c r="V143" s="12">
        <v>200</v>
      </c>
      <c r="W143" s="6" t="s">
        <v>98</v>
      </c>
      <c r="X143" s="6">
        <f>Tableau1[[#This Row],[Charges €/m²]]*Tableau1[[#This Row],[Surface GLA]]</f>
        <v>0</v>
      </c>
      <c r="Y143" s="12">
        <f>Tableau1[[#This Row],[Charges annuelles]]/12</f>
        <v>0</v>
      </c>
      <c r="Z143" s="12"/>
      <c r="AA143" s="12">
        <f>IFERROR(Tableau1[[#This Row],[Taxe foncière €/m²]]*Tableau1[[#This Row],[Surface GLA]],)</f>
        <v>0</v>
      </c>
      <c r="AB143" s="6" t="s">
        <v>98</v>
      </c>
      <c r="AC143" s="12">
        <f>IFERROR(Tableau1[[#This Row],[Marketing €/m²]]*Tableau1[[#This Row],[Surface GLA]],)</f>
        <v>0</v>
      </c>
      <c r="AD143" s="6" t="s">
        <v>98</v>
      </c>
      <c r="AE143" s="12">
        <f>IFERROR(Tableau1[[#This Row],[Loyer annuel]]+Tableau1[[#This Row],[Charges annuelles]]+Tableau1[[#This Row],[Taxe foncière]]+Tableau1[[#This Row],[Marketing]],"")</f>
        <v>124000</v>
      </c>
      <c r="AF143" s="12" t="str">
        <f t="shared" si="5"/>
        <v>3 mois = 31 000 €</v>
      </c>
      <c r="AG143" s="6" t="s">
        <v>98</v>
      </c>
      <c r="AH143" s="6" t="s">
        <v>98</v>
      </c>
      <c r="AI143" s="12" t="s">
        <v>373</v>
      </c>
      <c r="AJ143" s="10" t="s">
        <v>369</v>
      </c>
      <c r="AK143" s="10" t="s">
        <v>363</v>
      </c>
      <c r="AL143" s="10" t="s">
        <v>970</v>
      </c>
      <c r="AM143" s="11" t="s">
        <v>971</v>
      </c>
      <c r="AN143" s="11"/>
      <c r="AO143" s="5" t="s">
        <v>361</v>
      </c>
      <c r="AP143" s="11" t="s">
        <v>974</v>
      </c>
      <c r="AQ143" s="11" t="s">
        <v>975</v>
      </c>
      <c r="AR143" s="11" t="s">
        <v>965</v>
      </c>
      <c r="AS143" s="36" t="s">
        <v>998</v>
      </c>
      <c r="AT143" s="11" t="s">
        <v>70</v>
      </c>
      <c r="AU143" s="11" t="s">
        <v>1357</v>
      </c>
      <c r="AV143" s="13" t="s">
        <v>919</v>
      </c>
      <c r="AW143" s="14"/>
      <c r="AX143" s="44"/>
      <c r="AZ143" s="1"/>
      <c r="BF143"/>
      <c r="BG143" s="1"/>
    </row>
    <row r="144" spans="1:59" ht="38.25">
      <c r="A144" s="38" t="str">
        <f>VLOOKUP(Tableau1[[#This Row],[N° Département]],Feuil1!$C$6:$E$106,3)</f>
        <v>Ile-de-France</v>
      </c>
      <c r="B144" s="38" t="str">
        <f>VLOOKUP(Tableau1[[#This Row],[N° Département]],Feuil1!$C$6:$E$106,2)</f>
        <v>Val-D'Oise</v>
      </c>
      <c r="C144" s="38">
        <f>LEFT(Tableau1[[#This Row],[Code Postal]],2)*1</f>
        <v>95</v>
      </c>
      <c r="D144" s="10" t="s">
        <v>963</v>
      </c>
      <c r="E144" s="26">
        <v>95260</v>
      </c>
      <c r="F144" s="10" t="s">
        <v>962</v>
      </c>
      <c r="G144" s="39" t="str">
        <f>Tableau1[[#This Row],[Rue]]&amp;CHAR(10)&amp;Tableau1[[#This Row],[Code Postal]]&amp;" - "&amp;Tableau1[[#This Row],[Ville]]</f>
        <v>Parc d’activités Col’Vert Rue du Kiosque
95260 - Mours</v>
      </c>
      <c r="H144" s="15" t="s">
        <v>969</v>
      </c>
      <c r="I144" s="12" t="s">
        <v>47</v>
      </c>
      <c r="J144" s="12" t="s">
        <v>50</v>
      </c>
      <c r="K144" s="12" t="s">
        <v>98</v>
      </c>
      <c r="L144" s="53" t="s">
        <v>1518</v>
      </c>
      <c r="M144" s="12" t="s">
        <v>98</v>
      </c>
      <c r="N144" s="36" t="s">
        <v>351</v>
      </c>
      <c r="O144" s="34">
        <v>620</v>
      </c>
      <c r="P144" s="6" t="s">
        <v>98</v>
      </c>
      <c r="Q144" s="34">
        <v>5107</v>
      </c>
      <c r="R144" s="34" t="s">
        <v>98</v>
      </c>
      <c r="S144" s="6" t="s">
        <v>98</v>
      </c>
      <c r="T144" s="12">
        <f>Tableau1[[#This Row],[Loyer €/m²]]*Tableau1[[#This Row],[Surface GLA]]</f>
        <v>124000</v>
      </c>
      <c r="U144" s="12">
        <f>IFERROR(Tableau1[[#This Row],[Loyer annuel]]/12,"")</f>
        <v>10333.333333333334</v>
      </c>
      <c r="V144" s="12">
        <v>200</v>
      </c>
      <c r="W144" s="6" t="s">
        <v>98</v>
      </c>
      <c r="X144" s="6">
        <f>Tableau1[[#This Row],[Charges €/m²]]*Tableau1[[#This Row],[Surface GLA]]</f>
        <v>0</v>
      </c>
      <c r="Y144" s="12">
        <f>Tableau1[[#This Row],[Charges annuelles]]/12</f>
        <v>0</v>
      </c>
      <c r="Z144" s="12"/>
      <c r="AA144" s="12">
        <f>IFERROR(Tableau1[[#This Row],[Taxe foncière €/m²]]*Tableau1[[#This Row],[Surface GLA]],)</f>
        <v>0</v>
      </c>
      <c r="AB144" s="6" t="s">
        <v>98</v>
      </c>
      <c r="AC144" s="12">
        <f>IFERROR(Tableau1[[#This Row],[Marketing €/m²]]*Tableau1[[#This Row],[Surface GLA]],)</f>
        <v>0</v>
      </c>
      <c r="AD144" s="6" t="s">
        <v>98</v>
      </c>
      <c r="AE144" s="12">
        <f>IFERROR(Tableau1[[#This Row],[Loyer annuel]]+Tableau1[[#This Row],[Charges annuelles]]+Tableau1[[#This Row],[Taxe foncière]]+Tableau1[[#This Row],[Marketing]],"")</f>
        <v>124000</v>
      </c>
      <c r="AF144" s="12" t="str">
        <f t="shared" si="5"/>
        <v>3 mois = 31 000 €</v>
      </c>
      <c r="AG144" s="6" t="s">
        <v>98</v>
      </c>
      <c r="AH144" s="6" t="s">
        <v>98</v>
      </c>
      <c r="AI144" s="12" t="s">
        <v>373</v>
      </c>
      <c r="AJ144" s="10" t="s">
        <v>369</v>
      </c>
      <c r="AK144" s="10" t="s">
        <v>363</v>
      </c>
      <c r="AL144" s="10" t="s">
        <v>970</v>
      </c>
      <c r="AM144" s="11" t="s">
        <v>971</v>
      </c>
      <c r="AN144" s="11"/>
      <c r="AO144" s="5" t="s">
        <v>361</v>
      </c>
      <c r="AP144" s="11" t="s">
        <v>976</v>
      </c>
      <c r="AQ144" s="11" t="s">
        <v>977</v>
      </c>
      <c r="AR144" s="11" t="s">
        <v>966</v>
      </c>
      <c r="AS144" s="36" t="s">
        <v>998</v>
      </c>
      <c r="AT144" s="11" t="s">
        <v>70</v>
      </c>
      <c r="AU144" s="11" t="s">
        <v>1357</v>
      </c>
      <c r="AV144" s="13" t="s">
        <v>919</v>
      </c>
      <c r="AW144" s="14"/>
      <c r="AX144" s="44"/>
      <c r="AZ144" s="1"/>
      <c r="BF144"/>
      <c r="BG144" s="1"/>
    </row>
    <row r="145" spans="1:59" ht="38.25">
      <c r="A145" s="38" t="str">
        <f>VLOOKUP(Tableau1[[#This Row],[N° Département]],Feuil1!$C$6:$E$106,3)</f>
        <v>Ile-de-France</v>
      </c>
      <c r="B145" s="38" t="str">
        <f>VLOOKUP(Tableau1[[#This Row],[N° Département]],Feuil1!$C$6:$E$106,2)</f>
        <v>Val-D'Oise</v>
      </c>
      <c r="C145" s="38">
        <f>LEFT(Tableau1[[#This Row],[Code Postal]],2)*1</f>
        <v>95</v>
      </c>
      <c r="D145" s="10" t="s">
        <v>963</v>
      </c>
      <c r="E145" s="26">
        <v>95260</v>
      </c>
      <c r="F145" s="10" t="s">
        <v>962</v>
      </c>
      <c r="G145" s="39" t="str">
        <f>Tableau1[[#This Row],[Rue]]&amp;CHAR(10)&amp;Tableau1[[#This Row],[Code Postal]]&amp;" - "&amp;Tableau1[[#This Row],[Ville]]</f>
        <v>Parc d’activités Col’Vert Rue du Kiosque
95260 - Mours</v>
      </c>
      <c r="H145" s="15" t="s">
        <v>969</v>
      </c>
      <c r="I145" s="12" t="s">
        <v>47</v>
      </c>
      <c r="J145" s="12" t="s">
        <v>50</v>
      </c>
      <c r="K145" s="12" t="s">
        <v>98</v>
      </c>
      <c r="L145" s="53" t="s">
        <v>1518</v>
      </c>
      <c r="M145" s="12" t="s">
        <v>98</v>
      </c>
      <c r="N145" s="36" t="s">
        <v>352</v>
      </c>
      <c r="O145" s="34">
        <v>628</v>
      </c>
      <c r="P145" s="6" t="s">
        <v>98</v>
      </c>
      <c r="Q145" s="34">
        <v>5107</v>
      </c>
      <c r="R145" s="34" t="s">
        <v>98</v>
      </c>
      <c r="S145" s="6" t="s">
        <v>98</v>
      </c>
      <c r="T145" s="12">
        <f>Tableau1[[#This Row],[Loyer €/m²]]*Tableau1[[#This Row],[Surface GLA]]</f>
        <v>125600</v>
      </c>
      <c r="U145" s="12">
        <f>IFERROR(Tableau1[[#This Row],[Loyer annuel]]/12,"")</f>
        <v>10466.666666666666</v>
      </c>
      <c r="V145" s="12">
        <v>200</v>
      </c>
      <c r="W145" s="6" t="s">
        <v>98</v>
      </c>
      <c r="X145" s="6">
        <f>Tableau1[[#This Row],[Charges €/m²]]*Tableau1[[#This Row],[Surface GLA]]</f>
        <v>0</v>
      </c>
      <c r="Y145" s="12">
        <f>Tableau1[[#This Row],[Charges annuelles]]/12</f>
        <v>0</v>
      </c>
      <c r="Z145" s="12"/>
      <c r="AA145" s="12">
        <f>IFERROR(Tableau1[[#This Row],[Taxe foncière €/m²]]*Tableau1[[#This Row],[Surface GLA]],)</f>
        <v>0</v>
      </c>
      <c r="AB145" s="6" t="s">
        <v>98</v>
      </c>
      <c r="AC145" s="12">
        <f>IFERROR(Tableau1[[#This Row],[Marketing €/m²]]*Tableau1[[#This Row],[Surface GLA]],)</f>
        <v>0</v>
      </c>
      <c r="AD145" s="6" t="s">
        <v>98</v>
      </c>
      <c r="AE145" s="12">
        <f>IFERROR(Tableau1[[#This Row],[Loyer annuel]]+Tableau1[[#This Row],[Charges annuelles]]+Tableau1[[#This Row],[Taxe foncière]]+Tableau1[[#This Row],[Marketing]],"")</f>
        <v>125600</v>
      </c>
      <c r="AF145" s="12" t="str">
        <f t="shared" si="5"/>
        <v>3 mois = 31 400 €</v>
      </c>
      <c r="AG145" s="6" t="s">
        <v>98</v>
      </c>
      <c r="AH145" s="6" t="s">
        <v>98</v>
      </c>
      <c r="AI145" s="12" t="s">
        <v>373</v>
      </c>
      <c r="AJ145" s="10" t="s">
        <v>369</v>
      </c>
      <c r="AK145" s="10" t="s">
        <v>363</v>
      </c>
      <c r="AL145" s="10" t="s">
        <v>970</v>
      </c>
      <c r="AM145" s="11" t="s">
        <v>971</v>
      </c>
      <c r="AN145" s="11"/>
      <c r="AO145" s="5" t="s">
        <v>361</v>
      </c>
      <c r="AP145" s="11" t="s">
        <v>978</v>
      </c>
      <c r="AQ145" s="11" t="s">
        <v>979</v>
      </c>
      <c r="AR145" s="11" t="s">
        <v>967</v>
      </c>
      <c r="AS145" s="36" t="s">
        <v>998</v>
      </c>
      <c r="AT145" s="11" t="s">
        <v>70</v>
      </c>
      <c r="AU145" s="11" t="s">
        <v>1359</v>
      </c>
      <c r="AV145" s="13" t="s">
        <v>919</v>
      </c>
      <c r="AW145" s="14"/>
      <c r="AX145" s="44"/>
      <c r="AZ145" s="1"/>
      <c r="BF145"/>
      <c r="BG145" s="1"/>
    </row>
    <row r="146" spans="1:59" ht="38.25">
      <c r="A146" s="38" t="str">
        <f>VLOOKUP(Tableau1[[#This Row],[N° Département]],Feuil1!$C$6:$E$106,3)</f>
        <v>Ile-de-France</v>
      </c>
      <c r="B146" s="38" t="str">
        <f>VLOOKUP(Tableau1[[#This Row],[N° Département]],Feuil1!$C$6:$E$106,2)</f>
        <v>Val-D'Oise</v>
      </c>
      <c r="C146" s="38">
        <f>LEFT(Tableau1[[#This Row],[Code Postal]],2)*1</f>
        <v>95</v>
      </c>
      <c r="D146" s="10" t="s">
        <v>963</v>
      </c>
      <c r="E146" s="26">
        <v>95260</v>
      </c>
      <c r="F146" s="10" t="s">
        <v>962</v>
      </c>
      <c r="G146" s="39" t="str">
        <f>Tableau1[[#This Row],[Rue]]&amp;CHAR(10)&amp;Tableau1[[#This Row],[Code Postal]]&amp;" - "&amp;Tableau1[[#This Row],[Ville]]</f>
        <v>Parc d’activités Col’Vert Rue du Kiosque
95260 - Mours</v>
      </c>
      <c r="H146" s="15" t="s">
        <v>969</v>
      </c>
      <c r="I146" s="12" t="s">
        <v>47</v>
      </c>
      <c r="J146" s="12" t="s">
        <v>50</v>
      </c>
      <c r="K146" s="12" t="s">
        <v>1378</v>
      </c>
      <c r="L146" s="53" t="s">
        <v>1518</v>
      </c>
      <c r="M146" s="12" t="s">
        <v>1152</v>
      </c>
      <c r="N146" s="36" t="s">
        <v>353</v>
      </c>
      <c r="O146" s="34">
        <v>4272</v>
      </c>
      <c r="P146" s="6" t="s">
        <v>98</v>
      </c>
      <c r="Q146" s="34" t="s">
        <v>98</v>
      </c>
      <c r="R146" s="34" t="s">
        <v>98</v>
      </c>
      <c r="S146" s="6" t="s">
        <v>98</v>
      </c>
      <c r="T146" s="12">
        <f>Tableau1[[#This Row],[Loyer €/m²]]*Tableau1[[#This Row],[Surface GLA]]</f>
        <v>0</v>
      </c>
      <c r="U146" s="12">
        <f>IFERROR(Tableau1[[#This Row],[Loyer annuel]]/12,"")</f>
        <v>0</v>
      </c>
      <c r="V146" s="12"/>
      <c r="W146" s="6" t="s">
        <v>98</v>
      </c>
      <c r="X146" s="6">
        <f>Tableau1[[#This Row],[Charges €/m²]]*Tableau1[[#This Row],[Surface GLA]]</f>
        <v>0</v>
      </c>
      <c r="Y146" s="12">
        <f>Tableau1[[#This Row],[Charges annuelles]]/12</f>
        <v>0</v>
      </c>
      <c r="Z146" s="12"/>
      <c r="AA146" s="12">
        <f>IFERROR(Tableau1[[#This Row],[Taxe foncière €/m²]]*Tableau1[[#This Row],[Surface GLA]],)</f>
        <v>0</v>
      </c>
      <c r="AB146" s="6" t="s">
        <v>98</v>
      </c>
      <c r="AC146" s="12">
        <f>IFERROR(Tableau1[[#This Row],[Marketing €/m²]]*Tableau1[[#This Row],[Surface GLA]],)</f>
        <v>0</v>
      </c>
      <c r="AD146" s="6" t="s">
        <v>98</v>
      </c>
      <c r="AE146" s="12">
        <f>IFERROR(Tableau1[[#This Row],[Loyer annuel]]+Tableau1[[#This Row],[Charges annuelles]]+Tableau1[[#This Row],[Taxe foncière]]+Tableau1[[#This Row],[Marketing]],"")</f>
        <v>0</v>
      </c>
      <c r="AF146" s="12"/>
      <c r="AG146" s="6" t="s">
        <v>98</v>
      </c>
      <c r="AH146" s="6" t="s">
        <v>98</v>
      </c>
      <c r="AI146" s="12" t="s">
        <v>373</v>
      </c>
      <c r="AJ146" s="10" t="s">
        <v>369</v>
      </c>
      <c r="AK146" s="10" t="s">
        <v>363</v>
      </c>
      <c r="AL146" s="10" t="s">
        <v>970</v>
      </c>
      <c r="AM146" s="11" t="s">
        <v>1356</v>
      </c>
      <c r="AN146" s="11"/>
      <c r="AO146" s="5" t="s">
        <v>361</v>
      </c>
      <c r="AP146" s="11" t="s">
        <v>980</v>
      </c>
      <c r="AQ146" s="11" t="s">
        <v>981</v>
      </c>
      <c r="AR146" s="11" t="s">
        <v>968</v>
      </c>
      <c r="AS146" s="36" t="s">
        <v>999</v>
      </c>
      <c r="AT146" s="11" t="s">
        <v>70</v>
      </c>
      <c r="AU146" s="11" t="s">
        <v>1358</v>
      </c>
      <c r="AV146" s="13" t="s">
        <v>919</v>
      </c>
      <c r="AW146" s="14"/>
      <c r="AX146" s="44"/>
      <c r="AZ146" s="1"/>
      <c r="BF146"/>
      <c r="BG146" s="1"/>
    </row>
    <row r="147" spans="1:59" ht="38.25">
      <c r="A147" s="38" t="str">
        <f>VLOOKUP(Tableau1[[#This Row],[N° Département]],Feuil1!$C$6:$E$106,3)</f>
        <v>Pays de la Loire</v>
      </c>
      <c r="B147" s="38" t="str">
        <f>VLOOKUP(Tableau1[[#This Row],[N° Département]],Feuil1!$C$6:$E$106,2)</f>
        <v>Loire-Atlantique</v>
      </c>
      <c r="C147" s="38">
        <f>LEFT(Tableau1[[#This Row],[Code Postal]],2)*1</f>
        <v>44</v>
      </c>
      <c r="D147" s="10" t="s">
        <v>985</v>
      </c>
      <c r="E147" s="26">
        <v>44200</v>
      </c>
      <c r="F147" s="10" t="s">
        <v>986</v>
      </c>
      <c r="G147" s="39" t="str">
        <f>Tableau1[[#This Row],[Rue]]&amp;CHAR(10)&amp;Tableau1[[#This Row],[Code Postal]]&amp;" - "&amp;Tableau1[[#This Row],[Ville]]</f>
        <v>15 Boulevard Léon Bureau
44200 - Nantes</v>
      </c>
      <c r="H147" s="15" t="s">
        <v>984</v>
      </c>
      <c r="I147" s="12" t="s">
        <v>45</v>
      </c>
      <c r="J147" s="12" t="s">
        <v>44</v>
      </c>
      <c r="K147" s="12" t="s">
        <v>98</v>
      </c>
      <c r="L147" s="12"/>
      <c r="M147" s="12" t="s">
        <v>98</v>
      </c>
      <c r="N147" s="36" t="s">
        <v>329</v>
      </c>
      <c r="O147" s="34">
        <v>285</v>
      </c>
      <c r="P147" s="6" t="s">
        <v>98</v>
      </c>
      <c r="Q147" s="34" t="s">
        <v>98</v>
      </c>
      <c r="R147" s="34" t="s">
        <v>98</v>
      </c>
      <c r="S147" s="6" t="s">
        <v>98</v>
      </c>
      <c r="T147" s="12">
        <f>Tableau1[[#This Row],[Loyer €/m²]]*Tableau1[[#This Row],[Surface GLA]]</f>
        <v>114000</v>
      </c>
      <c r="U147" s="12">
        <f>IFERROR(Tableau1[[#This Row],[Loyer annuel]]/12,"")</f>
        <v>9500</v>
      </c>
      <c r="V147" s="12">
        <v>400</v>
      </c>
      <c r="W147" s="6" t="s">
        <v>98</v>
      </c>
      <c r="X147" s="6">
        <f>Tableau1[[#This Row],[Charges €/m²]]*Tableau1[[#This Row],[Surface GLA]]</f>
        <v>8550</v>
      </c>
      <c r="Y147" s="12">
        <f>Tableau1[[#This Row],[Charges annuelles]]/12</f>
        <v>712.5</v>
      </c>
      <c r="Z147" s="12">
        <v>30</v>
      </c>
      <c r="AA147" s="12">
        <f>IFERROR(Tableau1[[#This Row],[Taxe foncière €/m²]]*Tableau1[[#This Row],[Surface GLA]],)</f>
        <v>0</v>
      </c>
      <c r="AB147" s="6" t="s">
        <v>98</v>
      </c>
      <c r="AC147" s="12">
        <f>IFERROR(Tableau1[[#This Row],[Marketing €/m²]]*Tableau1[[#This Row],[Surface GLA]],)</f>
        <v>0</v>
      </c>
      <c r="AD147" s="6" t="s">
        <v>98</v>
      </c>
      <c r="AE147" s="12">
        <f>IFERROR(Tableau1[[#This Row],[Loyer annuel]]+Tableau1[[#This Row],[Charges annuelles]]+Tableau1[[#This Row],[Taxe foncière]]+Tableau1[[#This Row],[Marketing]],"")</f>
        <v>122550</v>
      </c>
      <c r="AF147" s="12" t="str">
        <f t="shared" ref="AF147:AF148" si="6">"3 mois = "&amp;TEXT(ROUND(3/12*T147,0),"### ### ##0 €")</f>
        <v>3 mois = 28 500 €</v>
      </c>
      <c r="AG147" s="6" t="s">
        <v>98</v>
      </c>
      <c r="AH147" s="6" t="s">
        <v>98</v>
      </c>
      <c r="AI147" s="12" t="s">
        <v>373</v>
      </c>
      <c r="AJ147" s="10" t="s">
        <v>70</v>
      </c>
      <c r="AK147" s="10" t="s">
        <v>363</v>
      </c>
      <c r="AL147" s="10" t="s">
        <v>993</v>
      </c>
      <c r="AM147" s="11" t="s">
        <v>1147</v>
      </c>
      <c r="AN147" s="11"/>
      <c r="AO147" s="5" t="s">
        <v>361</v>
      </c>
      <c r="AP147" s="11" t="s">
        <v>989</v>
      </c>
      <c r="AQ147" s="11" t="s">
        <v>990</v>
      </c>
      <c r="AR147" s="11" t="s">
        <v>982</v>
      </c>
      <c r="AS147" s="36" t="s">
        <v>997</v>
      </c>
      <c r="AT147" s="11" t="s">
        <v>70</v>
      </c>
      <c r="AU147" s="11" t="s">
        <v>987</v>
      </c>
      <c r="AV147" s="13" t="s">
        <v>37</v>
      </c>
      <c r="AW147" s="14"/>
      <c r="AX147" s="44"/>
      <c r="AZ147" s="1"/>
      <c r="BF147"/>
      <c r="BG147" s="1"/>
    </row>
    <row r="148" spans="1:59" ht="38.25">
      <c r="A148" s="38" t="str">
        <f>VLOOKUP(Tableau1[[#This Row],[N° Département]],Feuil1!$C$6:$E$106,3)</f>
        <v>Pays de la Loire</v>
      </c>
      <c r="B148" s="38" t="str">
        <f>VLOOKUP(Tableau1[[#This Row],[N° Département]],Feuil1!$C$6:$E$106,2)</f>
        <v>Loire-Atlantique</v>
      </c>
      <c r="C148" s="38">
        <f>LEFT(Tableau1[[#This Row],[Code Postal]],2)*1</f>
        <v>44</v>
      </c>
      <c r="D148" s="10" t="s">
        <v>985</v>
      </c>
      <c r="E148" s="26">
        <v>44200</v>
      </c>
      <c r="F148" s="10" t="s">
        <v>986</v>
      </c>
      <c r="G148" s="39" t="str">
        <f>Tableau1[[#This Row],[Rue]]&amp;CHAR(10)&amp;Tableau1[[#This Row],[Code Postal]]&amp;" - "&amp;Tableau1[[#This Row],[Ville]]</f>
        <v>15 Boulevard Léon Bureau
44200 - Nantes</v>
      </c>
      <c r="H148" s="15" t="s">
        <v>984</v>
      </c>
      <c r="I148" s="12" t="s">
        <v>45</v>
      </c>
      <c r="J148" s="12" t="s">
        <v>44</v>
      </c>
      <c r="K148" s="12" t="s">
        <v>98</v>
      </c>
      <c r="L148" s="12"/>
      <c r="M148" s="12" t="s">
        <v>98</v>
      </c>
      <c r="N148" s="36" t="s">
        <v>330</v>
      </c>
      <c r="O148" s="34">
        <v>224</v>
      </c>
      <c r="P148" s="6" t="s">
        <v>98</v>
      </c>
      <c r="Q148" s="34" t="s">
        <v>98</v>
      </c>
      <c r="R148" s="34" t="s">
        <v>98</v>
      </c>
      <c r="S148" s="6" t="s">
        <v>98</v>
      </c>
      <c r="T148" s="12">
        <f>Tableau1[[#This Row],[Loyer €/m²]]*Tableau1[[#This Row],[Surface GLA]]</f>
        <v>78400</v>
      </c>
      <c r="U148" s="12">
        <f>IFERROR(Tableau1[[#This Row],[Loyer annuel]]/12,"")</f>
        <v>6533.333333333333</v>
      </c>
      <c r="V148" s="12">
        <v>350</v>
      </c>
      <c r="W148" s="6" t="s">
        <v>98</v>
      </c>
      <c r="X148" s="6">
        <f>Tableau1[[#This Row],[Charges €/m²]]*Tableau1[[#This Row],[Surface GLA]]</f>
        <v>6720</v>
      </c>
      <c r="Y148" s="12">
        <f>Tableau1[[#This Row],[Charges annuelles]]/12</f>
        <v>560</v>
      </c>
      <c r="Z148" s="12">
        <v>30</v>
      </c>
      <c r="AA148" s="12">
        <f>IFERROR(Tableau1[[#This Row],[Taxe foncière €/m²]]*Tableau1[[#This Row],[Surface GLA]],)</f>
        <v>0</v>
      </c>
      <c r="AB148" s="6" t="s">
        <v>98</v>
      </c>
      <c r="AC148" s="12">
        <f>IFERROR(Tableau1[[#This Row],[Marketing €/m²]]*Tableau1[[#This Row],[Surface GLA]],)</f>
        <v>0</v>
      </c>
      <c r="AD148" s="6" t="s">
        <v>98</v>
      </c>
      <c r="AE148" s="12">
        <f>IFERROR(Tableau1[[#This Row],[Loyer annuel]]+Tableau1[[#This Row],[Charges annuelles]]+Tableau1[[#This Row],[Taxe foncière]]+Tableau1[[#This Row],[Marketing]],"")</f>
        <v>85120</v>
      </c>
      <c r="AF148" s="12" t="str">
        <f t="shared" si="6"/>
        <v>3 mois = 19 600 €</v>
      </c>
      <c r="AG148" s="6" t="s">
        <v>98</v>
      </c>
      <c r="AH148" s="6" t="s">
        <v>98</v>
      </c>
      <c r="AI148" s="12" t="s">
        <v>373</v>
      </c>
      <c r="AJ148" s="10" t="s">
        <v>53</v>
      </c>
      <c r="AK148" s="10" t="s">
        <v>362</v>
      </c>
      <c r="AL148" s="10" t="s">
        <v>993</v>
      </c>
      <c r="AM148" s="11" t="s">
        <v>1148</v>
      </c>
      <c r="AN148" s="11"/>
      <c r="AO148" s="5" t="s">
        <v>361</v>
      </c>
      <c r="AP148" s="11" t="s">
        <v>991</v>
      </c>
      <c r="AQ148" s="11" t="s">
        <v>992</v>
      </c>
      <c r="AR148" s="11" t="s">
        <v>983</v>
      </c>
      <c r="AS148" s="36" t="s">
        <v>994</v>
      </c>
      <c r="AT148" s="11" t="s">
        <v>70</v>
      </c>
      <c r="AU148" s="11" t="s">
        <v>988</v>
      </c>
      <c r="AV148" s="13" t="s">
        <v>37</v>
      </c>
      <c r="AW148" s="14"/>
      <c r="AX148" s="44"/>
      <c r="AZ148" s="1"/>
      <c r="BF148"/>
      <c r="BG148" s="1"/>
    </row>
    <row r="149" spans="1:59" ht="25.5">
      <c r="A149" s="38" t="str">
        <f>VLOOKUP(Tableau1[[#This Row],[N° Département]],Feuil1!$C$6:$E$106,3)</f>
        <v>Grand Est</v>
      </c>
      <c r="B149" s="38" t="str">
        <f>VLOOKUP(Tableau1[[#This Row],[N° Département]],Feuil1!$C$6:$E$106,2)</f>
        <v>Haut-Rhin</v>
      </c>
      <c r="C149" s="38">
        <f>LEFT(Tableau1[[#This Row],[Code Postal]],2)*1</f>
        <v>68</v>
      </c>
      <c r="D149" s="10" t="s">
        <v>1000</v>
      </c>
      <c r="E149" s="26">
        <v>68330</v>
      </c>
      <c r="F149" s="10" t="s">
        <v>867</v>
      </c>
      <c r="G149" s="39" t="str">
        <f>Tableau1[[#This Row],[Rue]]&amp;CHAR(10)&amp;Tableau1[[#This Row],[Code Postal]]&amp;" - "&amp;Tableau1[[#This Row],[Ville]]</f>
        <v>5 avenue d'Alsace
68330 - Huningue</v>
      </c>
      <c r="H149" s="15" t="s">
        <v>1002</v>
      </c>
      <c r="I149" s="12" t="s">
        <v>45</v>
      </c>
      <c r="J149" s="12" t="s">
        <v>50</v>
      </c>
      <c r="K149" s="12" t="s">
        <v>98</v>
      </c>
      <c r="L149" s="12"/>
      <c r="M149" s="12" t="s">
        <v>98</v>
      </c>
      <c r="N149" s="36" t="s">
        <v>1001</v>
      </c>
      <c r="O149" s="34">
        <v>287</v>
      </c>
      <c r="P149" s="6" t="s">
        <v>98</v>
      </c>
      <c r="Q149" s="34" t="s">
        <v>98</v>
      </c>
      <c r="R149" s="34" t="s">
        <v>98</v>
      </c>
      <c r="S149" s="6" t="s">
        <v>98</v>
      </c>
      <c r="T149" s="12">
        <f>Tableau1[[#This Row],[Loyer €/m²]]*Tableau1[[#This Row],[Surface GLA]]</f>
        <v>0</v>
      </c>
      <c r="U149" s="12">
        <f>IFERROR(Tableau1[[#This Row],[Loyer annuel]]/12,"")</f>
        <v>0</v>
      </c>
      <c r="V149" s="12"/>
      <c r="W149" s="6" t="s">
        <v>98</v>
      </c>
      <c r="X149" s="6">
        <f>Tableau1[[#This Row],[Charges €/m²]]*Tableau1[[#This Row],[Surface GLA]]</f>
        <v>0</v>
      </c>
      <c r="Y149" s="12">
        <f>Tableau1[[#This Row],[Charges annuelles]]/12</f>
        <v>0</v>
      </c>
      <c r="Z149" s="12"/>
      <c r="AA149" s="12">
        <f>IFERROR(Tableau1[[#This Row],[Taxe foncière €/m²]]*Tableau1[[#This Row],[Surface GLA]],)</f>
        <v>0</v>
      </c>
      <c r="AB149" s="6" t="s">
        <v>98</v>
      </c>
      <c r="AC149" s="12">
        <f>IFERROR(Tableau1[[#This Row],[Marketing €/m²]]*Tableau1[[#This Row],[Surface GLA]],)</f>
        <v>0</v>
      </c>
      <c r="AD149" s="6" t="s">
        <v>98</v>
      </c>
      <c r="AE149" s="12">
        <f>IFERROR(Tableau1[[#This Row],[Loyer annuel]]+Tableau1[[#This Row],[Charges annuelles]]+Tableau1[[#This Row],[Taxe foncière]]+Tableau1[[#This Row],[Marketing]],"")</f>
        <v>0</v>
      </c>
      <c r="AF149" s="12"/>
      <c r="AG149" s="6" t="s">
        <v>98</v>
      </c>
      <c r="AH149" s="6" t="s">
        <v>98</v>
      </c>
      <c r="AI149" s="12" t="s">
        <v>373</v>
      </c>
      <c r="AJ149" s="10" t="s">
        <v>369</v>
      </c>
      <c r="AK149" s="10" t="s">
        <v>363</v>
      </c>
      <c r="AL149" s="10"/>
      <c r="AM149" s="11" t="s">
        <v>1013</v>
      </c>
      <c r="AN149" s="11"/>
      <c r="AO149" s="5" t="s">
        <v>361</v>
      </c>
      <c r="AP149" s="11" t="s">
        <v>1003</v>
      </c>
      <c r="AQ149" s="11" t="s">
        <v>1004</v>
      </c>
      <c r="AR149" s="11">
        <v>33</v>
      </c>
      <c r="AS149" s="36" t="s">
        <v>1014</v>
      </c>
      <c r="AT149" s="11" t="s">
        <v>53</v>
      </c>
      <c r="AU149" s="11"/>
      <c r="AV149" s="13" t="s">
        <v>1011</v>
      </c>
      <c r="AW149" s="14"/>
      <c r="AX149" s="44"/>
      <c r="AZ149" s="1"/>
      <c r="BF149"/>
      <c r="BG149" s="1"/>
    </row>
    <row r="150" spans="1:59" ht="38.25">
      <c r="A150" s="38" t="str">
        <f>VLOOKUP(Tableau1[[#This Row],[N° Département]],Feuil1!$C$6:$E$106,3)</f>
        <v>Centre-Val de Loire</v>
      </c>
      <c r="B150" s="38" t="str">
        <f>VLOOKUP(Tableau1[[#This Row],[N° Département]],Feuil1!$C$6:$E$106,2)</f>
        <v>Indre-et-Loire</v>
      </c>
      <c r="C150" s="38">
        <f>LEFT(Tableau1[[#This Row],[Code Postal]],2)*1</f>
        <v>37</v>
      </c>
      <c r="D150" s="10" t="s">
        <v>1006</v>
      </c>
      <c r="E150" s="26">
        <v>37600</v>
      </c>
      <c r="F150" s="10" t="s">
        <v>868</v>
      </c>
      <c r="G150" s="39" t="str">
        <f>Tableau1[[#This Row],[Rue]]&amp;CHAR(10)&amp;Tableau1[[#This Row],[Code Postal]]&amp;" - "&amp;Tableau1[[#This Row],[Ville]]</f>
        <v>Super U 38 Route de Vauzelles, Rue du Bon Raisin
37600 - Loches</v>
      </c>
      <c r="H150" s="15" t="s">
        <v>1005</v>
      </c>
      <c r="I150" s="12" t="s">
        <v>47</v>
      </c>
      <c r="J150" s="12" t="s">
        <v>51</v>
      </c>
      <c r="K150" s="12" t="s">
        <v>98</v>
      </c>
      <c r="L150" s="12"/>
      <c r="M150" s="12">
        <v>25000</v>
      </c>
      <c r="N150" s="36" t="s">
        <v>329</v>
      </c>
      <c r="O150" s="34">
        <v>73</v>
      </c>
      <c r="P150" s="6" t="s">
        <v>98</v>
      </c>
      <c r="Q150" s="34" t="s">
        <v>98</v>
      </c>
      <c r="R150" s="34" t="s">
        <v>98</v>
      </c>
      <c r="S150" s="6" t="s">
        <v>98</v>
      </c>
      <c r="T150" s="12">
        <f>Tableau1[[#This Row],[Loyer €/m²]]*Tableau1[[#This Row],[Surface GLA]]</f>
        <v>25550</v>
      </c>
      <c r="U150" s="12">
        <f>IFERROR(Tableau1[[#This Row],[Loyer annuel]]/12,"")</f>
        <v>2129.1666666666665</v>
      </c>
      <c r="V150" s="12">
        <v>350</v>
      </c>
      <c r="W150" s="6" t="s">
        <v>98</v>
      </c>
      <c r="X150" s="6">
        <f>Tableau1[[#This Row],[Charges €/m²]]*Tableau1[[#This Row],[Surface GLA]]</f>
        <v>0</v>
      </c>
      <c r="Y150" s="12">
        <f>Tableau1[[#This Row],[Charges annuelles]]/12</f>
        <v>0</v>
      </c>
      <c r="Z150" s="12"/>
      <c r="AA150" s="12">
        <f>IFERROR(Tableau1[[#This Row],[Taxe foncière €/m²]]*Tableau1[[#This Row],[Surface GLA]],)</f>
        <v>0</v>
      </c>
      <c r="AB150" s="6" t="s">
        <v>98</v>
      </c>
      <c r="AC150" s="12">
        <f>IFERROR(Tableau1[[#This Row],[Marketing €/m²]]*Tableau1[[#This Row],[Surface GLA]],)</f>
        <v>0</v>
      </c>
      <c r="AD150" s="6" t="s">
        <v>98</v>
      </c>
      <c r="AE150" s="12">
        <f>IFERROR(Tableau1[[#This Row],[Loyer annuel]]+Tableau1[[#This Row],[Charges annuelles]]+Tableau1[[#This Row],[Taxe foncière]]+Tableau1[[#This Row],[Marketing]],"")</f>
        <v>25550</v>
      </c>
      <c r="AF150" s="12" t="str">
        <f>"3 mois = "&amp;TEXT(ROUND(3/12*T150,0),"### ### ##0 €")</f>
        <v>3 mois = 6 388 €</v>
      </c>
      <c r="AG150" s="6" t="s">
        <v>98</v>
      </c>
      <c r="AH150" s="6" t="s">
        <v>98</v>
      </c>
      <c r="AI150" s="12" t="s">
        <v>357</v>
      </c>
      <c r="AJ150" s="10" t="s">
        <v>53</v>
      </c>
      <c r="AK150" s="10" t="s">
        <v>98</v>
      </c>
      <c r="AL150" s="10" t="s">
        <v>1007</v>
      </c>
      <c r="AM150" s="11" t="s">
        <v>1807</v>
      </c>
      <c r="AN150" s="11"/>
      <c r="AO150" s="5" t="s">
        <v>361</v>
      </c>
      <c r="AP150" s="11" t="s">
        <v>1008</v>
      </c>
      <c r="AQ150" s="11" t="s">
        <v>1009</v>
      </c>
      <c r="AR150" s="11">
        <v>34</v>
      </c>
      <c r="AS150" s="36" t="s">
        <v>1809</v>
      </c>
      <c r="AT150" s="11" t="s">
        <v>70</v>
      </c>
      <c r="AU150" s="43" t="s">
        <v>1012</v>
      </c>
      <c r="AV150" s="13" t="s">
        <v>1010</v>
      </c>
      <c r="AW150" s="14"/>
      <c r="AX150" s="44">
        <v>45999</v>
      </c>
      <c r="AZ150" s="1"/>
      <c r="BF150"/>
      <c r="BG150" s="1"/>
    </row>
    <row r="151" spans="1:59" ht="38.25">
      <c r="A151" s="38" t="str">
        <f>VLOOKUP(Tableau1[[#This Row],[N° Département]],Feuil1!$C$6:$E$106,3)</f>
        <v>Centre-Val de Loire</v>
      </c>
      <c r="B151" s="38" t="str">
        <f>VLOOKUP(Tableau1[[#This Row],[N° Département]],Feuil1!$C$6:$E$106,2)</f>
        <v>Indre-et-Loire</v>
      </c>
      <c r="C151" s="38">
        <f>LEFT(Tableau1[[#This Row],[Code Postal]],2)*1</f>
        <v>37</v>
      </c>
      <c r="D151" s="10" t="s">
        <v>1006</v>
      </c>
      <c r="E151" s="26">
        <v>37600</v>
      </c>
      <c r="F151" s="10" t="s">
        <v>868</v>
      </c>
      <c r="G151" s="39" t="str">
        <f>Tableau1[[#This Row],[Rue]]&amp;CHAR(10)&amp;Tableau1[[#This Row],[Code Postal]]&amp;" - "&amp;Tableau1[[#This Row],[Ville]]</f>
        <v>Super U 38 Route de Vauzelles, Rue du Bon Raisin
37600 - Loches</v>
      </c>
      <c r="H151" s="15" t="s">
        <v>1015</v>
      </c>
      <c r="I151" s="12" t="s">
        <v>47</v>
      </c>
      <c r="J151" s="12" t="s">
        <v>50</v>
      </c>
      <c r="K151" s="12" t="s">
        <v>98</v>
      </c>
      <c r="L151" s="12"/>
      <c r="M151" s="12">
        <f>100*Tableau1[[#This Row],[Surface GLA]]</f>
        <v>20000</v>
      </c>
      <c r="N151" s="36" t="s">
        <v>329</v>
      </c>
      <c r="O151" s="34">
        <v>200</v>
      </c>
      <c r="P151" s="6" t="s">
        <v>98</v>
      </c>
      <c r="Q151" s="34">
        <v>6200</v>
      </c>
      <c r="R151" s="34" t="s">
        <v>98</v>
      </c>
      <c r="S151" s="6" t="s">
        <v>98</v>
      </c>
      <c r="T151" s="12">
        <f>Tableau1[[#This Row],[Loyer €/m²]]*Tableau1[[#This Row],[Surface GLA]]</f>
        <v>40000</v>
      </c>
      <c r="U151" s="12">
        <f>IFERROR(Tableau1[[#This Row],[Loyer annuel]]/12,"")</f>
        <v>3333.3333333333335</v>
      </c>
      <c r="V151" s="12">
        <v>200</v>
      </c>
      <c r="W151" s="6" t="s">
        <v>98</v>
      </c>
      <c r="X151" s="6">
        <f>Tableau1[[#This Row],[Charges €/m²]]*Tableau1[[#This Row],[Surface GLA]]</f>
        <v>10000</v>
      </c>
      <c r="Y151" s="12">
        <f>Tableau1[[#This Row],[Charges annuelles]]/12</f>
        <v>833.33333333333337</v>
      </c>
      <c r="Z151" s="12">
        <v>50</v>
      </c>
      <c r="AA151" s="12">
        <f>IFERROR(Tableau1[[#This Row],[Taxe foncière €/m²]]*Tableau1[[#This Row],[Surface GLA]],)</f>
        <v>6000</v>
      </c>
      <c r="AB151" s="6">
        <v>30</v>
      </c>
      <c r="AC151" s="12">
        <f>IFERROR(Tableau1[[#This Row],[Marketing €/m²]]*Tableau1[[#This Row],[Surface GLA]],)</f>
        <v>0</v>
      </c>
      <c r="AD151" s="6" t="s">
        <v>98</v>
      </c>
      <c r="AE151" s="12">
        <f>IFERROR(Tableau1[[#This Row],[Loyer annuel]]+Tableau1[[#This Row],[Charges annuelles]]+Tableau1[[#This Row],[Taxe foncière]]+Tableau1[[#This Row],[Marketing]],"")</f>
        <v>56000</v>
      </c>
      <c r="AF151" s="12" t="str">
        <f t="shared" ref="AF151:AF193" si="7">"3 mois = "&amp;TEXT(ROUND(3/12*T151,0),"### ### ##0 €")</f>
        <v>3 mois = 10 000 €</v>
      </c>
      <c r="AG151" s="6" t="s">
        <v>98</v>
      </c>
      <c r="AH151" s="6" t="s">
        <v>98</v>
      </c>
      <c r="AI151" s="12" t="s">
        <v>373</v>
      </c>
      <c r="AJ151" s="10" t="s">
        <v>53</v>
      </c>
      <c r="AK151" s="10" t="s">
        <v>98</v>
      </c>
      <c r="AL151" s="10" t="s">
        <v>1019</v>
      </c>
      <c r="AM151" s="11" t="s">
        <v>1016</v>
      </c>
      <c r="AN151" s="11"/>
      <c r="AO151" s="5" t="s">
        <v>361</v>
      </c>
      <c r="AP151" s="11" t="s">
        <v>1024</v>
      </c>
      <c r="AQ151" s="11" t="s">
        <v>1025</v>
      </c>
      <c r="AR151" s="11" t="s">
        <v>1017</v>
      </c>
      <c r="AS151" s="36" t="s">
        <v>1034</v>
      </c>
      <c r="AT151" s="11" t="s">
        <v>70</v>
      </c>
      <c r="AU151" s="11" t="s">
        <v>1018</v>
      </c>
      <c r="AV151" s="13" t="s">
        <v>1010</v>
      </c>
      <c r="AW151" s="14"/>
      <c r="AX151" s="44">
        <v>45999</v>
      </c>
      <c r="AZ151" s="1"/>
      <c r="BF151"/>
      <c r="BG151" s="1"/>
    </row>
    <row r="152" spans="1:59" ht="38.25">
      <c r="A152" s="38" t="str">
        <f>VLOOKUP(Tableau1[[#This Row],[N° Département]],Feuil1!$C$6:$E$106,3)</f>
        <v>Centre-Val de Loire</v>
      </c>
      <c r="B152" s="38" t="str">
        <f>VLOOKUP(Tableau1[[#This Row],[N° Département]],Feuil1!$C$6:$E$106,2)</f>
        <v>Indre-et-Loire</v>
      </c>
      <c r="C152" s="38">
        <f>LEFT(Tableau1[[#This Row],[Code Postal]],2)*1</f>
        <v>37</v>
      </c>
      <c r="D152" s="10" t="s">
        <v>1006</v>
      </c>
      <c r="E152" s="26">
        <v>37600</v>
      </c>
      <c r="F152" s="10" t="s">
        <v>868</v>
      </c>
      <c r="G152" s="39" t="str">
        <f>Tableau1[[#This Row],[Rue]]&amp;CHAR(10)&amp;Tableau1[[#This Row],[Code Postal]]&amp;" - "&amp;Tableau1[[#This Row],[Ville]]</f>
        <v>Super U 38 Route de Vauzelles, Rue du Bon Raisin
37600 - Loches</v>
      </c>
      <c r="H152" s="15" t="s">
        <v>1015</v>
      </c>
      <c r="I152" s="12" t="s">
        <v>47</v>
      </c>
      <c r="J152" s="12" t="s">
        <v>50</v>
      </c>
      <c r="K152" s="12" t="s">
        <v>98</v>
      </c>
      <c r="L152" s="12"/>
      <c r="M152" s="12">
        <f>100*Tableau1[[#This Row],[Surface GLA]]</f>
        <v>50000</v>
      </c>
      <c r="N152" s="36" t="s">
        <v>330</v>
      </c>
      <c r="O152" s="34">
        <v>500</v>
      </c>
      <c r="P152" s="6" t="s">
        <v>98</v>
      </c>
      <c r="Q152" s="34">
        <v>6200</v>
      </c>
      <c r="R152" s="34" t="s">
        <v>98</v>
      </c>
      <c r="S152" s="6" t="s">
        <v>98</v>
      </c>
      <c r="T152" s="12">
        <f>Tableau1[[#This Row],[Loyer €/m²]]*Tableau1[[#This Row],[Surface GLA]]</f>
        <v>100000</v>
      </c>
      <c r="U152" s="12">
        <f>IFERROR(Tableau1[[#This Row],[Loyer annuel]]/12,"")</f>
        <v>8333.3333333333339</v>
      </c>
      <c r="V152" s="12">
        <v>200</v>
      </c>
      <c r="W152" s="6" t="s">
        <v>98</v>
      </c>
      <c r="X152" s="6">
        <f>Tableau1[[#This Row],[Charges €/m²]]*Tableau1[[#This Row],[Surface GLA]]</f>
        <v>25000</v>
      </c>
      <c r="Y152" s="12">
        <f>Tableau1[[#This Row],[Charges annuelles]]/12</f>
        <v>2083.3333333333335</v>
      </c>
      <c r="Z152" s="12">
        <v>50</v>
      </c>
      <c r="AA152" s="12">
        <f>IFERROR(Tableau1[[#This Row],[Taxe foncière €/m²]]*Tableau1[[#This Row],[Surface GLA]],)</f>
        <v>15000</v>
      </c>
      <c r="AB152" s="6">
        <v>30</v>
      </c>
      <c r="AC152" s="12">
        <f>IFERROR(Tableau1[[#This Row],[Marketing €/m²]]*Tableau1[[#This Row],[Surface GLA]],)</f>
        <v>0</v>
      </c>
      <c r="AD152" s="6" t="s">
        <v>98</v>
      </c>
      <c r="AE152" s="12">
        <f>IFERROR(Tableau1[[#This Row],[Loyer annuel]]+Tableau1[[#This Row],[Charges annuelles]]+Tableau1[[#This Row],[Taxe foncière]]+Tableau1[[#This Row],[Marketing]],"")</f>
        <v>140000</v>
      </c>
      <c r="AF152" s="12" t="str">
        <f t="shared" si="7"/>
        <v>3 mois = 25 000 €</v>
      </c>
      <c r="AG152" s="6" t="s">
        <v>98</v>
      </c>
      <c r="AH152" s="6" t="s">
        <v>98</v>
      </c>
      <c r="AI152" s="12" t="s">
        <v>373</v>
      </c>
      <c r="AJ152" s="10" t="s">
        <v>53</v>
      </c>
      <c r="AK152" s="10" t="s">
        <v>98</v>
      </c>
      <c r="AL152" s="10" t="s">
        <v>1019</v>
      </c>
      <c r="AM152" s="11" t="s">
        <v>1016</v>
      </c>
      <c r="AN152" s="11"/>
      <c r="AO152" s="5" t="s">
        <v>361</v>
      </c>
      <c r="AP152" s="11" t="s">
        <v>1026</v>
      </c>
      <c r="AQ152" s="11" t="s">
        <v>1027</v>
      </c>
      <c r="AR152" s="11" t="s">
        <v>1020</v>
      </c>
      <c r="AS152" s="36" t="s">
        <v>1034</v>
      </c>
      <c r="AT152" s="11" t="s">
        <v>70</v>
      </c>
      <c r="AU152" s="11" t="s">
        <v>1018</v>
      </c>
      <c r="AV152" s="13" t="s">
        <v>1010</v>
      </c>
      <c r="AW152" s="14"/>
      <c r="AX152" s="44">
        <v>45999</v>
      </c>
      <c r="AZ152" s="1"/>
      <c r="BF152"/>
      <c r="BG152" s="1"/>
    </row>
    <row r="153" spans="1:59" ht="38.25">
      <c r="A153" s="38" t="str">
        <f>VLOOKUP(Tableau1[[#This Row],[N° Département]],Feuil1!$C$6:$E$106,3)</f>
        <v>Centre-Val de Loire</v>
      </c>
      <c r="B153" s="38" t="str">
        <f>VLOOKUP(Tableau1[[#This Row],[N° Département]],Feuil1!$C$6:$E$106,2)</f>
        <v>Indre-et-Loire</v>
      </c>
      <c r="C153" s="38">
        <f>LEFT(Tableau1[[#This Row],[Code Postal]],2)*1</f>
        <v>37</v>
      </c>
      <c r="D153" s="10" t="s">
        <v>1006</v>
      </c>
      <c r="E153" s="26">
        <v>37600</v>
      </c>
      <c r="F153" s="10" t="s">
        <v>868</v>
      </c>
      <c r="G153" s="39" t="str">
        <f>Tableau1[[#This Row],[Rue]]&amp;CHAR(10)&amp;Tableau1[[#This Row],[Code Postal]]&amp;" - "&amp;Tableau1[[#This Row],[Ville]]</f>
        <v>Super U 38 Route de Vauzelles, Rue du Bon Raisin
37600 - Loches</v>
      </c>
      <c r="H153" s="15" t="s">
        <v>1015</v>
      </c>
      <c r="I153" s="12" t="s">
        <v>47</v>
      </c>
      <c r="J153" s="12" t="s">
        <v>50</v>
      </c>
      <c r="K153" s="12" t="s">
        <v>98</v>
      </c>
      <c r="L153" s="12"/>
      <c r="M153" s="12">
        <f>100*Tableau1[[#This Row],[Surface GLA]]</f>
        <v>100000</v>
      </c>
      <c r="N153" s="36" t="s">
        <v>351</v>
      </c>
      <c r="O153" s="34">
        <v>1000</v>
      </c>
      <c r="P153" s="6" t="s">
        <v>98</v>
      </c>
      <c r="Q153" s="34">
        <v>6200</v>
      </c>
      <c r="R153" s="34" t="s">
        <v>98</v>
      </c>
      <c r="S153" s="6" t="s">
        <v>98</v>
      </c>
      <c r="T153" s="12">
        <f>Tableau1[[#This Row],[Loyer €/m²]]*Tableau1[[#This Row],[Surface GLA]]</f>
        <v>200000</v>
      </c>
      <c r="U153" s="12">
        <f>IFERROR(Tableau1[[#This Row],[Loyer annuel]]/12,"")</f>
        <v>16666.666666666668</v>
      </c>
      <c r="V153" s="12">
        <v>200</v>
      </c>
      <c r="W153" s="6" t="s">
        <v>98</v>
      </c>
      <c r="X153" s="6">
        <f>Tableau1[[#This Row],[Charges €/m²]]*Tableau1[[#This Row],[Surface GLA]]</f>
        <v>50000</v>
      </c>
      <c r="Y153" s="12">
        <f>Tableau1[[#This Row],[Charges annuelles]]/12</f>
        <v>4166.666666666667</v>
      </c>
      <c r="Z153" s="12">
        <v>50</v>
      </c>
      <c r="AA153" s="12">
        <f>IFERROR(Tableau1[[#This Row],[Taxe foncière €/m²]]*Tableau1[[#This Row],[Surface GLA]],)</f>
        <v>30000</v>
      </c>
      <c r="AB153" s="6">
        <v>30</v>
      </c>
      <c r="AC153" s="12">
        <f>IFERROR(Tableau1[[#This Row],[Marketing €/m²]]*Tableau1[[#This Row],[Surface GLA]],)</f>
        <v>0</v>
      </c>
      <c r="AD153" s="6" t="s">
        <v>98</v>
      </c>
      <c r="AE153" s="12">
        <f>IFERROR(Tableau1[[#This Row],[Loyer annuel]]+Tableau1[[#This Row],[Charges annuelles]]+Tableau1[[#This Row],[Taxe foncière]]+Tableau1[[#This Row],[Marketing]],"")</f>
        <v>280000</v>
      </c>
      <c r="AF153" s="12" t="str">
        <f t="shared" si="7"/>
        <v>3 mois = 50 000 €</v>
      </c>
      <c r="AG153" s="6" t="s">
        <v>98</v>
      </c>
      <c r="AH153" s="6" t="s">
        <v>98</v>
      </c>
      <c r="AI153" s="12" t="s">
        <v>373</v>
      </c>
      <c r="AJ153" s="10" t="s">
        <v>53</v>
      </c>
      <c r="AK153" s="10" t="s">
        <v>98</v>
      </c>
      <c r="AL153" s="10" t="s">
        <v>1019</v>
      </c>
      <c r="AM153" s="11" t="s">
        <v>1016</v>
      </c>
      <c r="AN153" s="11"/>
      <c r="AO153" s="5" t="s">
        <v>361</v>
      </c>
      <c r="AP153" s="11" t="s">
        <v>1028</v>
      </c>
      <c r="AQ153" s="11" t="s">
        <v>1029</v>
      </c>
      <c r="AR153" s="11" t="s">
        <v>1021</v>
      </c>
      <c r="AS153" s="36" t="s">
        <v>1034</v>
      </c>
      <c r="AT153" s="11" t="s">
        <v>70</v>
      </c>
      <c r="AU153" s="11" t="s">
        <v>1018</v>
      </c>
      <c r="AV153" s="13" t="s">
        <v>1010</v>
      </c>
      <c r="AW153" s="14"/>
      <c r="AX153" s="44">
        <v>45999</v>
      </c>
      <c r="AZ153" s="1"/>
      <c r="BF153"/>
      <c r="BG153" s="1"/>
    </row>
    <row r="154" spans="1:59" ht="38.25">
      <c r="A154" s="38" t="str">
        <f>VLOOKUP(Tableau1[[#This Row],[N° Département]],Feuil1!$C$6:$E$106,3)</f>
        <v>Centre-Val de Loire</v>
      </c>
      <c r="B154" s="38" t="str">
        <f>VLOOKUP(Tableau1[[#This Row],[N° Département]],Feuil1!$C$6:$E$106,2)</f>
        <v>Indre-et-Loire</v>
      </c>
      <c r="C154" s="38">
        <f>LEFT(Tableau1[[#This Row],[Code Postal]],2)*1</f>
        <v>37</v>
      </c>
      <c r="D154" s="10" t="s">
        <v>1006</v>
      </c>
      <c r="E154" s="26">
        <v>37600</v>
      </c>
      <c r="F154" s="10" t="s">
        <v>868</v>
      </c>
      <c r="G154" s="39" t="str">
        <f>Tableau1[[#This Row],[Rue]]&amp;CHAR(10)&amp;Tableau1[[#This Row],[Code Postal]]&amp;" - "&amp;Tableau1[[#This Row],[Ville]]</f>
        <v>Super U 38 Route de Vauzelles, Rue du Bon Raisin
37600 - Loches</v>
      </c>
      <c r="H154" s="15" t="s">
        <v>1015</v>
      </c>
      <c r="I154" s="12" t="s">
        <v>47</v>
      </c>
      <c r="J154" s="12" t="s">
        <v>50</v>
      </c>
      <c r="K154" s="12" t="s">
        <v>98</v>
      </c>
      <c r="L154" s="12"/>
      <c r="M154" s="12">
        <f>100*Tableau1[[#This Row],[Surface GLA]]</f>
        <v>200000</v>
      </c>
      <c r="N154" s="36" t="s">
        <v>352</v>
      </c>
      <c r="O154" s="34">
        <v>2000</v>
      </c>
      <c r="P154" s="6" t="s">
        <v>98</v>
      </c>
      <c r="Q154" s="34">
        <v>6200</v>
      </c>
      <c r="R154" s="34" t="s">
        <v>98</v>
      </c>
      <c r="S154" s="6" t="s">
        <v>98</v>
      </c>
      <c r="T154" s="12">
        <f>Tableau1[[#This Row],[Loyer €/m²]]*Tableau1[[#This Row],[Surface GLA]]</f>
        <v>400000</v>
      </c>
      <c r="U154" s="12">
        <f>IFERROR(Tableau1[[#This Row],[Loyer annuel]]/12,"")</f>
        <v>33333.333333333336</v>
      </c>
      <c r="V154" s="12">
        <v>200</v>
      </c>
      <c r="W154" s="6" t="s">
        <v>98</v>
      </c>
      <c r="X154" s="6">
        <f>Tableau1[[#This Row],[Charges €/m²]]*Tableau1[[#This Row],[Surface GLA]]</f>
        <v>100000</v>
      </c>
      <c r="Y154" s="12">
        <f>Tableau1[[#This Row],[Charges annuelles]]/12</f>
        <v>8333.3333333333339</v>
      </c>
      <c r="Z154" s="12">
        <v>50</v>
      </c>
      <c r="AA154" s="12">
        <f>IFERROR(Tableau1[[#This Row],[Taxe foncière €/m²]]*Tableau1[[#This Row],[Surface GLA]],)</f>
        <v>60000</v>
      </c>
      <c r="AB154" s="6">
        <v>30</v>
      </c>
      <c r="AC154" s="12">
        <f>IFERROR(Tableau1[[#This Row],[Marketing €/m²]]*Tableau1[[#This Row],[Surface GLA]],)</f>
        <v>0</v>
      </c>
      <c r="AD154" s="6" t="s">
        <v>98</v>
      </c>
      <c r="AE154" s="12">
        <f>IFERROR(Tableau1[[#This Row],[Loyer annuel]]+Tableau1[[#This Row],[Charges annuelles]]+Tableau1[[#This Row],[Taxe foncière]]+Tableau1[[#This Row],[Marketing]],"")</f>
        <v>560000</v>
      </c>
      <c r="AF154" s="12" t="str">
        <f t="shared" si="7"/>
        <v>3 mois = 100 000 €</v>
      </c>
      <c r="AG154" s="6" t="s">
        <v>98</v>
      </c>
      <c r="AH154" s="6" t="s">
        <v>98</v>
      </c>
      <c r="AI154" s="12" t="s">
        <v>373</v>
      </c>
      <c r="AJ154" s="10" t="s">
        <v>53</v>
      </c>
      <c r="AK154" s="10" t="s">
        <v>98</v>
      </c>
      <c r="AL154" s="10" t="s">
        <v>1019</v>
      </c>
      <c r="AM154" s="11" t="s">
        <v>1016</v>
      </c>
      <c r="AN154" s="11"/>
      <c r="AO154" s="5" t="s">
        <v>361</v>
      </c>
      <c r="AP154" s="11" t="s">
        <v>1030</v>
      </c>
      <c r="AQ154" s="11" t="s">
        <v>1031</v>
      </c>
      <c r="AR154" s="11" t="s">
        <v>1022</v>
      </c>
      <c r="AS154" s="36" t="s">
        <v>1034</v>
      </c>
      <c r="AT154" s="11" t="s">
        <v>70</v>
      </c>
      <c r="AU154" s="11" t="s">
        <v>1018</v>
      </c>
      <c r="AV154" s="13" t="s">
        <v>1010</v>
      </c>
      <c r="AW154" s="14"/>
      <c r="AX154" s="44">
        <v>45999</v>
      </c>
      <c r="AZ154" s="1"/>
      <c r="BF154"/>
      <c r="BG154" s="1"/>
    </row>
    <row r="155" spans="1:59" ht="38.25">
      <c r="A155" s="38" t="str">
        <f>VLOOKUP(Tableau1[[#This Row],[N° Département]],Feuil1!$C$6:$E$106,3)</f>
        <v>Centre-Val de Loire</v>
      </c>
      <c r="B155" s="38" t="str">
        <f>VLOOKUP(Tableau1[[#This Row],[N° Département]],Feuil1!$C$6:$E$106,2)</f>
        <v>Indre-et-Loire</v>
      </c>
      <c r="C155" s="38">
        <f>LEFT(Tableau1[[#This Row],[Code Postal]],2)*1</f>
        <v>37</v>
      </c>
      <c r="D155" s="10" t="s">
        <v>1006</v>
      </c>
      <c r="E155" s="26">
        <v>37600</v>
      </c>
      <c r="F155" s="10" t="s">
        <v>868</v>
      </c>
      <c r="G155" s="39" t="str">
        <f>Tableau1[[#This Row],[Rue]]&amp;CHAR(10)&amp;Tableau1[[#This Row],[Code Postal]]&amp;" - "&amp;Tableau1[[#This Row],[Ville]]</f>
        <v>Super U 38 Route de Vauzelles, Rue du Bon Raisin
37600 - Loches</v>
      </c>
      <c r="H155" s="15" t="s">
        <v>1015</v>
      </c>
      <c r="I155" s="12" t="s">
        <v>47</v>
      </c>
      <c r="J155" s="12" t="s">
        <v>50</v>
      </c>
      <c r="K155" s="12" t="s">
        <v>98</v>
      </c>
      <c r="L155" s="12"/>
      <c r="M155" s="12">
        <f>100*Tableau1[[#This Row],[Surface GLA]]</f>
        <v>500000</v>
      </c>
      <c r="N155" s="36" t="s">
        <v>353</v>
      </c>
      <c r="O155" s="34">
        <v>5000</v>
      </c>
      <c r="P155" s="6" t="s">
        <v>98</v>
      </c>
      <c r="Q155" s="34">
        <v>6200</v>
      </c>
      <c r="R155" s="34" t="s">
        <v>98</v>
      </c>
      <c r="S155" s="6" t="s">
        <v>98</v>
      </c>
      <c r="T155" s="12">
        <f>Tableau1[[#This Row],[Loyer €/m²]]*Tableau1[[#This Row],[Surface GLA]]</f>
        <v>1000000</v>
      </c>
      <c r="U155" s="12">
        <f>IFERROR(Tableau1[[#This Row],[Loyer annuel]]/12,"")</f>
        <v>83333.333333333328</v>
      </c>
      <c r="V155" s="12">
        <v>200</v>
      </c>
      <c r="W155" s="6" t="s">
        <v>98</v>
      </c>
      <c r="X155" s="6">
        <f>Tableau1[[#This Row],[Charges €/m²]]*Tableau1[[#This Row],[Surface GLA]]</f>
        <v>250000</v>
      </c>
      <c r="Y155" s="12">
        <f>Tableau1[[#This Row],[Charges annuelles]]/12</f>
        <v>20833.333333333332</v>
      </c>
      <c r="Z155" s="12">
        <v>50</v>
      </c>
      <c r="AA155" s="12">
        <f>IFERROR(Tableau1[[#This Row],[Taxe foncière €/m²]]*Tableau1[[#This Row],[Surface GLA]],)</f>
        <v>150000</v>
      </c>
      <c r="AB155" s="6">
        <v>30</v>
      </c>
      <c r="AC155" s="12">
        <f>IFERROR(Tableau1[[#This Row],[Marketing €/m²]]*Tableau1[[#This Row],[Surface GLA]],)</f>
        <v>0</v>
      </c>
      <c r="AD155" s="6" t="s">
        <v>98</v>
      </c>
      <c r="AE155" s="12">
        <f>IFERROR(Tableau1[[#This Row],[Loyer annuel]]+Tableau1[[#This Row],[Charges annuelles]]+Tableau1[[#This Row],[Taxe foncière]]+Tableau1[[#This Row],[Marketing]],"")</f>
        <v>1400000</v>
      </c>
      <c r="AF155" s="12" t="str">
        <f t="shared" si="7"/>
        <v>3 mois = 250 000 €</v>
      </c>
      <c r="AG155" s="6" t="s">
        <v>98</v>
      </c>
      <c r="AH155" s="6" t="s">
        <v>98</v>
      </c>
      <c r="AI155" s="12" t="s">
        <v>373</v>
      </c>
      <c r="AJ155" s="10" t="s">
        <v>53</v>
      </c>
      <c r="AK155" s="10" t="s">
        <v>98</v>
      </c>
      <c r="AL155" s="10" t="s">
        <v>1019</v>
      </c>
      <c r="AM155" s="11" t="s">
        <v>1016</v>
      </c>
      <c r="AN155" s="11"/>
      <c r="AO155" s="5" t="s">
        <v>361</v>
      </c>
      <c r="AP155" s="11" t="s">
        <v>1032</v>
      </c>
      <c r="AQ155" s="11" t="s">
        <v>1033</v>
      </c>
      <c r="AR155" s="11" t="s">
        <v>1023</v>
      </c>
      <c r="AS155" s="36" t="s">
        <v>1034</v>
      </c>
      <c r="AT155" s="11" t="s">
        <v>70</v>
      </c>
      <c r="AU155" s="11" t="s">
        <v>1018</v>
      </c>
      <c r="AV155" s="13" t="s">
        <v>1010</v>
      </c>
      <c r="AW155" s="14"/>
      <c r="AX155" s="44">
        <v>45999</v>
      </c>
      <c r="AZ155" s="1"/>
      <c r="BF155"/>
      <c r="BG155" s="1"/>
    </row>
    <row r="156" spans="1:59" ht="25.5">
      <c r="A156" s="38" t="str">
        <f>VLOOKUP(Tableau1[[#This Row],[N° Département]],Feuil1!$C$6:$E$106,3)</f>
        <v>Provence-Alpes-Côte d'Azur</v>
      </c>
      <c r="B156" s="38" t="str">
        <f>VLOOKUP(Tableau1[[#This Row],[N° Département]],Feuil1!$C$6:$E$106,2)</f>
        <v>Bouches-du-Rhône</v>
      </c>
      <c r="C156" s="38">
        <f>LEFT(Tableau1[[#This Row],[Code Postal]],2)*1</f>
        <v>13</v>
      </c>
      <c r="D156" s="10" t="s">
        <v>1062</v>
      </c>
      <c r="E156" s="26">
        <v>13127</v>
      </c>
      <c r="F156" s="10" t="s">
        <v>1058</v>
      </c>
      <c r="G156" s="39" t="str">
        <f>Tableau1[[#This Row],[Rue]]&amp;CHAR(10)&amp;Tableau1[[#This Row],[Code Postal]]&amp;" - "&amp;Tableau1[[#This Row],[Ville]]</f>
        <v>14 Boulevard de l'Europe
13127 - Vitrolles</v>
      </c>
      <c r="H156" s="15" t="s">
        <v>1063</v>
      </c>
      <c r="I156" s="12" t="s">
        <v>47</v>
      </c>
      <c r="J156" s="12" t="s">
        <v>48</v>
      </c>
      <c r="K156" s="10" t="s">
        <v>98</v>
      </c>
      <c r="L156" s="10" t="s">
        <v>1375</v>
      </c>
      <c r="M156" s="12" t="s">
        <v>98</v>
      </c>
      <c r="N156" s="36" t="s">
        <v>1160</v>
      </c>
      <c r="O156" s="34">
        <v>181</v>
      </c>
      <c r="P156" s="6" t="s">
        <v>98</v>
      </c>
      <c r="Q156" s="34" t="s">
        <v>98</v>
      </c>
      <c r="R156" s="34" t="s">
        <v>98</v>
      </c>
      <c r="S156" s="6" t="s">
        <v>98</v>
      </c>
      <c r="T156" s="12">
        <f>Tableau1[[#This Row],[Loyer €/m²]]*Tableau1[[#This Row],[Surface GLA]]</f>
        <v>45250</v>
      </c>
      <c r="U156" s="12">
        <f>IFERROR(Tableau1[[#This Row],[Loyer annuel]]/12,"")</f>
        <v>3770.8333333333335</v>
      </c>
      <c r="V156" s="12">
        <v>250</v>
      </c>
      <c r="W156" s="6" t="s">
        <v>98</v>
      </c>
      <c r="X156" s="6">
        <f>Tableau1[[#This Row],[Charges €/m²]]*Tableau1[[#This Row],[Surface GLA]]</f>
        <v>1306.82</v>
      </c>
      <c r="Y156" s="12">
        <f>Tableau1[[#This Row],[Charges annuelles]]/12</f>
        <v>108.90166666666666</v>
      </c>
      <c r="Z156" s="12">
        <v>7.22</v>
      </c>
      <c r="AA156" s="12">
        <f>IFERROR(Tableau1[[#This Row],[Taxe foncière €/m²]]*Tableau1[[#This Row],[Surface GLA]],)</f>
        <v>2360.2399999999998</v>
      </c>
      <c r="AB156" s="12">
        <v>13.04</v>
      </c>
      <c r="AC156" s="12">
        <f>IFERROR(Tableau1[[#This Row],[Marketing €/m²]]*Tableau1[[#This Row],[Surface GLA]],)</f>
        <v>0</v>
      </c>
      <c r="AD156" s="6" t="s">
        <v>98</v>
      </c>
      <c r="AE156" s="12">
        <f>IFERROR(Tableau1[[#This Row],[Loyer annuel]]+Tableau1[[#This Row],[Charges annuelles]]+Tableau1[[#This Row],[Taxe foncière]]+Tableau1[[#This Row],[Marketing]],"")</f>
        <v>48917.06</v>
      </c>
      <c r="AF156" s="12" t="str">
        <f t="shared" si="7"/>
        <v>3 mois = 11 313 €</v>
      </c>
      <c r="AG156" s="6" t="s">
        <v>98</v>
      </c>
      <c r="AH156" s="46">
        <v>0.05</v>
      </c>
      <c r="AI156" s="12" t="s">
        <v>357</v>
      </c>
      <c r="AJ156" s="10" t="s">
        <v>70</v>
      </c>
      <c r="AK156" s="10" t="s">
        <v>363</v>
      </c>
      <c r="AL156" s="10" t="s">
        <v>1107</v>
      </c>
      <c r="AM156" s="11" t="s">
        <v>1407</v>
      </c>
      <c r="AN156" s="11" t="s">
        <v>1371</v>
      </c>
      <c r="AO156" s="5" t="s">
        <v>361</v>
      </c>
      <c r="AP156" s="11">
        <v>43.4393873</v>
      </c>
      <c r="AQ156" s="11">
        <v>5.2419589999999996</v>
      </c>
      <c r="AR156" s="11" t="s">
        <v>1164</v>
      </c>
      <c r="AS156" s="36" t="s">
        <v>1219</v>
      </c>
      <c r="AT156" s="11" t="s">
        <v>70</v>
      </c>
      <c r="AU156" s="11" t="s">
        <v>1159</v>
      </c>
      <c r="AV156" s="13" t="s">
        <v>1104</v>
      </c>
      <c r="AW156" s="14"/>
      <c r="AX156" s="44">
        <v>46003</v>
      </c>
      <c r="AZ156" s="1"/>
      <c r="BF156"/>
      <c r="BG156" s="1"/>
    </row>
    <row r="157" spans="1:59" ht="38.25">
      <c r="A157" s="38" t="str">
        <f>VLOOKUP(Tableau1[[#This Row],[N° Département]],Feuil1!$C$6:$E$106,3)</f>
        <v>Provence-Alpes-Côte d'Azur</v>
      </c>
      <c r="B157" s="38" t="str">
        <f>VLOOKUP(Tableau1[[#This Row],[N° Département]],Feuil1!$C$6:$E$106,2)</f>
        <v>Bouches-du-Rhône</v>
      </c>
      <c r="C157" s="38">
        <f>LEFT(Tableau1[[#This Row],[Code Postal]],2)*1</f>
        <v>13</v>
      </c>
      <c r="D157" s="10" t="s">
        <v>1062</v>
      </c>
      <c r="E157" s="26">
        <v>13127</v>
      </c>
      <c r="F157" s="10" t="s">
        <v>1058</v>
      </c>
      <c r="G157" s="39" t="str">
        <f>Tableau1[[#This Row],[Rue]]&amp;CHAR(10)&amp;Tableau1[[#This Row],[Code Postal]]&amp;" - "&amp;Tableau1[[#This Row],[Ville]]</f>
        <v>14 Boulevard de l'Europe
13127 - Vitrolles</v>
      </c>
      <c r="H157" s="15" t="s">
        <v>1063</v>
      </c>
      <c r="I157" s="12" t="s">
        <v>47</v>
      </c>
      <c r="J157" s="12" t="s">
        <v>48</v>
      </c>
      <c r="K157" s="10" t="s">
        <v>1179</v>
      </c>
      <c r="L157" s="10"/>
      <c r="M157" s="12" t="s">
        <v>98</v>
      </c>
      <c r="N157" s="36" t="s">
        <v>1161</v>
      </c>
      <c r="O157" s="34">
        <v>100</v>
      </c>
      <c r="P157" s="6" t="s">
        <v>98</v>
      </c>
      <c r="Q157" s="34"/>
      <c r="R157" s="34" t="s">
        <v>98</v>
      </c>
      <c r="S157" s="6" t="s">
        <v>98</v>
      </c>
      <c r="T157" s="12">
        <f>Tableau1[[#This Row],[Loyer €/m²]]*Tableau1[[#This Row],[Surface GLA]]</f>
        <v>20000</v>
      </c>
      <c r="U157" s="12">
        <f>IFERROR(Tableau1[[#This Row],[Loyer annuel]]/12,"")</f>
        <v>1666.6666666666667</v>
      </c>
      <c r="V157" s="12">
        <v>200</v>
      </c>
      <c r="W157" s="6" t="s">
        <v>98</v>
      </c>
      <c r="X157" s="6">
        <f>Tableau1[[#This Row],[Charges €/m²]]*Tableau1[[#This Row],[Surface GLA]]</f>
        <v>722</v>
      </c>
      <c r="Y157" s="12">
        <f>Tableau1[[#This Row],[Charges annuelles]]/12</f>
        <v>60.166666666666664</v>
      </c>
      <c r="Z157" s="12">
        <v>7.22</v>
      </c>
      <c r="AA157" s="12">
        <f>IFERROR(Tableau1[[#This Row],[Taxe foncière €/m²]]*Tableau1[[#This Row],[Surface GLA]],)</f>
        <v>1304</v>
      </c>
      <c r="AB157" s="12">
        <v>13.04</v>
      </c>
      <c r="AC157" s="12">
        <f>IFERROR(Tableau1[[#This Row],[Marketing €/m²]]*Tableau1[[#This Row],[Surface GLA]],)</f>
        <v>0</v>
      </c>
      <c r="AD157" s="6" t="s">
        <v>98</v>
      </c>
      <c r="AE157" s="12">
        <f>IFERROR(Tableau1[[#This Row],[Loyer annuel]]+Tableau1[[#This Row],[Charges annuelles]]+Tableau1[[#This Row],[Taxe foncière]]+Tableau1[[#This Row],[Marketing]],"")</f>
        <v>22026</v>
      </c>
      <c r="AF157" s="12" t="str">
        <f t="shared" si="7"/>
        <v>3 mois = 5 000 €</v>
      </c>
      <c r="AG157" s="6" t="s">
        <v>98</v>
      </c>
      <c r="AH157" s="46">
        <v>0.05</v>
      </c>
      <c r="AI157" s="12" t="s">
        <v>357</v>
      </c>
      <c r="AJ157" s="10" t="s">
        <v>70</v>
      </c>
      <c r="AK157" s="10" t="s">
        <v>363</v>
      </c>
      <c r="AL157" s="10" t="s">
        <v>1107</v>
      </c>
      <c r="AM157" s="11" t="s">
        <v>1167</v>
      </c>
      <c r="AN157" s="11"/>
      <c r="AO157" s="5" t="s">
        <v>361</v>
      </c>
      <c r="AP157" s="11" t="s">
        <v>1162</v>
      </c>
      <c r="AQ157" s="11" t="s">
        <v>1163</v>
      </c>
      <c r="AR157" s="11" t="s">
        <v>1165</v>
      </c>
      <c r="AS157" s="36" t="s">
        <v>1202</v>
      </c>
      <c r="AT157" s="11" t="s">
        <v>70</v>
      </c>
      <c r="AU157" s="11" t="s">
        <v>1168</v>
      </c>
      <c r="AV157" s="13" t="s">
        <v>1104</v>
      </c>
      <c r="AW157" s="14"/>
      <c r="AX157" s="44">
        <v>46004</v>
      </c>
      <c r="AZ157" s="1"/>
      <c r="BF157"/>
      <c r="BG157" s="1"/>
    </row>
    <row r="158" spans="1:59" ht="38.25">
      <c r="A158" s="38" t="str">
        <f>VLOOKUP(Tableau1[[#This Row],[N° Département]],Feuil1!$C$6:$E$106,3)</f>
        <v>Provence-Alpes-Côte d'Azur</v>
      </c>
      <c r="B158" s="38" t="str">
        <f>VLOOKUP(Tableau1[[#This Row],[N° Département]],Feuil1!$C$6:$E$106,2)</f>
        <v>Bouches-du-Rhône</v>
      </c>
      <c r="C158" s="38">
        <f>LEFT(Tableau1[[#This Row],[Code Postal]],2)*1</f>
        <v>13</v>
      </c>
      <c r="D158" s="10" t="s">
        <v>1062</v>
      </c>
      <c r="E158" s="26">
        <v>13127</v>
      </c>
      <c r="F158" s="10" t="s">
        <v>1058</v>
      </c>
      <c r="G158" s="39" t="str">
        <f>Tableau1[[#This Row],[Rue]]&amp;CHAR(10)&amp;Tableau1[[#This Row],[Code Postal]]&amp;" - "&amp;Tableau1[[#This Row],[Ville]]</f>
        <v>14 Boulevard de l'Europe
13127 - Vitrolles</v>
      </c>
      <c r="H158" s="15" t="s">
        <v>1063</v>
      </c>
      <c r="I158" s="12" t="s">
        <v>47</v>
      </c>
      <c r="J158" s="12" t="s">
        <v>48</v>
      </c>
      <c r="K158" s="10" t="s">
        <v>1179</v>
      </c>
      <c r="L158" s="10"/>
      <c r="M158" s="12" t="s">
        <v>98</v>
      </c>
      <c r="N158" s="36" t="s">
        <v>1172</v>
      </c>
      <c r="O158" s="34">
        <v>446</v>
      </c>
      <c r="P158" s="6" t="s">
        <v>98</v>
      </c>
      <c r="Q158" s="34"/>
      <c r="R158" s="34" t="s">
        <v>98</v>
      </c>
      <c r="S158" s="6" t="s">
        <v>98</v>
      </c>
      <c r="T158" s="12">
        <f>Tableau1[[#This Row],[Loyer €/m²]]*Tableau1[[#This Row],[Surface GLA]]</f>
        <v>55750</v>
      </c>
      <c r="U158" s="12">
        <f>IFERROR(Tableau1[[#This Row],[Loyer annuel]]/12,"")</f>
        <v>4645.833333333333</v>
      </c>
      <c r="V158" s="12">
        <v>125</v>
      </c>
      <c r="W158" s="6" t="s">
        <v>98</v>
      </c>
      <c r="X158" s="6">
        <f>Tableau1[[#This Row],[Charges €/m²]]*Tableau1[[#This Row],[Surface GLA]]</f>
        <v>3220.12</v>
      </c>
      <c r="Y158" s="12">
        <f>Tableau1[[#This Row],[Charges annuelles]]/12</f>
        <v>268.34333333333331</v>
      </c>
      <c r="Z158" s="12">
        <v>7.22</v>
      </c>
      <c r="AA158" s="12">
        <f>IFERROR(Tableau1[[#This Row],[Taxe foncière €/m²]]*Tableau1[[#This Row],[Surface GLA]],)</f>
        <v>5815.8399999999992</v>
      </c>
      <c r="AB158" s="12">
        <v>13.04</v>
      </c>
      <c r="AC158" s="12">
        <f>IFERROR(Tableau1[[#This Row],[Marketing €/m²]]*Tableau1[[#This Row],[Surface GLA]],)</f>
        <v>0</v>
      </c>
      <c r="AD158" s="6" t="s">
        <v>98</v>
      </c>
      <c r="AE158" s="12">
        <f>IFERROR(Tableau1[[#This Row],[Loyer annuel]]+Tableau1[[#This Row],[Charges annuelles]]+Tableau1[[#This Row],[Taxe foncière]]+Tableau1[[#This Row],[Marketing]],"")</f>
        <v>64785.96</v>
      </c>
      <c r="AF158" s="12" t="str">
        <f t="shared" si="7"/>
        <v>3 mois = 13 938 €</v>
      </c>
      <c r="AG158" s="6" t="s">
        <v>98</v>
      </c>
      <c r="AH158" s="46">
        <v>0.05</v>
      </c>
      <c r="AI158" s="12" t="s">
        <v>357</v>
      </c>
      <c r="AJ158" s="10" t="s">
        <v>53</v>
      </c>
      <c r="AK158" s="10" t="s">
        <v>98</v>
      </c>
      <c r="AL158" s="10" t="s">
        <v>1107</v>
      </c>
      <c r="AM158" s="11" t="s">
        <v>1166</v>
      </c>
      <c r="AN158" s="11"/>
      <c r="AO158" s="5" t="s">
        <v>361</v>
      </c>
      <c r="AP158" s="11" t="s">
        <v>1169</v>
      </c>
      <c r="AQ158" s="11" t="s">
        <v>1170</v>
      </c>
      <c r="AR158" s="11" t="s">
        <v>1174</v>
      </c>
      <c r="AS158" s="36" t="s">
        <v>1203</v>
      </c>
      <c r="AT158" s="11" t="s">
        <v>70</v>
      </c>
      <c r="AU158" s="11" t="s">
        <v>1171</v>
      </c>
      <c r="AV158" s="13" t="s">
        <v>1104</v>
      </c>
      <c r="AW158" s="14"/>
      <c r="AX158" s="44">
        <v>46005</v>
      </c>
      <c r="AZ158" s="1"/>
      <c r="BF158"/>
      <c r="BG158" s="1"/>
    </row>
    <row r="159" spans="1:59" ht="38.25">
      <c r="A159" s="38" t="str">
        <f>VLOOKUP(Tableau1[[#This Row],[N° Département]],Feuil1!$C$6:$E$106,3)</f>
        <v>Provence-Alpes-Côte d'Azur</v>
      </c>
      <c r="B159" s="38" t="str">
        <f>VLOOKUP(Tableau1[[#This Row],[N° Département]],Feuil1!$C$6:$E$106,2)</f>
        <v>Bouches-du-Rhône</v>
      </c>
      <c r="C159" s="38">
        <f>LEFT(Tableau1[[#This Row],[Code Postal]],2)*1</f>
        <v>13</v>
      </c>
      <c r="D159" s="10" t="s">
        <v>1062</v>
      </c>
      <c r="E159" s="26">
        <v>13127</v>
      </c>
      <c r="F159" s="10" t="s">
        <v>1058</v>
      </c>
      <c r="G159" s="39" t="str">
        <f>Tableau1[[#This Row],[Rue]]&amp;CHAR(10)&amp;Tableau1[[#This Row],[Code Postal]]&amp;" - "&amp;Tableau1[[#This Row],[Ville]]</f>
        <v>14 Boulevard de l'Europe
13127 - Vitrolles</v>
      </c>
      <c r="H159" s="15" t="s">
        <v>1063</v>
      </c>
      <c r="I159" s="12" t="s">
        <v>47</v>
      </c>
      <c r="J159" s="12" t="s">
        <v>48</v>
      </c>
      <c r="K159" s="10" t="s">
        <v>1179</v>
      </c>
      <c r="L159" s="10"/>
      <c r="M159" s="12" t="s">
        <v>98</v>
      </c>
      <c r="N159" s="36" t="s">
        <v>1173</v>
      </c>
      <c r="O159" s="34">
        <v>567</v>
      </c>
      <c r="P159" s="6" t="s">
        <v>98</v>
      </c>
      <c r="Q159" s="34"/>
      <c r="R159" s="34" t="s">
        <v>98</v>
      </c>
      <c r="S159" s="6" t="s">
        <v>98</v>
      </c>
      <c r="T159" s="12">
        <f>Tableau1[[#This Row],[Loyer €/m²]]*Tableau1[[#This Row],[Surface GLA]]</f>
        <v>70875</v>
      </c>
      <c r="U159" s="12">
        <f>IFERROR(Tableau1[[#This Row],[Loyer annuel]]/12,"")</f>
        <v>5906.25</v>
      </c>
      <c r="V159" s="12">
        <v>125</v>
      </c>
      <c r="W159" s="6" t="s">
        <v>98</v>
      </c>
      <c r="X159" s="6">
        <f>Tableau1[[#This Row],[Charges €/m²]]*Tableau1[[#This Row],[Surface GLA]]</f>
        <v>4093.74</v>
      </c>
      <c r="Y159" s="12">
        <f>Tableau1[[#This Row],[Charges annuelles]]/12</f>
        <v>341.14499999999998</v>
      </c>
      <c r="Z159" s="12">
        <v>7.22</v>
      </c>
      <c r="AA159" s="12">
        <f>IFERROR(Tableau1[[#This Row],[Taxe foncière €/m²]]*Tableau1[[#This Row],[Surface GLA]],)</f>
        <v>7393.6799999999994</v>
      </c>
      <c r="AB159" s="12">
        <v>13.04</v>
      </c>
      <c r="AC159" s="12">
        <f>IFERROR(Tableau1[[#This Row],[Marketing €/m²]]*Tableau1[[#This Row],[Surface GLA]],)</f>
        <v>0</v>
      </c>
      <c r="AD159" s="6" t="s">
        <v>98</v>
      </c>
      <c r="AE159" s="12">
        <f>IFERROR(Tableau1[[#This Row],[Loyer annuel]]+Tableau1[[#This Row],[Charges annuelles]]+Tableau1[[#This Row],[Taxe foncière]]+Tableau1[[#This Row],[Marketing]],"")</f>
        <v>82362.42</v>
      </c>
      <c r="AF159" s="12" t="str">
        <f t="shared" si="7"/>
        <v>3 mois = 17 719 €</v>
      </c>
      <c r="AG159" s="6" t="s">
        <v>98</v>
      </c>
      <c r="AH159" s="46">
        <v>0.05</v>
      </c>
      <c r="AI159" s="12" t="s">
        <v>357</v>
      </c>
      <c r="AJ159" s="10" t="s">
        <v>53</v>
      </c>
      <c r="AK159" s="10" t="s">
        <v>98</v>
      </c>
      <c r="AL159" s="10" t="s">
        <v>1107</v>
      </c>
      <c r="AM159" s="11" t="s">
        <v>1166</v>
      </c>
      <c r="AN159" s="11"/>
      <c r="AO159" s="5" t="s">
        <v>361</v>
      </c>
      <c r="AP159" s="11" t="s">
        <v>1177</v>
      </c>
      <c r="AQ159" s="11" t="s">
        <v>1178</v>
      </c>
      <c r="AR159" s="11" t="s">
        <v>1176</v>
      </c>
      <c r="AS159" s="36" t="s">
        <v>1204</v>
      </c>
      <c r="AT159" s="11" t="s">
        <v>70</v>
      </c>
      <c r="AU159" s="11" t="s">
        <v>1175</v>
      </c>
      <c r="AV159" s="13" t="s">
        <v>1104</v>
      </c>
      <c r="AW159" s="14"/>
      <c r="AX159" s="44">
        <v>46006</v>
      </c>
      <c r="AZ159" s="1"/>
      <c r="BF159"/>
      <c r="BG159" s="1"/>
    </row>
    <row r="160" spans="1:59" ht="38.25">
      <c r="A160" s="38" t="str">
        <f>VLOOKUP(Tableau1[[#This Row],[N° Département]],Feuil1!$C$6:$E$106,3)</f>
        <v>Provence-Alpes-Côte d'Azur</v>
      </c>
      <c r="B160" s="38" t="str">
        <f>VLOOKUP(Tableau1[[#This Row],[N° Département]],Feuil1!$C$6:$E$106,2)</f>
        <v>Bouches-du-Rhône</v>
      </c>
      <c r="C160" s="38">
        <f>LEFT(Tableau1[[#This Row],[Code Postal]],2)*1</f>
        <v>13</v>
      </c>
      <c r="D160" s="10" t="s">
        <v>1096</v>
      </c>
      <c r="E160" s="26">
        <v>13170</v>
      </c>
      <c r="F160" s="10" t="s">
        <v>1084</v>
      </c>
      <c r="G160" s="39" t="str">
        <f>Tableau1[[#This Row],[Rue]]&amp;CHAR(10)&amp;Tableau1[[#This Row],[Code Postal]]&amp;" - "&amp;Tableau1[[#This Row],[Ville]]</f>
        <v>Plan de Campagne, Chemin des Pennes CD6
13170 - Les Pennes-Mirabeau</v>
      </c>
      <c r="H160" s="2" t="s">
        <v>1065</v>
      </c>
      <c r="I160" s="12" t="s">
        <v>47</v>
      </c>
      <c r="J160" s="12" t="s">
        <v>48</v>
      </c>
      <c r="K160" s="10" t="s">
        <v>98</v>
      </c>
      <c r="L160" s="10" t="s">
        <v>1375</v>
      </c>
      <c r="M160" s="12" t="s">
        <v>98</v>
      </c>
      <c r="N160" s="36"/>
      <c r="O160" s="34">
        <v>1390</v>
      </c>
      <c r="P160" s="6" t="s">
        <v>1181</v>
      </c>
      <c r="Q160" s="34" t="s">
        <v>98</v>
      </c>
      <c r="R160" s="34" t="s">
        <v>98</v>
      </c>
      <c r="S160" s="6" t="s">
        <v>98</v>
      </c>
      <c r="T160" s="12">
        <f>Tableau1[[#This Row],[Loyer €/m²]]*Tableau1[[#This Row],[Surface GLA]]</f>
        <v>278000</v>
      </c>
      <c r="U160" s="12">
        <f>IFERROR(Tableau1[[#This Row],[Loyer annuel]]/12,"")</f>
        <v>23166.666666666668</v>
      </c>
      <c r="V160" s="12">
        <v>200</v>
      </c>
      <c r="W160" s="6" t="s">
        <v>98</v>
      </c>
      <c r="X160" s="6">
        <f>Tableau1[[#This Row],[Charges €/m²]]*Tableau1[[#This Row],[Surface GLA]]</f>
        <v>9730</v>
      </c>
      <c r="Y160" s="12">
        <f>Tableau1[[#This Row],[Charges annuelles]]/12</f>
        <v>810.83333333333337</v>
      </c>
      <c r="Z160" s="12">
        <v>7</v>
      </c>
      <c r="AA160" s="12">
        <f>IFERROR(Tableau1[[#This Row],[Taxe foncière €/m²]]*Tableau1[[#This Row],[Surface GLA]],)</f>
        <v>20850</v>
      </c>
      <c r="AB160" s="12">
        <v>15</v>
      </c>
      <c r="AC160" s="12">
        <f>IFERROR(Tableau1[[#This Row],[Marketing €/m²]]*Tableau1[[#This Row],[Surface GLA]],)</f>
        <v>0</v>
      </c>
      <c r="AD160" s="6" t="s">
        <v>98</v>
      </c>
      <c r="AE160" s="12">
        <f>IFERROR(Tableau1[[#This Row],[Loyer annuel]]+Tableau1[[#This Row],[Charges annuelles]]+Tableau1[[#This Row],[Taxe foncière]]+Tableau1[[#This Row],[Marketing]],"")</f>
        <v>308580</v>
      </c>
      <c r="AF160" s="12" t="str">
        <f t="shared" si="7"/>
        <v>3 mois = 69 500 €</v>
      </c>
      <c r="AG160" s="12" t="str">
        <f>"6 mois = "&amp;TEXT(ROUND(6/12*T160,0),"### ### ##0 €")</f>
        <v>6 mois = 139 000 €</v>
      </c>
      <c r="AH160" s="46">
        <v>0.05</v>
      </c>
      <c r="AI160" s="12" t="s">
        <v>357</v>
      </c>
      <c r="AJ160" s="10" t="s">
        <v>369</v>
      </c>
      <c r="AK160" s="10" t="s">
        <v>363</v>
      </c>
      <c r="AL160" s="10" t="s">
        <v>1108</v>
      </c>
      <c r="AM160" s="11" t="s">
        <v>1408</v>
      </c>
      <c r="AN160" s="11" t="s">
        <v>1371</v>
      </c>
      <c r="AO160" s="5" t="s">
        <v>361</v>
      </c>
      <c r="AP160" s="11" t="s">
        <v>1097</v>
      </c>
      <c r="AQ160" s="11" t="s">
        <v>1098</v>
      </c>
      <c r="AR160" s="11">
        <v>37</v>
      </c>
      <c r="AS160" s="36" t="s">
        <v>1205</v>
      </c>
      <c r="AT160" s="11" t="s">
        <v>70</v>
      </c>
      <c r="AU160" s="11" t="s">
        <v>1180</v>
      </c>
      <c r="AV160" s="13" t="s">
        <v>1104</v>
      </c>
      <c r="AW160" s="14"/>
      <c r="AX160" s="44">
        <v>46003</v>
      </c>
      <c r="AZ160" s="1"/>
      <c r="BF160"/>
      <c r="BG160" s="1"/>
    </row>
    <row r="161" spans="1:59" ht="25.5">
      <c r="A161" s="38" t="str">
        <f>VLOOKUP(Tableau1[[#This Row],[N° Département]],Feuil1!$C$6:$E$106,3)</f>
        <v>Centre-Val de Loire</v>
      </c>
      <c r="B161" s="38" t="str">
        <f>VLOOKUP(Tableau1[[#This Row],[N° Département]],Feuil1!$C$6:$E$106,2)</f>
        <v>Cher</v>
      </c>
      <c r="C161" s="38">
        <f>LEFT(Tableau1[[#This Row],[Code Postal]],2)*1</f>
        <v>18</v>
      </c>
      <c r="D161" s="10" t="s">
        <v>1085</v>
      </c>
      <c r="E161" s="26">
        <v>18390</v>
      </c>
      <c r="F161" s="10" t="s">
        <v>1086</v>
      </c>
      <c r="G161" s="39" t="str">
        <f>Tableau1[[#This Row],[Rue]]&amp;CHAR(10)&amp;Tableau1[[#This Row],[Code Postal]]&amp;" - "&amp;Tableau1[[#This Row],[Ville]]</f>
        <v>8 Rue des Vignes
18390 - Saint-Germain-du-Puy</v>
      </c>
      <c r="H161" s="15" t="s">
        <v>1066</v>
      </c>
      <c r="I161" s="12" t="s">
        <v>47</v>
      </c>
      <c r="J161" s="12" t="s">
        <v>48</v>
      </c>
      <c r="K161" s="10" t="s">
        <v>98</v>
      </c>
      <c r="L161" s="10" t="s">
        <v>1375</v>
      </c>
      <c r="M161" s="12" t="s">
        <v>98</v>
      </c>
      <c r="N161" s="36"/>
      <c r="O161" s="34">
        <v>1000</v>
      </c>
      <c r="P161" s="6" t="s">
        <v>98</v>
      </c>
      <c r="Q161" s="34" t="s">
        <v>98</v>
      </c>
      <c r="R161" s="34" t="s">
        <v>98</v>
      </c>
      <c r="S161" s="6" t="s">
        <v>98</v>
      </c>
      <c r="T161" s="12">
        <f>Tableau1[[#This Row],[Loyer €/m²]]*Tableau1[[#This Row],[Surface GLA]]</f>
        <v>150000</v>
      </c>
      <c r="U161" s="12">
        <f>IFERROR(Tableau1[[#This Row],[Loyer annuel]]/12,"")</f>
        <v>12500</v>
      </c>
      <c r="V161" s="12">
        <v>150</v>
      </c>
      <c r="W161" s="6" t="s">
        <v>98</v>
      </c>
      <c r="X161" s="6">
        <f>Tableau1[[#This Row],[Charges €/m²]]*Tableau1[[#This Row],[Surface GLA]]</f>
        <v>3500</v>
      </c>
      <c r="Y161" s="12">
        <f>Tableau1[[#This Row],[Charges annuelles]]/12</f>
        <v>291.66666666666669</v>
      </c>
      <c r="Z161" s="12">
        <v>3.5</v>
      </c>
      <c r="AA161" s="12">
        <f>IFERROR(Tableau1[[#This Row],[Taxe foncière €/m²]]*Tableau1[[#This Row],[Surface GLA]],)</f>
        <v>12650</v>
      </c>
      <c r="AB161" s="12">
        <v>12.65</v>
      </c>
      <c r="AC161" s="12">
        <f>IFERROR(Tableau1[[#This Row],[Marketing €/m²]]*Tableau1[[#This Row],[Surface GLA]],)</f>
        <v>0</v>
      </c>
      <c r="AD161" s="6" t="s">
        <v>98</v>
      </c>
      <c r="AE161" s="12">
        <f>IFERROR(Tableau1[[#This Row],[Loyer annuel]]+Tableau1[[#This Row],[Charges annuelles]]+Tableau1[[#This Row],[Taxe foncière]]+Tableau1[[#This Row],[Marketing]],"")</f>
        <v>166150</v>
      </c>
      <c r="AF161" s="12" t="str">
        <f t="shared" si="7"/>
        <v>3 mois = 37 500 €</v>
      </c>
      <c r="AG161" s="6" t="s">
        <v>98</v>
      </c>
      <c r="AH161" s="46">
        <v>0.05</v>
      </c>
      <c r="AI161" s="12" t="s">
        <v>357</v>
      </c>
      <c r="AJ161" s="10" t="s">
        <v>369</v>
      </c>
      <c r="AK161" s="10" t="s">
        <v>363</v>
      </c>
      <c r="AL161" s="10" t="s">
        <v>1109</v>
      </c>
      <c r="AM161" s="11" t="s">
        <v>1110</v>
      </c>
      <c r="AN161" s="11" t="s">
        <v>1371</v>
      </c>
      <c r="AO161" s="5" t="s">
        <v>361</v>
      </c>
      <c r="AP161" s="11" t="s">
        <v>1111</v>
      </c>
      <c r="AQ161" s="11" t="s">
        <v>1112</v>
      </c>
      <c r="AR161" s="11">
        <v>38</v>
      </c>
      <c r="AS161" s="36" t="s">
        <v>1206</v>
      </c>
      <c r="AT161" s="11" t="s">
        <v>70</v>
      </c>
      <c r="AU161" s="11" t="s">
        <v>1182</v>
      </c>
      <c r="AV161" s="13" t="s">
        <v>1104</v>
      </c>
      <c r="AW161" s="14"/>
      <c r="AX161" s="44">
        <v>46003</v>
      </c>
      <c r="AZ161" s="1"/>
      <c r="BF161"/>
      <c r="BG161" s="1"/>
    </row>
    <row r="162" spans="1:59" ht="38.25">
      <c r="A162" s="38" t="str">
        <f>VLOOKUP(Tableau1[[#This Row],[N° Département]],Feuil1!$C$6:$E$106,3)</f>
        <v>Centre-Val de Loire</v>
      </c>
      <c r="B162" s="38" t="str">
        <f>VLOOKUP(Tableau1[[#This Row],[N° Département]],Feuil1!$C$6:$E$106,2)</f>
        <v>Cher</v>
      </c>
      <c r="C162" s="38">
        <f>LEFT(Tableau1[[#This Row],[Code Postal]],2)*1</f>
        <v>18</v>
      </c>
      <c r="D162" s="10" t="s">
        <v>1088</v>
      </c>
      <c r="E162" s="26">
        <v>18230</v>
      </c>
      <c r="F162" s="10" t="s">
        <v>1087</v>
      </c>
      <c r="G162" s="39" t="str">
        <f>Tableau1[[#This Row],[Rue]]&amp;CHAR(10)&amp;Tableau1[[#This Row],[Code Postal]]&amp;" - "&amp;Tableau1[[#This Row],[Ville]]</f>
        <v>Centre Commercial Géant,  548 Route d'Orléans
18230 -  Saint-Doulchard</v>
      </c>
      <c r="H162" s="15" t="s">
        <v>1067</v>
      </c>
      <c r="I162" s="12" t="s">
        <v>47</v>
      </c>
      <c r="J162" s="12" t="s">
        <v>49</v>
      </c>
      <c r="K162" s="10" t="s">
        <v>98</v>
      </c>
      <c r="L162" s="10" t="s">
        <v>1375</v>
      </c>
      <c r="M162" s="12" t="s">
        <v>98</v>
      </c>
      <c r="N162" s="36"/>
      <c r="O162" s="34">
        <v>600</v>
      </c>
      <c r="P162" s="6" t="s">
        <v>98</v>
      </c>
      <c r="Q162" s="34">
        <v>3000</v>
      </c>
      <c r="R162" s="34" t="s">
        <v>98</v>
      </c>
      <c r="S162" s="6" t="s">
        <v>98</v>
      </c>
      <c r="T162" s="12">
        <f>Tableau1[[#This Row],[Loyer €/m²]]*Tableau1[[#This Row],[Surface GLA]]</f>
        <v>90000</v>
      </c>
      <c r="U162" s="12">
        <f>IFERROR(Tableau1[[#This Row],[Loyer annuel]]/12,"")</f>
        <v>7500</v>
      </c>
      <c r="V162" s="12">
        <v>150</v>
      </c>
      <c r="W162" s="6" t="s">
        <v>98</v>
      </c>
      <c r="X162" s="6">
        <f>Tableau1[[#This Row],[Charges €/m²]]*Tableau1[[#This Row],[Surface GLA]]</f>
        <v>15600</v>
      </c>
      <c r="Y162" s="12">
        <f>Tableau1[[#This Row],[Charges annuelles]]/12</f>
        <v>1300</v>
      </c>
      <c r="Z162" s="12">
        <v>26</v>
      </c>
      <c r="AA162" s="12">
        <f>IFERROR(Tableau1[[#This Row],[Taxe foncière €/m²]]*Tableau1[[#This Row],[Surface GLA]],)</f>
        <v>8400</v>
      </c>
      <c r="AB162" s="12">
        <v>14</v>
      </c>
      <c r="AC162" s="12">
        <f>IFERROR(Tableau1[[#This Row],[Marketing €/m²]]*Tableau1[[#This Row],[Surface GLA]],)</f>
        <v>0</v>
      </c>
      <c r="AD162" s="6" t="s">
        <v>98</v>
      </c>
      <c r="AE162" s="12">
        <f>IFERROR(Tableau1[[#This Row],[Loyer annuel]]+Tableau1[[#This Row],[Charges annuelles]]+Tableau1[[#This Row],[Taxe foncière]]+Tableau1[[#This Row],[Marketing]],"")</f>
        <v>114000</v>
      </c>
      <c r="AF162" s="12" t="str">
        <f t="shared" si="7"/>
        <v>3 mois = 22 500 €</v>
      </c>
      <c r="AG162" s="6" t="s">
        <v>98</v>
      </c>
      <c r="AH162" s="46">
        <v>0.05</v>
      </c>
      <c r="AI162" s="12" t="s">
        <v>357</v>
      </c>
      <c r="AJ162" s="10" t="s">
        <v>53</v>
      </c>
      <c r="AK162" s="10" t="s">
        <v>362</v>
      </c>
      <c r="AL162" s="10" t="s">
        <v>1113</v>
      </c>
      <c r="AM162" s="11" t="s">
        <v>1116</v>
      </c>
      <c r="AN162" s="11" t="s">
        <v>1371</v>
      </c>
      <c r="AO162" s="5" t="s">
        <v>361</v>
      </c>
      <c r="AP162" s="11" t="s">
        <v>1114</v>
      </c>
      <c r="AQ162" s="11" t="s">
        <v>1115</v>
      </c>
      <c r="AR162" s="11">
        <v>39</v>
      </c>
      <c r="AS162" s="36" t="s">
        <v>1146</v>
      </c>
      <c r="AT162" s="11" t="s">
        <v>70</v>
      </c>
      <c r="AU162" s="11" t="s">
        <v>1381</v>
      </c>
      <c r="AV162" s="13" t="s">
        <v>1104</v>
      </c>
      <c r="AW162" s="14"/>
      <c r="AX162" s="44">
        <v>46003</v>
      </c>
      <c r="AZ162" s="1"/>
      <c r="BF162"/>
      <c r="BG162" s="1"/>
    </row>
    <row r="163" spans="1:59" ht="25.5">
      <c r="A163" s="38" t="str">
        <f>VLOOKUP(Tableau1[[#This Row],[N° Département]],Feuil1!$C$6:$E$106,3)</f>
        <v>Grand Est</v>
      </c>
      <c r="B163" s="38" t="str">
        <f>VLOOKUP(Tableau1[[#This Row],[N° Département]],Feuil1!$C$6:$E$106,2)</f>
        <v>Meurthe-et-Moselle</v>
      </c>
      <c r="C163" s="38">
        <f>LEFT(Tableau1[[#This Row],[Code Postal]],2)*1</f>
        <v>54</v>
      </c>
      <c r="D163" s="10" t="s">
        <v>1089</v>
      </c>
      <c r="E163" s="26">
        <v>54000</v>
      </c>
      <c r="F163" s="10" t="s">
        <v>1059</v>
      </c>
      <c r="G163" s="39" t="str">
        <f>Tableau1[[#This Row],[Rue]]&amp;CHAR(10)&amp;Tableau1[[#This Row],[Code Postal]]&amp;" - "&amp;Tableau1[[#This Row],[Ville]]</f>
        <v>50 Rue Saint-Dizier
54000 - Nancy</v>
      </c>
      <c r="H163" s="15" t="s">
        <v>1068</v>
      </c>
      <c r="I163" s="12" t="s">
        <v>45</v>
      </c>
      <c r="J163" s="12" t="s">
        <v>44</v>
      </c>
      <c r="K163" s="10" t="s">
        <v>98</v>
      </c>
      <c r="L163" s="10" t="s">
        <v>1375</v>
      </c>
      <c r="M163" s="12" t="s">
        <v>98</v>
      </c>
      <c r="N163" s="36"/>
      <c r="O163" s="34">
        <v>550</v>
      </c>
      <c r="P163" s="6" t="s">
        <v>1184</v>
      </c>
      <c r="Q163" s="34" t="s">
        <v>98</v>
      </c>
      <c r="R163" s="34" t="s">
        <v>98</v>
      </c>
      <c r="S163" s="6" t="s">
        <v>98</v>
      </c>
      <c r="T163" s="12">
        <f>Tableau1[[#This Row],[Loyer €/m²]]*Tableau1[[#This Row],[Surface GLA]]</f>
        <v>330000</v>
      </c>
      <c r="U163" s="12">
        <f>IFERROR(Tableau1[[#This Row],[Loyer annuel]]/12,"")</f>
        <v>27500</v>
      </c>
      <c r="V163" s="12">
        <v>600</v>
      </c>
      <c r="W163" s="6" t="s">
        <v>98</v>
      </c>
      <c r="X163" s="6">
        <f>Tableau1[[#This Row],[Charges €/m²]]*Tableau1[[#This Row],[Surface GLA]]</f>
        <v>2750</v>
      </c>
      <c r="Y163" s="12">
        <f>Tableau1[[#This Row],[Charges annuelles]]/12</f>
        <v>229.16666666666666</v>
      </c>
      <c r="Z163" s="12">
        <v>5</v>
      </c>
      <c r="AA163" s="12">
        <f>IFERROR(Tableau1[[#This Row],[Taxe foncière €/m²]]*Tableau1[[#This Row],[Surface GLA]],)</f>
        <v>8250</v>
      </c>
      <c r="AB163" s="12">
        <v>15</v>
      </c>
      <c r="AC163" s="12">
        <f>IFERROR(Tableau1[[#This Row],[Marketing €/m²]]*Tableau1[[#This Row],[Surface GLA]],)</f>
        <v>0</v>
      </c>
      <c r="AD163" s="6" t="s">
        <v>98</v>
      </c>
      <c r="AE163" s="12">
        <f>IFERROR(Tableau1[[#This Row],[Loyer annuel]]+Tableau1[[#This Row],[Charges annuelles]]+Tableau1[[#This Row],[Taxe foncière]]+Tableau1[[#This Row],[Marketing]],"")</f>
        <v>341000</v>
      </c>
      <c r="AF163" s="12" t="str">
        <f t="shared" si="7"/>
        <v>3 mois = 82 500 €</v>
      </c>
      <c r="AG163" s="6" t="s">
        <v>98</v>
      </c>
      <c r="AH163" s="46">
        <v>0.05</v>
      </c>
      <c r="AI163" s="12" t="s">
        <v>357</v>
      </c>
      <c r="AJ163" s="10" t="s">
        <v>70</v>
      </c>
      <c r="AK163" s="10" t="s">
        <v>363</v>
      </c>
      <c r="AL163" s="10" t="s">
        <v>1119</v>
      </c>
      <c r="AM163" s="11" t="s">
        <v>1409</v>
      </c>
      <c r="AN163" s="11" t="s">
        <v>1371</v>
      </c>
      <c r="AO163" s="5" t="s">
        <v>361</v>
      </c>
      <c r="AP163" s="11" t="s">
        <v>1117</v>
      </c>
      <c r="AQ163" s="11" t="s">
        <v>1118</v>
      </c>
      <c r="AR163" s="11">
        <v>40</v>
      </c>
      <c r="AS163" s="36" t="s">
        <v>1207</v>
      </c>
      <c r="AT163" s="11" t="s">
        <v>70</v>
      </c>
      <c r="AU163" s="11" t="s">
        <v>1183</v>
      </c>
      <c r="AV163" s="13" t="s">
        <v>1104</v>
      </c>
      <c r="AW163" s="14"/>
      <c r="AX163" s="44">
        <v>46003</v>
      </c>
      <c r="AZ163" s="1"/>
      <c r="BF163"/>
      <c r="BG163" s="1"/>
    </row>
    <row r="164" spans="1:59" ht="38.25">
      <c r="A164" s="38" t="str">
        <f>VLOOKUP(Tableau1[[#This Row],[N° Département]],Feuil1!$C$6:$E$106,3)</f>
        <v>Hauts-de-France</v>
      </c>
      <c r="B164" s="38" t="str">
        <f>VLOOKUP(Tableau1[[#This Row],[N° Département]],Feuil1!$C$6:$E$106,2)</f>
        <v>Nord</v>
      </c>
      <c r="C164" s="38">
        <f>LEFT(Tableau1[[#This Row],[Code Postal]],2)*1</f>
        <v>59</v>
      </c>
      <c r="D164" s="10" t="s">
        <v>1090</v>
      </c>
      <c r="E164" s="26">
        <v>59300</v>
      </c>
      <c r="F164" s="10" t="s">
        <v>1091</v>
      </c>
      <c r="G164" s="39" t="str">
        <f>Tableau1[[#This Row],[Rue]]&amp;CHAR(10)&amp;Tableau1[[#This Row],[Code Postal]]&amp;" - "&amp;Tableau1[[#This Row],[Ville]]</f>
        <v>ZAC D'Aulnoy
59300 - Aulnoy-lez-Valenciennes</v>
      </c>
      <c r="H164" s="15" t="s">
        <v>1247</v>
      </c>
      <c r="I164" s="12" t="s">
        <v>47</v>
      </c>
      <c r="J164" s="12" t="s">
        <v>49</v>
      </c>
      <c r="K164" s="10" t="s">
        <v>98</v>
      </c>
      <c r="L164" s="10" t="s">
        <v>1375</v>
      </c>
      <c r="M164" s="12" t="s">
        <v>98</v>
      </c>
      <c r="N164" s="36"/>
      <c r="O164" s="34">
        <v>480</v>
      </c>
      <c r="P164" s="6" t="s">
        <v>98</v>
      </c>
      <c r="Q164" s="34">
        <v>850</v>
      </c>
      <c r="R164" s="34" t="s">
        <v>98</v>
      </c>
      <c r="S164" s="6" t="s">
        <v>98</v>
      </c>
      <c r="T164" s="12">
        <f>Tableau1[[#This Row],[Loyer €/m²]]*Tableau1[[#This Row],[Surface GLA]]</f>
        <v>144000</v>
      </c>
      <c r="U164" s="12">
        <f>IFERROR(Tableau1[[#This Row],[Loyer annuel]]/12,"")</f>
        <v>12000</v>
      </c>
      <c r="V164" s="12">
        <v>300</v>
      </c>
      <c r="W164" s="46">
        <v>0.08</v>
      </c>
      <c r="X164" s="6">
        <f>Tableau1[[#This Row],[Charges €/m²]]*Tableau1[[#This Row],[Surface GLA]]</f>
        <v>32880</v>
      </c>
      <c r="Y164" s="12">
        <f>Tableau1[[#This Row],[Charges annuelles]]/12</f>
        <v>2740</v>
      </c>
      <c r="Z164" s="12">
        <v>68.5</v>
      </c>
      <c r="AA164" s="12">
        <f>IFERROR(Tableau1[[#This Row],[Taxe foncière €/m²]]*Tableau1[[#This Row],[Surface GLA]],)</f>
        <v>16800</v>
      </c>
      <c r="AB164" s="12">
        <v>35</v>
      </c>
      <c r="AC164" s="12">
        <f>IFERROR(Tableau1[[#This Row],[Marketing €/m²]]*Tableau1[[#This Row],[Surface GLA]],)</f>
        <v>0</v>
      </c>
      <c r="AD164" s="6" t="s">
        <v>98</v>
      </c>
      <c r="AE164" s="12">
        <f>IFERROR(Tableau1[[#This Row],[Loyer annuel]]+Tableau1[[#This Row],[Charges annuelles]]+Tableau1[[#This Row],[Taxe foncière]]+Tableau1[[#This Row],[Marketing]],"")</f>
        <v>193680</v>
      </c>
      <c r="AF164" s="12" t="str">
        <f t="shared" si="7"/>
        <v>3 mois = 36 000 €</v>
      </c>
      <c r="AG164" s="6" t="s">
        <v>98</v>
      </c>
      <c r="AH164" s="46">
        <v>0.05</v>
      </c>
      <c r="AI164" s="12" t="s">
        <v>357</v>
      </c>
      <c r="AJ164" s="10" t="s">
        <v>369</v>
      </c>
      <c r="AK164" s="10" t="s">
        <v>363</v>
      </c>
      <c r="AL164" s="10" t="s">
        <v>1248</v>
      </c>
      <c r="AM164" s="11" t="s">
        <v>1768</v>
      </c>
      <c r="AN164" s="11" t="s">
        <v>1371</v>
      </c>
      <c r="AO164" s="5" t="s">
        <v>361</v>
      </c>
      <c r="AP164" s="11" t="s">
        <v>1236</v>
      </c>
      <c r="AQ164" s="11" t="s">
        <v>1237</v>
      </c>
      <c r="AR164" s="11" t="s">
        <v>1224</v>
      </c>
      <c r="AS164" s="36" t="s">
        <v>1249</v>
      </c>
      <c r="AT164" s="11" t="s">
        <v>70</v>
      </c>
      <c r="AU164" s="11" t="s">
        <v>1230</v>
      </c>
      <c r="AV164" s="13" t="s">
        <v>1104</v>
      </c>
      <c r="AW164" s="14"/>
      <c r="AX164" s="44">
        <v>46003</v>
      </c>
      <c r="AZ164" s="1"/>
      <c r="BF164"/>
      <c r="BG164" s="1"/>
    </row>
    <row r="165" spans="1:59" ht="25.5">
      <c r="A165" s="38" t="str">
        <f>VLOOKUP(Tableau1[[#This Row],[N° Département]],Feuil1!$C$6:$E$106,3)</f>
        <v>Hauts-de-France</v>
      </c>
      <c r="B165" s="38" t="str">
        <f>VLOOKUP(Tableau1[[#This Row],[N° Département]],Feuil1!$C$6:$E$106,2)</f>
        <v>Nord</v>
      </c>
      <c r="C165" s="38">
        <f>LEFT(Tableau1[[#This Row],[Code Postal]],2)*1</f>
        <v>59</v>
      </c>
      <c r="D165" s="10" t="s">
        <v>1090</v>
      </c>
      <c r="E165" s="26">
        <v>59300</v>
      </c>
      <c r="F165" s="10" t="s">
        <v>1091</v>
      </c>
      <c r="G165" s="39" t="str">
        <f>Tableau1[[#This Row],[Rue]]&amp;CHAR(10)&amp;Tableau1[[#This Row],[Code Postal]]&amp;" - "&amp;Tableau1[[#This Row],[Ville]]</f>
        <v>ZAC D'Aulnoy
59300 - Aulnoy-lez-Valenciennes</v>
      </c>
      <c r="H165" s="15" t="s">
        <v>1247</v>
      </c>
      <c r="I165" s="12" t="s">
        <v>47</v>
      </c>
      <c r="J165" s="12" t="s">
        <v>49</v>
      </c>
      <c r="K165" s="10" t="s">
        <v>98</v>
      </c>
      <c r="L165" s="10" t="s">
        <v>1375</v>
      </c>
      <c r="M165" s="12" t="s">
        <v>98</v>
      </c>
      <c r="N165" s="36"/>
      <c r="O165" s="34">
        <v>200</v>
      </c>
      <c r="P165" s="6" t="s">
        <v>98</v>
      </c>
      <c r="Q165" s="34">
        <v>290</v>
      </c>
      <c r="R165" s="34" t="s">
        <v>98</v>
      </c>
      <c r="S165" s="6" t="s">
        <v>98</v>
      </c>
      <c r="T165" s="12">
        <f>Tableau1[[#This Row],[Loyer €/m²]]*Tableau1[[#This Row],[Surface GLA]]</f>
        <v>110000</v>
      </c>
      <c r="U165" s="12">
        <f>IFERROR(Tableau1[[#This Row],[Loyer annuel]]/12,"")</f>
        <v>9166.6666666666661</v>
      </c>
      <c r="V165" s="12">
        <v>550</v>
      </c>
      <c r="W165" s="46">
        <v>0.08</v>
      </c>
      <c r="X165" s="6">
        <f>Tableau1[[#This Row],[Charges €/m²]]*Tableau1[[#This Row],[Surface GLA]]</f>
        <v>13700</v>
      </c>
      <c r="Y165" s="12">
        <f>Tableau1[[#This Row],[Charges annuelles]]/12</f>
        <v>1141.6666666666667</v>
      </c>
      <c r="Z165" s="12">
        <v>68.5</v>
      </c>
      <c r="AA165" s="12">
        <f>IFERROR(Tableau1[[#This Row],[Taxe foncière €/m²]]*Tableau1[[#This Row],[Surface GLA]],)</f>
        <v>7000</v>
      </c>
      <c r="AB165" s="12">
        <v>35</v>
      </c>
      <c r="AC165" s="12">
        <f>IFERROR(Tableau1[[#This Row],[Marketing €/m²]]*Tableau1[[#This Row],[Surface GLA]],)</f>
        <v>5000</v>
      </c>
      <c r="AD165" s="6">
        <v>25</v>
      </c>
      <c r="AE165" s="12">
        <f>IFERROR(Tableau1[[#This Row],[Loyer annuel]]+Tableau1[[#This Row],[Charges annuelles]]+Tableau1[[#This Row],[Taxe foncière]]+Tableau1[[#This Row],[Marketing]],"")</f>
        <v>135700</v>
      </c>
      <c r="AF165" s="12" t="str">
        <f t="shared" si="7"/>
        <v>3 mois = 27 500 €</v>
      </c>
      <c r="AG165" s="6" t="s">
        <v>98</v>
      </c>
      <c r="AH165" s="46">
        <v>0.05</v>
      </c>
      <c r="AI165" s="12" t="s">
        <v>357</v>
      </c>
      <c r="AJ165" s="10" t="s">
        <v>369</v>
      </c>
      <c r="AK165" s="10" t="s">
        <v>363</v>
      </c>
      <c r="AL165" s="10" t="s">
        <v>1248</v>
      </c>
      <c r="AM165" s="11" t="s">
        <v>1769</v>
      </c>
      <c r="AN165" s="11" t="s">
        <v>1371</v>
      </c>
      <c r="AO165" s="5" t="s">
        <v>361</v>
      </c>
      <c r="AP165" s="11" t="s">
        <v>1238</v>
      </c>
      <c r="AQ165" s="11" t="s">
        <v>1239</v>
      </c>
      <c r="AR165" s="11" t="s">
        <v>1225</v>
      </c>
      <c r="AS165" s="36" t="s">
        <v>1250</v>
      </c>
      <c r="AT165" s="11" t="s">
        <v>70</v>
      </c>
      <c r="AU165" s="11" t="s">
        <v>1231</v>
      </c>
      <c r="AV165" s="13" t="s">
        <v>1104</v>
      </c>
      <c r="AW165" s="14"/>
      <c r="AX165" s="44"/>
      <c r="AZ165" s="1"/>
      <c r="BF165"/>
      <c r="BG165" s="1"/>
    </row>
    <row r="166" spans="1:59" ht="25.5">
      <c r="A166" s="38" t="str">
        <f>VLOOKUP(Tableau1[[#This Row],[N° Département]],Feuil1!$C$6:$E$106,3)</f>
        <v>Hauts-de-France</v>
      </c>
      <c r="B166" s="38" t="str">
        <f>VLOOKUP(Tableau1[[#This Row],[N° Département]],Feuil1!$C$6:$E$106,2)</f>
        <v>Nord</v>
      </c>
      <c r="C166" s="38">
        <f>LEFT(Tableau1[[#This Row],[Code Postal]],2)*1</f>
        <v>59</v>
      </c>
      <c r="D166" s="10" t="s">
        <v>1090</v>
      </c>
      <c r="E166" s="26">
        <v>59300</v>
      </c>
      <c r="F166" s="10" t="s">
        <v>1091</v>
      </c>
      <c r="G166" s="39" t="str">
        <f>Tableau1[[#This Row],[Rue]]&amp;CHAR(10)&amp;Tableau1[[#This Row],[Code Postal]]&amp;" - "&amp;Tableau1[[#This Row],[Ville]]</f>
        <v>ZAC D'Aulnoy
59300 - Aulnoy-lez-Valenciennes</v>
      </c>
      <c r="H166" s="15" t="s">
        <v>1247</v>
      </c>
      <c r="I166" s="12" t="s">
        <v>47</v>
      </c>
      <c r="J166" s="12" t="s">
        <v>49</v>
      </c>
      <c r="K166" s="10" t="s">
        <v>98</v>
      </c>
      <c r="L166" s="10" t="s">
        <v>1375</v>
      </c>
      <c r="M166" s="12" t="s">
        <v>98</v>
      </c>
      <c r="N166" s="36"/>
      <c r="O166" s="34">
        <v>90</v>
      </c>
      <c r="P166" s="6" t="s">
        <v>98</v>
      </c>
      <c r="Q166" s="34">
        <v>290</v>
      </c>
      <c r="R166" s="34" t="s">
        <v>98</v>
      </c>
      <c r="S166" s="6" t="s">
        <v>98</v>
      </c>
      <c r="T166" s="12">
        <f>Tableau1[[#This Row],[Loyer €/m²]]*Tableau1[[#This Row],[Surface GLA]]</f>
        <v>54000</v>
      </c>
      <c r="U166" s="12">
        <f>IFERROR(Tableau1[[#This Row],[Loyer annuel]]/12,"")</f>
        <v>4500</v>
      </c>
      <c r="V166" s="12">
        <v>600</v>
      </c>
      <c r="W166" s="46">
        <v>0.08</v>
      </c>
      <c r="X166" s="6">
        <f>Tableau1[[#This Row],[Charges €/m²]]*Tableau1[[#This Row],[Surface GLA]]</f>
        <v>6165</v>
      </c>
      <c r="Y166" s="12">
        <f>Tableau1[[#This Row],[Charges annuelles]]/12</f>
        <v>513.75</v>
      </c>
      <c r="Z166" s="12">
        <v>68.5</v>
      </c>
      <c r="AA166" s="12">
        <f>IFERROR(Tableau1[[#This Row],[Taxe foncière €/m²]]*Tableau1[[#This Row],[Surface GLA]],)</f>
        <v>3150</v>
      </c>
      <c r="AB166" s="12">
        <v>35</v>
      </c>
      <c r="AC166" s="12">
        <f>IFERROR(Tableau1[[#This Row],[Marketing €/m²]]*Tableau1[[#This Row],[Surface GLA]],)</f>
        <v>2250</v>
      </c>
      <c r="AD166" s="6">
        <v>25</v>
      </c>
      <c r="AE166" s="12">
        <f>IFERROR(Tableau1[[#This Row],[Loyer annuel]]+Tableau1[[#This Row],[Charges annuelles]]+Tableau1[[#This Row],[Taxe foncière]]+Tableau1[[#This Row],[Marketing]],"")</f>
        <v>65565</v>
      </c>
      <c r="AF166" s="12" t="str">
        <f t="shared" si="7"/>
        <v>3 mois = 13 500 €</v>
      </c>
      <c r="AG166" s="6" t="s">
        <v>98</v>
      </c>
      <c r="AH166" s="46">
        <v>0.05</v>
      </c>
      <c r="AI166" s="12" t="s">
        <v>357</v>
      </c>
      <c r="AJ166" s="10" t="s">
        <v>369</v>
      </c>
      <c r="AK166" s="10" t="s">
        <v>363</v>
      </c>
      <c r="AL166" s="10" t="s">
        <v>1248</v>
      </c>
      <c r="AM166" s="11" t="s">
        <v>1769</v>
      </c>
      <c r="AN166" s="11" t="s">
        <v>1371</v>
      </c>
      <c r="AO166" s="5" t="s">
        <v>361</v>
      </c>
      <c r="AP166" s="11" t="s">
        <v>1238</v>
      </c>
      <c r="AQ166" s="11" t="s">
        <v>1240</v>
      </c>
      <c r="AR166" s="11" t="s">
        <v>1226</v>
      </c>
      <c r="AS166" s="36" t="s">
        <v>1251</v>
      </c>
      <c r="AT166" s="11" t="s">
        <v>70</v>
      </c>
      <c r="AU166" s="11" t="s">
        <v>1232</v>
      </c>
      <c r="AV166" s="13" t="s">
        <v>1104</v>
      </c>
      <c r="AW166" s="14"/>
      <c r="AX166" s="44"/>
      <c r="AZ166" s="1"/>
      <c r="BF166"/>
      <c r="BG166" s="1"/>
    </row>
    <row r="167" spans="1:59" ht="25.5">
      <c r="A167" s="38" t="str">
        <f>VLOOKUP(Tableau1[[#This Row],[N° Département]],Feuil1!$C$6:$E$106,3)</f>
        <v>Hauts-de-France</v>
      </c>
      <c r="B167" s="38" t="str">
        <f>VLOOKUP(Tableau1[[#This Row],[N° Département]],Feuil1!$C$6:$E$106,2)</f>
        <v>Nord</v>
      </c>
      <c r="C167" s="38">
        <f>LEFT(Tableau1[[#This Row],[Code Postal]],2)*1</f>
        <v>59</v>
      </c>
      <c r="D167" s="10" t="s">
        <v>1090</v>
      </c>
      <c r="E167" s="26">
        <v>59300</v>
      </c>
      <c r="F167" s="10" t="s">
        <v>1091</v>
      </c>
      <c r="G167" s="39" t="str">
        <f>Tableau1[[#This Row],[Rue]]&amp;CHAR(10)&amp;Tableau1[[#This Row],[Code Postal]]&amp;" - "&amp;Tableau1[[#This Row],[Ville]]</f>
        <v>ZAC D'Aulnoy
59300 - Aulnoy-lez-Valenciennes</v>
      </c>
      <c r="H167" s="15" t="s">
        <v>1247</v>
      </c>
      <c r="I167" s="12" t="s">
        <v>47</v>
      </c>
      <c r="J167" s="12" t="s">
        <v>49</v>
      </c>
      <c r="K167" s="10" t="s">
        <v>98</v>
      </c>
      <c r="L167" s="10" t="s">
        <v>1375</v>
      </c>
      <c r="M167" s="12" t="s">
        <v>98</v>
      </c>
      <c r="N167" s="36"/>
      <c r="O167" s="34">
        <v>78</v>
      </c>
      <c r="P167" s="6" t="s">
        <v>98</v>
      </c>
      <c r="Q167" s="34" t="s">
        <v>98</v>
      </c>
      <c r="R167" s="34" t="s">
        <v>98</v>
      </c>
      <c r="S167" s="6" t="s">
        <v>98</v>
      </c>
      <c r="T167" s="12">
        <f>Tableau1[[#This Row],[Loyer €/m²]]*Tableau1[[#This Row],[Surface GLA]]</f>
        <v>46800</v>
      </c>
      <c r="U167" s="12">
        <f>IFERROR(Tableau1[[#This Row],[Loyer annuel]]/12,"")</f>
        <v>3900</v>
      </c>
      <c r="V167" s="12">
        <v>600</v>
      </c>
      <c r="W167" s="46">
        <v>0.08</v>
      </c>
      <c r="X167" s="6">
        <f>Tableau1[[#This Row],[Charges €/m²]]*Tableau1[[#This Row],[Surface GLA]]</f>
        <v>5343</v>
      </c>
      <c r="Y167" s="12">
        <f>Tableau1[[#This Row],[Charges annuelles]]/12</f>
        <v>445.25</v>
      </c>
      <c r="Z167" s="12">
        <v>68.5</v>
      </c>
      <c r="AA167" s="12">
        <f>IFERROR(Tableau1[[#This Row],[Taxe foncière €/m²]]*Tableau1[[#This Row],[Surface GLA]],)</f>
        <v>2730</v>
      </c>
      <c r="AB167" s="12">
        <v>35</v>
      </c>
      <c r="AC167" s="12">
        <f>IFERROR(Tableau1[[#This Row],[Marketing €/m²]]*Tableau1[[#This Row],[Surface GLA]],)</f>
        <v>1950</v>
      </c>
      <c r="AD167" s="6">
        <v>25</v>
      </c>
      <c r="AE167" s="12">
        <f>IFERROR(Tableau1[[#This Row],[Loyer annuel]]+Tableau1[[#This Row],[Charges annuelles]]+Tableau1[[#This Row],[Taxe foncière]]+Tableau1[[#This Row],[Marketing]],"")</f>
        <v>56823</v>
      </c>
      <c r="AF167" s="12" t="str">
        <f t="shared" si="7"/>
        <v>3 mois = 11 700 €</v>
      </c>
      <c r="AG167" s="6" t="s">
        <v>98</v>
      </c>
      <c r="AH167" s="46">
        <v>0.05</v>
      </c>
      <c r="AI167" s="12" t="s">
        <v>357</v>
      </c>
      <c r="AJ167" s="10" t="s">
        <v>53</v>
      </c>
      <c r="AK167" s="10" t="s">
        <v>362</v>
      </c>
      <c r="AL167" s="10" t="s">
        <v>1248</v>
      </c>
      <c r="AM167" s="11" t="s">
        <v>1769</v>
      </c>
      <c r="AN167" s="11" t="s">
        <v>1371</v>
      </c>
      <c r="AO167" s="5" t="s">
        <v>361</v>
      </c>
      <c r="AP167" s="11" t="s">
        <v>1241</v>
      </c>
      <c r="AQ167" s="11" t="s">
        <v>1242</v>
      </c>
      <c r="AR167" s="11" t="s">
        <v>1227</v>
      </c>
      <c r="AS167" s="36" t="s">
        <v>1252</v>
      </c>
      <c r="AT167" s="11" t="s">
        <v>70</v>
      </c>
      <c r="AU167" s="11" t="s">
        <v>1233</v>
      </c>
      <c r="AV167" s="13" t="s">
        <v>1104</v>
      </c>
      <c r="AW167" s="14"/>
      <c r="AX167" s="44"/>
      <c r="AZ167" s="1"/>
      <c r="BF167"/>
      <c r="BG167" s="1"/>
    </row>
    <row r="168" spans="1:59" ht="25.5">
      <c r="A168" s="38" t="str">
        <f>VLOOKUP(Tableau1[[#This Row],[N° Département]],Feuil1!$C$6:$E$106,3)</f>
        <v>Hauts-de-France</v>
      </c>
      <c r="B168" s="38" t="str">
        <f>VLOOKUP(Tableau1[[#This Row],[N° Département]],Feuil1!$C$6:$E$106,2)</f>
        <v>Nord</v>
      </c>
      <c r="C168" s="38">
        <f>LEFT(Tableau1[[#This Row],[Code Postal]],2)*1</f>
        <v>59</v>
      </c>
      <c r="D168" s="10" t="s">
        <v>1090</v>
      </c>
      <c r="E168" s="26">
        <v>59300</v>
      </c>
      <c r="F168" s="10" t="s">
        <v>1091</v>
      </c>
      <c r="G168" s="39" t="str">
        <f>Tableau1[[#This Row],[Rue]]&amp;CHAR(10)&amp;Tableau1[[#This Row],[Code Postal]]&amp;" - "&amp;Tableau1[[#This Row],[Ville]]</f>
        <v>ZAC D'Aulnoy
59300 - Aulnoy-lez-Valenciennes</v>
      </c>
      <c r="H168" s="15" t="s">
        <v>1247</v>
      </c>
      <c r="I168" s="12" t="s">
        <v>47</v>
      </c>
      <c r="J168" s="12" t="s">
        <v>49</v>
      </c>
      <c r="K168" s="10" t="s">
        <v>98</v>
      </c>
      <c r="L168" s="10" t="s">
        <v>1375</v>
      </c>
      <c r="M168" s="12" t="s">
        <v>98</v>
      </c>
      <c r="N168" s="36"/>
      <c r="O168" s="34">
        <v>70</v>
      </c>
      <c r="P168" s="6" t="s">
        <v>98</v>
      </c>
      <c r="Q168" s="34" t="s">
        <v>98</v>
      </c>
      <c r="R168" s="34" t="s">
        <v>98</v>
      </c>
      <c r="S168" s="6" t="s">
        <v>98</v>
      </c>
      <c r="T168" s="12">
        <f>Tableau1[[#This Row],[Loyer €/m²]]*Tableau1[[#This Row],[Surface GLA]]</f>
        <v>38500</v>
      </c>
      <c r="U168" s="12">
        <f>IFERROR(Tableau1[[#This Row],[Loyer annuel]]/12,"")</f>
        <v>3208.3333333333335</v>
      </c>
      <c r="V168" s="12">
        <v>550</v>
      </c>
      <c r="W168" s="46">
        <v>0.08</v>
      </c>
      <c r="X168" s="6">
        <f>Tableau1[[#This Row],[Charges €/m²]]*Tableau1[[#This Row],[Surface GLA]]</f>
        <v>4795</v>
      </c>
      <c r="Y168" s="12">
        <f>Tableau1[[#This Row],[Charges annuelles]]/12</f>
        <v>399.58333333333331</v>
      </c>
      <c r="Z168" s="12">
        <v>68.5</v>
      </c>
      <c r="AA168" s="12">
        <f>IFERROR(Tableau1[[#This Row],[Taxe foncière €/m²]]*Tableau1[[#This Row],[Surface GLA]],)</f>
        <v>2450</v>
      </c>
      <c r="AB168" s="12">
        <v>35</v>
      </c>
      <c r="AC168" s="12">
        <f>IFERROR(Tableau1[[#This Row],[Marketing €/m²]]*Tableau1[[#This Row],[Surface GLA]],)</f>
        <v>1750</v>
      </c>
      <c r="AD168" s="6">
        <v>25</v>
      </c>
      <c r="AE168" s="12">
        <f>IFERROR(Tableau1[[#This Row],[Loyer annuel]]+Tableau1[[#This Row],[Charges annuelles]]+Tableau1[[#This Row],[Taxe foncière]]+Tableau1[[#This Row],[Marketing]],"")</f>
        <v>47495</v>
      </c>
      <c r="AF168" s="12" t="str">
        <f t="shared" si="7"/>
        <v>3 mois = 9 625 €</v>
      </c>
      <c r="AG168" s="6" t="s">
        <v>98</v>
      </c>
      <c r="AH168" s="46">
        <v>0.05</v>
      </c>
      <c r="AI168" s="12" t="s">
        <v>357</v>
      </c>
      <c r="AJ168" s="10" t="s">
        <v>369</v>
      </c>
      <c r="AK168" s="10" t="s">
        <v>363</v>
      </c>
      <c r="AL168" s="10" t="s">
        <v>1248</v>
      </c>
      <c r="AM168" s="11" t="s">
        <v>1769</v>
      </c>
      <c r="AN168" s="11" t="s">
        <v>1371</v>
      </c>
      <c r="AO168" s="5" t="s">
        <v>361</v>
      </c>
      <c r="AP168" s="11" t="s">
        <v>1243</v>
      </c>
      <c r="AQ168" s="11" t="s">
        <v>1244</v>
      </c>
      <c r="AR168" s="11" t="s">
        <v>1228</v>
      </c>
      <c r="AS168" s="36" t="s">
        <v>1253</v>
      </c>
      <c r="AT168" s="11" t="s">
        <v>70</v>
      </c>
      <c r="AU168" s="11" t="s">
        <v>1234</v>
      </c>
      <c r="AV168" s="13" t="s">
        <v>1104</v>
      </c>
      <c r="AW168" s="14"/>
      <c r="AX168" s="44"/>
      <c r="AZ168" s="1"/>
      <c r="BF168"/>
      <c r="BG168" s="1"/>
    </row>
    <row r="169" spans="1:59" ht="25.5">
      <c r="A169" s="38" t="str">
        <f>VLOOKUP(Tableau1[[#This Row],[N° Département]],Feuil1!$C$6:$E$106,3)</f>
        <v>Hauts-de-France</v>
      </c>
      <c r="B169" s="38" t="str">
        <f>VLOOKUP(Tableau1[[#This Row],[N° Département]],Feuil1!$C$6:$E$106,2)</f>
        <v>Nord</v>
      </c>
      <c r="C169" s="38">
        <f>LEFT(Tableau1[[#This Row],[Code Postal]],2)*1</f>
        <v>59</v>
      </c>
      <c r="D169" s="10" t="s">
        <v>1090</v>
      </c>
      <c r="E169" s="26">
        <v>59300</v>
      </c>
      <c r="F169" s="10" t="s">
        <v>1091</v>
      </c>
      <c r="G169" s="39" t="str">
        <f>Tableau1[[#This Row],[Rue]]&amp;CHAR(10)&amp;Tableau1[[#This Row],[Code Postal]]&amp;" - "&amp;Tableau1[[#This Row],[Ville]]</f>
        <v>ZAC D'Aulnoy
59300 - Aulnoy-lez-Valenciennes</v>
      </c>
      <c r="H169" s="15" t="s">
        <v>1247</v>
      </c>
      <c r="I169" s="12" t="s">
        <v>47</v>
      </c>
      <c r="J169" s="12" t="s">
        <v>49</v>
      </c>
      <c r="K169" s="10" t="s">
        <v>1255</v>
      </c>
      <c r="L169" s="10" t="s">
        <v>1375</v>
      </c>
      <c r="M169" s="12" t="s">
        <v>98</v>
      </c>
      <c r="N169" s="36"/>
      <c r="O169" s="34">
        <v>20</v>
      </c>
      <c r="P169" s="6" t="s">
        <v>98</v>
      </c>
      <c r="Q169" s="34" t="s">
        <v>98</v>
      </c>
      <c r="R169" s="34" t="s">
        <v>98</v>
      </c>
      <c r="S169" s="6" t="s">
        <v>98</v>
      </c>
      <c r="T169" s="12">
        <f>Tableau1[[#This Row],[Loyer €/m²]]*Tableau1[[#This Row],[Surface GLA]]</f>
        <v>24000</v>
      </c>
      <c r="U169" s="12">
        <f>IFERROR(Tableau1[[#This Row],[Loyer annuel]]/12,"")</f>
        <v>2000</v>
      </c>
      <c r="V169" s="12">
        <v>1200</v>
      </c>
      <c r="W169" s="46">
        <v>0.08</v>
      </c>
      <c r="X169" s="6">
        <f>Tableau1[[#This Row],[Charges €/m²]]*Tableau1[[#This Row],[Surface GLA]]</f>
        <v>1370</v>
      </c>
      <c r="Y169" s="12">
        <f>Tableau1[[#This Row],[Charges annuelles]]/12</f>
        <v>114.16666666666667</v>
      </c>
      <c r="Z169" s="12">
        <v>68.5</v>
      </c>
      <c r="AA169" s="12">
        <f>IFERROR(Tableau1[[#This Row],[Taxe foncière €/m²]]*Tableau1[[#This Row],[Surface GLA]],)</f>
        <v>700</v>
      </c>
      <c r="AB169" s="12">
        <v>35</v>
      </c>
      <c r="AC169" s="12">
        <f>IFERROR(Tableau1[[#This Row],[Marketing €/m²]]*Tableau1[[#This Row],[Surface GLA]],)</f>
        <v>500</v>
      </c>
      <c r="AD169" s="6">
        <v>25</v>
      </c>
      <c r="AE169" s="12">
        <f>IFERROR(Tableau1[[#This Row],[Loyer annuel]]+Tableau1[[#This Row],[Charges annuelles]]+Tableau1[[#This Row],[Taxe foncière]]+Tableau1[[#This Row],[Marketing]],"")</f>
        <v>26570</v>
      </c>
      <c r="AF169" s="12" t="str">
        <f t="shared" si="7"/>
        <v>3 mois = 6 000 €</v>
      </c>
      <c r="AG169" s="6" t="s">
        <v>98</v>
      </c>
      <c r="AH169" s="46">
        <v>0.05</v>
      </c>
      <c r="AI169" s="12" t="s">
        <v>357</v>
      </c>
      <c r="AJ169" s="10" t="s">
        <v>53</v>
      </c>
      <c r="AK169" s="10" t="s">
        <v>362</v>
      </c>
      <c r="AL169" s="10" t="s">
        <v>1248</v>
      </c>
      <c r="AM169" s="11" t="s">
        <v>1769</v>
      </c>
      <c r="AN169" s="11" t="s">
        <v>1371</v>
      </c>
      <c r="AO169" s="5" t="s">
        <v>361</v>
      </c>
      <c r="AP169" s="11" t="s">
        <v>1245</v>
      </c>
      <c r="AQ169" s="11" t="s">
        <v>1246</v>
      </c>
      <c r="AR169" s="11" t="s">
        <v>1229</v>
      </c>
      <c r="AS169" s="36" t="s">
        <v>1254</v>
      </c>
      <c r="AT169" s="11" t="s">
        <v>70</v>
      </c>
      <c r="AU169" s="11" t="s">
        <v>1235</v>
      </c>
      <c r="AV169" s="13" t="s">
        <v>1104</v>
      </c>
      <c r="AW169" s="14"/>
      <c r="AX169" s="44"/>
      <c r="AZ169" s="1"/>
      <c r="BF169"/>
      <c r="BG169" s="1"/>
    </row>
    <row r="170" spans="1:59" ht="25.5">
      <c r="A170" s="38" t="str">
        <f>VLOOKUP(Tableau1[[#This Row],[N° Département]],Feuil1!$C$6:$E$106,3)</f>
        <v>Hauts-de-France</v>
      </c>
      <c r="B170" s="38" t="str">
        <f>VLOOKUP(Tableau1[[#This Row],[N° Département]],Feuil1!$C$6:$E$106,2)</f>
        <v>Nord</v>
      </c>
      <c r="C170" s="38">
        <f>LEFT(Tableau1[[#This Row],[Code Postal]],2)*1</f>
        <v>59</v>
      </c>
      <c r="D170" s="10" t="s">
        <v>1185</v>
      </c>
      <c r="E170" s="26">
        <v>59320</v>
      </c>
      <c r="F170" s="10" t="s">
        <v>1092</v>
      </c>
      <c r="G170" s="39" t="str">
        <f>Tableau1[[#This Row],[Rue]]&amp;CHAR(10)&amp;Tableau1[[#This Row],[Code Postal]]&amp;" - "&amp;Tableau1[[#This Row],[Ville]]</f>
        <v>5001 Rue des Fusillés de 1940
59320 - Ennetières-en-Weppes</v>
      </c>
      <c r="H170" s="15" t="s">
        <v>1121</v>
      </c>
      <c r="I170" s="12" t="s">
        <v>47</v>
      </c>
      <c r="J170" s="12" t="s">
        <v>48</v>
      </c>
      <c r="K170" s="10" t="s">
        <v>98</v>
      </c>
      <c r="L170" s="10" t="s">
        <v>1375</v>
      </c>
      <c r="M170" s="12" t="s">
        <v>98</v>
      </c>
      <c r="N170" s="36"/>
      <c r="O170" s="34">
        <v>150</v>
      </c>
      <c r="P170" s="6" t="s">
        <v>98</v>
      </c>
      <c r="Q170" s="34">
        <v>750</v>
      </c>
      <c r="R170" s="34" t="s">
        <v>98</v>
      </c>
      <c r="S170" s="6" t="s">
        <v>98</v>
      </c>
      <c r="T170" s="12">
        <f>Tableau1[[#This Row],[Loyer €/m²]]*Tableau1[[#This Row],[Surface GLA]]</f>
        <v>52500</v>
      </c>
      <c r="U170" s="12">
        <f>IFERROR(Tableau1[[#This Row],[Loyer annuel]]/12,"")</f>
        <v>4375</v>
      </c>
      <c r="V170" s="12">
        <v>350</v>
      </c>
      <c r="W170" s="6" t="s">
        <v>98</v>
      </c>
      <c r="X170" s="6">
        <f>Tableau1[[#This Row],[Charges €/m²]]*Tableau1[[#This Row],[Surface GLA]]</f>
        <v>2145</v>
      </c>
      <c r="Y170" s="12">
        <f>Tableau1[[#This Row],[Charges annuelles]]/12</f>
        <v>178.75</v>
      </c>
      <c r="Z170" s="12">
        <v>14.3</v>
      </c>
      <c r="AA170" s="12">
        <f>IFERROR(Tableau1[[#This Row],[Taxe foncière €/m²]]*Tableau1[[#This Row],[Surface GLA]],)</f>
        <v>2640</v>
      </c>
      <c r="AB170" s="12">
        <v>17.600000000000001</v>
      </c>
      <c r="AC170" s="12">
        <f>IFERROR(Tableau1[[#This Row],[Marketing €/m²]]*Tableau1[[#This Row],[Surface GLA]],)</f>
        <v>0</v>
      </c>
      <c r="AD170" s="6" t="s">
        <v>98</v>
      </c>
      <c r="AE170" s="12">
        <f>IFERROR(Tableau1[[#This Row],[Loyer annuel]]+Tableau1[[#This Row],[Charges annuelles]]+Tableau1[[#This Row],[Taxe foncière]]+Tableau1[[#This Row],[Marketing]],"")</f>
        <v>57285</v>
      </c>
      <c r="AF170" s="12" t="str">
        <f t="shared" si="7"/>
        <v>3 mois = 13 125 €</v>
      </c>
      <c r="AG170" s="6" t="s">
        <v>98</v>
      </c>
      <c r="AH170" s="46">
        <v>0.05</v>
      </c>
      <c r="AI170" s="12" t="s">
        <v>357</v>
      </c>
      <c r="AJ170" s="10" t="s">
        <v>70</v>
      </c>
      <c r="AK170" s="10" t="s">
        <v>363</v>
      </c>
      <c r="AL170" s="10" t="s">
        <v>1120</v>
      </c>
      <c r="AM170" s="11" t="s">
        <v>1379</v>
      </c>
      <c r="AN170" s="11" t="s">
        <v>1371</v>
      </c>
      <c r="AO170" s="5" t="s">
        <v>361</v>
      </c>
      <c r="AP170" s="11" t="s">
        <v>1105</v>
      </c>
      <c r="AQ170" s="11" t="s">
        <v>1106</v>
      </c>
      <c r="AR170" s="11">
        <v>42</v>
      </c>
      <c r="AS170" s="36" t="s">
        <v>1208</v>
      </c>
      <c r="AT170" s="11" t="s">
        <v>70</v>
      </c>
      <c r="AU170" s="11" t="s">
        <v>1221</v>
      </c>
      <c r="AV170" s="13" t="s">
        <v>1104</v>
      </c>
      <c r="AW170" s="14"/>
      <c r="AX170" s="44">
        <v>46003</v>
      </c>
      <c r="AZ170" s="1"/>
      <c r="BF170"/>
      <c r="BG170" s="1"/>
    </row>
    <row r="171" spans="1:59" ht="25.5">
      <c r="A171" s="38" t="str">
        <f>VLOOKUP(Tableau1[[#This Row],[N° Département]],Feuil1!$C$6:$E$106,3)</f>
        <v>Grand Est</v>
      </c>
      <c r="B171" s="38" t="str">
        <f>VLOOKUP(Tableau1[[#This Row],[N° Département]],Feuil1!$C$6:$E$106,2)</f>
        <v>Haut-Rhin</v>
      </c>
      <c r="C171" s="38">
        <f>LEFT(Tableau1[[#This Row],[Code Postal]],2)*1</f>
        <v>68</v>
      </c>
      <c r="D171" s="10" t="s">
        <v>1093</v>
      </c>
      <c r="E171" s="26">
        <v>68270</v>
      </c>
      <c r="F171" s="10" t="s">
        <v>1094</v>
      </c>
      <c r="G171" s="39" t="str">
        <f>Tableau1[[#This Row],[Rue]]&amp;CHAR(10)&amp;Tableau1[[#This Row],[Code Postal]]&amp;" - "&amp;Tableau1[[#This Row],[Ville]]</f>
        <v>11 Rue de Soultz
68270 - Wittenheim</v>
      </c>
      <c r="H171" s="15" t="s">
        <v>1069</v>
      </c>
      <c r="I171" s="12" t="s">
        <v>47</v>
      </c>
      <c r="J171" s="12" t="s">
        <v>48</v>
      </c>
      <c r="K171" s="10" t="s">
        <v>98</v>
      </c>
      <c r="L171" s="10" t="s">
        <v>1375</v>
      </c>
      <c r="M171" s="12" t="s">
        <v>98</v>
      </c>
      <c r="N171" s="36"/>
      <c r="O171" s="34">
        <v>300</v>
      </c>
      <c r="P171" s="6" t="s">
        <v>98</v>
      </c>
      <c r="Q171" s="34">
        <v>930</v>
      </c>
      <c r="R171" s="34" t="s">
        <v>98</v>
      </c>
      <c r="S171" s="6" t="s">
        <v>98</v>
      </c>
      <c r="T171" s="12">
        <f>Tableau1[[#This Row],[Loyer €/m²]]*Tableau1[[#This Row],[Surface GLA]]</f>
        <v>67500</v>
      </c>
      <c r="U171" s="12">
        <f>IFERROR(Tableau1[[#This Row],[Loyer annuel]]/12,"")</f>
        <v>5625</v>
      </c>
      <c r="V171" s="12">
        <v>225</v>
      </c>
      <c r="W171" s="6" t="s">
        <v>98</v>
      </c>
      <c r="X171" s="6">
        <f>Tableau1[[#This Row],[Charges €/m²]]*Tableau1[[#This Row],[Surface GLA]]</f>
        <v>990</v>
      </c>
      <c r="Y171" s="12">
        <f>Tableau1[[#This Row],[Charges annuelles]]/12</f>
        <v>82.5</v>
      </c>
      <c r="Z171" s="12">
        <v>3.3</v>
      </c>
      <c r="AA171" s="12">
        <f>IFERROR(Tableau1[[#This Row],[Taxe foncière €/m²]]*Tableau1[[#This Row],[Surface GLA]],)</f>
        <v>3960</v>
      </c>
      <c r="AB171" s="12">
        <v>13.2</v>
      </c>
      <c r="AC171" s="12">
        <f>IFERROR(Tableau1[[#This Row],[Marketing €/m²]]*Tableau1[[#This Row],[Surface GLA]],)</f>
        <v>0</v>
      </c>
      <c r="AD171" s="6" t="s">
        <v>98</v>
      </c>
      <c r="AE171" s="12">
        <f>IFERROR(Tableau1[[#This Row],[Loyer annuel]]+Tableau1[[#This Row],[Charges annuelles]]+Tableau1[[#This Row],[Taxe foncière]]+Tableau1[[#This Row],[Marketing]],"")</f>
        <v>72450</v>
      </c>
      <c r="AF171" s="12" t="str">
        <f t="shared" si="7"/>
        <v>3 mois = 16 875 €</v>
      </c>
      <c r="AG171" s="6" t="s">
        <v>98</v>
      </c>
      <c r="AH171" s="46">
        <v>0.05</v>
      </c>
      <c r="AI171" s="12" t="s">
        <v>357</v>
      </c>
      <c r="AJ171" s="10" t="s">
        <v>369</v>
      </c>
      <c r="AK171" s="10" t="s">
        <v>363</v>
      </c>
      <c r="AL171" s="10" t="s">
        <v>1187</v>
      </c>
      <c r="AM171" s="11" t="s">
        <v>1380</v>
      </c>
      <c r="AN171" s="11" t="s">
        <v>1371</v>
      </c>
      <c r="AO171" s="5" t="s">
        <v>361</v>
      </c>
      <c r="AP171" s="11" t="s">
        <v>1122</v>
      </c>
      <c r="AQ171" s="11" t="s">
        <v>1123</v>
      </c>
      <c r="AR171" s="11">
        <v>43</v>
      </c>
      <c r="AS171" s="36" t="s">
        <v>1209</v>
      </c>
      <c r="AT171" s="11" t="s">
        <v>70</v>
      </c>
      <c r="AU171" s="11" t="s">
        <v>1186</v>
      </c>
      <c r="AV171" s="13" t="s">
        <v>1104</v>
      </c>
      <c r="AW171" s="14"/>
      <c r="AX171" s="44">
        <v>46003</v>
      </c>
      <c r="AZ171" s="1"/>
      <c r="BF171"/>
      <c r="BG171" s="1"/>
    </row>
    <row r="172" spans="1:59" ht="25.5">
      <c r="A172" s="38" t="str">
        <f>VLOOKUP(Tableau1[[#This Row],[N° Département]],Feuil1!$C$6:$E$106,3)</f>
        <v>Ile-de-France</v>
      </c>
      <c r="B172" s="38" t="str">
        <f>VLOOKUP(Tableau1[[#This Row],[N° Département]],Feuil1!$C$6:$E$106,2)</f>
        <v>Seine-et-Marne</v>
      </c>
      <c r="C172" s="38">
        <f>LEFT(Tableau1[[#This Row],[Code Postal]],2)*1</f>
        <v>77</v>
      </c>
      <c r="D172" s="10" t="s">
        <v>1095</v>
      </c>
      <c r="E172" s="26">
        <v>77140</v>
      </c>
      <c r="F172" s="10" t="s">
        <v>1060</v>
      </c>
      <c r="G172" s="39" t="str">
        <f>Tableau1[[#This Row],[Rue]]&amp;CHAR(10)&amp;Tableau1[[#This Row],[Code Postal]]&amp;" - "&amp;Tableau1[[#This Row],[Ville]]</f>
        <v>31 Rue de Montargis
77140 - Nemours</v>
      </c>
      <c r="H172" s="15" t="s">
        <v>1070</v>
      </c>
      <c r="I172" s="12" t="s">
        <v>47</v>
      </c>
      <c r="J172" s="12" t="s">
        <v>48</v>
      </c>
      <c r="K172" s="10" t="s">
        <v>98</v>
      </c>
      <c r="L172" s="10" t="s">
        <v>1375</v>
      </c>
      <c r="M172" s="12" t="s">
        <v>98</v>
      </c>
      <c r="N172" s="36"/>
      <c r="O172" s="34">
        <v>760</v>
      </c>
      <c r="P172" s="6" t="s">
        <v>1189</v>
      </c>
      <c r="Q172" s="34" t="s">
        <v>98</v>
      </c>
      <c r="R172" s="34" t="s">
        <v>98</v>
      </c>
      <c r="S172" s="6" t="s">
        <v>98</v>
      </c>
      <c r="T172" s="12">
        <f>Tableau1[[#This Row],[Loyer €/m²]]*Tableau1[[#This Row],[Surface GLA]]</f>
        <v>95000</v>
      </c>
      <c r="U172" s="12">
        <f>IFERROR(Tableau1[[#This Row],[Loyer annuel]]/12,"")</f>
        <v>7916.666666666667</v>
      </c>
      <c r="V172" s="12">
        <v>125</v>
      </c>
      <c r="W172" s="6" t="s">
        <v>98</v>
      </c>
      <c r="X172" s="6">
        <f>Tableau1[[#This Row],[Charges €/m²]]*Tableau1[[#This Row],[Surface GLA]]</f>
        <v>3800</v>
      </c>
      <c r="Y172" s="12">
        <f>Tableau1[[#This Row],[Charges annuelles]]/12</f>
        <v>316.66666666666669</v>
      </c>
      <c r="Z172" s="12">
        <v>5</v>
      </c>
      <c r="AA172" s="12">
        <f>IFERROR(Tableau1[[#This Row],[Taxe foncière €/m²]]*Tableau1[[#This Row],[Surface GLA]],)</f>
        <v>17480</v>
      </c>
      <c r="AB172" s="12">
        <v>23</v>
      </c>
      <c r="AC172" s="12">
        <f>IFERROR(Tableau1[[#This Row],[Marketing €/m²]]*Tableau1[[#This Row],[Surface GLA]],)</f>
        <v>0</v>
      </c>
      <c r="AD172" s="6" t="s">
        <v>98</v>
      </c>
      <c r="AE172" s="12">
        <f>IFERROR(Tableau1[[#This Row],[Loyer annuel]]+Tableau1[[#This Row],[Charges annuelles]]+Tableau1[[#This Row],[Taxe foncière]]+Tableau1[[#This Row],[Marketing]],"")</f>
        <v>116280</v>
      </c>
      <c r="AF172" s="12" t="str">
        <f t="shared" si="7"/>
        <v>3 mois = 23 750 €</v>
      </c>
      <c r="AG172" s="6" t="s">
        <v>98</v>
      </c>
      <c r="AH172" s="46">
        <v>0.05</v>
      </c>
      <c r="AI172" s="12" t="s">
        <v>357</v>
      </c>
      <c r="AJ172" s="10" t="s">
        <v>369</v>
      </c>
      <c r="AK172" s="10" t="s">
        <v>363</v>
      </c>
      <c r="AL172" s="10" t="s">
        <v>1126</v>
      </c>
      <c r="AM172" s="11" t="s">
        <v>1190</v>
      </c>
      <c r="AN172" s="11" t="s">
        <v>1371</v>
      </c>
      <c r="AO172" s="5" t="s">
        <v>361</v>
      </c>
      <c r="AP172" s="11" t="s">
        <v>1124</v>
      </c>
      <c r="AQ172" s="11" t="s">
        <v>1125</v>
      </c>
      <c r="AR172" s="11">
        <v>44</v>
      </c>
      <c r="AS172" s="36" t="s">
        <v>1210</v>
      </c>
      <c r="AT172" s="11" t="s">
        <v>70</v>
      </c>
      <c r="AU172" s="11" t="s">
        <v>1188</v>
      </c>
      <c r="AV172" s="13" t="s">
        <v>1104</v>
      </c>
      <c r="AW172" s="14"/>
      <c r="AX172" s="44">
        <v>46003</v>
      </c>
      <c r="AZ172" s="1"/>
      <c r="BF172"/>
      <c r="BG172" s="1"/>
    </row>
    <row r="173" spans="1:59" ht="25.5">
      <c r="A173" s="38" t="str">
        <f>VLOOKUP(Tableau1[[#This Row],[N° Département]],Feuil1!$C$6:$E$106,3)</f>
        <v>Provence-Alpes-Côte d'Azur</v>
      </c>
      <c r="B173" s="38" t="str">
        <f>VLOOKUP(Tableau1[[#This Row],[N° Département]],Feuil1!$C$6:$E$106,2)</f>
        <v>Var</v>
      </c>
      <c r="C173" s="38">
        <f>LEFT(Tableau1[[#This Row],[Code Postal]],2)*1</f>
        <v>83</v>
      </c>
      <c r="D173" s="10" t="s">
        <v>1077</v>
      </c>
      <c r="E173" s="26">
        <v>83160</v>
      </c>
      <c r="F173" s="10" t="s">
        <v>1076</v>
      </c>
      <c r="G173" s="39" t="str">
        <f>Tableau1[[#This Row],[Rue]]&amp;CHAR(10)&amp;Tableau1[[#This Row],[Code Postal]]&amp;" - "&amp;Tableau1[[#This Row],[Ville]]</f>
        <v>23 Avenue des Frères Lumière
83160 - La Valette-du-Var</v>
      </c>
      <c r="H173" s="15" t="s">
        <v>1071</v>
      </c>
      <c r="I173" s="12" t="s">
        <v>45</v>
      </c>
      <c r="J173" s="12" t="s">
        <v>50</v>
      </c>
      <c r="K173" s="10" t="s">
        <v>98</v>
      </c>
      <c r="L173" s="10" t="s">
        <v>1411</v>
      </c>
      <c r="M173" s="12"/>
      <c r="N173" s="36"/>
      <c r="O173" s="34">
        <v>276</v>
      </c>
      <c r="P173" s="6" t="s">
        <v>1191</v>
      </c>
      <c r="Q173" s="34" t="s">
        <v>98</v>
      </c>
      <c r="R173" s="34" t="s">
        <v>98</v>
      </c>
      <c r="S173" s="6" t="s">
        <v>98</v>
      </c>
      <c r="T173" s="12">
        <f>Tableau1[[#This Row],[Loyer €/m²]]*Tableau1[[#This Row],[Surface GLA]]</f>
        <v>151800</v>
      </c>
      <c r="U173" s="12">
        <f>IFERROR(Tableau1[[#This Row],[Loyer annuel]]/12,"")</f>
        <v>12650</v>
      </c>
      <c r="V173" s="12">
        <v>550</v>
      </c>
      <c r="W173" s="6" t="s">
        <v>98</v>
      </c>
      <c r="X173" s="6">
        <f>Tableau1[[#This Row],[Charges €/m²]]*Tableau1[[#This Row],[Surface GLA]]</f>
        <v>2760</v>
      </c>
      <c r="Y173" s="12">
        <f>Tableau1[[#This Row],[Charges annuelles]]/12</f>
        <v>230</v>
      </c>
      <c r="Z173" s="12">
        <v>10</v>
      </c>
      <c r="AA173" s="12">
        <f>IFERROR(Tableau1[[#This Row],[Taxe foncière €/m²]]*Tableau1[[#This Row],[Surface GLA]],)</f>
        <v>6348</v>
      </c>
      <c r="AB173" s="12">
        <v>23</v>
      </c>
      <c r="AC173" s="12">
        <f>IFERROR(Tableau1[[#This Row],[Marketing €/m²]]*Tableau1[[#This Row],[Surface GLA]],)</f>
        <v>0</v>
      </c>
      <c r="AD173" s="6" t="s">
        <v>98</v>
      </c>
      <c r="AE173" s="12">
        <f>IFERROR(Tableau1[[#This Row],[Loyer annuel]]+Tableau1[[#This Row],[Charges annuelles]]+Tableau1[[#This Row],[Taxe foncière]]+Tableau1[[#This Row],[Marketing]],"")</f>
        <v>160908</v>
      </c>
      <c r="AF173" s="12" t="str">
        <f t="shared" si="7"/>
        <v>3 mois = 37 950 €</v>
      </c>
      <c r="AG173" s="12" t="str">
        <f t="shared" ref="AG173:AG179" si="8">"6 mois = "&amp;TEXT(ROUND(6/12*T173,0),"### ### ##0 €")</f>
        <v>6 mois = 75 900 €</v>
      </c>
      <c r="AH173" s="46">
        <v>0.05</v>
      </c>
      <c r="AI173" s="12" t="s">
        <v>357</v>
      </c>
      <c r="AJ173" s="10" t="s">
        <v>70</v>
      </c>
      <c r="AK173" s="10" t="s">
        <v>363</v>
      </c>
      <c r="AL173" s="10" t="s">
        <v>1129</v>
      </c>
      <c r="AM173" s="11" t="s">
        <v>1410</v>
      </c>
      <c r="AN173" s="11" t="s">
        <v>1371</v>
      </c>
      <c r="AO173" s="5" t="s">
        <v>361</v>
      </c>
      <c r="AP173" s="11" t="s">
        <v>1127</v>
      </c>
      <c r="AQ173" s="11" t="s">
        <v>1128</v>
      </c>
      <c r="AR173" s="11" t="s">
        <v>1100</v>
      </c>
      <c r="AS173" s="36" t="s">
        <v>1211</v>
      </c>
      <c r="AT173" s="11" t="s">
        <v>70</v>
      </c>
      <c r="AU173" s="11" t="s">
        <v>1222</v>
      </c>
      <c r="AV173" s="13" t="s">
        <v>1104</v>
      </c>
      <c r="AW173" s="14"/>
      <c r="AX173" s="44">
        <v>46003</v>
      </c>
      <c r="AZ173" s="1"/>
      <c r="BF173"/>
      <c r="BG173" s="1"/>
    </row>
    <row r="174" spans="1:59" ht="25.5">
      <c r="A174" s="38" t="str">
        <f>VLOOKUP(Tableau1[[#This Row],[N° Département]],Feuil1!$C$6:$E$106,3)</f>
        <v>Provence-Alpes-Côte d'Azur</v>
      </c>
      <c r="B174" s="38" t="str">
        <f>VLOOKUP(Tableau1[[#This Row],[N° Département]],Feuil1!$C$6:$E$106,2)</f>
        <v>Var</v>
      </c>
      <c r="C174" s="38">
        <f>LEFT(Tableau1[[#This Row],[Code Postal]],2)*1</f>
        <v>83</v>
      </c>
      <c r="D174" s="10" t="s">
        <v>1192</v>
      </c>
      <c r="E174" s="26">
        <v>83160</v>
      </c>
      <c r="F174" s="10" t="s">
        <v>1076</v>
      </c>
      <c r="G174" s="39" t="str">
        <f>Tableau1[[#This Row],[Rue]]&amp;CHAR(10)&amp;Tableau1[[#This Row],[Code Postal]]&amp;" - "&amp;Tableau1[[#This Row],[Ville]]</f>
        <v>83 Avenue de l'Université
83160 - La Valette-du-Var</v>
      </c>
      <c r="H174" s="15" t="s">
        <v>1072</v>
      </c>
      <c r="I174" s="12" t="s">
        <v>45</v>
      </c>
      <c r="J174" s="12" t="s">
        <v>50</v>
      </c>
      <c r="K174" s="10" t="s">
        <v>98</v>
      </c>
      <c r="L174" s="10" t="s">
        <v>1375</v>
      </c>
      <c r="M174" s="12">
        <v>60000</v>
      </c>
      <c r="N174" s="36"/>
      <c r="O174" s="34">
        <v>470</v>
      </c>
      <c r="P174" s="6" t="s">
        <v>98</v>
      </c>
      <c r="Q174" s="34" t="s">
        <v>98</v>
      </c>
      <c r="R174" s="34" t="s">
        <v>98</v>
      </c>
      <c r="S174" s="6" t="s">
        <v>98</v>
      </c>
      <c r="T174" s="12">
        <f>Tableau1[[#This Row],[Loyer €/m²]]*Tableau1[[#This Row],[Surface GLA]]</f>
        <v>188000</v>
      </c>
      <c r="U174" s="12">
        <f>IFERROR(Tableau1[[#This Row],[Loyer annuel]]/12,"")</f>
        <v>15666.666666666666</v>
      </c>
      <c r="V174" s="12">
        <v>400</v>
      </c>
      <c r="W174" s="46">
        <v>0.08</v>
      </c>
      <c r="X174" s="6">
        <f>Tableau1[[#This Row],[Charges €/m²]]*Tableau1[[#This Row],[Surface GLA]]</f>
        <v>2350</v>
      </c>
      <c r="Y174" s="12">
        <f>Tableau1[[#This Row],[Charges annuelles]]/12</f>
        <v>195.83333333333334</v>
      </c>
      <c r="Z174" s="12">
        <v>5</v>
      </c>
      <c r="AA174" s="12">
        <f>IFERROR(Tableau1[[#This Row],[Taxe foncière €/m²]]*Tableau1[[#This Row],[Surface GLA]],)</f>
        <v>16450</v>
      </c>
      <c r="AB174" s="12">
        <v>35</v>
      </c>
      <c r="AC174" s="12">
        <f>IFERROR(Tableau1[[#This Row],[Marketing €/m²]]*Tableau1[[#This Row],[Surface GLA]],)</f>
        <v>0</v>
      </c>
      <c r="AD174" s="6" t="s">
        <v>98</v>
      </c>
      <c r="AE174" s="12">
        <f>IFERROR(Tableau1[[#This Row],[Loyer annuel]]+Tableau1[[#This Row],[Charges annuelles]]+Tableau1[[#This Row],[Taxe foncière]]+Tableau1[[#This Row],[Marketing]],"")</f>
        <v>206800</v>
      </c>
      <c r="AF174" s="12" t="str">
        <f t="shared" si="7"/>
        <v>3 mois = 47 000 €</v>
      </c>
      <c r="AG174" s="12" t="str">
        <f t="shared" si="8"/>
        <v>6 mois = 94 000 €</v>
      </c>
      <c r="AH174" s="46">
        <v>0.05</v>
      </c>
      <c r="AI174" s="12" t="s">
        <v>357</v>
      </c>
      <c r="AJ174" s="10" t="s">
        <v>369</v>
      </c>
      <c r="AK174" s="10" t="s">
        <v>363</v>
      </c>
      <c r="AL174" s="10" t="s">
        <v>1130</v>
      </c>
      <c r="AM174" s="11" t="s">
        <v>1412</v>
      </c>
      <c r="AN174" s="11" t="s">
        <v>1371</v>
      </c>
      <c r="AO174" s="5" t="s">
        <v>361</v>
      </c>
      <c r="AP174" s="11" t="s">
        <v>1131</v>
      </c>
      <c r="AQ174" s="11" t="s">
        <v>1132</v>
      </c>
      <c r="AR174" s="11" t="s">
        <v>1099</v>
      </c>
      <c r="AS174" s="36" t="s">
        <v>1212</v>
      </c>
      <c r="AT174" s="11" t="s">
        <v>70</v>
      </c>
      <c r="AU174" s="11" t="s">
        <v>1193</v>
      </c>
      <c r="AV174" s="13" t="s">
        <v>1104</v>
      </c>
      <c r="AW174" s="14"/>
      <c r="AX174" s="44">
        <v>46003</v>
      </c>
      <c r="AZ174" s="1"/>
      <c r="BF174"/>
      <c r="BG174" s="1"/>
    </row>
    <row r="175" spans="1:59" ht="25.5">
      <c r="A175" s="38" t="str">
        <f>VLOOKUP(Tableau1[[#This Row],[N° Département]],Feuil1!$C$6:$E$106,3)</f>
        <v>Provence-Alpes-Côte d'Azur</v>
      </c>
      <c r="B175" s="38" t="str">
        <f>VLOOKUP(Tableau1[[#This Row],[N° Département]],Feuil1!$C$6:$E$106,2)</f>
        <v>Vaucluse</v>
      </c>
      <c r="C175" s="38">
        <f>LEFT(Tableau1[[#This Row],[Code Postal]],2)*1</f>
        <v>84</v>
      </c>
      <c r="D175" s="10" t="s">
        <v>1078</v>
      </c>
      <c r="E175" s="26">
        <v>84140</v>
      </c>
      <c r="F175" s="10" t="s">
        <v>1061</v>
      </c>
      <c r="G175" s="39" t="str">
        <f>Tableau1[[#This Row],[Rue]]&amp;CHAR(10)&amp;Tableau1[[#This Row],[Code Postal]]&amp;" - "&amp;Tableau1[[#This Row],[Ville]]</f>
        <v>330 Avenue Marcou Delanglade
84140 - Avignon</v>
      </c>
      <c r="H175" s="15" t="s">
        <v>1136</v>
      </c>
      <c r="I175" s="12" t="s">
        <v>47</v>
      </c>
      <c r="J175" s="12" t="s">
        <v>48</v>
      </c>
      <c r="K175" s="10" t="s">
        <v>98</v>
      </c>
      <c r="L175" s="10" t="s">
        <v>1375</v>
      </c>
      <c r="M175" s="12" t="s">
        <v>98</v>
      </c>
      <c r="N175" s="36"/>
      <c r="O175" s="34">
        <v>616</v>
      </c>
      <c r="P175" s="6" t="s">
        <v>1195</v>
      </c>
      <c r="Q175" s="34" t="s">
        <v>98</v>
      </c>
      <c r="R175" s="34" t="s">
        <v>98</v>
      </c>
      <c r="S175" s="6" t="s">
        <v>98</v>
      </c>
      <c r="T175" s="12">
        <f>Tableau1[[#This Row],[Loyer €/m²]]*Tableau1[[#This Row],[Surface GLA]]</f>
        <v>107800</v>
      </c>
      <c r="U175" s="12">
        <f>IFERROR(Tableau1[[#This Row],[Loyer annuel]]/12,"")</f>
        <v>8983.3333333333339</v>
      </c>
      <c r="V175" s="12">
        <v>175</v>
      </c>
      <c r="W175" s="6" t="s">
        <v>98</v>
      </c>
      <c r="X175" s="6">
        <f>Tableau1[[#This Row],[Charges €/m²]]*Tableau1[[#This Row],[Surface GLA]]</f>
        <v>11088</v>
      </c>
      <c r="Y175" s="12">
        <f>Tableau1[[#This Row],[Charges annuelles]]/12</f>
        <v>924</v>
      </c>
      <c r="Z175" s="12">
        <v>18</v>
      </c>
      <c r="AA175" s="12">
        <f>IFERROR(Tableau1[[#This Row],[Taxe foncière €/m²]]*Tableau1[[#This Row],[Surface GLA]],)</f>
        <v>8624</v>
      </c>
      <c r="AB175" s="12">
        <v>14</v>
      </c>
      <c r="AC175" s="12">
        <f>IFERROR(Tableau1[[#This Row],[Marketing €/m²]]*Tableau1[[#This Row],[Surface GLA]],)</f>
        <v>0</v>
      </c>
      <c r="AD175" s="6" t="s">
        <v>98</v>
      </c>
      <c r="AE175" s="12">
        <f>IFERROR(Tableau1[[#This Row],[Loyer annuel]]+Tableau1[[#This Row],[Charges annuelles]]+Tableau1[[#This Row],[Taxe foncière]]+Tableau1[[#This Row],[Marketing]],"")</f>
        <v>127512</v>
      </c>
      <c r="AF175" s="12" t="str">
        <f t="shared" si="7"/>
        <v>3 mois = 26 950 €</v>
      </c>
      <c r="AG175" s="12" t="str">
        <f t="shared" si="8"/>
        <v>6 mois = 53 900 €</v>
      </c>
      <c r="AH175" s="46">
        <v>0.05</v>
      </c>
      <c r="AI175" s="12" t="s">
        <v>357</v>
      </c>
      <c r="AJ175" s="10" t="s">
        <v>70</v>
      </c>
      <c r="AK175" s="10" t="s">
        <v>363</v>
      </c>
      <c r="AL175" s="10" t="s">
        <v>1135</v>
      </c>
      <c r="AM175" s="11" t="s">
        <v>1413</v>
      </c>
      <c r="AN175" s="11" t="s">
        <v>1371</v>
      </c>
      <c r="AO175" s="5" t="s">
        <v>361</v>
      </c>
      <c r="AP175" s="11" t="s">
        <v>1133</v>
      </c>
      <c r="AQ175" s="11" t="s">
        <v>1134</v>
      </c>
      <c r="AR175" s="11">
        <v>46</v>
      </c>
      <c r="AS175" s="45" t="s">
        <v>1213</v>
      </c>
      <c r="AT175" s="11" t="s">
        <v>70</v>
      </c>
      <c r="AU175" s="11" t="s">
        <v>1194</v>
      </c>
      <c r="AV175" s="13" t="s">
        <v>1104</v>
      </c>
      <c r="AW175" s="14"/>
      <c r="AX175" s="44">
        <v>46003</v>
      </c>
      <c r="AZ175" s="1"/>
      <c r="BF175"/>
      <c r="BG175" s="1"/>
    </row>
    <row r="176" spans="1:59" ht="25.5">
      <c r="A176" s="38" t="str">
        <f>VLOOKUP(Tableau1[[#This Row],[N° Département]],Feuil1!$C$6:$E$106,3)</f>
        <v>Ile-de-France</v>
      </c>
      <c r="B176" s="38" t="str">
        <f>VLOOKUP(Tableau1[[#This Row],[N° Département]],Feuil1!$C$6:$E$106,2)</f>
        <v>Val-de-Marne</v>
      </c>
      <c r="C176" s="38">
        <f>LEFT(Tableau1[[#This Row],[Code Postal]],2)*1</f>
        <v>94</v>
      </c>
      <c r="D176" s="10" t="s">
        <v>1081</v>
      </c>
      <c r="E176" s="26">
        <v>94500</v>
      </c>
      <c r="F176" s="10" t="s">
        <v>1080</v>
      </c>
      <c r="G176" s="39" t="str">
        <f>Tableau1[[#This Row],[Rue]]&amp;CHAR(10)&amp;Tableau1[[#This Row],[Code Postal]]&amp;" - "&amp;Tableau1[[#This Row],[Ville]]</f>
        <v>14 Rue Serpente
94500 - Champigny-sur-Marne</v>
      </c>
      <c r="H176" s="15" t="s">
        <v>1075</v>
      </c>
      <c r="I176" s="12" t="s">
        <v>45</v>
      </c>
      <c r="J176" s="12" t="s">
        <v>48</v>
      </c>
      <c r="K176" s="10" t="s">
        <v>98</v>
      </c>
      <c r="L176" s="10" t="s">
        <v>1375</v>
      </c>
      <c r="M176" s="12" t="s">
        <v>98</v>
      </c>
      <c r="N176" s="36"/>
      <c r="O176" s="34">
        <v>875</v>
      </c>
      <c r="P176" s="6" t="s">
        <v>98</v>
      </c>
      <c r="Q176" s="34">
        <v>1598</v>
      </c>
      <c r="R176" s="34" t="s">
        <v>98</v>
      </c>
      <c r="S176" s="6" t="s">
        <v>98</v>
      </c>
      <c r="T176" s="12">
        <f>Tableau1[[#This Row],[Loyer €/m²]]*Tableau1[[#This Row],[Surface GLA]]</f>
        <v>196875</v>
      </c>
      <c r="U176" s="12">
        <f>IFERROR(Tableau1[[#This Row],[Loyer annuel]]/12,"")</f>
        <v>16406.25</v>
      </c>
      <c r="V176" s="12">
        <v>225</v>
      </c>
      <c r="W176" s="6" t="s">
        <v>98</v>
      </c>
      <c r="X176" s="6">
        <f>Tableau1[[#This Row],[Charges €/m²]]*Tableau1[[#This Row],[Surface GLA]]</f>
        <v>5250</v>
      </c>
      <c r="Y176" s="12">
        <f>Tableau1[[#This Row],[Charges annuelles]]/12</f>
        <v>437.5</v>
      </c>
      <c r="Z176" s="12">
        <v>6</v>
      </c>
      <c r="AA176" s="12">
        <f>IFERROR(Tableau1[[#This Row],[Taxe foncière €/m²]]*Tableau1[[#This Row],[Surface GLA]],)</f>
        <v>11375</v>
      </c>
      <c r="AB176" s="12">
        <v>13</v>
      </c>
      <c r="AC176" s="12">
        <f>IFERROR(Tableau1[[#This Row],[Marketing €/m²]]*Tableau1[[#This Row],[Surface GLA]],)</f>
        <v>0</v>
      </c>
      <c r="AD176" s="6" t="s">
        <v>98</v>
      </c>
      <c r="AE176" s="12">
        <f>IFERROR(Tableau1[[#This Row],[Loyer annuel]]+Tableau1[[#This Row],[Charges annuelles]]+Tableau1[[#This Row],[Taxe foncière]]+Tableau1[[#This Row],[Marketing]],"")</f>
        <v>213500</v>
      </c>
      <c r="AF176" s="12" t="str">
        <f t="shared" si="7"/>
        <v>3 mois = 49 219 €</v>
      </c>
      <c r="AG176" s="12" t="str">
        <f t="shared" si="8"/>
        <v>6 mois = 98 438 €</v>
      </c>
      <c r="AH176" s="46">
        <v>0.05</v>
      </c>
      <c r="AI176" s="12" t="s">
        <v>357</v>
      </c>
      <c r="AJ176" s="10" t="s">
        <v>369</v>
      </c>
      <c r="AK176" s="10" t="s">
        <v>363</v>
      </c>
      <c r="AL176" s="10" t="s">
        <v>1141</v>
      </c>
      <c r="AM176" s="11" t="s">
        <v>1414</v>
      </c>
      <c r="AN176" s="11" t="s">
        <v>1371</v>
      </c>
      <c r="AO176" s="5" t="s">
        <v>361</v>
      </c>
      <c r="AP176" s="11" t="s">
        <v>1137</v>
      </c>
      <c r="AQ176" s="11" t="s">
        <v>1138</v>
      </c>
      <c r="AR176" s="11" t="s">
        <v>1101</v>
      </c>
      <c r="AS176" s="45" t="s">
        <v>1214</v>
      </c>
      <c r="AT176" s="11" t="s">
        <v>70</v>
      </c>
      <c r="AU176" s="11" t="s">
        <v>1223</v>
      </c>
      <c r="AV176" s="13" t="s">
        <v>1104</v>
      </c>
      <c r="AW176" s="14"/>
      <c r="AX176" s="44">
        <v>46003</v>
      </c>
      <c r="AZ176" s="1"/>
      <c r="BF176"/>
      <c r="BG176" s="1"/>
    </row>
    <row r="177" spans="1:59" ht="25.5">
      <c r="A177" s="38" t="str">
        <f>VLOOKUP(Tableau1[[#This Row],[N° Département]],Feuil1!$C$6:$E$106,3)</f>
        <v>Ile-de-France</v>
      </c>
      <c r="B177" s="38" t="str">
        <f>VLOOKUP(Tableau1[[#This Row],[N° Département]],Feuil1!$C$6:$E$106,2)</f>
        <v>Val-de-Marne</v>
      </c>
      <c r="C177" s="38">
        <f>LEFT(Tableau1[[#This Row],[Code Postal]],2)*1</f>
        <v>94</v>
      </c>
      <c r="D177" s="10" t="s">
        <v>1079</v>
      </c>
      <c r="E177" s="26">
        <v>94500</v>
      </c>
      <c r="F177" s="10" t="s">
        <v>1080</v>
      </c>
      <c r="G177" s="39" t="str">
        <f>Tableau1[[#This Row],[Rue]]&amp;CHAR(10)&amp;Tableau1[[#This Row],[Code Postal]]&amp;" - "&amp;Tableau1[[#This Row],[Ville]]</f>
        <v>13 Rue Serpente
94500 - Champigny-sur-Marne</v>
      </c>
      <c r="H177" s="15" t="s">
        <v>1073</v>
      </c>
      <c r="I177" s="12" t="s">
        <v>45</v>
      </c>
      <c r="J177" s="12" t="s">
        <v>48</v>
      </c>
      <c r="K177" s="10" t="s">
        <v>98</v>
      </c>
      <c r="L177" s="10" t="s">
        <v>1375</v>
      </c>
      <c r="M177" s="12" t="s">
        <v>98</v>
      </c>
      <c r="N177" s="36"/>
      <c r="O177" s="34">
        <v>387</v>
      </c>
      <c r="P177" s="6" t="s">
        <v>98</v>
      </c>
      <c r="Q177" s="34" t="s">
        <v>98</v>
      </c>
      <c r="R177" s="34" t="s">
        <v>98</v>
      </c>
      <c r="S177" s="6" t="s">
        <v>98</v>
      </c>
      <c r="T177" s="12">
        <f>Tableau1[[#This Row],[Loyer €/m²]]*Tableau1[[#This Row],[Surface GLA]]</f>
        <v>96750</v>
      </c>
      <c r="U177" s="12">
        <f>IFERROR(Tableau1[[#This Row],[Loyer annuel]]/12,"")</f>
        <v>8062.5</v>
      </c>
      <c r="V177" s="12">
        <v>250</v>
      </c>
      <c r="W177" s="6" t="s">
        <v>98</v>
      </c>
      <c r="X177" s="6">
        <f>Tableau1[[#This Row],[Charges €/m²]]*Tableau1[[#This Row],[Surface GLA]]</f>
        <v>2322</v>
      </c>
      <c r="Y177" s="12">
        <f>Tableau1[[#This Row],[Charges annuelles]]/12</f>
        <v>193.5</v>
      </c>
      <c r="Z177" s="12">
        <v>6</v>
      </c>
      <c r="AA177" s="12">
        <f>IFERROR(Tableau1[[#This Row],[Taxe foncière €/m²]]*Tableau1[[#This Row],[Surface GLA]],)</f>
        <v>5418</v>
      </c>
      <c r="AB177" s="12">
        <v>14</v>
      </c>
      <c r="AC177" s="12">
        <f>IFERROR(Tableau1[[#This Row],[Marketing €/m²]]*Tableau1[[#This Row],[Surface GLA]],)</f>
        <v>0</v>
      </c>
      <c r="AD177" s="6" t="s">
        <v>98</v>
      </c>
      <c r="AE177" s="12">
        <f>IFERROR(Tableau1[[#This Row],[Loyer annuel]]+Tableau1[[#This Row],[Charges annuelles]]+Tableau1[[#This Row],[Taxe foncière]]+Tableau1[[#This Row],[Marketing]],"")</f>
        <v>104490</v>
      </c>
      <c r="AF177" s="12" t="str">
        <f t="shared" si="7"/>
        <v>3 mois = 24 188 €</v>
      </c>
      <c r="AG177" s="12" t="str">
        <f t="shared" si="8"/>
        <v>6 mois = 48 375 €</v>
      </c>
      <c r="AH177" s="46">
        <v>0.05</v>
      </c>
      <c r="AI177" s="12" t="s">
        <v>357</v>
      </c>
      <c r="AJ177" s="10" t="s">
        <v>369</v>
      </c>
      <c r="AK177" s="10" t="s">
        <v>363</v>
      </c>
      <c r="AL177" s="10" t="s">
        <v>1141</v>
      </c>
      <c r="AM177" s="11" t="s">
        <v>1414</v>
      </c>
      <c r="AN177" s="11" t="s">
        <v>1371</v>
      </c>
      <c r="AO177" s="5" t="s">
        <v>361</v>
      </c>
      <c r="AP177" s="11" t="s">
        <v>1197</v>
      </c>
      <c r="AQ177" s="11" t="s">
        <v>1198</v>
      </c>
      <c r="AR177" s="11" t="s">
        <v>1102</v>
      </c>
      <c r="AS177" s="36" t="s">
        <v>1215</v>
      </c>
      <c r="AT177" s="11" t="s">
        <v>70</v>
      </c>
      <c r="AU177" s="11" t="s">
        <v>1196</v>
      </c>
      <c r="AV177" s="13" t="s">
        <v>1104</v>
      </c>
      <c r="AW177" s="14"/>
      <c r="AX177" s="44">
        <v>46003</v>
      </c>
      <c r="AZ177" s="1"/>
      <c r="BF177"/>
      <c r="BG177" s="1"/>
    </row>
    <row r="178" spans="1:59" ht="25.5">
      <c r="A178" s="38" t="str">
        <f>VLOOKUP(Tableau1[[#This Row],[N° Département]],Feuil1!$C$6:$E$106,3)</f>
        <v>Ile-de-France</v>
      </c>
      <c r="B178" s="38" t="str">
        <f>VLOOKUP(Tableau1[[#This Row],[N° Département]],Feuil1!$C$6:$E$106,2)</f>
        <v>Val-de-Marne</v>
      </c>
      <c r="C178" s="38">
        <f>LEFT(Tableau1[[#This Row],[Code Postal]],2)*1</f>
        <v>94</v>
      </c>
      <c r="D178" s="10" t="s">
        <v>1081</v>
      </c>
      <c r="E178" s="26">
        <v>94500</v>
      </c>
      <c r="F178" s="10" t="s">
        <v>1080</v>
      </c>
      <c r="G178" s="39" t="str">
        <f>Tableau1[[#This Row],[Rue]]&amp;CHAR(10)&amp;Tableau1[[#This Row],[Code Postal]]&amp;" - "&amp;Tableau1[[#This Row],[Ville]]</f>
        <v>14 Rue Serpente
94500 - Champigny-sur-Marne</v>
      </c>
      <c r="H178" s="15" t="s">
        <v>1074</v>
      </c>
      <c r="I178" s="12" t="s">
        <v>45</v>
      </c>
      <c r="J178" s="12" t="s">
        <v>48</v>
      </c>
      <c r="K178" s="10" t="s">
        <v>98</v>
      </c>
      <c r="L178" s="10" t="s">
        <v>1375</v>
      </c>
      <c r="M178" s="12" t="s">
        <v>98</v>
      </c>
      <c r="N178" s="36"/>
      <c r="O178" s="34">
        <v>723</v>
      </c>
      <c r="P178" s="6" t="s">
        <v>98</v>
      </c>
      <c r="Q178" s="34">
        <v>1598</v>
      </c>
      <c r="R178" s="34" t="s">
        <v>98</v>
      </c>
      <c r="S178" s="6" t="s">
        <v>98</v>
      </c>
      <c r="T178" s="12">
        <f>Tableau1[[#This Row],[Loyer €/m²]]*Tableau1[[#This Row],[Surface GLA]]</f>
        <v>162675</v>
      </c>
      <c r="U178" s="12">
        <f>IFERROR(Tableau1[[#This Row],[Loyer annuel]]/12,"")</f>
        <v>13556.25</v>
      </c>
      <c r="V178" s="12">
        <v>225</v>
      </c>
      <c r="W178" s="6" t="s">
        <v>98</v>
      </c>
      <c r="X178" s="6">
        <f>Tableau1[[#This Row],[Charges €/m²]]*Tableau1[[#This Row],[Surface GLA]]</f>
        <v>4338</v>
      </c>
      <c r="Y178" s="12">
        <f>Tableau1[[#This Row],[Charges annuelles]]/12</f>
        <v>361.5</v>
      </c>
      <c r="Z178" s="12">
        <v>6</v>
      </c>
      <c r="AA178" s="12">
        <f>IFERROR(Tableau1[[#This Row],[Taxe foncière €/m²]]*Tableau1[[#This Row],[Surface GLA]],)</f>
        <v>9399</v>
      </c>
      <c r="AB178" s="12">
        <v>13</v>
      </c>
      <c r="AC178" s="12">
        <f>IFERROR(Tableau1[[#This Row],[Marketing €/m²]]*Tableau1[[#This Row],[Surface GLA]],)</f>
        <v>0</v>
      </c>
      <c r="AD178" s="6" t="s">
        <v>98</v>
      </c>
      <c r="AE178" s="12">
        <f>IFERROR(Tableau1[[#This Row],[Loyer annuel]]+Tableau1[[#This Row],[Charges annuelles]]+Tableau1[[#This Row],[Taxe foncière]]+Tableau1[[#This Row],[Marketing]],"")</f>
        <v>176412</v>
      </c>
      <c r="AF178" s="12" t="str">
        <f t="shared" si="7"/>
        <v>3 mois = 40 669 €</v>
      </c>
      <c r="AG178" s="12" t="str">
        <f t="shared" si="8"/>
        <v>6 mois = 81 338 €</v>
      </c>
      <c r="AH178" s="46">
        <v>0.05</v>
      </c>
      <c r="AI178" s="12" t="s">
        <v>357</v>
      </c>
      <c r="AJ178" s="10" t="s">
        <v>369</v>
      </c>
      <c r="AK178" s="10" t="s">
        <v>363</v>
      </c>
      <c r="AL178" s="10" t="s">
        <v>1141</v>
      </c>
      <c r="AM178" s="11" t="s">
        <v>1414</v>
      </c>
      <c r="AN178" s="11" t="s">
        <v>1371</v>
      </c>
      <c r="AO178" s="5" t="s">
        <v>361</v>
      </c>
      <c r="AP178" s="11" t="s">
        <v>1139</v>
      </c>
      <c r="AQ178" s="11" t="s">
        <v>1140</v>
      </c>
      <c r="AR178" s="11" t="s">
        <v>1103</v>
      </c>
      <c r="AS178" s="36" t="s">
        <v>1216</v>
      </c>
      <c r="AT178" s="11" t="s">
        <v>70</v>
      </c>
      <c r="AU178" s="11" t="s">
        <v>1199</v>
      </c>
      <c r="AV178" s="13" t="s">
        <v>1104</v>
      </c>
      <c r="AW178" s="14"/>
      <c r="AX178" s="44">
        <v>46003</v>
      </c>
      <c r="AZ178" s="1"/>
      <c r="BF178"/>
      <c r="BG178" s="1"/>
    </row>
    <row r="179" spans="1:59" ht="25.5">
      <c r="A179" s="38" t="str">
        <f>VLOOKUP(Tableau1[[#This Row],[N° Département]],Feuil1!$C$6:$E$106,3)</f>
        <v>Ile-de-France</v>
      </c>
      <c r="B179" s="38" t="str">
        <f>VLOOKUP(Tableau1[[#This Row],[N° Département]],Feuil1!$C$6:$E$106,2)</f>
        <v>Val-D'Oise</v>
      </c>
      <c r="C179" s="38">
        <f>LEFT(Tableau1[[#This Row],[Code Postal]],2)*1</f>
        <v>95</v>
      </c>
      <c r="D179" s="10" t="s">
        <v>1083</v>
      </c>
      <c r="E179" s="26">
        <v>95220</v>
      </c>
      <c r="F179" s="10" t="s">
        <v>1082</v>
      </c>
      <c r="G179" s="39" t="str">
        <f>Tableau1[[#This Row],[Rue]]&amp;CHAR(10)&amp;Tableau1[[#This Row],[Code Postal]]&amp;" - "&amp;Tableau1[[#This Row],[Ville]]</f>
        <v>8 Avenue Paul Langevin
95220 - Herblay-sur-Seine</v>
      </c>
      <c r="H179" s="15" t="s">
        <v>1142</v>
      </c>
      <c r="I179" s="12" t="s">
        <v>47</v>
      </c>
      <c r="J179" s="12" t="s">
        <v>48</v>
      </c>
      <c r="K179" s="10" t="s">
        <v>98</v>
      </c>
      <c r="L179" s="10" t="s">
        <v>1375</v>
      </c>
      <c r="M179" s="12" t="s">
        <v>98</v>
      </c>
      <c r="N179" s="36"/>
      <c r="O179" s="34">
        <v>402</v>
      </c>
      <c r="P179" s="6" t="s">
        <v>98</v>
      </c>
      <c r="Q179" s="34" t="s">
        <v>98</v>
      </c>
      <c r="R179" s="34" t="s">
        <v>98</v>
      </c>
      <c r="S179" s="6" t="s">
        <v>98</v>
      </c>
      <c r="T179" s="12">
        <f>Tableau1[[#This Row],[Loyer €/m²]]*Tableau1[[#This Row],[Surface GLA]]</f>
        <v>180900</v>
      </c>
      <c r="U179" s="12">
        <f>IFERROR(Tableau1[[#This Row],[Loyer annuel]]/12,"")</f>
        <v>15075</v>
      </c>
      <c r="V179" s="12">
        <v>450</v>
      </c>
      <c r="W179" s="6" t="s">
        <v>98</v>
      </c>
      <c r="X179" s="6">
        <f>Tableau1[[#This Row],[Charges €/m²]]*Tableau1[[#This Row],[Surface GLA]]</f>
        <v>3618</v>
      </c>
      <c r="Y179" s="12">
        <f>Tableau1[[#This Row],[Charges annuelles]]/12</f>
        <v>301.5</v>
      </c>
      <c r="Z179" s="12">
        <v>9</v>
      </c>
      <c r="AA179" s="12">
        <f>IFERROR(Tableau1[[#This Row],[Taxe foncière €/m²]]*Tableau1[[#This Row],[Surface GLA]],)</f>
        <v>5226</v>
      </c>
      <c r="AB179" s="12">
        <v>13</v>
      </c>
      <c r="AC179" s="12">
        <f>IFERROR(Tableau1[[#This Row],[Marketing €/m²]]*Tableau1[[#This Row],[Surface GLA]],)</f>
        <v>0</v>
      </c>
      <c r="AD179" s="6" t="s">
        <v>98</v>
      </c>
      <c r="AE179" s="12">
        <f>IFERROR(Tableau1[[#This Row],[Loyer annuel]]+Tableau1[[#This Row],[Charges annuelles]]+Tableau1[[#This Row],[Taxe foncière]]+Tableau1[[#This Row],[Marketing]],"")</f>
        <v>189744</v>
      </c>
      <c r="AF179" s="12" t="str">
        <f t="shared" si="7"/>
        <v>3 mois = 45 225 €</v>
      </c>
      <c r="AG179" s="12" t="str">
        <f t="shared" si="8"/>
        <v>6 mois = 90 450 €</v>
      </c>
      <c r="AH179" s="46">
        <v>0.05</v>
      </c>
      <c r="AI179" s="12" t="s">
        <v>357</v>
      </c>
      <c r="AJ179" s="10" t="s">
        <v>369</v>
      </c>
      <c r="AK179" s="10" t="s">
        <v>363</v>
      </c>
      <c r="AL179" s="10" t="s">
        <v>1145</v>
      </c>
      <c r="AM179" s="11" t="s">
        <v>1415</v>
      </c>
      <c r="AN179" s="11" t="s">
        <v>1371</v>
      </c>
      <c r="AO179" s="5" t="s">
        <v>361</v>
      </c>
      <c r="AP179" s="11" t="s">
        <v>1143</v>
      </c>
      <c r="AQ179" s="11" t="s">
        <v>1144</v>
      </c>
      <c r="AR179" s="11">
        <v>48</v>
      </c>
      <c r="AS179" s="36" t="s">
        <v>1217</v>
      </c>
      <c r="AT179" s="11" t="s">
        <v>70</v>
      </c>
      <c r="AU179" s="11" t="s">
        <v>1200</v>
      </c>
      <c r="AV179" s="13" t="s">
        <v>1104</v>
      </c>
      <c r="AW179" s="14"/>
      <c r="AX179" s="44">
        <v>46003</v>
      </c>
      <c r="AZ179" s="1"/>
      <c r="BF179"/>
      <c r="BG179" s="1"/>
    </row>
    <row r="180" spans="1:59" ht="38.25">
      <c r="A180" s="38" t="str">
        <f>VLOOKUP(Tableau1[[#This Row],[N° Département]],Feuil1!$C$6:$E$106,3)</f>
        <v>Provence-Alpes-Côte d'Azur</v>
      </c>
      <c r="B180" s="38" t="str">
        <f>VLOOKUP(Tableau1[[#This Row],[N° Département]],Feuil1!$C$6:$E$106,2)</f>
        <v>Alpes-Maritimes</v>
      </c>
      <c r="C180" s="38">
        <f>LEFT(Tableau1[[#This Row],[Code Postal]],2)*1</f>
        <v>6</v>
      </c>
      <c r="D180" s="11" t="s">
        <v>1150</v>
      </c>
      <c r="E180" s="48" t="s">
        <v>1339</v>
      </c>
      <c r="F180" s="10" t="s">
        <v>1149</v>
      </c>
      <c r="G180" s="47" t="str">
        <f>Tableau1[[#This Row],[Rue]]&amp;CHAR(10)&amp;Tableau1[[#This Row],[Code Postal]]&amp;" - "&amp;Tableau1[[#This Row],[Ville]]</f>
        <v>CAP 3000
217 Av. Eugène Donadeï
06 700 - Saint-Laurent-du-Var</v>
      </c>
      <c r="H180" s="15" t="s">
        <v>1151</v>
      </c>
      <c r="I180" s="12" t="s">
        <v>47</v>
      </c>
      <c r="J180" s="12" t="s">
        <v>49</v>
      </c>
      <c r="K180" s="10" t="s">
        <v>98</v>
      </c>
      <c r="L180" s="10"/>
      <c r="M180" s="12" t="s">
        <v>1152</v>
      </c>
      <c r="N180" s="36"/>
      <c r="O180" s="34">
        <v>126</v>
      </c>
      <c r="P180" s="6" t="s">
        <v>1201</v>
      </c>
      <c r="Q180" s="34" t="s">
        <v>98</v>
      </c>
      <c r="R180" s="34" t="s">
        <v>98</v>
      </c>
      <c r="S180" s="6" t="s">
        <v>98</v>
      </c>
      <c r="T180" s="12">
        <f>Tableau1[[#This Row],[Loyer €/m²]]*Tableau1[[#This Row],[Surface GLA]]</f>
        <v>139986</v>
      </c>
      <c r="U180" s="12">
        <f>IFERROR(Tableau1[[#This Row],[Loyer annuel]]/12,"")</f>
        <v>11665.5</v>
      </c>
      <c r="V180" s="12">
        <v>1111</v>
      </c>
      <c r="W180" s="6" t="s">
        <v>98</v>
      </c>
      <c r="X180" s="6">
        <f>Tableau1[[#This Row],[Charges €/m²]]*Tableau1[[#This Row],[Surface GLA]]</f>
        <v>20790</v>
      </c>
      <c r="Y180" s="12">
        <f>Tableau1[[#This Row],[Charges annuelles]]/12</f>
        <v>1732.5</v>
      </c>
      <c r="Z180" s="12">
        <v>165</v>
      </c>
      <c r="AA180" s="12">
        <f>IFERROR(Tableau1[[#This Row],[Taxe foncière €/m²]]*Tableau1[[#This Row],[Surface GLA]],)</f>
        <v>4536</v>
      </c>
      <c r="AB180" s="12">
        <v>36</v>
      </c>
      <c r="AC180" s="12">
        <f>IFERROR(Tableau1[[#This Row],[Marketing €/m²]]*Tableau1[[#This Row],[Surface GLA]],)</f>
        <v>0</v>
      </c>
      <c r="AD180" s="6" t="s">
        <v>98</v>
      </c>
      <c r="AE180" s="12">
        <f>IFERROR(Tableau1[[#This Row],[Loyer annuel]]+Tableau1[[#This Row],[Charges annuelles]]+Tableau1[[#This Row],[Taxe foncière]]+Tableau1[[#This Row],[Marketing]],"")</f>
        <v>165312</v>
      </c>
      <c r="AF180" s="12" t="str">
        <f t="shared" si="7"/>
        <v>3 mois = 34 997 €</v>
      </c>
      <c r="AG180" s="6" t="s">
        <v>98</v>
      </c>
      <c r="AH180" s="6" t="s">
        <v>98</v>
      </c>
      <c r="AI180" s="12" t="s">
        <v>357</v>
      </c>
      <c r="AJ180" s="10" t="s">
        <v>53</v>
      </c>
      <c r="AK180" s="10" t="s">
        <v>98</v>
      </c>
      <c r="AL180" s="10" t="s">
        <v>1154</v>
      </c>
      <c r="AM180" s="11" t="s">
        <v>1153</v>
      </c>
      <c r="AN180" s="11"/>
      <c r="AO180" s="5" t="s">
        <v>1158</v>
      </c>
      <c r="AP180" s="11" t="s">
        <v>1155</v>
      </c>
      <c r="AQ180" s="11" t="s">
        <v>1156</v>
      </c>
      <c r="AR180" s="11">
        <v>49</v>
      </c>
      <c r="AS180" s="36" t="s">
        <v>1218</v>
      </c>
      <c r="AT180" s="11" t="s">
        <v>70</v>
      </c>
      <c r="AU180" s="11"/>
      <c r="AV180" s="13" t="s">
        <v>1157</v>
      </c>
      <c r="AW180" s="14"/>
      <c r="AX180" s="44">
        <v>46010</v>
      </c>
      <c r="AZ180" s="1"/>
      <c r="BF180"/>
      <c r="BG180" s="1"/>
    </row>
    <row r="181" spans="1:59" ht="25.5">
      <c r="A181" s="38" t="str">
        <f>VLOOKUP(Tableau1[[#This Row],[N° Département]],Feuil1!$C$6:$E$106,3)</f>
        <v>Ile-de-France</v>
      </c>
      <c r="B181" s="38" t="str">
        <f>VLOOKUP(Tableau1[[#This Row],[N° Département]],Feuil1!$C$6:$E$106,2)</f>
        <v>Seine-et-Marne</v>
      </c>
      <c r="C181" s="38">
        <f>LEFT(Tableau1[[#This Row],[Code Postal]],2)*1</f>
        <v>77</v>
      </c>
      <c r="D181" s="10" t="s">
        <v>1258</v>
      </c>
      <c r="E181" s="26">
        <v>77000</v>
      </c>
      <c r="F181" s="10" t="s">
        <v>1259</v>
      </c>
      <c r="G181" s="39" t="str">
        <f>Tableau1[[#This Row],[Rue]]&amp;CHAR(10)&amp;Tableau1[[#This Row],[Code Postal]]&amp;" - "&amp;Tableau1[[#This Row],[Ville]]</f>
        <v>23 avenue Paul Doumer
77000 - Melun</v>
      </c>
      <c r="H181" s="15" t="s">
        <v>1260</v>
      </c>
      <c r="I181" s="12" t="s">
        <v>45</v>
      </c>
      <c r="J181" s="12" t="s">
        <v>44</v>
      </c>
      <c r="K181" s="10" t="s">
        <v>98</v>
      </c>
      <c r="L181" s="10"/>
      <c r="M181" s="12" t="s">
        <v>98</v>
      </c>
      <c r="N181" s="36"/>
      <c r="O181" s="34">
        <v>530</v>
      </c>
      <c r="P181" s="12" t="s">
        <v>1261</v>
      </c>
      <c r="Q181" s="34" t="s">
        <v>98</v>
      </c>
      <c r="R181" s="34" t="s">
        <v>98</v>
      </c>
      <c r="S181" s="6" t="s">
        <v>98</v>
      </c>
      <c r="T181" s="12">
        <f>Tableau1[[#This Row],[Loyer €/m²]]*Tableau1[[#This Row],[Surface GLA]]</f>
        <v>132500</v>
      </c>
      <c r="U181" s="12">
        <f>IFERROR(Tableau1[[#This Row],[Loyer annuel]]/12,"")</f>
        <v>11041.666666666666</v>
      </c>
      <c r="V181" s="12">
        <v>250</v>
      </c>
      <c r="W181" s="6" t="s">
        <v>98</v>
      </c>
      <c r="X181" s="6">
        <f>Tableau1[[#This Row],[Charges €/m²]]*Tableau1[[#This Row],[Surface GLA]]</f>
        <v>0</v>
      </c>
      <c r="Y181" s="12">
        <f>Tableau1[[#This Row],[Charges annuelles]]/12</f>
        <v>0</v>
      </c>
      <c r="Z181" s="12"/>
      <c r="AA181" s="12">
        <f>IFERROR(Tableau1[[#This Row],[Taxe foncière €/m²]]*Tableau1[[#This Row],[Surface GLA]],)</f>
        <v>0</v>
      </c>
      <c r="AB181" s="12"/>
      <c r="AC181" s="12">
        <f>IFERROR(Tableau1[[#This Row],[Marketing €/m²]]*Tableau1[[#This Row],[Surface GLA]],)</f>
        <v>0</v>
      </c>
      <c r="AD181" s="6" t="s">
        <v>98</v>
      </c>
      <c r="AE181" s="12">
        <f>IFERROR(Tableau1[[#This Row],[Loyer annuel]]+Tableau1[[#This Row],[Charges annuelles]]+Tableau1[[#This Row],[Taxe foncière]]+Tableau1[[#This Row],[Marketing]],"")</f>
        <v>132500</v>
      </c>
      <c r="AF181" s="12" t="str">
        <f t="shared" si="7"/>
        <v>3 mois = 33 125 €</v>
      </c>
      <c r="AG181" s="6" t="s">
        <v>98</v>
      </c>
      <c r="AH181" s="6" t="s">
        <v>98</v>
      </c>
      <c r="AI181" s="12" t="s">
        <v>357</v>
      </c>
      <c r="AJ181" s="10" t="s">
        <v>369</v>
      </c>
      <c r="AK181" s="10" t="s">
        <v>363</v>
      </c>
      <c r="AL181" s="10" t="s">
        <v>1263</v>
      </c>
      <c r="AM181" s="11" t="s">
        <v>1262</v>
      </c>
      <c r="AN181" s="11"/>
      <c r="AO181" s="5" t="s">
        <v>361</v>
      </c>
      <c r="AP181" s="11" t="s">
        <v>1264</v>
      </c>
      <c r="AQ181" s="11" t="s">
        <v>1265</v>
      </c>
      <c r="AR181" s="11">
        <v>50</v>
      </c>
      <c r="AS181" s="36" t="s">
        <v>1360</v>
      </c>
      <c r="AT181" s="11" t="s">
        <v>70</v>
      </c>
      <c r="AU181" s="11" t="s">
        <v>1266</v>
      </c>
      <c r="AV181" s="13" t="s">
        <v>1267</v>
      </c>
      <c r="AW181" s="14"/>
      <c r="AX181" s="44">
        <v>46042</v>
      </c>
      <c r="AZ181" s="1"/>
      <c r="BF181"/>
      <c r="BG181" s="1"/>
    </row>
    <row r="182" spans="1:59" ht="25.5">
      <c r="A182" s="38" t="str">
        <f>VLOOKUP(Tableau1[[#This Row],[N° Département]],Feuil1!$C$6:$E$106,3)</f>
        <v>Ile-de-France</v>
      </c>
      <c r="B182" s="38" t="str">
        <f>VLOOKUP(Tableau1[[#This Row],[N° Département]],Feuil1!$C$6:$E$106,2)</f>
        <v>Paris</v>
      </c>
      <c r="C182" s="38">
        <f>LEFT(Tableau1[[#This Row],[Code Postal]],2)*1</f>
        <v>75</v>
      </c>
      <c r="D182" s="10" t="s">
        <v>1268</v>
      </c>
      <c r="E182" s="26">
        <v>75016</v>
      </c>
      <c r="F182" s="10" t="s">
        <v>87</v>
      </c>
      <c r="G182" s="39" t="str">
        <f>Tableau1[[#This Row],[Rue]]&amp;CHAR(10)&amp;Tableau1[[#This Row],[Code Postal]]&amp;" - "&amp;Tableau1[[#This Row],[Ville]]</f>
        <v>1 boulevard Exelmans
75016 - Paris</v>
      </c>
      <c r="H182" s="15" t="s">
        <v>1269</v>
      </c>
      <c r="I182" s="12" t="s">
        <v>45</v>
      </c>
      <c r="J182" s="12" t="s">
        <v>44</v>
      </c>
      <c r="K182" s="10" t="s">
        <v>98</v>
      </c>
      <c r="L182" s="10"/>
      <c r="M182" s="12" t="s">
        <v>98</v>
      </c>
      <c r="N182" s="36"/>
      <c r="O182" s="34">
        <v>187</v>
      </c>
      <c r="P182" s="12" t="s">
        <v>1270</v>
      </c>
      <c r="Q182" s="34" t="s">
        <v>98</v>
      </c>
      <c r="R182" s="34" t="s">
        <v>98</v>
      </c>
      <c r="S182" s="6" t="s">
        <v>98</v>
      </c>
      <c r="T182" s="12">
        <f>Tableau1[[#This Row],[Loyer €/m²]]*Tableau1[[#This Row],[Surface GLA]]</f>
        <v>112200</v>
      </c>
      <c r="U182" s="12">
        <f>IFERROR(Tableau1[[#This Row],[Loyer annuel]]/12,"")</f>
        <v>9350</v>
      </c>
      <c r="V182" s="12">
        <v>600</v>
      </c>
      <c r="W182" s="6" t="s">
        <v>98</v>
      </c>
      <c r="X182" s="6">
        <f>Tableau1[[#This Row],[Charges €/m²]]*Tableau1[[#This Row],[Surface GLA]]</f>
        <v>0</v>
      </c>
      <c r="Y182" s="12">
        <f>Tableau1[[#This Row],[Charges annuelles]]/12</f>
        <v>0</v>
      </c>
      <c r="Z182" s="12"/>
      <c r="AA182" s="12">
        <f>IFERROR(Tableau1[[#This Row],[Taxe foncière €/m²]]*Tableau1[[#This Row],[Surface GLA]],)</f>
        <v>0</v>
      </c>
      <c r="AB182" s="12"/>
      <c r="AC182" s="12">
        <f>IFERROR(Tableau1[[#This Row],[Marketing €/m²]]*Tableau1[[#This Row],[Surface GLA]],)</f>
        <v>0</v>
      </c>
      <c r="AD182" s="6" t="s">
        <v>98</v>
      </c>
      <c r="AE182" s="12">
        <f>IFERROR(Tableau1[[#This Row],[Loyer annuel]]+Tableau1[[#This Row],[Charges annuelles]]+Tableau1[[#This Row],[Taxe foncière]]+Tableau1[[#This Row],[Marketing]],"")</f>
        <v>112200</v>
      </c>
      <c r="AF182" s="12" t="str">
        <f t="shared" si="7"/>
        <v>3 mois = 28 050 €</v>
      </c>
      <c r="AG182" s="6" t="s">
        <v>98</v>
      </c>
      <c r="AH182" s="6" t="s">
        <v>98</v>
      </c>
      <c r="AI182" s="12" t="s">
        <v>357</v>
      </c>
      <c r="AJ182" s="10" t="s">
        <v>369</v>
      </c>
      <c r="AK182" s="10" t="s">
        <v>363</v>
      </c>
      <c r="AL182" s="10" t="s">
        <v>1274</v>
      </c>
      <c r="AM182" s="11" t="s">
        <v>1328</v>
      </c>
      <c r="AN182" s="11"/>
      <c r="AO182" s="5" t="s">
        <v>361</v>
      </c>
      <c r="AP182" s="11" t="s">
        <v>1272</v>
      </c>
      <c r="AQ182" s="11" t="s">
        <v>1273</v>
      </c>
      <c r="AR182" s="11">
        <v>51</v>
      </c>
      <c r="AS182" s="36" t="s">
        <v>1361</v>
      </c>
      <c r="AT182" s="11" t="s">
        <v>70</v>
      </c>
      <c r="AU182" s="11" t="s">
        <v>1271</v>
      </c>
      <c r="AV182" s="13" t="s">
        <v>1267</v>
      </c>
      <c r="AW182" s="14"/>
      <c r="AX182" s="44">
        <v>46042</v>
      </c>
      <c r="AZ182" s="1"/>
      <c r="BF182"/>
      <c r="BG182" s="1"/>
    </row>
    <row r="183" spans="1:59" ht="25.5">
      <c r="A183" s="38" t="str">
        <f>VLOOKUP(Tableau1[[#This Row],[N° Département]],Feuil1!$C$6:$E$106,3)</f>
        <v>Ile-de-France</v>
      </c>
      <c r="B183" s="38" t="str">
        <f>VLOOKUP(Tableau1[[#This Row],[N° Département]],Feuil1!$C$6:$E$106,2)</f>
        <v>Paris</v>
      </c>
      <c r="C183" s="38">
        <f>LEFT(Tableau1[[#This Row],[Code Postal]],2)*1</f>
        <v>75</v>
      </c>
      <c r="D183" s="10" t="s">
        <v>1275</v>
      </c>
      <c r="E183" s="26">
        <v>75014</v>
      </c>
      <c r="F183" s="10" t="s">
        <v>87</v>
      </c>
      <c r="G183" s="39" t="str">
        <f>Tableau1[[#This Row],[Rue]]&amp;CHAR(10)&amp;Tableau1[[#This Row],[Code Postal]]&amp;" - "&amp;Tableau1[[#This Row],[Ville]]</f>
        <v>90 rue d'Alésia
75014 - Paris</v>
      </c>
      <c r="H183" s="15" t="s">
        <v>1276</v>
      </c>
      <c r="I183" s="12" t="s">
        <v>45</v>
      </c>
      <c r="J183" s="12" t="s">
        <v>44</v>
      </c>
      <c r="K183" s="10" t="s">
        <v>98</v>
      </c>
      <c r="L183" s="10"/>
      <c r="M183" s="12" t="s">
        <v>98</v>
      </c>
      <c r="N183" s="36"/>
      <c r="O183" s="34">
        <v>59</v>
      </c>
      <c r="P183" s="12" t="s">
        <v>1277</v>
      </c>
      <c r="Q183" s="34" t="s">
        <v>98</v>
      </c>
      <c r="R183" s="34" t="s">
        <v>98</v>
      </c>
      <c r="S183" s="6" t="s">
        <v>98</v>
      </c>
      <c r="T183" s="12">
        <f>Tableau1[[#This Row],[Loyer €/m²]]*Tableau1[[#This Row],[Surface GLA]]</f>
        <v>53100</v>
      </c>
      <c r="U183" s="12">
        <f>IFERROR(Tableau1[[#This Row],[Loyer annuel]]/12,"")</f>
        <v>4425</v>
      </c>
      <c r="V183" s="12">
        <v>900</v>
      </c>
      <c r="W183" s="6" t="s">
        <v>98</v>
      </c>
      <c r="X183" s="6">
        <f>Tableau1[[#This Row],[Charges €/m²]]*Tableau1[[#This Row],[Surface GLA]]</f>
        <v>0</v>
      </c>
      <c r="Y183" s="12">
        <f>Tableau1[[#This Row],[Charges annuelles]]/12</f>
        <v>0</v>
      </c>
      <c r="Z183" s="12"/>
      <c r="AA183" s="12">
        <f>IFERROR(Tableau1[[#This Row],[Taxe foncière €/m²]]*Tableau1[[#This Row],[Surface GLA]],)</f>
        <v>0</v>
      </c>
      <c r="AB183" s="12"/>
      <c r="AC183" s="12">
        <f>IFERROR(Tableau1[[#This Row],[Marketing €/m²]]*Tableau1[[#This Row],[Surface GLA]],)</f>
        <v>0</v>
      </c>
      <c r="AD183" s="6" t="s">
        <v>98</v>
      </c>
      <c r="AE183" s="12">
        <f>IFERROR(Tableau1[[#This Row],[Loyer annuel]]+Tableau1[[#This Row],[Charges annuelles]]+Tableau1[[#This Row],[Taxe foncière]]+Tableau1[[#This Row],[Marketing]],"")</f>
        <v>53100</v>
      </c>
      <c r="AF183" s="12" t="str">
        <f t="shared" si="7"/>
        <v>3 mois = 13 275 €</v>
      </c>
      <c r="AG183" s="6" t="s">
        <v>98</v>
      </c>
      <c r="AH183" s="6" t="s">
        <v>98</v>
      </c>
      <c r="AI183" s="12" t="s">
        <v>357</v>
      </c>
      <c r="AJ183" s="10" t="s">
        <v>53</v>
      </c>
      <c r="AK183" s="10" t="s">
        <v>362</v>
      </c>
      <c r="AL183" s="10" t="s">
        <v>1281</v>
      </c>
      <c r="AM183" s="11" t="s">
        <v>1329</v>
      </c>
      <c r="AN183" s="11"/>
      <c r="AO183" s="5" t="s">
        <v>361</v>
      </c>
      <c r="AP183" s="11" t="s">
        <v>1279</v>
      </c>
      <c r="AQ183" s="11" t="s">
        <v>1280</v>
      </c>
      <c r="AR183" s="11">
        <v>52</v>
      </c>
      <c r="AS183" s="36" t="s">
        <v>1362</v>
      </c>
      <c r="AT183" s="11" t="s">
        <v>70</v>
      </c>
      <c r="AU183" s="11" t="s">
        <v>1278</v>
      </c>
      <c r="AV183" s="13" t="s">
        <v>1267</v>
      </c>
      <c r="AW183" s="14"/>
      <c r="AX183" s="44">
        <v>46042</v>
      </c>
      <c r="AZ183" s="1"/>
      <c r="BF183"/>
      <c r="BG183" s="1"/>
    </row>
    <row r="184" spans="1:59" ht="25.5">
      <c r="A184" s="38" t="str">
        <f>VLOOKUP(Tableau1[[#This Row],[N° Département]],Feuil1!$C$6:$E$106,3)</f>
        <v>Ile-de-France</v>
      </c>
      <c r="B184" s="38" t="str">
        <f>VLOOKUP(Tableau1[[#This Row],[N° Département]],Feuil1!$C$6:$E$106,2)</f>
        <v>Paris</v>
      </c>
      <c r="C184" s="38">
        <f>LEFT(Tableau1[[#This Row],[Code Postal]],2)*1</f>
        <v>75</v>
      </c>
      <c r="D184" s="10" t="s">
        <v>1282</v>
      </c>
      <c r="E184" s="26">
        <v>75020</v>
      </c>
      <c r="F184" s="10" t="s">
        <v>87</v>
      </c>
      <c r="G184" s="39" t="str">
        <f>Tableau1[[#This Row],[Rue]]&amp;CHAR(10)&amp;Tableau1[[#This Row],[Code Postal]]&amp;" - "&amp;Tableau1[[#This Row],[Ville]]</f>
        <v>356 rue des Pyrénées
75020 - Paris</v>
      </c>
      <c r="H184" s="15" t="s">
        <v>1283</v>
      </c>
      <c r="I184" s="12" t="s">
        <v>45</v>
      </c>
      <c r="J184" s="12" t="s">
        <v>44</v>
      </c>
      <c r="K184" s="10" t="s">
        <v>98</v>
      </c>
      <c r="L184" s="10"/>
      <c r="M184" s="12" t="s">
        <v>98</v>
      </c>
      <c r="N184" s="36"/>
      <c r="O184" s="34">
        <v>39</v>
      </c>
      <c r="P184" s="34" t="s">
        <v>98</v>
      </c>
      <c r="Q184" s="34" t="s">
        <v>98</v>
      </c>
      <c r="R184" s="34" t="s">
        <v>98</v>
      </c>
      <c r="S184" s="34" t="s">
        <v>98</v>
      </c>
      <c r="T184" s="12">
        <f>Tableau1[[#This Row],[Loyer €/m²]]*Tableau1[[#This Row],[Surface GLA]]</f>
        <v>42900</v>
      </c>
      <c r="U184" s="12">
        <f>IFERROR(Tableau1[[#This Row],[Loyer annuel]]/12,"")</f>
        <v>3575</v>
      </c>
      <c r="V184" s="12">
        <v>1100</v>
      </c>
      <c r="W184" s="34" t="s">
        <v>98</v>
      </c>
      <c r="X184" s="6">
        <f>Tableau1[[#This Row],[Charges €/m²]]*Tableau1[[#This Row],[Surface GLA]]</f>
        <v>0</v>
      </c>
      <c r="Y184" s="12">
        <f>Tableau1[[#This Row],[Charges annuelles]]/12</f>
        <v>0</v>
      </c>
      <c r="Z184" s="12"/>
      <c r="AA184" s="12">
        <f>IFERROR(Tableau1[[#This Row],[Taxe foncière €/m²]]*Tableau1[[#This Row],[Surface GLA]],)</f>
        <v>0</v>
      </c>
      <c r="AB184" s="12"/>
      <c r="AC184" s="12">
        <f>IFERROR(Tableau1[[#This Row],[Marketing €/m²]]*Tableau1[[#This Row],[Surface GLA]],)</f>
        <v>0</v>
      </c>
      <c r="AD184" s="34" t="s">
        <v>98</v>
      </c>
      <c r="AE184" s="12">
        <f>IFERROR(Tableau1[[#This Row],[Loyer annuel]]+Tableau1[[#This Row],[Charges annuelles]]+Tableau1[[#This Row],[Taxe foncière]]+Tableau1[[#This Row],[Marketing]],"")</f>
        <v>42900</v>
      </c>
      <c r="AF184" s="12" t="str">
        <f t="shared" si="7"/>
        <v>3 mois = 10 725 €</v>
      </c>
      <c r="AG184" s="6" t="s">
        <v>98</v>
      </c>
      <c r="AH184" s="6" t="s">
        <v>98</v>
      </c>
      <c r="AI184" s="12" t="s">
        <v>357</v>
      </c>
      <c r="AJ184" s="10" t="s">
        <v>53</v>
      </c>
      <c r="AK184" s="10" t="s">
        <v>362</v>
      </c>
      <c r="AL184" s="10" t="s">
        <v>1287</v>
      </c>
      <c r="AM184" s="11"/>
      <c r="AN184" s="11"/>
      <c r="AO184" s="5" t="s">
        <v>361</v>
      </c>
      <c r="AP184" s="11" t="s">
        <v>1286</v>
      </c>
      <c r="AQ184" s="11" t="s">
        <v>1285</v>
      </c>
      <c r="AR184" s="11">
        <v>53</v>
      </c>
      <c r="AS184" s="36" t="s">
        <v>1363</v>
      </c>
      <c r="AT184" s="11" t="s">
        <v>70</v>
      </c>
      <c r="AU184" s="11" t="s">
        <v>1284</v>
      </c>
      <c r="AV184" s="13" t="s">
        <v>1267</v>
      </c>
      <c r="AW184" s="14"/>
      <c r="AX184" s="44">
        <v>46042</v>
      </c>
      <c r="AZ184" s="1"/>
      <c r="BF184"/>
      <c r="BG184" s="1"/>
    </row>
    <row r="185" spans="1:59" ht="25.5">
      <c r="A185" s="38" t="str">
        <f>VLOOKUP(Tableau1[[#This Row],[N° Département]],Feuil1!$C$6:$E$106,3)</f>
        <v>Ile-de-France</v>
      </c>
      <c r="B185" s="38" t="str">
        <f>VLOOKUP(Tableau1[[#This Row],[N° Département]],Feuil1!$C$6:$E$106,2)</f>
        <v>Paris</v>
      </c>
      <c r="C185" s="38">
        <f>LEFT(Tableau1[[#This Row],[Code Postal]],2)*1</f>
        <v>75</v>
      </c>
      <c r="D185" s="10" t="s">
        <v>1288</v>
      </c>
      <c r="E185" s="26">
        <v>75017</v>
      </c>
      <c r="F185" s="10" t="s">
        <v>87</v>
      </c>
      <c r="G185" s="39" t="str">
        <f>Tableau1[[#This Row],[Rue]]&amp;CHAR(10)&amp;Tableau1[[#This Row],[Code Postal]]&amp;" - "&amp;Tableau1[[#This Row],[Ville]]</f>
        <v>103 rue Legendre
75017 - Paris</v>
      </c>
      <c r="H185" s="15" t="s">
        <v>1289</v>
      </c>
      <c r="I185" s="12" t="s">
        <v>45</v>
      </c>
      <c r="J185" s="12" t="s">
        <v>44</v>
      </c>
      <c r="K185" s="10" t="s">
        <v>98</v>
      </c>
      <c r="L185" s="10"/>
      <c r="M185" s="12" t="s">
        <v>98</v>
      </c>
      <c r="N185" s="36"/>
      <c r="O185" s="34">
        <v>93</v>
      </c>
      <c r="P185" s="34" t="s">
        <v>98</v>
      </c>
      <c r="Q185" s="34" t="s">
        <v>98</v>
      </c>
      <c r="R185" s="34" t="s">
        <v>98</v>
      </c>
      <c r="S185" s="34" t="s">
        <v>98</v>
      </c>
      <c r="T185" s="12">
        <f>Tableau1[[#This Row],[Loyer €/m²]]*Tableau1[[#This Row],[Surface GLA]]</f>
        <v>74400</v>
      </c>
      <c r="U185" s="12">
        <f>IFERROR(Tableau1[[#This Row],[Loyer annuel]]/12,"")</f>
        <v>6200</v>
      </c>
      <c r="V185" s="12">
        <v>800</v>
      </c>
      <c r="W185" s="34" t="s">
        <v>98</v>
      </c>
      <c r="X185" s="6">
        <f>Tableau1[[#This Row],[Charges €/m²]]*Tableau1[[#This Row],[Surface GLA]]</f>
        <v>0</v>
      </c>
      <c r="Y185" s="12">
        <f>Tableau1[[#This Row],[Charges annuelles]]/12</f>
        <v>0</v>
      </c>
      <c r="Z185" s="12"/>
      <c r="AA185" s="12">
        <f>IFERROR(Tableau1[[#This Row],[Taxe foncière €/m²]]*Tableau1[[#This Row],[Surface GLA]],)</f>
        <v>0</v>
      </c>
      <c r="AB185" s="12"/>
      <c r="AC185" s="12">
        <f>IFERROR(Tableau1[[#This Row],[Marketing €/m²]]*Tableau1[[#This Row],[Surface GLA]],)</f>
        <v>0</v>
      </c>
      <c r="AD185" s="34" t="s">
        <v>98</v>
      </c>
      <c r="AE185" s="12">
        <f>IFERROR(Tableau1[[#This Row],[Loyer annuel]]+Tableau1[[#This Row],[Charges annuelles]]+Tableau1[[#This Row],[Taxe foncière]]+Tableau1[[#This Row],[Marketing]],"")</f>
        <v>74400</v>
      </c>
      <c r="AF185" s="12" t="str">
        <f t="shared" si="7"/>
        <v>3 mois = 18 600 €</v>
      </c>
      <c r="AG185" s="6" t="s">
        <v>98</v>
      </c>
      <c r="AH185" s="6" t="s">
        <v>98</v>
      </c>
      <c r="AI185" s="12" t="s">
        <v>357</v>
      </c>
      <c r="AJ185" s="10" t="s">
        <v>53</v>
      </c>
      <c r="AK185" s="10" t="s">
        <v>362</v>
      </c>
      <c r="AL185" s="10" t="s">
        <v>1292</v>
      </c>
      <c r="AM185" s="11" t="s">
        <v>1291</v>
      </c>
      <c r="AN185" s="11"/>
      <c r="AO185" s="5" t="s">
        <v>361</v>
      </c>
      <c r="AP185" s="11" t="s">
        <v>1313</v>
      </c>
      <c r="AQ185" s="11" t="s">
        <v>1314</v>
      </c>
      <c r="AR185" s="11">
        <v>54</v>
      </c>
      <c r="AS185" s="36" t="s">
        <v>1364</v>
      </c>
      <c r="AT185" s="11" t="s">
        <v>70</v>
      </c>
      <c r="AU185" s="11" t="s">
        <v>1290</v>
      </c>
      <c r="AV185" s="13" t="s">
        <v>1267</v>
      </c>
      <c r="AW185" s="14"/>
      <c r="AX185" s="44">
        <v>46042</v>
      </c>
      <c r="AZ185" s="1"/>
      <c r="BF185"/>
      <c r="BG185" s="1"/>
    </row>
    <row r="186" spans="1:59" ht="25.5">
      <c r="A186" s="38" t="str">
        <f>VLOOKUP(Tableau1[[#This Row],[N° Département]],Feuil1!$C$6:$E$106,3)</f>
        <v>Ile-de-France</v>
      </c>
      <c r="B186" s="38" t="str">
        <f>VLOOKUP(Tableau1[[#This Row],[N° Département]],Feuil1!$C$6:$E$106,2)</f>
        <v>Hauts-de-Seine</v>
      </c>
      <c r="C186" s="38">
        <f>LEFT(Tableau1[[#This Row],[Code Postal]],2)*1</f>
        <v>92</v>
      </c>
      <c r="D186" s="10" t="s">
        <v>1293</v>
      </c>
      <c r="E186" s="26">
        <v>92100</v>
      </c>
      <c r="F186" s="10" t="s">
        <v>88</v>
      </c>
      <c r="G186" s="39" t="str">
        <f>Tableau1[[#This Row],[Rue]]&amp;CHAR(10)&amp;Tableau1[[#This Row],[Code Postal]]&amp;" - "&amp;Tableau1[[#This Row],[Ville]]</f>
        <v>86 avenue Edouard Vaillant
92100 - Boulogne-Billancourt</v>
      </c>
      <c r="H186" s="15" t="s">
        <v>1294</v>
      </c>
      <c r="I186" s="12" t="s">
        <v>45</v>
      </c>
      <c r="J186" s="12" t="s">
        <v>44</v>
      </c>
      <c r="K186" s="10" t="s">
        <v>98</v>
      </c>
      <c r="L186" s="10"/>
      <c r="M186" s="12" t="s">
        <v>98</v>
      </c>
      <c r="N186" s="36"/>
      <c r="O186" s="34">
        <v>141</v>
      </c>
      <c r="P186" s="12" t="s">
        <v>1300</v>
      </c>
      <c r="Q186" s="34" t="s">
        <v>98</v>
      </c>
      <c r="R186" s="34" t="s">
        <v>98</v>
      </c>
      <c r="S186" s="34" t="s">
        <v>98</v>
      </c>
      <c r="T186" s="12">
        <f>Tableau1[[#This Row],[Loyer €/m²]]*Tableau1[[#This Row],[Surface GLA]]</f>
        <v>112800</v>
      </c>
      <c r="U186" s="12">
        <f>IFERROR(Tableau1[[#This Row],[Loyer annuel]]/12,"")</f>
        <v>9400</v>
      </c>
      <c r="V186" s="12">
        <v>800</v>
      </c>
      <c r="W186" s="34" t="s">
        <v>98</v>
      </c>
      <c r="X186" s="6">
        <f>Tableau1[[#This Row],[Charges €/m²]]*Tableau1[[#This Row],[Surface GLA]]</f>
        <v>0</v>
      </c>
      <c r="Y186" s="12">
        <f>Tableau1[[#This Row],[Charges annuelles]]/12</f>
        <v>0</v>
      </c>
      <c r="Z186" s="12"/>
      <c r="AA186" s="12">
        <f>IFERROR(Tableau1[[#This Row],[Taxe foncière €/m²]]*Tableau1[[#This Row],[Surface GLA]],)</f>
        <v>0</v>
      </c>
      <c r="AB186" s="12"/>
      <c r="AC186" s="12">
        <f>IFERROR(Tableau1[[#This Row],[Marketing €/m²]]*Tableau1[[#This Row],[Surface GLA]],)</f>
        <v>0</v>
      </c>
      <c r="AD186" s="34" t="s">
        <v>98</v>
      </c>
      <c r="AE186" s="12">
        <f>IFERROR(Tableau1[[#This Row],[Loyer annuel]]+Tableau1[[#This Row],[Charges annuelles]]+Tableau1[[#This Row],[Taxe foncière]]+Tableau1[[#This Row],[Marketing]],"")</f>
        <v>112800</v>
      </c>
      <c r="AF186" s="12" t="str">
        <f t="shared" si="7"/>
        <v>3 mois = 28 200 €</v>
      </c>
      <c r="AG186" s="6" t="s">
        <v>98</v>
      </c>
      <c r="AH186" s="6" t="s">
        <v>98</v>
      </c>
      <c r="AI186" s="12" t="s">
        <v>357</v>
      </c>
      <c r="AJ186" s="10" t="s">
        <v>53</v>
      </c>
      <c r="AK186" s="10" t="s">
        <v>362</v>
      </c>
      <c r="AL186" s="10" t="s">
        <v>1333</v>
      </c>
      <c r="AM186" s="11" t="s">
        <v>1332</v>
      </c>
      <c r="AN186" s="11"/>
      <c r="AO186" s="5" t="s">
        <v>361</v>
      </c>
      <c r="AP186" s="11" t="s">
        <v>1312</v>
      </c>
      <c r="AQ186" s="11" t="s">
        <v>1311</v>
      </c>
      <c r="AR186" s="11">
        <v>55</v>
      </c>
      <c r="AS186" s="36" t="s">
        <v>1365</v>
      </c>
      <c r="AT186" s="11" t="s">
        <v>70</v>
      </c>
      <c r="AU186" s="11" t="s">
        <v>1295</v>
      </c>
      <c r="AV186" s="13" t="s">
        <v>1267</v>
      </c>
      <c r="AW186" s="14"/>
      <c r="AX186" s="44">
        <v>46042</v>
      </c>
      <c r="AZ186" s="1"/>
      <c r="BF186"/>
      <c r="BG186" s="1"/>
    </row>
    <row r="187" spans="1:59" ht="25.5">
      <c r="A187" s="38" t="str">
        <f>VLOOKUP(Tableau1[[#This Row],[N° Département]],Feuil1!$C$6:$E$106,3)</f>
        <v>Hauts-de-France</v>
      </c>
      <c r="B187" s="38" t="str">
        <f>VLOOKUP(Tableau1[[#This Row],[N° Département]],Feuil1!$C$6:$E$106,2)</f>
        <v>Pas-de-Calais</v>
      </c>
      <c r="C187" s="38">
        <f>LEFT(Tableau1[[#This Row],[Code Postal]],2)*1</f>
        <v>62</v>
      </c>
      <c r="D187" s="10" t="s">
        <v>1297</v>
      </c>
      <c r="E187" s="26">
        <v>62520</v>
      </c>
      <c r="F187" s="10" t="s">
        <v>1298</v>
      </c>
      <c r="G187" s="39" t="str">
        <f>Tableau1[[#This Row],[Rue]]&amp;CHAR(10)&amp;Tableau1[[#This Row],[Code Postal]]&amp;" - "&amp;Tableau1[[#This Row],[Ville]]</f>
        <v>73 bis rue Saint-Jean
62520 - Le Touquet-Paris-Plage</v>
      </c>
      <c r="H187" s="15" t="s">
        <v>1296</v>
      </c>
      <c r="I187" s="12" t="s">
        <v>45</v>
      </c>
      <c r="J187" s="12" t="s">
        <v>44</v>
      </c>
      <c r="K187" s="10" t="s">
        <v>98</v>
      </c>
      <c r="L187" s="10"/>
      <c r="M187" s="12" t="s">
        <v>98</v>
      </c>
      <c r="N187" s="36"/>
      <c r="O187" s="34">
        <v>86</v>
      </c>
      <c r="P187" s="12" t="s">
        <v>1299</v>
      </c>
      <c r="Q187" s="34" t="s">
        <v>98</v>
      </c>
      <c r="R187" s="34" t="s">
        <v>98</v>
      </c>
      <c r="S187" s="34" t="s">
        <v>98</v>
      </c>
      <c r="T187" s="12">
        <f>Tableau1[[#This Row],[Loyer €/m²]]*Tableau1[[#This Row],[Surface GLA]]</f>
        <v>60200</v>
      </c>
      <c r="U187" s="12">
        <f>IFERROR(Tableau1[[#This Row],[Loyer annuel]]/12,"")</f>
        <v>5016.666666666667</v>
      </c>
      <c r="V187" s="12">
        <v>700</v>
      </c>
      <c r="W187" s="34" t="s">
        <v>98</v>
      </c>
      <c r="X187" s="6">
        <f>Tableau1[[#This Row],[Charges €/m²]]*Tableau1[[#This Row],[Surface GLA]]</f>
        <v>0</v>
      </c>
      <c r="Y187" s="12">
        <f>Tableau1[[#This Row],[Charges annuelles]]/12</f>
        <v>0</v>
      </c>
      <c r="Z187" s="12"/>
      <c r="AA187" s="12">
        <f>IFERROR(Tableau1[[#This Row],[Taxe foncière €/m²]]*Tableau1[[#This Row],[Surface GLA]],)</f>
        <v>0</v>
      </c>
      <c r="AB187" s="12"/>
      <c r="AC187" s="12">
        <f>IFERROR(Tableau1[[#This Row],[Marketing €/m²]]*Tableau1[[#This Row],[Surface GLA]],)</f>
        <v>0</v>
      </c>
      <c r="AD187" s="34" t="s">
        <v>98</v>
      </c>
      <c r="AE187" s="12">
        <f>IFERROR(Tableau1[[#This Row],[Loyer annuel]]+Tableau1[[#This Row],[Charges annuelles]]+Tableau1[[#This Row],[Taxe foncière]]+Tableau1[[#This Row],[Marketing]],"")</f>
        <v>60200</v>
      </c>
      <c r="AF187" s="12" t="str">
        <f t="shared" si="7"/>
        <v>3 mois = 15 050 €</v>
      </c>
      <c r="AG187" s="6" t="s">
        <v>98</v>
      </c>
      <c r="AH187" s="6" t="s">
        <v>98</v>
      </c>
      <c r="AI187" s="12" t="s">
        <v>357</v>
      </c>
      <c r="AJ187" s="10" t="s">
        <v>369</v>
      </c>
      <c r="AK187" s="10" t="s">
        <v>363</v>
      </c>
      <c r="AL187" s="10" t="s">
        <v>1334</v>
      </c>
      <c r="AM187" s="11" t="s">
        <v>1330</v>
      </c>
      <c r="AN187" s="11"/>
      <c r="AO187" s="5" t="s">
        <v>361</v>
      </c>
      <c r="AP187" s="11" t="s">
        <v>1302</v>
      </c>
      <c r="AQ187" s="11" t="s">
        <v>1303</v>
      </c>
      <c r="AR187" s="11">
        <v>56</v>
      </c>
      <c r="AS187" s="36" t="s">
        <v>1366</v>
      </c>
      <c r="AT187" s="11" t="s">
        <v>70</v>
      </c>
      <c r="AU187" s="11" t="s">
        <v>1301</v>
      </c>
      <c r="AV187" s="13" t="s">
        <v>1267</v>
      </c>
      <c r="AW187" s="14"/>
      <c r="AX187" s="44">
        <v>46042</v>
      </c>
      <c r="AZ187" s="1"/>
      <c r="BF187"/>
      <c r="BG187" s="1"/>
    </row>
    <row r="188" spans="1:59" ht="25.5">
      <c r="A188" s="38" t="str">
        <f>VLOOKUP(Tableau1[[#This Row],[N° Département]],Feuil1!$C$6:$E$106,3)</f>
        <v>Bourgogne-Franche-Comté</v>
      </c>
      <c r="B188" s="38" t="str">
        <f>VLOOKUP(Tableau1[[#This Row],[N° Département]],Feuil1!$C$6:$E$106,2)</f>
        <v>Côte-d'Or</v>
      </c>
      <c r="C188" s="38">
        <f>LEFT(Tableau1[[#This Row],[Code Postal]],2)*1</f>
        <v>21</v>
      </c>
      <c r="D188" s="10" t="s">
        <v>1304</v>
      </c>
      <c r="E188" s="26">
        <v>21000</v>
      </c>
      <c r="F188" s="10" t="s">
        <v>1305</v>
      </c>
      <c r="G188" s="39" t="str">
        <f>Tableau1[[#This Row],[Rue]]&amp;CHAR(10)&amp;Tableau1[[#This Row],[Code Postal]]&amp;" - "&amp;Tableau1[[#This Row],[Ville]]</f>
        <v>65 rue du Bourg
21000 - Dijon</v>
      </c>
      <c r="H188" s="15" t="s">
        <v>1306</v>
      </c>
      <c r="I188" s="12" t="s">
        <v>45</v>
      </c>
      <c r="J188" s="12" t="s">
        <v>44</v>
      </c>
      <c r="K188" s="10" t="s">
        <v>98</v>
      </c>
      <c r="L188" s="10"/>
      <c r="M188" s="12" t="s">
        <v>98</v>
      </c>
      <c r="N188" s="36"/>
      <c r="O188" s="34">
        <v>335</v>
      </c>
      <c r="P188" s="12" t="s">
        <v>1307</v>
      </c>
      <c r="Q188" s="34" t="s">
        <v>98</v>
      </c>
      <c r="R188" s="34" t="s">
        <v>98</v>
      </c>
      <c r="S188" s="34" t="s">
        <v>98</v>
      </c>
      <c r="T188" s="12">
        <f>Tableau1[[#This Row],[Loyer €/m²]]*Tableau1[[#This Row],[Surface GLA]]</f>
        <v>134000</v>
      </c>
      <c r="U188" s="12">
        <f>IFERROR(Tableau1[[#This Row],[Loyer annuel]]/12,"")</f>
        <v>11166.666666666666</v>
      </c>
      <c r="V188" s="12">
        <v>400</v>
      </c>
      <c r="W188" s="34" t="s">
        <v>98</v>
      </c>
      <c r="X188" s="6">
        <f>Tableau1[[#This Row],[Charges €/m²]]*Tableau1[[#This Row],[Surface GLA]]</f>
        <v>0</v>
      </c>
      <c r="Y188" s="12">
        <f>Tableau1[[#This Row],[Charges annuelles]]/12</f>
        <v>0</v>
      </c>
      <c r="Z188" s="12"/>
      <c r="AA188" s="12">
        <f>IFERROR(Tableau1[[#This Row],[Taxe foncière €/m²]]*Tableau1[[#This Row],[Surface GLA]],)</f>
        <v>0</v>
      </c>
      <c r="AB188" s="12"/>
      <c r="AC188" s="12">
        <f>IFERROR(Tableau1[[#This Row],[Marketing €/m²]]*Tableau1[[#This Row],[Surface GLA]],)</f>
        <v>0</v>
      </c>
      <c r="AD188" s="34" t="s">
        <v>98</v>
      </c>
      <c r="AE188" s="12">
        <f>IFERROR(Tableau1[[#This Row],[Loyer annuel]]+Tableau1[[#This Row],[Charges annuelles]]+Tableau1[[#This Row],[Taxe foncière]]+Tableau1[[#This Row],[Marketing]],"")</f>
        <v>134000</v>
      </c>
      <c r="AF188" s="12" t="str">
        <f t="shared" si="7"/>
        <v>3 mois = 33 500 €</v>
      </c>
      <c r="AG188" s="6" t="s">
        <v>98</v>
      </c>
      <c r="AH188" s="6" t="s">
        <v>98</v>
      </c>
      <c r="AI188" s="12" t="s">
        <v>357</v>
      </c>
      <c r="AJ188" s="10" t="s">
        <v>369</v>
      </c>
      <c r="AK188" s="10" t="s">
        <v>363</v>
      </c>
      <c r="AL188" s="10" t="s">
        <v>1335</v>
      </c>
      <c r="AM188" s="11" t="s">
        <v>1331</v>
      </c>
      <c r="AN188" s="11"/>
      <c r="AO188" s="5" t="s">
        <v>361</v>
      </c>
      <c r="AP188" s="11" t="s">
        <v>1310</v>
      </c>
      <c r="AQ188" s="11" t="s">
        <v>1309</v>
      </c>
      <c r="AR188" s="11">
        <v>57</v>
      </c>
      <c r="AS188" s="36" t="s">
        <v>1367</v>
      </c>
      <c r="AT188" s="11" t="s">
        <v>70</v>
      </c>
      <c r="AU188" s="11" t="s">
        <v>1308</v>
      </c>
      <c r="AV188" s="13" t="s">
        <v>1267</v>
      </c>
      <c r="AW188" s="14"/>
      <c r="AX188" s="44">
        <v>46042</v>
      </c>
      <c r="AZ188" s="1"/>
      <c r="BF188"/>
      <c r="BG188" s="1"/>
    </row>
    <row r="189" spans="1:59" ht="25.5">
      <c r="A189" s="38" t="str">
        <f>VLOOKUP(Tableau1[[#This Row],[N° Département]],Feuil1!$C$6:$E$106,3)</f>
        <v>Grand Est</v>
      </c>
      <c r="B189" s="38" t="str">
        <f>VLOOKUP(Tableau1[[#This Row],[N° Département]],Feuil1!$C$6:$E$106,2)</f>
        <v>Aube</v>
      </c>
      <c r="C189" s="38">
        <f>LEFT(Tableau1[[#This Row],[Code Postal]],2)*1</f>
        <v>10</v>
      </c>
      <c r="D189" s="10" t="s">
        <v>1315</v>
      </c>
      <c r="E189" s="26">
        <v>10000</v>
      </c>
      <c r="F189" s="10" t="s">
        <v>1316</v>
      </c>
      <c r="G189" s="39" t="str">
        <f>Tableau1[[#This Row],[Rue]]&amp;CHAR(10)&amp;Tableau1[[#This Row],[Code Postal]]&amp;" - "&amp;Tableau1[[#This Row],[Ville]]</f>
        <v>97 rue Emile Zola
10000 - Troyes</v>
      </c>
      <c r="H189" s="15" t="s">
        <v>1317</v>
      </c>
      <c r="I189" s="12" t="s">
        <v>45</v>
      </c>
      <c r="J189" s="12" t="s">
        <v>44</v>
      </c>
      <c r="K189" s="10" t="s">
        <v>98</v>
      </c>
      <c r="L189" s="10"/>
      <c r="M189" s="12" t="s">
        <v>98</v>
      </c>
      <c r="N189" s="36"/>
      <c r="O189" s="34">
        <v>378</v>
      </c>
      <c r="P189" s="12" t="s">
        <v>1318</v>
      </c>
      <c r="Q189" s="34" t="s">
        <v>98</v>
      </c>
      <c r="R189" s="34" t="s">
        <v>98</v>
      </c>
      <c r="S189" s="34" t="s">
        <v>98</v>
      </c>
      <c r="T189" s="12">
        <f>Tableau1[[#This Row],[Loyer €/m²]]*Tableau1[[#This Row],[Surface GLA]]</f>
        <v>113400</v>
      </c>
      <c r="U189" s="12">
        <f>IFERROR(Tableau1[[#This Row],[Loyer annuel]]/12,"")</f>
        <v>9450</v>
      </c>
      <c r="V189" s="12">
        <v>300</v>
      </c>
      <c r="W189" s="34" t="s">
        <v>98</v>
      </c>
      <c r="X189" s="6">
        <f>Tableau1[[#This Row],[Charges €/m²]]*Tableau1[[#This Row],[Surface GLA]]</f>
        <v>0</v>
      </c>
      <c r="Y189" s="12">
        <f>Tableau1[[#This Row],[Charges annuelles]]/12</f>
        <v>0</v>
      </c>
      <c r="Z189" s="12"/>
      <c r="AA189" s="12">
        <f>IFERROR(Tableau1[[#This Row],[Taxe foncière €/m²]]*Tableau1[[#This Row],[Surface GLA]],)</f>
        <v>0</v>
      </c>
      <c r="AB189" s="12"/>
      <c r="AC189" s="12">
        <f>IFERROR(Tableau1[[#This Row],[Marketing €/m²]]*Tableau1[[#This Row],[Surface GLA]],)</f>
        <v>0</v>
      </c>
      <c r="AD189" s="34" t="s">
        <v>98</v>
      </c>
      <c r="AE189" s="12">
        <f>IFERROR(Tableau1[[#This Row],[Loyer annuel]]+Tableau1[[#This Row],[Charges annuelles]]+Tableau1[[#This Row],[Taxe foncière]]+Tableau1[[#This Row],[Marketing]],"")</f>
        <v>113400</v>
      </c>
      <c r="AF189" s="12" t="str">
        <f t="shared" si="7"/>
        <v>3 mois = 28 350 €</v>
      </c>
      <c r="AG189" s="6" t="s">
        <v>98</v>
      </c>
      <c r="AH189" s="6" t="s">
        <v>98</v>
      </c>
      <c r="AI189" s="12" t="s">
        <v>357</v>
      </c>
      <c r="AJ189" s="10" t="s">
        <v>369</v>
      </c>
      <c r="AK189" s="10" t="s">
        <v>363</v>
      </c>
      <c r="AL189" s="10" t="s">
        <v>1336</v>
      </c>
      <c r="AM189" s="11" t="s">
        <v>1330</v>
      </c>
      <c r="AN189" s="11"/>
      <c r="AO189" s="5" t="s">
        <v>361</v>
      </c>
      <c r="AP189" s="11" t="s">
        <v>1320</v>
      </c>
      <c r="AQ189" s="11" t="s">
        <v>1321</v>
      </c>
      <c r="AR189" s="11">
        <v>58</v>
      </c>
      <c r="AS189" s="36" t="s">
        <v>1368</v>
      </c>
      <c r="AT189" s="11" t="s">
        <v>70</v>
      </c>
      <c r="AU189" s="11" t="s">
        <v>1319</v>
      </c>
      <c r="AV189" s="13" t="s">
        <v>1267</v>
      </c>
      <c r="AW189" s="14"/>
      <c r="AX189" s="44">
        <v>46042</v>
      </c>
      <c r="AZ189" s="1"/>
      <c r="BF189"/>
      <c r="BG189" s="1"/>
    </row>
    <row r="190" spans="1:59" ht="25.5">
      <c r="A190" s="38" t="str">
        <f>VLOOKUP(Tableau1[[#This Row],[N° Département]],Feuil1!$C$6:$E$106,3)</f>
        <v>Ile-de-France</v>
      </c>
      <c r="B190" s="38" t="str">
        <f>VLOOKUP(Tableau1[[#This Row],[N° Département]],Feuil1!$C$6:$E$106,2)</f>
        <v>Paris</v>
      </c>
      <c r="C190" s="38">
        <f>LEFT(Tableau1[[#This Row],[Code Postal]],2)*1</f>
        <v>75</v>
      </c>
      <c r="D190" s="10" t="s">
        <v>1322</v>
      </c>
      <c r="E190" s="26">
        <v>75001</v>
      </c>
      <c r="F190" s="10" t="s">
        <v>87</v>
      </c>
      <c r="G190" s="39" t="str">
        <f>Tableau1[[#This Row],[Rue]]&amp;CHAR(10)&amp;Tableau1[[#This Row],[Code Postal]]&amp;" - "&amp;Tableau1[[#This Row],[Ville]]</f>
        <v>9 Rue du Marché Saint-Honoré
75001 - Paris</v>
      </c>
      <c r="H190" s="15" t="s">
        <v>1323</v>
      </c>
      <c r="I190" s="12" t="s">
        <v>45</v>
      </c>
      <c r="J190" s="12" t="s">
        <v>44</v>
      </c>
      <c r="K190" s="10" t="s">
        <v>98</v>
      </c>
      <c r="L190" s="10"/>
      <c r="M190" s="12" t="s">
        <v>98</v>
      </c>
      <c r="N190" s="36"/>
      <c r="O190" s="34">
        <v>48</v>
      </c>
      <c r="P190" s="12" t="s">
        <v>1324</v>
      </c>
      <c r="Q190" s="34" t="s">
        <v>98</v>
      </c>
      <c r="R190" s="34" t="s">
        <v>98</v>
      </c>
      <c r="S190" s="34" t="s">
        <v>98</v>
      </c>
      <c r="T190" s="12">
        <f>Tableau1[[#This Row],[Loyer €/m²]]*Tableau1[[#This Row],[Surface GLA]]</f>
        <v>134400</v>
      </c>
      <c r="U190" s="12">
        <f>IFERROR(Tableau1[[#This Row],[Loyer annuel]]/12,"")</f>
        <v>11200</v>
      </c>
      <c r="V190" s="12">
        <v>2800</v>
      </c>
      <c r="W190" s="34" t="s">
        <v>98</v>
      </c>
      <c r="X190" s="6">
        <f>Tableau1[[#This Row],[Charges €/m²]]*Tableau1[[#This Row],[Surface GLA]]</f>
        <v>0</v>
      </c>
      <c r="Y190" s="12">
        <f>Tableau1[[#This Row],[Charges annuelles]]/12</f>
        <v>0</v>
      </c>
      <c r="Z190" s="12"/>
      <c r="AA190" s="12">
        <f>IFERROR(Tableau1[[#This Row],[Taxe foncière €/m²]]*Tableau1[[#This Row],[Surface GLA]],)</f>
        <v>0</v>
      </c>
      <c r="AB190" s="12"/>
      <c r="AC190" s="12">
        <f>IFERROR(Tableau1[[#This Row],[Marketing €/m²]]*Tableau1[[#This Row],[Surface GLA]],)</f>
        <v>0</v>
      </c>
      <c r="AD190" s="34" t="s">
        <v>98</v>
      </c>
      <c r="AE190" s="12">
        <f>IFERROR(Tableau1[[#This Row],[Loyer annuel]]+Tableau1[[#This Row],[Charges annuelles]]+Tableau1[[#This Row],[Taxe foncière]]+Tableau1[[#This Row],[Marketing]],"")</f>
        <v>134400</v>
      </c>
      <c r="AF190" s="12" t="str">
        <f t="shared" si="7"/>
        <v>3 mois = 33 600 €</v>
      </c>
      <c r="AG190" s="6" t="s">
        <v>98</v>
      </c>
      <c r="AH190" s="6" t="s">
        <v>98</v>
      </c>
      <c r="AI190" s="12" t="s">
        <v>357</v>
      </c>
      <c r="AJ190" s="10" t="s">
        <v>53</v>
      </c>
      <c r="AK190" s="10" t="s">
        <v>362</v>
      </c>
      <c r="AL190" s="10" t="s">
        <v>1337</v>
      </c>
      <c r="AM190" s="11" t="s">
        <v>1338</v>
      </c>
      <c r="AN190" s="11"/>
      <c r="AO190" s="5" t="s">
        <v>361</v>
      </c>
      <c r="AP190" s="11" t="s">
        <v>1326</v>
      </c>
      <c r="AQ190" s="11" t="s">
        <v>1327</v>
      </c>
      <c r="AR190" s="11">
        <v>59</v>
      </c>
      <c r="AS190" s="36" t="s">
        <v>1369</v>
      </c>
      <c r="AT190" s="11" t="s">
        <v>70</v>
      </c>
      <c r="AU190" s="11" t="s">
        <v>1325</v>
      </c>
      <c r="AV190" s="13" t="s">
        <v>1267</v>
      </c>
      <c r="AW190" s="14"/>
      <c r="AX190" s="44">
        <v>46042</v>
      </c>
      <c r="AZ190" s="1"/>
      <c r="BF190"/>
      <c r="BG190" s="1"/>
    </row>
    <row r="191" spans="1:59" ht="38.25">
      <c r="A191" s="38" t="str">
        <f>VLOOKUP(Tableau1[[#This Row],[N° Département]],Feuil1!$C$6:$E$106,3)</f>
        <v>Auvergne-Rhône-Alpes</v>
      </c>
      <c r="B191" s="38" t="str">
        <f>VLOOKUP(Tableau1[[#This Row],[N° Département]],Feuil1!$C$6:$E$106,2)</f>
        <v>Ain</v>
      </c>
      <c r="C191" s="38">
        <f>LEFT(Tableau1[[#This Row],[Code Postal]],2)*1</f>
        <v>1</v>
      </c>
      <c r="D191" s="11" t="s">
        <v>1343</v>
      </c>
      <c r="E191" s="49" t="s">
        <v>1341</v>
      </c>
      <c r="F191" s="10" t="s">
        <v>1342</v>
      </c>
      <c r="G191" s="39" t="str">
        <f>Tableau1[[#This Row],[Rue]]&amp;CHAR(10)&amp;Tableau1[[#This Row],[Code Postal]]&amp;" - "&amp;Tableau1[[#This Row],[Ville]]</f>
        <v>Cap Émeraude
Avenue du Capitaine Dhonne
01 000 - Bourg-en-Bresse</v>
      </c>
      <c r="H191" s="15" t="s">
        <v>1340</v>
      </c>
      <c r="I191" s="12" t="s">
        <v>47</v>
      </c>
      <c r="J191" s="12" t="s">
        <v>49</v>
      </c>
      <c r="K191" s="10" t="s">
        <v>98</v>
      </c>
      <c r="L191" s="10"/>
      <c r="M191" s="12" t="s">
        <v>98</v>
      </c>
      <c r="N191" s="36"/>
      <c r="O191" s="34">
        <v>196</v>
      </c>
      <c r="P191" s="34" t="s">
        <v>98</v>
      </c>
      <c r="Q191" s="34" t="s">
        <v>98</v>
      </c>
      <c r="R191" s="34" t="s">
        <v>98</v>
      </c>
      <c r="S191" s="34" t="s">
        <v>98</v>
      </c>
      <c r="T191" s="12">
        <f>Tableau1[[#This Row],[Loyer €/m²]]*Tableau1[[#This Row],[Surface GLA]]</f>
        <v>113680</v>
      </c>
      <c r="U191" s="12">
        <f>IFERROR(Tableau1[[#This Row],[Loyer annuel]]/12,"")</f>
        <v>9473.3333333333339</v>
      </c>
      <c r="V191" s="12">
        <v>580</v>
      </c>
      <c r="W191" s="34" t="s">
        <v>98</v>
      </c>
      <c r="X191" s="6">
        <f>Tableau1[[#This Row],[Charges €/m²]]*Tableau1[[#This Row],[Surface GLA]]</f>
        <v>11172</v>
      </c>
      <c r="Y191" s="12">
        <f>Tableau1[[#This Row],[Charges annuelles]]/12</f>
        <v>931</v>
      </c>
      <c r="Z191" s="12">
        <v>57</v>
      </c>
      <c r="AA191" s="12">
        <f>IFERROR(Tableau1[[#This Row],[Taxe foncière €/m²]]*Tableau1[[#This Row],[Surface GLA]],)</f>
        <v>6468</v>
      </c>
      <c r="AB191" s="12">
        <v>33</v>
      </c>
      <c r="AC191" s="12">
        <f>IFERROR(Tableau1[[#This Row],[Marketing €/m²]]*Tableau1[[#This Row],[Surface GLA]],)</f>
        <v>3920</v>
      </c>
      <c r="AD191" s="12">
        <v>20</v>
      </c>
      <c r="AE191" s="12">
        <f>IFERROR(Tableau1[[#This Row],[Loyer annuel]]+Tableau1[[#This Row],[Charges annuelles]]+Tableau1[[#This Row],[Taxe foncière]]+Tableau1[[#This Row],[Marketing]],"")</f>
        <v>135240</v>
      </c>
      <c r="AF191" s="12" t="str">
        <f t="shared" si="7"/>
        <v>3 mois = 28 420 €</v>
      </c>
      <c r="AG191" s="6" t="s">
        <v>98</v>
      </c>
      <c r="AH191" s="6" t="s">
        <v>98</v>
      </c>
      <c r="AI191" s="12" t="s">
        <v>357</v>
      </c>
      <c r="AJ191" s="10" t="s">
        <v>53</v>
      </c>
      <c r="AK191" s="10" t="s">
        <v>362</v>
      </c>
      <c r="AL191" s="10" t="s">
        <v>1347</v>
      </c>
      <c r="AM191" s="11" t="s">
        <v>1346</v>
      </c>
      <c r="AN191" s="11"/>
      <c r="AO191" s="5" t="s">
        <v>361</v>
      </c>
      <c r="AP191" s="11" t="s">
        <v>1344</v>
      </c>
      <c r="AQ191" s="11" t="s">
        <v>1345</v>
      </c>
      <c r="AR191" s="11" t="s">
        <v>1818</v>
      </c>
      <c r="AS191" s="36" t="s">
        <v>1823</v>
      </c>
      <c r="AT191" s="11" t="s">
        <v>70</v>
      </c>
      <c r="AU191" s="11" t="s">
        <v>370</v>
      </c>
      <c r="AV191" s="13" t="s">
        <v>1348</v>
      </c>
      <c r="AW191" s="14"/>
      <c r="AX191" s="44">
        <v>46042</v>
      </c>
      <c r="AZ191" s="1"/>
      <c r="BF191"/>
      <c r="BG191" s="1"/>
    </row>
    <row r="192" spans="1:59" ht="38.25">
      <c r="A192" s="38" t="str">
        <f>VLOOKUP(Tableau1[[#This Row],[N° Département]],Feuil1!$C$6:$E$106,3)</f>
        <v>Auvergne-Rhône-Alpes</v>
      </c>
      <c r="B192" s="38" t="str">
        <f>VLOOKUP(Tableau1[[#This Row],[N° Département]],Feuil1!$C$6:$E$106,2)</f>
        <v>Ain</v>
      </c>
      <c r="C192" s="38">
        <f>LEFT(Tableau1[[#This Row],[Code Postal]],2)*1</f>
        <v>1</v>
      </c>
      <c r="D192" s="11" t="s">
        <v>1343</v>
      </c>
      <c r="E192" s="49" t="s">
        <v>1341</v>
      </c>
      <c r="F192" s="10" t="s">
        <v>1342</v>
      </c>
      <c r="G192" s="39" t="str">
        <f>Tableau1[[#This Row],[Rue]]&amp;CHAR(10)&amp;Tableau1[[#This Row],[Code Postal]]&amp;" - "&amp;Tableau1[[#This Row],[Ville]]</f>
        <v>Cap Émeraude
Avenue du Capitaine Dhonne
01 000 - Bourg-en-Bresse</v>
      </c>
      <c r="H192" s="15" t="s">
        <v>1819</v>
      </c>
      <c r="I192" s="12" t="s">
        <v>47</v>
      </c>
      <c r="J192" s="12" t="s">
        <v>49</v>
      </c>
      <c r="K192" s="10" t="s">
        <v>98</v>
      </c>
      <c r="L192" s="10"/>
      <c r="M192" s="12" t="s">
        <v>1152</v>
      </c>
      <c r="N192" s="36"/>
      <c r="O192" s="34">
        <v>178</v>
      </c>
      <c r="P192" s="12" t="s">
        <v>1820</v>
      </c>
      <c r="Q192" s="34" t="s">
        <v>98</v>
      </c>
      <c r="R192" s="34" t="s">
        <v>98</v>
      </c>
      <c r="S192" s="34" t="s">
        <v>98</v>
      </c>
      <c r="T192" s="12">
        <f>Tableau1[[#This Row],[Loyer €/m²]]*Tableau1[[#This Row],[Surface GLA]]</f>
        <v>53578</v>
      </c>
      <c r="U192" s="12">
        <f>IFERROR(Tableau1[[#This Row],[Loyer annuel]]/12,"")</f>
        <v>4464.833333333333</v>
      </c>
      <c r="V192" s="12">
        <v>301</v>
      </c>
      <c r="W192" s="34" t="s">
        <v>98</v>
      </c>
      <c r="X192" s="6">
        <f>Tableau1[[#This Row],[Charges €/m²]]*Tableau1[[#This Row],[Surface GLA]]</f>
        <v>8010</v>
      </c>
      <c r="Y192" s="12">
        <f>Tableau1[[#This Row],[Charges annuelles]]/12</f>
        <v>667.5</v>
      </c>
      <c r="Z192" s="12">
        <v>45</v>
      </c>
      <c r="AA192" s="12">
        <f>IFERROR(Tableau1[[#This Row],[Taxe foncière €/m²]]*Tableau1[[#This Row],[Surface GLA]],)</f>
        <v>7476</v>
      </c>
      <c r="AB192" s="12">
        <v>42</v>
      </c>
      <c r="AC192" s="12">
        <f>IFERROR(Tableau1[[#This Row],[Marketing €/m²]]*Tableau1[[#This Row],[Surface GLA]],)</f>
        <v>3738</v>
      </c>
      <c r="AD192" s="12">
        <v>21</v>
      </c>
      <c r="AE192" s="12">
        <f>IFERROR(Tableau1[[#This Row],[Loyer annuel]]+Tableau1[[#This Row],[Charges annuelles]]+Tableau1[[#This Row],[Taxe foncière]]+Tableau1[[#This Row],[Marketing]],"")</f>
        <v>72802</v>
      </c>
      <c r="AF192" s="12" t="str">
        <f t="shared" ref="AF192" si="9">"3 mois = "&amp;TEXT(ROUND(3/12*T192,0),"### ### ##0 €")</f>
        <v>3 mois = 13 395 €</v>
      </c>
      <c r="AG192" s="6" t="s">
        <v>98</v>
      </c>
      <c r="AH192" s="6" t="s">
        <v>98</v>
      </c>
      <c r="AI192" s="12" t="s">
        <v>357</v>
      </c>
      <c r="AJ192" s="10" t="s">
        <v>70</v>
      </c>
      <c r="AK192" s="10" t="s">
        <v>363</v>
      </c>
      <c r="AL192" s="10" t="s">
        <v>1347</v>
      </c>
      <c r="AM192" s="11" t="s">
        <v>1827</v>
      </c>
      <c r="AN192" s="11"/>
      <c r="AO192" s="5" t="s">
        <v>1158</v>
      </c>
      <c r="AP192" s="11" t="s">
        <v>1821</v>
      </c>
      <c r="AQ192" s="11" t="s">
        <v>1822</v>
      </c>
      <c r="AR192" s="11" t="s">
        <v>1824</v>
      </c>
      <c r="AS192" s="36" t="s">
        <v>1825</v>
      </c>
      <c r="AT192" s="11" t="s">
        <v>70</v>
      </c>
      <c r="AU192" s="11" t="s">
        <v>1826</v>
      </c>
      <c r="AV192" s="13" t="s">
        <v>1348</v>
      </c>
      <c r="AW192" s="14"/>
      <c r="AX192" s="44">
        <v>46132</v>
      </c>
      <c r="AZ192" s="1"/>
      <c r="BF192"/>
      <c r="BG192" s="1"/>
    </row>
    <row r="193" spans="1:50" ht="25.5">
      <c r="A193" s="38" t="str">
        <f>VLOOKUP(Tableau1[[#This Row],[N° Département]],Feuil1!$C$6:$E$106,3)</f>
        <v>Nouvelle-Aquitaine</v>
      </c>
      <c r="B193" s="38" t="str">
        <f>VLOOKUP(Tableau1[[#This Row],[N° Département]],Feuil1!$C$6:$E$106,2)</f>
        <v>Charente</v>
      </c>
      <c r="C193" s="38">
        <f>LEFT(Tableau1[[#This Row],[Code Postal]],2)*1</f>
        <v>16</v>
      </c>
      <c r="D193" s="10"/>
      <c r="E193" s="26">
        <v>16110</v>
      </c>
      <c r="F193" s="10" t="s">
        <v>1383</v>
      </c>
      <c r="G193" s="39" t="str">
        <f>Tableau1[[#This Row],[Rue]]&amp;CHAR(10)&amp;Tableau1[[#This Row],[Code Postal]]&amp;" - "&amp;Tableau1[[#This Row],[Ville]]</f>
        <v xml:space="preserve">
16110 - Rivières</v>
      </c>
      <c r="H193" s="15" t="s">
        <v>1382</v>
      </c>
      <c r="I193" s="12" t="s">
        <v>47</v>
      </c>
      <c r="J193" s="12" t="s">
        <v>48</v>
      </c>
      <c r="K193" s="10" t="s">
        <v>1378</v>
      </c>
      <c r="L193" s="10"/>
      <c r="M193" s="12" t="s">
        <v>98</v>
      </c>
      <c r="N193" s="36"/>
      <c r="O193" s="34">
        <v>700</v>
      </c>
      <c r="P193" s="34" t="s">
        <v>98</v>
      </c>
      <c r="Q193" s="34" t="s">
        <v>98</v>
      </c>
      <c r="R193" s="34" t="s">
        <v>98</v>
      </c>
      <c r="S193" s="34" t="s">
        <v>98</v>
      </c>
      <c r="T193" s="12">
        <f>Tableau1[[#This Row],[Loyer €/m²]]*Tableau1[[#This Row],[Surface GLA]]</f>
        <v>105000</v>
      </c>
      <c r="U193" s="12">
        <f>IFERROR(Tableau1[[#This Row],[Loyer annuel]]/12,"")</f>
        <v>8750</v>
      </c>
      <c r="V193" s="12">
        <v>150</v>
      </c>
      <c r="W193" s="34" t="s">
        <v>98</v>
      </c>
      <c r="X193" s="12"/>
      <c r="Y193" s="12">
        <f>Tableau1[[#This Row],[Charges annuelles]]/12</f>
        <v>0</v>
      </c>
      <c r="Z193" s="12"/>
      <c r="AA193" s="12">
        <f>IFERROR(Tableau1[[#This Row],[Taxe foncière €/m²]]*Tableau1[[#This Row],[Surface GLA]],)</f>
        <v>0</v>
      </c>
      <c r="AB193" s="12"/>
      <c r="AC193" s="12">
        <f>IFERROR(Tableau1[[#This Row],[Marketing €/m²]]*Tableau1[[#This Row],[Surface GLA]],)</f>
        <v>0</v>
      </c>
      <c r="AD193" s="34" t="s">
        <v>98</v>
      </c>
      <c r="AE193" s="12">
        <f>IFERROR(Tableau1[[#This Row],[Loyer annuel]]+Tableau1[[#This Row],[Charges annuelles]]+Tableau1[[#This Row],[Taxe foncière]]+Tableau1[[#This Row],[Marketing]],"")</f>
        <v>105000</v>
      </c>
      <c r="AF193" s="12" t="str">
        <f t="shared" si="7"/>
        <v>3 mois = 26 250 €</v>
      </c>
      <c r="AG193" s="6" t="s">
        <v>98</v>
      </c>
      <c r="AH193" s="46">
        <v>0.03</v>
      </c>
      <c r="AI193" s="6" t="s">
        <v>98</v>
      </c>
      <c r="AJ193" s="10" t="s">
        <v>369</v>
      </c>
      <c r="AK193" s="10" t="s">
        <v>363</v>
      </c>
      <c r="AL193" s="10" t="s">
        <v>1384</v>
      </c>
      <c r="AM193" s="11" t="s">
        <v>1385</v>
      </c>
      <c r="AN193" s="11" t="s">
        <v>1386</v>
      </c>
      <c r="AO193" s="5" t="s">
        <v>361</v>
      </c>
      <c r="AP193" s="11" t="s">
        <v>1387</v>
      </c>
      <c r="AQ193" s="11" t="s">
        <v>1388</v>
      </c>
      <c r="AR193" s="11">
        <v>61</v>
      </c>
      <c r="AS193" s="36" t="s">
        <v>1404</v>
      </c>
      <c r="AT193" s="11" t="s">
        <v>70</v>
      </c>
      <c r="AU193" s="11" t="s">
        <v>1390</v>
      </c>
      <c r="AV193" s="13" t="s">
        <v>1391</v>
      </c>
      <c r="AW193" s="14"/>
      <c r="AX193" s="44">
        <v>46052</v>
      </c>
    </row>
    <row r="194" spans="1:50" ht="38.25">
      <c r="A194" s="38" t="str">
        <f>VLOOKUP(Tableau1[[#This Row],[N° Département]],Feuil1!$C$6:$E$106,3)</f>
        <v>Hauts-de-France</v>
      </c>
      <c r="B194" s="38" t="str">
        <f>VLOOKUP(Tableau1[[#This Row],[N° Département]],Feuil1!$C$6:$E$106,2)</f>
        <v>Pas-de-Calais</v>
      </c>
      <c r="C194" s="38">
        <f>LEFT(Tableau1[[#This Row],[Code Postal]],2)*1</f>
        <v>62</v>
      </c>
      <c r="D194" s="11" t="s">
        <v>1392</v>
      </c>
      <c r="E194" s="26">
        <v>62217</v>
      </c>
      <c r="F194" s="10" t="s">
        <v>1393</v>
      </c>
      <c r="G194" s="39" t="str">
        <f>Tableau1[[#This Row],[Rue]]&amp;CHAR(10)&amp;Tableau1[[#This Row],[Code Postal]]&amp;" - "&amp;Tableau1[[#This Row],[Ville]]</f>
        <v>Boréal Parc
rue de Bleuets
62217 - Beaurains</v>
      </c>
      <c r="H194" s="15" t="s">
        <v>1394</v>
      </c>
      <c r="I194" s="12" t="s">
        <v>47</v>
      </c>
      <c r="J194" s="12" t="s">
        <v>51</v>
      </c>
      <c r="K194" s="10" t="s">
        <v>98</v>
      </c>
      <c r="L194" s="10"/>
      <c r="M194" s="12" t="s">
        <v>98</v>
      </c>
      <c r="N194" s="36"/>
      <c r="O194" s="34">
        <v>128</v>
      </c>
      <c r="P194" s="34" t="s">
        <v>98</v>
      </c>
      <c r="Q194" s="34" t="s">
        <v>98</v>
      </c>
      <c r="R194" s="34" t="s">
        <v>98</v>
      </c>
      <c r="S194" s="34" t="s">
        <v>98</v>
      </c>
      <c r="T194" s="12">
        <f>Tableau1[[#This Row],[Loyer €/m²]]*Tableau1[[#This Row],[Surface GLA]]</f>
        <v>38400</v>
      </c>
      <c r="U194" s="12">
        <f>IFERROR(Tableau1[[#This Row],[Loyer annuel]]/12,"")</f>
        <v>3200</v>
      </c>
      <c r="V194" s="12">
        <v>300</v>
      </c>
      <c r="W194" s="34" t="s">
        <v>98</v>
      </c>
      <c r="X194" s="6">
        <f>Tableau1[[#This Row],[Charges €/m²]]*Tableau1[[#This Row],[Surface GLA]]</f>
        <v>3584</v>
      </c>
      <c r="Y194" s="12">
        <f>Tableau1[[#This Row],[Charges annuelles]]/12</f>
        <v>298.66666666666669</v>
      </c>
      <c r="Z194" s="12">
        <v>28</v>
      </c>
      <c r="AA194" s="12">
        <f>IFERROR(Tableau1[[#This Row],[Taxe foncière €/m²]]*Tableau1[[#This Row],[Surface GLA]],)</f>
        <v>1216</v>
      </c>
      <c r="AB194" s="12">
        <v>9.5</v>
      </c>
      <c r="AC194" s="12">
        <f>IFERROR(Tableau1[[#This Row],[Marketing €/m²]]*Tableau1[[#This Row],[Surface GLA]],)</f>
        <v>0</v>
      </c>
      <c r="AD194" s="34" t="s">
        <v>98</v>
      </c>
      <c r="AE194" s="12">
        <f>IFERROR(Tableau1[[#This Row],[Loyer annuel]]+Tableau1[[#This Row],[Charges annuelles]]+Tableau1[[#This Row],[Taxe foncière]]+Tableau1[[#This Row],[Marketing]],"")</f>
        <v>43200</v>
      </c>
      <c r="AF194" s="12" t="str">
        <f t="shared" ref="AF194:AF218" si="10">"3 mois = "&amp;TEXT(ROUND(3/12*T194,0),"### ### ##0 €")</f>
        <v>3 mois = 9 600 €</v>
      </c>
      <c r="AG194" s="6" t="s">
        <v>98</v>
      </c>
      <c r="AH194" s="46">
        <v>0.03</v>
      </c>
      <c r="AI194" s="12" t="s">
        <v>357</v>
      </c>
      <c r="AJ194" s="10" t="s">
        <v>70</v>
      </c>
      <c r="AK194" s="10" t="s">
        <v>363</v>
      </c>
      <c r="AL194" s="10" t="s">
        <v>1402</v>
      </c>
      <c r="AM194" s="11" t="s">
        <v>1395</v>
      </c>
      <c r="AN194" s="11" t="s">
        <v>1386</v>
      </c>
      <c r="AO194" s="5" t="s">
        <v>361</v>
      </c>
      <c r="AP194" s="11" t="s">
        <v>1398</v>
      </c>
      <c r="AQ194" s="11" t="s">
        <v>1397</v>
      </c>
      <c r="AR194" s="11" t="s">
        <v>1396</v>
      </c>
      <c r="AS194" s="36" t="s">
        <v>1405</v>
      </c>
      <c r="AT194" s="11" t="s">
        <v>70</v>
      </c>
      <c r="AU194" s="11" t="s">
        <v>1401</v>
      </c>
      <c r="AV194" s="13" t="s">
        <v>1391</v>
      </c>
      <c r="AW194" s="14"/>
      <c r="AX194" s="44">
        <v>46052</v>
      </c>
    </row>
    <row r="195" spans="1:50" ht="38.25">
      <c r="A195" s="38" t="str">
        <f>VLOOKUP(Tableau1[[#This Row],[N° Département]],Feuil1!$C$6:$E$106,3)</f>
        <v>Hauts-de-France</v>
      </c>
      <c r="B195" s="38" t="str">
        <f>VLOOKUP(Tableau1[[#This Row],[N° Département]],Feuil1!$C$6:$E$106,2)</f>
        <v>Pas-de-Calais</v>
      </c>
      <c r="C195" s="38">
        <f>LEFT(Tableau1[[#This Row],[Code Postal]],2)*1</f>
        <v>62</v>
      </c>
      <c r="D195" s="11" t="s">
        <v>1392</v>
      </c>
      <c r="E195" s="26">
        <v>62217</v>
      </c>
      <c r="F195" s="10" t="s">
        <v>1393</v>
      </c>
      <c r="G195" s="39" t="str">
        <f>Tableau1[[#This Row],[Rue]]&amp;CHAR(10)&amp;Tableau1[[#This Row],[Code Postal]]&amp;" - "&amp;Tableau1[[#This Row],[Ville]]</f>
        <v>Boréal Parc
rue de Bleuets
62217 - Beaurains</v>
      </c>
      <c r="H195" s="15" t="s">
        <v>1394</v>
      </c>
      <c r="I195" s="12" t="s">
        <v>47</v>
      </c>
      <c r="J195" s="12" t="s">
        <v>51</v>
      </c>
      <c r="K195" s="10" t="s">
        <v>98</v>
      </c>
      <c r="L195" s="10"/>
      <c r="M195" s="12" t="s">
        <v>98</v>
      </c>
      <c r="N195" s="36"/>
      <c r="O195" s="34">
        <v>40</v>
      </c>
      <c r="P195" s="34" t="s">
        <v>98</v>
      </c>
      <c r="Q195" s="34" t="s">
        <v>98</v>
      </c>
      <c r="R195" s="34" t="s">
        <v>98</v>
      </c>
      <c r="S195" s="34" t="s">
        <v>98</v>
      </c>
      <c r="T195" s="12">
        <f>Tableau1[[#This Row],[Loyer €/m²]]*Tableau1[[#This Row],[Surface GLA]]</f>
        <v>24000</v>
      </c>
      <c r="U195" s="12">
        <f>IFERROR(Tableau1[[#This Row],[Loyer annuel]]/12,"")</f>
        <v>2000</v>
      </c>
      <c r="V195" s="12">
        <v>600</v>
      </c>
      <c r="W195" s="34" t="s">
        <v>98</v>
      </c>
      <c r="X195" s="6">
        <f>Tableau1[[#This Row],[Charges €/m²]]*Tableau1[[#This Row],[Surface GLA]]</f>
        <v>1120</v>
      </c>
      <c r="Y195" s="12">
        <f>Tableau1[[#This Row],[Charges annuelles]]/12</f>
        <v>93.333333333333329</v>
      </c>
      <c r="Z195" s="12">
        <v>28</v>
      </c>
      <c r="AA195" s="12">
        <f>IFERROR(Tableau1[[#This Row],[Taxe foncière €/m²]]*Tableau1[[#This Row],[Surface GLA]],)</f>
        <v>380</v>
      </c>
      <c r="AB195" s="12">
        <v>9.5</v>
      </c>
      <c r="AC195" s="12">
        <f>IFERROR(Tableau1[[#This Row],[Marketing €/m²]]*Tableau1[[#This Row],[Surface GLA]],)</f>
        <v>0</v>
      </c>
      <c r="AD195" s="34" t="s">
        <v>98</v>
      </c>
      <c r="AE195" s="12">
        <f>IFERROR(Tableau1[[#This Row],[Loyer annuel]]+Tableau1[[#This Row],[Charges annuelles]]+Tableau1[[#This Row],[Taxe foncière]]+Tableau1[[#This Row],[Marketing]],"")</f>
        <v>25500</v>
      </c>
      <c r="AF195" s="12" t="str">
        <f t="shared" si="10"/>
        <v>3 mois = 6 000 €</v>
      </c>
      <c r="AG195" s="6" t="s">
        <v>98</v>
      </c>
      <c r="AH195" s="46">
        <v>0.03</v>
      </c>
      <c r="AI195" s="12" t="s">
        <v>357</v>
      </c>
      <c r="AJ195" s="10" t="s">
        <v>53</v>
      </c>
      <c r="AK195" s="10" t="s">
        <v>362</v>
      </c>
      <c r="AL195" s="10" t="s">
        <v>1402</v>
      </c>
      <c r="AM195" s="11" t="s">
        <v>1403</v>
      </c>
      <c r="AN195" s="11" t="s">
        <v>1386</v>
      </c>
      <c r="AO195" s="5" t="s">
        <v>361</v>
      </c>
      <c r="AP195" s="11" t="s">
        <v>1399</v>
      </c>
      <c r="AQ195" s="11" t="s">
        <v>1400</v>
      </c>
      <c r="AR195" s="11" t="s">
        <v>1389</v>
      </c>
      <c r="AS195" s="36" t="s">
        <v>1406</v>
      </c>
      <c r="AT195" s="11" t="s">
        <v>70</v>
      </c>
      <c r="AU195" s="11"/>
      <c r="AV195" s="13" t="s">
        <v>1391</v>
      </c>
      <c r="AW195" s="14"/>
      <c r="AX195" s="44">
        <v>46052</v>
      </c>
    </row>
    <row r="196" spans="1:50" ht="38.25">
      <c r="A196" s="38" t="str">
        <f>VLOOKUP(Tableau1[[#This Row],[N° Département]],Feuil1!$C$6:$E$106,3)</f>
        <v>Nouvelle-Aquitaine</v>
      </c>
      <c r="B196" s="38" t="str">
        <f>VLOOKUP(Tableau1[[#This Row],[N° Département]],Feuil1!$C$6:$E$106,2)</f>
        <v>Haute-Vienne</v>
      </c>
      <c r="C196" s="38">
        <f>LEFT(Tableau1[[#This Row],[Code Postal]],2)*1</f>
        <v>87</v>
      </c>
      <c r="D196" s="11" t="s">
        <v>1417</v>
      </c>
      <c r="E196" s="26">
        <v>87220</v>
      </c>
      <c r="F196" s="10" t="s">
        <v>1418</v>
      </c>
      <c r="G196" s="39" t="str">
        <f>Tableau1[[#This Row],[Rue]]&amp;CHAR(10)&amp;Tableau1[[#This Row],[Code Postal]]&amp;" - "&amp;Tableau1[[#This Row],[Ville]]</f>
        <v>Centre commercial Boisseuil
Route de Toulouse
87220 - Boisseuil</v>
      </c>
      <c r="H196" s="15" t="s">
        <v>1416</v>
      </c>
      <c r="I196" s="12" t="s">
        <v>47</v>
      </c>
      <c r="J196" s="12" t="s">
        <v>49</v>
      </c>
      <c r="K196" s="10" t="s">
        <v>98</v>
      </c>
      <c r="L196" s="10"/>
      <c r="M196" s="12" t="s">
        <v>98</v>
      </c>
      <c r="N196" s="36" t="s">
        <v>1419</v>
      </c>
      <c r="O196" s="34">
        <v>234</v>
      </c>
      <c r="P196" s="12" t="s">
        <v>1430</v>
      </c>
      <c r="Q196" s="34">
        <v>454</v>
      </c>
      <c r="R196" s="34" t="s">
        <v>98</v>
      </c>
      <c r="S196" s="34" t="s">
        <v>98</v>
      </c>
      <c r="T196" s="12">
        <f>Tableau1[[#This Row],[Loyer €/m²]]*Tableau1[[#This Row],[Surface GLA]]</f>
        <v>98280</v>
      </c>
      <c r="U196" s="12">
        <f>IFERROR(Tableau1[[#This Row],[Loyer annuel]]/12,"")</f>
        <v>8190</v>
      </c>
      <c r="V196" s="12">
        <v>420</v>
      </c>
      <c r="W196" s="50">
        <v>0.08</v>
      </c>
      <c r="X196" s="6">
        <f>Tableau1[[#This Row],[Charges €/m²]]*Tableau1[[#This Row],[Surface GLA]]</f>
        <v>16380</v>
      </c>
      <c r="Y196" s="12">
        <f>Tableau1[[#This Row],[Charges annuelles]]/12</f>
        <v>1365</v>
      </c>
      <c r="Z196" s="12">
        <v>70</v>
      </c>
      <c r="AA196" s="12">
        <f>IFERROR(Tableau1[[#This Row],[Taxe foncière €/m²]]*Tableau1[[#This Row],[Surface GLA]],)</f>
        <v>3744</v>
      </c>
      <c r="AB196" s="12">
        <v>16</v>
      </c>
      <c r="AC196" s="12">
        <f>IFERROR(Tableau1[[#This Row],[Marketing €/m²]]*Tableau1[[#This Row],[Surface GLA]],)</f>
        <v>8658</v>
      </c>
      <c r="AD196" s="12">
        <v>37</v>
      </c>
      <c r="AE196" s="12">
        <f>IFERROR(Tableau1[[#This Row],[Loyer annuel]]+Tableau1[[#This Row],[Charges annuelles]]+Tableau1[[#This Row],[Taxe foncière]]+Tableau1[[#This Row],[Marketing]],"")</f>
        <v>127062</v>
      </c>
      <c r="AF196" s="12" t="str">
        <f t="shared" si="10"/>
        <v>3 mois = 24 570 €</v>
      </c>
      <c r="AG196" s="6" t="s">
        <v>98</v>
      </c>
      <c r="AH196" s="51">
        <v>2.5000000000000001E-2</v>
      </c>
      <c r="AI196" s="12" t="s">
        <v>357</v>
      </c>
      <c r="AJ196" s="10" t="s">
        <v>369</v>
      </c>
      <c r="AK196" s="10" t="s">
        <v>363</v>
      </c>
      <c r="AL196" s="10" t="s">
        <v>1458</v>
      </c>
      <c r="AM196" s="11" t="s">
        <v>1469</v>
      </c>
      <c r="AN196" s="11" t="s">
        <v>1509</v>
      </c>
      <c r="AO196" s="5" t="s">
        <v>361</v>
      </c>
      <c r="AP196" s="11" t="s">
        <v>1459</v>
      </c>
      <c r="AQ196" s="11" t="s">
        <v>1461</v>
      </c>
      <c r="AR196" s="11" t="s">
        <v>1436</v>
      </c>
      <c r="AS196" s="36" t="s">
        <v>1508</v>
      </c>
      <c r="AT196" s="11" t="s">
        <v>70</v>
      </c>
      <c r="AU196" s="11" t="s">
        <v>370</v>
      </c>
      <c r="AV196" s="13" t="s">
        <v>69</v>
      </c>
      <c r="AW196" s="14"/>
      <c r="AX196" s="44">
        <v>46058</v>
      </c>
    </row>
    <row r="197" spans="1:50" ht="38.25">
      <c r="A197" s="38" t="str">
        <f>VLOOKUP(Tableau1[[#This Row],[N° Département]],Feuil1!$C$6:$E$106,3)</f>
        <v>Nouvelle-Aquitaine</v>
      </c>
      <c r="B197" s="38" t="str">
        <f>VLOOKUP(Tableau1[[#This Row],[N° Département]],Feuil1!$C$6:$E$106,2)</f>
        <v>Haute-Vienne</v>
      </c>
      <c r="C197" s="38">
        <f>LEFT(Tableau1[[#This Row],[Code Postal]],2)*1</f>
        <v>87</v>
      </c>
      <c r="D197" s="11" t="s">
        <v>1417</v>
      </c>
      <c r="E197" s="26">
        <v>87220</v>
      </c>
      <c r="F197" s="10" t="s">
        <v>1418</v>
      </c>
      <c r="G197" s="39" t="str">
        <f>Tableau1[[#This Row],[Rue]]&amp;CHAR(10)&amp;Tableau1[[#This Row],[Code Postal]]&amp;" - "&amp;Tableau1[[#This Row],[Ville]]</f>
        <v>Centre commercial Boisseuil
Route de Toulouse
87220 - Boisseuil</v>
      </c>
      <c r="H197" s="15" t="s">
        <v>1416</v>
      </c>
      <c r="I197" s="12" t="s">
        <v>47</v>
      </c>
      <c r="J197" s="12" t="s">
        <v>49</v>
      </c>
      <c r="K197" s="10" t="s">
        <v>98</v>
      </c>
      <c r="L197" s="10"/>
      <c r="M197" s="12" t="s">
        <v>98</v>
      </c>
      <c r="N197" s="36" t="s">
        <v>352</v>
      </c>
      <c r="O197" s="34">
        <v>220</v>
      </c>
      <c r="P197" s="12"/>
      <c r="Q197" s="34">
        <v>454</v>
      </c>
      <c r="R197" s="34" t="s">
        <v>98</v>
      </c>
      <c r="S197" s="34" t="s">
        <v>98</v>
      </c>
      <c r="T197" s="12">
        <f>Tableau1[[#This Row],[Loyer €/m²]]*Tableau1[[#This Row],[Surface GLA]]</f>
        <v>92400</v>
      </c>
      <c r="U197" s="12">
        <f>IFERROR(Tableau1[[#This Row],[Loyer annuel]]/12,"")</f>
        <v>7700</v>
      </c>
      <c r="V197" s="12">
        <v>420</v>
      </c>
      <c r="W197" s="50">
        <v>0.08</v>
      </c>
      <c r="X197" s="6">
        <f>Tableau1[[#This Row],[Charges €/m²]]*Tableau1[[#This Row],[Surface GLA]]</f>
        <v>15400</v>
      </c>
      <c r="Y197" s="12">
        <f>Tableau1[[#This Row],[Charges annuelles]]/12</f>
        <v>1283.3333333333333</v>
      </c>
      <c r="Z197" s="12">
        <v>70</v>
      </c>
      <c r="AA197" s="12">
        <f>IFERROR(Tableau1[[#This Row],[Taxe foncière €/m²]]*Tableau1[[#This Row],[Surface GLA]],)</f>
        <v>3520</v>
      </c>
      <c r="AB197" s="12">
        <v>16</v>
      </c>
      <c r="AC197" s="12">
        <f>IFERROR(Tableau1[[#This Row],[Marketing €/m²]]*Tableau1[[#This Row],[Surface GLA]],)</f>
        <v>8140</v>
      </c>
      <c r="AD197" s="12">
        <v>37</v>
      </c>
      <c r="AE197" s="12">
        <f>IFERROR(Tableau1[[#This Row],[Loyer annuel]]+Tableau1[[#This Row],[Charges annuelles]]+Tableau1[[#This Row],[Taxe foncière]]+Tableau1[[#This Row],[Marketing]],"")</f>
        <v>119460</v>
      </c>
      <c r="AF197" s="12" t="str">
        <f t="shared" si="10"/>
        <v>3 mois = 23 100 €</v>
      </c>
      <c r="AG197" s="6" t="s">
        <v>98</v>
      </c>
      <c r="AH197" s="51">
        <v>2.5000000000000001E-2</v>
      </c>
      <c r="AI197" s="12" t="s">
        <v>357</v>
      </c>
      <c r="AJ197" s="10" t="s">
        <v>369</v>
      </c>
      <c r="AK197" s="10" t="s">
        <v>363</v>
      </c>
      <c r="AL197" s="10" t="s">
        <v>1458</v>
      </c>
      <c r="AM197" s="11" t="s">
        <v>1469</v>
      </c>
      <c r="AN197" s="11" t="s">
        <v>1509</v>
      </c>
      <c r="AO197" s="5" t="s">
        <v>361</v>
      </c>
      <c r="AP197" s="11" t="s">
        <v>1462</v>
      </c>
      <c r="AQ197" s="11" t="s">
        <v>1463</v>
      </c>
      <c r="AR197" s="11" t="s">
        <v>1437</v>
      </c>
      <c r="AS197" s="36" t="s">
        <v>1508</v>
      </c>
      <c r="AT197" s="11" t="s">
        <v>70</v>
      </c>
      <c r="AU197" s="11" t="s">
        <v>370</v>
      </c>
      <c r="AV197" s="13" t="s">
        <v>69</v>
      </c>
      <c r="AW197" s="14"/>
      <c r="AX197" s="44">
        <v>46058</v>
      </c>
    </row>
    <row r="198" spans="1:50" ht="38.25">
      <c r="A198" s="38" t="str">
        <f>VLOOKUP(Tableau1[[#This Row],[N° Département]],Feuil1!$C$6:$E$106,3)</f>
        <v>Nouvelle-Aquitaine</v>
      </c>
      <c r="B198" s="38" t="str">
        <f>VLOOKUP(Tableau1[[#This Row],[N° Département]],Feuil1!$C$6:$E$106,2)</f>
        <v>Haute-Vienne</v>
      </c>
      <c r="C198" s="38">
        <f>LEFT(Tableau1[[#This Row],[Code Postal]],2)*1</f>
        <v>87</v>
      </c>
      <c r="D198" s="11" t="s">
        <v>1417</v>
      </c>
      <c r="E198" s="26">
        <v>87220</v>
      </c>
      <c r="F198" s="10" t="s">
        <v>1418</v>
      </c>
      <c r="G198" s="39" t="str">
        <f>Tableau1[[#This Row],[Rue]]&amp;CHAR(10)&amp;Tableau1[[#This Row],[Code Postal]]&amp;" - "&amp;Tableau1[[#This Row],[Ville]]</f>
        <v>Centre commercial Boisseuil
Route de Toulouse
87220 - Boisseuil</v>
      </c>
      <c r="H198" s="15" t="s">
        <v>1416</v>
      </c>
      <c r="I198" s="12" t="s">
        <v>47</v>
      </c>
      <c r="J198" s="12" t="s">
        <v>49</v>
      </c>
      <c r="K198" s="10" t="s">
        <v>98</v>
      </c>
      <c r="L198" s="10"/>
      <c r="M198" s="12" t="s">
        <v>98</v>
      </c>
      <c r="N198" s="36" t="s">
        <v>1420</v>
      </c>
      <c r="O198" s="34">
        <v>105</v>
      </c>
      <c r="P198" s="12"/>
      <c r="Q198" s="34">
        <v>222</v>
      </c>
      <c r="R198" s="34" t="s">
        <v>98</v>
      </c>
      <c r="S198" s="34" t="s">
        <v>98</v>
      </c>
      <c r="T198" s="12">
        <f>Tableau1[[#This Row],[Loyer €/m²]]*Tableau1[[#This Row],[Surface GLA]]</f>
        <v>31500</v>
      </c>
      <c r="U198" s="12">
        <f>IFERROR(Tableau1[[#This Row],[Loyer annuel]]/12,"")</f>
        <v>2625</v>
      </c>
      <c r="V198" s="12">
        <v>300</v>
      </c>
      <c r="W198" s="50">
        <v>0.08</v>
      </c>
      <c r="X198" s="6">
        <f>Tableau1[[#This Row],[Charges €/m²]]*Tableau1[[#This Row],[Surface GLA]]</f>
        <v>7350</v>
      </c>
      <c r="Y198" s="12">
        <f>Tableau1[[#This Row],[Charges annuelles]]/12</f>
        <v>612.5</v>
      </c>
      <c r="Z198" s="12">
        <v>70</v>
      </c>
      <c r="AA198" s="12">
        <f>IFERROR(Tableau1[[#This Row],[Taxe foncière €/m²]]*Tableau1[[#This Row],[Surface GLA]],)</f>
        <v>1680</v>
      </c>
      <c r="AB198" s="12">
        <v>16</v>
      </c>
      <c r="AC198" s="12">
        <f>IFERROR(Tableau1[[#This Row],[Marketing €/m²]]*Tableau1[[#This Row],[Surface GLA]],)</f>
        <v>3885</v>
      </c>
      <c r="AD198" s="12">
        <v>37</v>
      </c>
      <c r="AE198" s="12">
        <f>IFERROR(Tableau1[[#This Row],[Loyer annuel]]+Tableau1[[#This Row],[Charges annuelles]]+Tableau1[[#This Row],[Taxe foncière]]+Tableau1[[#This Row],[Marketing]],"")</f>
        <v>44415</v>
      </c>
      <c r="AF198" s="12" t="str">
        <f t="shared" si="10"/>
        <v>3 mois = 7 875 €</v>
      </c>
      <c r="AG198" s="6" t="s">
        <v>98</v>
      </c>
      <c r="AH198" s="51">
        <v>2.5000000000000001E-2</v>
      </c>
      <c r="AI198" s="12" t="s">
        <v>373</v>
      </c>
      <c r="AJ198" s="10" t="s">
        <v>70</v>
      </c>
      <c r="AK198" s="10" t="s">
        <v>363</v>
      </c>
      <c r="AL198" s="10" t="s">
        <v>1458</v>
      </c>
      <c r="AM198" s="11" t="s">
        <v>1469</v>
      </c>
      <c r="AN198" s="11" t="s">
        <v>1509</v>
      </c>
      <c r="AO198" s="5" t="s">
        <v>361</v>
      </c>
      <c r="AP198" s="11" t="s">
        <v>1464</v>
      </c>
      <c r="AQ198" s="11" t="s">
        <v>1465</v>
      </c>
      <c r="AR198" s="11" t="s">
        <v>1438</v>
      </c>
      <c r="AS198" s="36" t="s">
        <v>1508</v>
      </c>
      <c r="AT198" s="11" t="s">
        <v>70</v>
      </c>
      <c r="AU198" s="11" t="s">
        <v>370</v>
      </c>
      <c r="AV198" s="13" t="s">
        <v>69</v>
      </c>
      <c r="AW198" s="14"/>
      <c r="AX198" s="44">
        <v>46058</v>
      </c>
    </row>
    <row r="199" spans="1:50" ht="38.25">
      <c r="A199" s="38" t="str">
        <f>VLOOKUP(Tableau1[[#This Row],[N° Département]],Feuil1!$C$6:$E$106,3)</f>
        <v>Nouvelle-Aquitaine</v>
      </c>
      <c r="B199" s="38" t="str">
        <f>VLOOKUP(Tableau1[[#This Row],[N° Département]],Feuil1!$C$6:$E$106,2)</f>
        <v>Haute-Vienne</v>
      </c>
      <c r="C199" s="38">
        <f>LEFT(Tableau1[[#This Row],[Code Postal]],2)*1</f>
        <v>87</v>
      </c>
      <c r="D199" s="11" t="s">
        <v>1417</v>
      </c>
      <c r="E199" s="26">
        <v>87220</v>
      </c>
      <c r="F199" s="10" t="s">
        <v>1418</v>
      </c>
      <c r="G199" s="39" t="str">
        <f>Tableau1[[#This Row],[Rue]]&amp;CHAR(10)&amp;Tableau1[[#This Row],[Code Postal]]&amp;" - "&amp;Tableau1[[#This Row],[Ville]]</f>
        <v>Centre commercial Boisseuil
Route de Toulouse
87220 - Boisseuil</v>
      </c>
      <c r="H199" s="15" t="s">
        <v>1416</v>
      </c>
      <c r="I199" s="12" t="s">
        <v>47</v>
      </c>
      <c r="J199" s="12" t="s">
        <v>49</v>
      </c>
      <c r="K199" s="10" t="s">
        <v>98</v>
      </c>
      <c r="L199" s="10"/>
      <c r="M199" s="12" t="s">
        <v>98</v>
      </c>
      <c r="N199" s="36">
        <v>12</v>
      </c>
      <c r="O199" s="34">
        <v>117</v>
      </c>
      <c r="P199" s="12"/>
      <c r="Q199" s="34">
        <v>222</v>
      </c>
      <c r="R199" s="34" t="s">
        <v>98</v>
      </c>
      <c r="S199" s="34" t="s">
        <v>98</v>
      </c>
      <c r="T199" s="12">
        <f>Tableau1[[#This Row],[Loyer €/m²]]*Tableau1[[#This Row],[Surface GLA]]</f>
        <v>46800</v>
      </c>
      <c r="U199" s="12">
        <f>IFERROR(Tableau1[[#This Row],[Loyer annuel]]/12,"")</f>
        <v>3900</v>
      </c>
      <c r="V199" s="12">
        <v>400</v>
      </c>
      <c r="W199" s="50">
        <v>0.08</v>
      </c>
      <c r="X199" s="6">
        <f>Tableau1[[#This Row],[Charges €/m²]]*Tableau1[[#This Row],[Surface GLA]]</f>
        <v>8190</v>
      </c>
      <c r="Y199" s="12">
        <f>Tableau1[[#This Row],[Charges annuelles]]/12</f>
        <v>682.5</v>
      </c>
      <c r="Z199" s="12">
        <v>70</v>
      </c>
      <c r="AA199" s="12">
        <f>IFERROR(Tableau1[[#This Row],[Taxe foncière €/m²]]*Tableau1[[#This Row],[Surface GLA]],)</f>
        <v>1872</v>
      </c>
      <c r="AB199" s="12">
        <v>16</v>
      </c>
      <c r="AC199" s="12">
        <f>IFERROR(Tableau1[[#This Row],[Marketing €/m²]]*Tableau1[[#This Row],[Surface GLA]],)</f>
        <v>4329</v>
      </c>
      <c r="AD199" s="12">
        <v>37</v>
      </c>
      <c r="AE199" s="12">
        <f>IFERROR(Tableau1[[#This Row],[Loyer annuel]]+Tableau1[[#This Row],[Charges annuelles]]+Tableau1[[#This Row],[Taxe foncière]]+Tableau1[[#This Row],[Marketing]],"")</f>
        <v>61191</v>
      </c>
      <c r="AF199" s="12" t="str">
        <f t="shared" si="10"/>
        <v>3 mois = 11 700 €</v>
      </c>
      <c r="AG199" s="6" t="s">
        <v>98</v>
      </c>
      <c r="AH199" s="51">
        <v>2.5000000000000001E-2</v>
      </c>
      <c r="AI199" s="12" t="s">
        <v>357</v>
      </c>
      <c r="AJ199" s="10" t="s">
        <v>369</v>
      </c>
      <c r="AK199" s="10" t="s">
        <v>363</v>
      </c>
      <c r="AL199" s="10" t="s">
        <v>1458</v>
      </c>
      <c r="AM199" s="11" t="s">
        <v>1469</v>
      </c>
      <c r="AN199" s="11" t="s">
        <v>1509</v>
      </c>
      <c r="AO199" s="5" t="s">
        <v>361</v>
      </c>
      <c r="AP199" s="11" t="s">
        <v>1466</v>
      </c>
      <c r="AQ199" s="11" t="s">
        <v>1467</v>
      </c>
      <c r="AR199" s="11" t="s">
        <v>1439</v>
      </c>
      <c r="AS199" s="36" t="s">
        <v>1508</v>
      </c>
      <c r="AT199" s="11" t="s">
        <v>70</v>
      </c>
      <c r="AU199" s="11" t="s">
        <v>370</v>
      </c>
      <c r="AV199" s="13" t="s">
        <v>69</v>
      </c>
      <c r="AW199" s="14"/>
      <c r="AX199" s="44">
        <v>46058</v>
      </c>
    </row>
    <row r="200" spans="1:50" ht="38.25">
      <c r="A200" s="38" t="str">
        <f>VLOOKUP(Tableau1[[#This Row],[N° Département]],Feuil1!$C$6:$E$106,3)</f>
        <v>Nouvelle-Aquitaine</v>
      </c>
      <c r="B200" s="38" t="str">
        <f>VLOOKUP(Tableau1[[#This Row],[N° Département]],Feuil1!$C$6:$E$106,2)</f>
        <v>Haute-Vienne</v>
      </c>
      <c r="C200" s="38">
        <f>LEFT(Tableau1[[#This Row],[Code Postal]],2)*1</f>
        <v>87</v>
      </c>
      <c r="D200" s="11" t="s">
        <v>1417</v>
      </c>
      <c r="E200" s="26">
        <v>87220</v>
      </c>
      <c r="F200" s="10" t="s">
        <v>1418</v>
      </c>
      <c r="G200" s="39" t="str">
        <f>Tableau1[[#This Row],[Rue]]&amp;CHAR(10)&amp;Tableau1[[#This Row],[Code Postal]]&amp;" - "&amp;Tableau1[[#This Row],[Ville]]</f>
        <v>Centre commercial Boisseuil
Route de Toulouse
87220 - Boisseuil</v>
      </c>
      <c r="H200" s="15" t="s">
        <v>1416</v>
      </c>
      <c r="I200" s="12" t="s">
        <v>47</v>
      </c>
      <c r="J200" s="12" t="s">
        <v>49</v>
      </c>
      <c r="K200" s="10" t="s">
        <v>98</v>
      </c>
      <c r="L200" s="10"/>
      <c r="M200" s="12" t="s">
        <v>98</v>
      </c>
      <c r="N200" s="36" t="s">
        <v>1468</v>
      </c>
      <c r="O200" s="34">
        <v>124</v>
      </c>
      <c r="P200" s="12"/>
      <c r="Q200" s="34">
        <v>209</v>
      </c>
      <c r="R200" s="34" t="s">
        <v>98</v>
      </c>
      <c r="S200" s="34" t="s">
        <v>98</v>
      </c>
      <c r="T200" s="12">
        <f>Tableau1[[#This Row],[Loyer €/m²]]*Tableau1[[#This Row],[Surface GLA]]</f>
        <v>64480</v>
      </c>
      <c r="U200" s="12">
        <f>IFERROR(Tableau1[[#This Row],[Loyer annuel]]/12,"")</f>
        <v>5373.333333333333</v>
      </c>
      <c r="V200" s="12">
        <v>520</v>
      </c>
      <c r="W200" s="50">
        <v>0.08</v>
      </c>
      <c r="X200" s="6">
        <f>Tableau1[[#This Row],[Charges €/m²]]*Tableau1[[#This Row],[Surface GLA]]</f>
        <v>8680</v>
      </c>
      <c r="Y200" s="12">
        <f>Tableau1[[#This Row],[Charges annuelles]]/12</f>
        <v>723.33333333333337</v>
      </c>
      <c r="Z200" s="12">
        <v>70</v>
      </c>
      <c r="AA200" s="12">
        <f>IFERROR(Tableau1[[#This Row],[Taxe foncière €/m²]]*Tableau1[[#This Row],[Surface GLA]],)</f>
        <v>1984</v>
      </c>
      <c r="AB200" s="12">
        <v>16</v>
      </c>
      <c r="AC200" s="12">
        <f>IFERROR(Tableau1[[#This Row],[Marketing €/m²]]*Tableau1[[#This Row],[Surface GLA]],)</f>
        <v>4588</v>
      </c>
      <c r="AD200" s="12">
        <v>37</v>
      </c>
      <c r="AE200" s="12">
        <f>IFERROR(Tableau1[[#This Row],[Loyer annuel]]+Tableau1[[#This Row],[Charges annuelles]]+Tableau1[[#This Row],[Taxe foncière]]+Tableau1[[#This Row],[Marketing]],"")</f>
        <v>79732</v>
      </c>
      <c r="AF200" s="12" t="str">
        <f t="shared" si="10"/>
        <v>3 mois = 16 120 €</v>
      </c>
      <c r="AG200" s="6" t="s">
        <v>98</v>
      </c>
      <c r="AH200" s="51">
        <v>2.5000000000000001E-2</v>
      </c>
      <c r="AI200" s="12" t="s">
        <v>357</v>
      </c>
      <c r="AJ200" s="10" t="s">
        <v>369</v>
      </c>
      <c r="AK200" s="10" t="s">
        <v>363</v>
      </c>
      <c r="AL200" s="10" t="s">
        <v>1458</v>
      </c>
      <c r="AM200" s="11" t="s">
        <v>1469</v>
      </c>
      <c r="AN200" s="11" t="s">
        <v>1509</v>
      </c>
      <c r="AO200" s="5" t="s">
        <v>361</v>
      </c>
      <c r="AP200" s="11" t="s">
        <v>1471</v>
      </c>
      <c r="AQ200" s="11" t="s">
        <v>1472</v>
      </c>
      <c r="AR200" s="11" t="s">
        <v>1440</v>
      </c>
      <c r="AS200" s="36" t="s">
        <v>1508</v>
      </c>
      <c r="AT200" s="11" t="s">
        <v>70</v>
      </c>
      <c r="AU200" s="11" t="s">
        <v>370</v>
      </c>
      <c r="AV200" s="13" t="s">
        <v>69</v>
      </c>
      <c r="AW200" s="14"/>
      <c r="AX200" s="44">
        <v>46058</v>
      </c>
    </row>
    <row r="201" spans="1:50" ht="38.25">
      <c r="A201" s="38" t="str">
        <f>VLOOKUP(Tableau1[[#This Row],[N° Département]],Feuil1!$C$6:$E$106,3)</f>
        <v>Nouvelle-Aquitaine</v>
      </c>
      <c r="B201" s="38" t="str">
        <f>VLOOKUP(Tableau1[[#This Row],[N° Département]],Feuil1!$C$6:$E$106,2)</f>
        <v>Haute-Vienne</v>
      </c>
      <c r="C201" s="38">
        <f>LEFT(Tableau1[[#This Row],[Code Postal]],2)*1</f>
        <v>87</v>
      </c>
      <c r="D201" s="11" t="s">
        <v>1417</v>
      </c>
      <c r="E201" s="26">
        <v>87220</v>
      </c>
      <c r="F201" s="10" t="s">
        <v>1418</v>
      </c>
      <c r="G201" s="39" t="str">
        <f>Tableau1[[#This Row],[Rue]]&amp;CHAR(10)&amp;Tableau1[[#This Row],[Code Postal]]&amp;" - "&amp;Tableau1[[#This Row],[Ville]]</f>
        <v>Centre commercial Boisseuil
Route de Toulouse
87220 - Boisseuil</v>
      </c>
      <c r="H201" s="15" t="s">
        <v>1416</v>
      </c>
      <c r="I201" s="12" t="s">
        <v>47</v>
      </c>
      <c r="J201" s="12" t="s">
        <v>49</v>
      </c>
      <c r="K201" s="10" t="s">
        <v>98</v>
      </c>
      <c r="L201" s="10"/>
      <c r="M201" s="12" t="s">
        <v>98</v>
      </c>
      <c r="N201" s="36" t="s">
        <v>1421</v>
      </c>
      <c r="O201" s="34">
        <v>54</v>
      </c>
      <c r="P201" s="12" t="s">
        <v>1431</v>
      </c>
      <c r="Q201" s="34">
        <v>209</v>
      </c>
      <c r="R201" s="34" t="s">
        <v>98</v>
      </c>
      <c r="S201" s="34" t="s">
        <v>98</v>
      </c>
      <c r="T201" s="12">
        <f>Tableau1[[#This Row],[Loyer €/m²]]*Tableau1[[#This Row],[Surface GLA]]</f>
        <v>28080</v>
      </c>
      <c r="U201" s="12">
        <f>IFERROR(Tableau1[[#This Row],[Loyer annuel]]/12,"")</f>
        <v>2340</v>
      </c>
      <c r="V201" s="12">
        <v>520</v>
      </c>
      <c r="W201" s="50">
        <v>0.08</v>
      </c>
      <c r="X201" s="6">
        <f>Tableau1[[#This Row],[Charges €/m²]]*Tableau1[[#This Row],[Surface GLA]]</f>
        <v>3780</v>
      </c>
      <c r="Y201" s="12">
        <f>Tableau1[[#This Row],[Charges annuelles]]/12</f>
        <v>315</v>
      </c>
      <c r="Z201" s="12">
        <v>70</v>
      </c>
      <c r="AA201" s="12">
        <f>IFERROR(Tableau1[[#This Row],[Taxe foncière €/m²]]*Tableau1[[#This Row],[Surface GLA]],)</f>
        <v>864</v>
      </c>
      <c r="AB201" s="12">
        <v>16</v>
      </c>
      <c r="AC201" s="12">
        <f>IFERROR(Tableau1[[#This Row],[Marketing €/m²]]*Tableau1[[#This Row],[Surface GLA]],)</f>
        <v>1998</v>
      </c>
      <c r="AD201" s="12">
        <v>37</v>
      </c>
      <c r="AE201" s="12">
        <f>IFERROR(Tableau1[[#This Row],[Loyer annuel]]+Tableau1[[#This Row],[Charges annuelles]]+Tableau1[[#This Row],[Taxe foncière]]+Tableau1[[#This Row],[Marketing]],"")</f>
        <v>34722</v>
      </c>
      <c r="AF201" s="12" t="str">
        <f t="shared" si="10"/>
        <v>3 mois = 7 020 €</v>
      </c>
      <c r="AG201" s="6" t="s">
        <v>98</v>
      </c>
      <c r="AH201" s="51">
        <v>2.5000000000000001E-2</v>
      </c>
      <c r="AI201" s="12" t="s">
        <v>357</v>
      </c>
      <c r="AJ201" s="10" t="s">
        <v>369</v>
      </c>
      <c r="AK201" s="10" t="s">
        <v>363</v>
      </c>
      <c r="AL201" s="10" t="s">
        <v>1458</v>
      </c>
      <c r="AM201" s="11" t="s">
        <v>1469</v>
      </c>
      <c r="AN201" s="11" t="s">
        <v>1509</v>
      </c>
      <c r="AO201" s="5" t="s">
        <v>361</v>
      </c>
      <c r="AP201" s="11" t="s">
        <v>1460</v>
      </c>
      <c r="AQ201" s="11" t="s">
        <v>1473</v>
      </c>
      <c r="AR201" s="11" t="s">
        <v>1441</v>
      </c>
      <c r="AS201" s="36" t="s">
        <v>1508</v>
      </c>
      <c r="AT201" s="11" t="s">
        <v>70</v>
      </c>
      <c r="AU201" s="11" t="s">
        <v>370</v>
      </c>
      <c r="AV201" s="13" t="s">
        <v>69</v>
      </c>
      <c r="AW201" s="14"/>
      <c r="AX201" s="44">
        <v>46058</v>
      </c>
    </row>
    <row r="202" spans="1:50" ht="38.25">
      <c r="A202" s="38" t="str">
        <f>VLOOKUP(Tableau1[[#This Row],[N° Département]],Feuil1!$C$6:$E$106,3)</f>
        <v>Nouvelle-Aquitaine</v>
      </c>
      <c r="B202" s="38" t="str">
        <f>VLOOKUP(Tableau1[[#This Row],[N° Département]],Feuil1!$C$6:$E$106,2)</f>
        <v>Haute-Vienne</v>
      </c>
      <c r="C202" s="38">
        <f>LEFT(Tableau1[[#This Row],[Code Postal]],2)*1</f>
        <v>87</v>
      </c>
      <c r="D202" s="11" t="s">
        <v>1417</v>
      </c>
      <c r="E202" s="26">
        <v>87220</v>
      </c>
      <c r="F202" s="10" t="s">
        <v>1418</v>
      </c>
      <c r="G202" s="39" t="str">
        <f>Tableau1[[#This Row],[Rue]]&amp;CHAR(10)&amp;Tableau1[[#This Row],[Code Postal]]&amp;" - "&amp;Tableau1[[#This Row],[Ville]]</f>
        <v>Centre commercial Boisseuil
Route de Toulouse
87220 - Boisseuil</v>
      </c>
      <c r="H202" s="15" t="s">
        <v>1416</v>
      </c>
      <c r="I202" s="12" t="s">
        <v>47</v>
      </c>
      <c r="J202" s="12" t="s">
        <v>49</v>
      </c>
      <c r="K202" s="10" t="s">
        <v>98</v>
      </c>
      <c r="L202" s="10"/>
      <c r="M202" s="12" t="s">
        <v>98</v>
      </c>
      <c r="N202" s="36" t="s">
        <v>1422</v>
      </c>
      <c r="O202" s="34">
        <v>31</v>
      </c>
      <c r="P202" s="12"/>
      <c r="Q202" s="34">
        <v>209</v>
      </c>
      <c r="R202" s="34" t="s">
        <v>98</v>
      </c>
      <c r="S202" s="34" t="s">
        <v>98</v>
      </c>
      <c r="T202" s="12">
        <f>Tableau1[[#This Row],[Loyer €/m²]]*Tableau1[[#This Row],[Surface GLA]]</f>
        <v>16120</v>
      </c>
      <c r="U202" s="12">
        <f>IFERROR(Tableau1[[#This Row],[Loyer annuel]]/12,"")</f>
        <v>1343.3333333333333</v>
      </c>
      <c r="V202" s="12">
        <v>520</v>
      </c>
      <c r="W202" s="50">
        <v>0.08</v>
      </c>
      <c r="X202" s="6">
        <f>Tableau1[[#This Row],[Charges €/m²]]*Tableau1[[#This Row],[Surface GLA]]</f>
        <v>2170</v>
      </c>
      <c r="Y202" s="12">
        <f>Tableau1[[#This Row],[Charges annuelles]]/12</f>
        <v>180.83333333333334</v>
      </c>
      <c r="Z202" s="12">
        <v>70</v>
      </c>
      <c r="AA202" s="12">
        <f>IFERROR(Tableau1[[#This Row],[Taxe foncière €/m²]]*Tableau1[[#This Row],[Surface GLA]],)</f>
        <v>496</v>
      </c>
      <c r="AB202" s="12">
        <v>16</v>
      </c>
      <c r="AC202" s="12">
        <f>IFERROR(Tableau1[[#This Row],[Marketing €/m²]]*Tableau1[[#This Row],[Surface GLA]],)</f>
        <v>1147</v>
      </c>
      <c r="AD202" s="12">
        <v>37</v>
      </c>
      <c r="AE202" s="12">
        <f>IFERROR(Tableau1[[#This Row],[Loyer annuel]]+Tableau1[[#This Row],[Charges annuelles]]+Tableau1[[#This Row],[Taxe foncière]]+Tableau1[[#This Row],[Marketing]],"")</f>
        <v>19933</v>
      </c>
      <c r="AF202" s="12" t="str">
        <f t="shared" si="10"/>
        <v>3 mois = 4 030 €</v>
      </c>
      <c r="AG202" s="6" t="s">
        <v>98</v>
      </c>
      <c r="AH202" s="51">
        <v>2.5000000000000001E-2</v>
      </c>
      <c r="AI202" s="12" t="s">
        <v>357</v>
      </c>
      <c r="AJ202" s="10" t="s">
        <v>369</v>
      </c>
      <c r="AK202" s="10" t="s">
        <v>363</v>
      </c>
      <c r="AL202" s="10" t="s">
        <v>1458</v>
      </c>
      <c r="AM202" s="11" t="s">
        <v>1469</v>
      </c>
      <c r="AN202" s="11" t="s">
        <v>1509</v>
      </c>
      <c r="AO202" s="5" t="s">
        <v>361</v>
      </c>
      <c r="AP202" s="11" t="s">
        <v>1474</v>
      </c>
      <c r="AQ202" s="11" t="s">
        <v>1475</v>
      </c>
      <c r="AR202" s="11" t="s">
        <v>1442</v>
      </c>
      <c r="AS202" s="36" t="s">
        <v>1508</v>
      </c>
      <c r="AT202" s="11" t="s">
        <v>70</v>
      </c>
      <c r="AU202" s="11" t="s">
        <v>370</v>
      </c>
      <c r="AV202" s="13" t="s">
        <v>69</v>
      </c>
      <c r="AW202" s="14"/>
      <c r="AX202" s="44">
        <v>46058</v>
      </c>
    </row>
    <row r="203" spans="1:50" ht="38.25">
      <c r="A203" s="38" t="str">
        <f>VLOOKUP(Tableau1[[#This Row],[N° Département]],Feuil1!$C$6:$E$106,3)</f>
        <v>Nouvelle-Aquitaine</v>
      </c>
      <c r="B203" s="38" t="str">
        <f>VLOOKUP(Tableau1[[#This Row],[N° Département]],Feuil1!$C$6:$E$106,2)</f>
        <v>Haute-Vienne</v>
      </c>
      <c r="C203" s="38">
        <f>LEFT(Tableau1[[#This Row],[Code Postal]],2)*1</f>
        <v>87</v>
      </c>
      <c r="D203" s="11" t="s">
        <v>1417</v>
      </c>
      <c r="E203" s="26">
        <v>87220</v>
      </c>
      <c r="F203" s="10" t="s">
        <v>1418</v>
      </c>
      <c r="G203" s="39" t="str">
        <f>Tableau1[[#This Row],[Rue]]&amp;CHAR(10)&amp;Tableau1[[#This Row],[Code Postal]]&amp;" - "&amp;Tableau1[[#This Row],[Ville]]</f>
        <v>Centre commercial Boisseuil
Route de Toulouse
87220 - Boisseuil</v>
      </c>
      <c r="H203" s="15" t="s">
        <v>1416</v>
      </c>
      <c r="I203" s="12" t="s">
        <v>47</v>
      </c>
      <c r="J203" s="12" t="s">
        <v>49</v>
      </c>
      <c r="K203" s="10" t="s">
        <v>98</v>
      </c>
      <c r="L203" s="10"/>
      <c r="M203" s="12" t="s">
        <v>98</v>
      </c>
      <c r="N203" s="36" t="s">
        <v>587</v>
      </c>
      <c r="O203" s="34">
        <v>77</v>
      </c>
      <c r="P203" s="12"/>
      <c r="Q203" s="34"/>
      <c r="R203" s="34" t="s">
        <v>98</v>
      </c>
      <c r="S203" s="34" t="s">
        <v>98</v>
      </c>
      <c r="T203" s="12">
        <f>Tableau1[[#This Row],[Loyer €/m²]]*Tableau1[[#This Row],[Surface GLA]]</f>
        <v>34650</v>
      </c>
      <c r="U203" s="12">
        <f>IFERROR(Tableau1[[#This Row],[Loyer annuel]]/12,"")</f>
        <v>2887.5</v>
      </c>
      <c r="V203" s="12">
        <v>450</v>
      </c>
      <c r="W203" s="50">
        <v>0.08</v>
      </c>
      <c r="X203" s="6">
        <f>Tableau1[[#This Row],[Charges €/m²]]*Tableau1[[#This Row],[Surface GLA]]</f>
        <v>5390</v>
      </c>
      <c r="Y203" s="12">
        <f>Tableau1[[#This Row],[Charges annuelles]]/12</f>
        <v>449.16666666666669</v>
      </c>
      <c r="Z203" s="12">
        <v>70</v>
      </c>
      <c r="AA203" s="12">
        <f>IFERROR(Tableau1[[#This Row],[Taxe foncière €/m²]]*Tableau1[[#This Row],[Surface GLA]],)</f>
        <v>1232</v>
      </c>
      <c r="AB203" s="12">
        <v>16</v>
      </c>
      <c r="AC203" s="12">
        <f>IFERROR(Tableau1[[#This Row],[Marketing €/m²]]*Tableau1[[#This Row],[Surface GLA]],)</f>
        <v>2849</v>
      </c>
      <c r="AD203" s="12">
        <v>37</v>
      </c>
      <c r="AE203" s="12">
        <f>IFERROR(Tableau1[[#This Row],[Loyer annuel]]+Tableau1[[#This Row],[Charges annuelles]]+Tableau1[[#This Row],[Taxe foncière]]+Tableau1[[#This Row],[Marketing]],"")</f>
        <v>44121</v>
      </c>
      <c r="AF203" s="12" t="str">
        <f t="shared" si="10"/>
        <v>3 mois = 8 663 €</v>
      </c>
      <c r="AG203" s="6" t="s">
        <v>98</v>
      </c>
      <c r="AH203" s="51">
        <v>2.5000000000000001E-2</v>
      </c>
      <c r="AI203" s="12" t="s">
        <v>357</v>
      </c>
      <c r="AJ203" s="10" t="s">
        <v>369</v>
      </c>
      <c r="AK203" s="10" t="s">
        <v>363</v>
      </c>
      <c r="AL203" s="10" t="s">
        <v>1458</v>
      </c>
      <c r="AM203" s="11" t="s">
        <v>1469</v>
      </c>
      <c r="AN203" s="11" t="s">
        <v>1509</v>
      </c>
      <c r="AO203" s="5" t="s">
        <v>361</v>
      </c>
      <c r="AP203" s="11" t="s">
        <v>1476</v>
      </c>
      <c r="AQ203" s="11" t="s">
        <v>1477</v>
      </c>
      <c r="AR203" s="11" t="s">
        <v>1443</v>
      </c>
      <c r="AS203" s="36" t="s">
        <v>1508</v>
      </c>
      <c r="AT203" s="11" t="s">
        <v>70</v>
      </c>
      <c r="AU203" s="11" t="s">
        <v>370</v>
      </c>
      <c r="AV203" s="13" t="s">
        <v>69</v>
      </c>
      <c r="AW203" s="14"/>
      <c r="AX203" s="44">
        <v>46058</v>
      </c>
    </row>
    <row r="204" spans="1:50" ht="38.25">
      <c r="A204" s="38" t="str">
        <f>VLOOKUP(Tableau1[[#This Row],[N° Département]],Feuil1!$C$6:$E$106,3)</f>
        <v>Nouvelle-Aquitaine</v>
      </c>
      <c r="B204" s="38" t="str">
        <f>VLOOKUP(Tableau1[[#This Row],[N° Département]],Feuil1!$C$6:$E$106,2)</f>
        <v>Haute-Vienne</v>
      </c>
      <c r="C204" s="38">
        <f>LEFT(Tableau1[[#This Row],[Code Postal]],2)*1</f>
        <v>87</v>
      </c>
      <c r="D204" s="11" t="s">
        <v>1417</v>
      </c>
      <c r="E204" s="26">
        <v>87220</v>
      </c>
      <c r="F204" s="10" t="s">
        <v>1418</v>
      </c>
      <c r="G204" s="39" t="str">
        <f>Tableau1[[#This Row],[Rue]]&amp;CHAR(10)&amp;Tableau1[[#This Row],[Code Postal]]&amp;" - "&amp;Tableau1[[#This Row],[Ville]]</f>
        <v>Centre commercial Boisseuil
Route de Toulouse
87220 - Boisseuil</v>
      </c>
      <c r="H204" s="15" t="s">
        <v>1416</v>
      </c>
      <c r="I204" s="12" t="s">
        <v>47</v>
      </c>
      <c r="J204" s="12" t="s">
        <v>49</v>
      </c>
      <c r="K204" s="10" t="s">
        <v>98</v>
      </c>
      <c r="L204" s="10"/>
      <c r="M204" s="12" t="s">
        <v>98</v>
      </c>
      <c r="N204" s="36">
        <v>23</v>
      </c>
      <c r="O204" s="34">
        <v>151</v>
      </c>
      <c r="P204" s="12"/>
      <c r="Q204" s="34">
        <v>454</v>
      </c>
      <c r="R204" s="34" t="s">
        <v>98</v>
      </c>
      <c r="S204" s="34" t="s">
        <v>98</v>
      </c>
      <c r="T204" s="12">
        <f>Tableau1[[#This Row],[Loyer €/m²]]*Tableau1[[#This Row],[Surface GLA]]</f>
        <v>52850</v>
      </c>
      <c r="U204" s="12">
        <f>IFERROR(Tableau1[[#This Row],[Loyer annuel]]/12,"")</f>
        <v>4404.166666666667</v>
      </c>
      <c r="V204" s="12">
        <v>350</v>
      </c>
      <c r="W204" s="50">
        <v>0.08</v>
      </c>
      <c r="X204" s="6">
        <f>Tableau1[[#This Row],[Charges €/m²]]*Tableau1[[#This Row],[Surface GLA]]</f>
        <v>10570</v>
      </c>
      <c r="Y204" s="12">
        <f>Tableau1[[#This Row],[Charges annuelles]]/12</f>
        <v>880.83333333333337</v>
      </c>
      <c r="Z204" s="12">
        <v>70</v>
      </c>
      <c r="AA204" s="12">
        <f>IFERROR(Tableau1[[#This Row],[Taxe foncière €/m²]]*Tableau1[[#This Row],[Surface GLA]],)</f>
        <v>2416</v>
      </c>
      <c r="AB204" s="12">
        <v>16</v>
      </c>
      <c r="AC204" s="12">
        <f>IFERROR(Tableau1[[#This Row],[Marketing €/m²]]*Tableau1[[#This Row],[Surface GLA]],)</f>
        <v>5587</v>
      </c>
      <c r="AD204" s="12">
        <v>37</v>
      </c>
      <c r="AE204" s="12">
        <f>IFERROR(Tableau1[[#This Row],[Loyer annuel]]+Tableau1[[#This Row],[Charges annuelles]]+Tableau1[[#This Row],[Taxe foncière]]+Tableau1[[#This Row],[Marketing]],"")</f>
        <v>71423</v>
      </c>
      <c r="AF204" s="12" t="str">
        <f t="shared" si="10"/>
        <v>3 mois = 13 213 €</v>
      </c>
      <c r="AG204" s="6" t="s">
        <v>98</v>
      </c>
      <c r="AH204" s="51">
        <v>2.5000000000000001E-2</v>
      </c>
      <c r="AI204" s="12" t="s">
        <v>357</v>
      </c>
      <c r="AJ204" s="10" t="s">
        <v>369</v>
      </c>
      <c r="AK204" s="10" t="s">
        <v>363</v>
      </c>
      <c r="AL204" s="10" t="s">
        <v>1458</v>
      </c>
      <c r="AM204" s="11" t="s">
        <v>1469</v>
      </c>
      <c r="AN204" s="11" t="s">
        <v>1509</v>
      </c>
      <c r="AO204" s="5" t="s">
        <v>361</v>
      </c>
      <c r="AP204" s="11" t="s">
        <v>1478</v>
      </c>
      <c r="AQ204" s="11" t="s">
        <v>1479</v>
      </c>
      <c r="AR204" s="11" t="s">
        <v>1444</v>
      </c>
      <c r="AS204" s="36" t="s">
        <v>1508</v>
      </c>
      <c r="AT204" s="11" t="s">
        <v>70</v>
      </c>
      <c r="AU204" s="11" t="s">
        <v>370</v>
      </c>
      <c r="AV204" s="13" t="s">
        <v>69</v>
      </c>
      <c r="AW204" s="14"/>
      <c r="AX204" s="44">
        <v>46058</v>
      </c>
    </row>
    <row r="205" spans="1:50" ht="38.25">
      <c r="A205" s="38" t="str">
        <f>VLOOKUP(Tableau1[[#This Row],[N° Département]],Feuil1!$C$6:$E$106,3)</f>
        <v>Nouvelle-Aquitaine</v>
      </c>
      <c r="B205" s="38" t="str">
        <f>VLOOKUP(Tableau1[[#This Row],[N° Département]],Feuil1!$C$6:$E$106,2)</f>
        <v>Haute-Vienne</v>
      </c>
      <c r="C205" s="38">
        <f>LEFT(Tableau1[[#This Row],[Code Postal]],2)*1</f>
        <v>87</v>
      </c>
      <c r="D205" s="11" t="s">
        <v>1417</v>
      </c>
      <c r="E205" s="26">
        <v>87220</v>
      </c>
      <c r="F205" s="10" t="s">
        <v>1418</v>
      </c>
      <c r="G205" s="39" t="str">
        <f>Tableau1[[#This Row],[Rue]]&amp;CHAR(10)&amp;Tableau1[[#This Row],[Code Postal]]&amp;" - "&amp;Tableau1[[#This Row],[Ville]]</f>
        <v>Centre commercial Boisseuil
Route de Toulouse
87220 - Boisseuil</v>
      </c>
      <c r="H205" s="15" t="s">
        <v>1416</v>
      </c>
      <c r="I205" s="12" t="s">
        <v>47</v>
      </c>
      <c r="J205" s="12" t="s">
        <v>49</v>
      </c>
      <c r="K205" s="10" t="s">
        <v>98</v>
      </c>
      <c r="L205" s="10"/>
      <c r="M205" s="12" t="s">
        <v>98</v>
      </c>
      <c r="N205" s="36">
        <v>25</v>
      </c>
      <c r="O205" s="34">
        <v>303</v>
      </c>
      <c r="P205" s="12"/>
      <c r="Q205" s="34">
        <v>454</v>
      </c>
      <c r="R205" s="34" t="s">
        <v>98</v>
      </c>
      <c r="S205" s="34" t="s">
        <v>98</v>
      </c>
      <c r="T205" s="12">
        <f>Tableau1[[#This Row],[Loyer €/m²]]*Tableau1[[#This Row],[Surface GLA]]</f>
        <v>106050</v>
      </c>
      <c r="U205" s="12">
        <f>IFERROR(Tableau1[[#This Row],[Loyer annuel]]/12,"")</f>
        <v>8837.5</v>
      </c>
      <c r="V205" s="12">
        <v>350</v>
      </c>
      <c r="W205" s="50">
        <v>0.08</v>
      </c>
      <c r="X205" s="6">
        <f>Tableau1[[#This Row],[Charges €/m²]]*Tableau1[[#This Row],[Surface GLA]]</f>
        <v>21210</v>
      </c>
      <c r="Y205" s="12">
        <f>Tableau1[[#This Row],[Charges annuelles]]/12</f>
        <v>1767.5</v>
      </c>
      <c r="Z205" s="12">
        <v>70</v>
      </c>
      <c r="AA205" s="12">
        <f>IFERROR(Tableau1[[#This Row],[Taxe foncière €/m²]]*Tableau1[[#This Row],[Surface GLA]],)</f>
        <v>4848</v>
      </c>
      <c r="AB205" s="12">
        <v>16</v>
      </c>
      <c r="AC205" s="12">
        <f>IFERROR(Tableau1[[#This Row],[Marketing €/m²]]*Tableau1[[#This Row],[Surface GLA]],)</f>
        <v>11211</v>
      </c>
      <c r="AD205" s="12">
        <v>37</v>
      </c>
      <c r="AE205" s="12">
        <f>IFERROR(Tableau1[[#This Row],[Loyer annuel]]+Tableau1[[#This Row],[Charges annuelles]]+Tableau1[[#This Row],[Taxe foncière]]+Tableau1[[#This Row],[Marketing]],"")</f>
        <v>143319</v>
      </c>
      <c r="AF205" s="12" t="str">
        <f t="shared" si="10"/>
        <v>3 mois = 26 513 €</v>
      </c>
      <c r="AG205" s="6" t="s">
        <v>98</v>
      </c>
      <c r="AH205" s="51">
        <v>2.5000000000000001E-2</v>
      </c>
      <c r="AI205" s="12" t="s">
        <v>373</v>
      </c>
      <c r="AJ205" s="10" t="s">
        <v>369</v>
      </c>
      <c r="AK205" s="10" t="s">
        <v>363</v>
      </c>
      <c r="AL205" s="10" t="s">
        <v>1458</v>
      </c>
      <c r="AM205" s="11" t="s">
        <v>1469</v>
      </c>
      <c r="AN205" s="11" t="s">
        <v>1509</v>
      </c>
      <c r="AO205" s="5" t="s">
        <v>361</v>
      </c>
      <c r="AP205" s="11" t="s">
        <v>1480</v>
      </c>
      <c r="AQ205" s="11" t="s">
        <v>1481</v>
      </c>
      <c r="AR205" s="11" t="s">
        <v>1445</v>
      </c>
      <c r="AS205" s="36" t="s">
        <v>1508</v>
      </c>
      <c r="AT205" s="11" t="s">
        <v>70</v>
      </c>
      <c r="AU205" s="11" t="s">
        <v>370</v>
      </c>
      <c r="AV205" s="13" t="s">
        <v>69</v>
      </c>
      <c r="AW205" s="14"/>
      <c r="AX205" s="44">
        <v>46058</v>
      </c>
    </row>
    <row r="206" spans="1:50" ht="38.25">
      <c r="A206" s="38" t="str">
        <f>VLOOKUP(Tableau1[[#This Row],[N° Département]],Feuil1!$C$6:$E$106,3)</f>
        <v>Nouvelle-Aquitaine</v>
      </c>
      <c r="B206" s="38" t="str">
        <f>VLOOKUP(Tableau1[[#This Row],[N° Département]],Feuil1!$C$6:$E$106,2)</f>
        <v>Haute-Vienne</v>
      </c>
      <c r="C206" s="38">
        <f>LEFT(Tableau1[[#This Row],[Code Postal]],2)*1</f>
        <v>87</v>
      </c>
      <c r="D206" s="11" t="s">
        <v>1417</v>
      </c>
      <c r="E206" s="26">
        <v>87220</v>
      </c>
      <c r="F206" s="10" t="s">
        <v>1418</v>
      </c>
      <c r="G206" s="39" t="str">
        <f>Tableau1[[#This Row],[Rue]]&amp;CHAR(10)&amp;Tableau1[[#This Row],[Code Postal]]&amp;" - "&amp;Tableau1[[#This Row],[Ville]]</f>
        <v>Centre commercial Boisseuil
Route de Toulouse
87220 - Boisseuil</v>
      </c>
      <c r="H206" s="15" t="s">
        <v>1416</v>
      </c>
      <c r="I206" s="12" t="s">
        <v>47</v>
      </c>
      <c r="J206" s="12" t="s">
        <v>49</v>
      </c>
      <c r="K206" s="10" t="s">
        <v>98</v>
      </c>
      <c r="L206" s="10"/>
      <c r="M206" s="12" t="s">
        <v>98</v>
      </c>
      <c r="N206" s="36" t="s">
        <v>1423</v>
      </c>
      <c r="O206" s="34">
        <v>185</v>
      </c>
      <c r="P206" s="12"/>
      <c r="Q206" s="34"/>
      <c r="R206" s="34" t="s">
        <v>98</v>
      </c>
      <c r="S206" s="34" t="s">
        <v>98</v>
      </c>
      <c r="T206" s="12">
        <f>Tableau1[[#This Row],[Loyer €/m²]]*Tableau1[[#This Row],[Surface GLA]]</f>
        <v>62900</v>
      </c>
      <c r="U206" s="12">
        <f>IFERROR(Tableau1[[#This Row],[Loyer annuel]]/12,"")</f>
        <v>5241.666666666667</v>
      </c>
      <c r="V206" s="12">
        <v>340</v>
      </c>
      <c r="W206" s="50">
        <v>0.08</v>
      </c>
      <c r="X206" s="6">
        <f>Tableau1[[#This Row],[Charges €/m²]]*Tableau1[[#This Row],[Surface GLA]]</f>
        <v>12950</v>
      </c>
      <c r="Y206" s="12">
        <f>Tableau1[[#This Row],[Charges annuelles]]/12</f>
        <v>1079.1666666666667</v>
      </c>
      <c r="Z206" s="12">
        <v>70</v>
      </c>
      <c r="AA206" s="12">
        <f>IFERROR(Tableau1[[#This Row],[Taxe foncière €/m²]]*Tableau1[[#This Row],[Surface GLA]],)</f>
        <v>2960</v>
      </c>
      <c r="AB206" s="12">
        <v>16</v>
      </c>
      <c r="AC206" s="12">
        <f>IFERROR(Tableau1[[#This Row],[Marketing €/m²]]*Tableau1[[#This Row],[Surface GLA]],)</f>
        <v>6845</v>
      </c>
      <c r="AD206" s="12">
        <v>37</v>
      </c>
      <c r="AE206" s="12">
        <f>IFERROR(Tableau1[[#This Row],[Loyer annuel]]+Tableau1[[#This Row],[Charges annuelles]]+Tableau1[[#This Row],[Taxe foncière]]+Tableau1[[#This Row],[Marketing]],"")</f>
        <v>85655</v>
      </c>
      <c r="AF206" s="12" t="str">
        <f t="shared" si="10"/>
        <v>3 mois = 15 725 €</v>
      </c>
      <c r="AG206" s="6" t="s">
        <v>98</v>
      </c>
      <c r="AH206" s="51">
        <v>2.5000000000000001E-2</v>
      </c>
      <c r="AI206" s="12" t="s">
        <v>357</v>
      </c>
      <c r="AJ206" s="10" t="s">
        <v>369</v>
      </c>
      <c r="AK206" s="10" t="s">
        <v>363</v>
      </c>
      <c r="AL206" s="10" t="s">
        <v>1458</v>
      </c>
      <c r="AM206" s="11" t="s">
        <v>1469</v>
      </c>
      <c r="AN206" s="11" t="s">
        <v>1509</v>
      </c>
      <c r="AO206" s="5" t="s">
        <v>361</v>
      </c>
      <c r="AP206" s="11" t="s">
        <v>1482</v>
      </c>
      <c r="AQ206" s="11" t="s">
        <v>1483</v>
      </c>
      <c r="AR206" s="11" t="s">
        <v>1446</v>
      </c>
      <c r="AS206" s="36" t="s">
        <v>1508</v>
      </c>
      <c r="AT206" s="11" t="s">
        <v>70</v>
      </c>
      <c r="AU206" s="11" t="s">
        <v>370</v>
      </c>
      <c r="AV206" s="13" t="s">
        <v>69</v>
      </c>
      <c r="AW206" s="14"/>
      <c r="AX206" s="44">
        <v>46058</v>
      </c>
    </row>
    <row r="207" spans="1:50" ht="38.25">
      <c r="A207" s="38" t="str">
        <f>VLOOKUP(Tableau1[[#This Row],[N° Département]],Feuil1!$C$6:$E$106,3)</f>
        <v>Nouvelle-Aquitaine</v>
      </c>
      <c r="B207" s="38" t="str">
        <f>VLOOKUP(Tableau1[[#This Row],[N° Département]],Feuil1!$C$6:$E$106,2)</f>
        <v>Haute-Vienne</v>
      </c>
      <c r="C207" s="38">
        <f>LEFT(Tableau1[[#This Row],[Code Postal]],2)*1</f>
        <v>87</v>
      </c>
      <c r="D207" s="11" t="s">
        <v>1417</v>
      </c>
      <c r="E207" s="26">
        <v>87220</v>
      </c>
      <c r="F207" s="10" t="s">
        <v>1418</v>
      </c>
      <c r="G207" s="39" t="str">
        <f>Tableau1[[#This Row],[Rue]]&amp;CHAR(10)&amp;Tableau1[[#This Row],[Code Postal]]&amp;" - "&amp;Tableau1[[#This Row],[Ville]]</f>
        <v>Centre commercial Boisseuil
Route de Toulouse
87220 - Boisseuil</v>
      </c>
      <c r="H207" s="15" t="s">
        <v>1416</v>
      </c>
      <c r="I207" s="12" t="s">
        <v>47</v>
      </c>
      <c r="J207" s="12" t="s">
        <v>49</v>
      </c>
      <c r="K207" s="10" t="s">
        <v>98</v>
      </c>
      <c r="L207" s="10"/>
      <c r="M207" s="12" t="s">
        <v>98</v>
      </c>
      <c r="N207" s="36" t="s">
        <v>1424</v>
      </c>
      <c r="O207" s="34">
        <v>106</v>
      </c>
      <c r="P207" s="12"/>
      <c r="Q207" s="34">
        <v>265</v>
      </c>
      <c r="R207" s="34" t="s">
        <v>98</v>
      </c>
      <c r="S207" s="34" t="s">
        <v>98</v>
      </c>
      <c r="T207" s="12">
        <f>Tableau1[[#This Row],[Loyer €/m²]]*Tableau1[[#This Row],[Surface GLA]]</f>
        <v>36040</v>
      </c>
      <c r="U207" s="12">
        <f>IFERROR(Tableau1[[#This Row],[Loyer annuel]]/12,"")</f>
        <v>3003.3333333333335</v>
      </c>
      <c r="V207" s="12">
        <v>340</v>
      </c>
      <c r="W207" s="50">
        <v>0.08</v>
      </c>
      <c r="X207" s="6">
        <f>Tableau1[[#This Row],[Charges €/m²]]*Tableau1[[#This Row],[Surface GLA]]</f>
        <v>7420</v>
      </c>
      <c r="Y207" s="12">
        <f>Tableau1[[#This Row],[Charges annuelles]]/12</f>
        <v>618.33333333333337</v>
      </c>
      <c r="Z207" s="12">
        <v>70</v>
      </c>
      <c r="AA207" s="12">
        <f>IFERROR(Tableau1[[#This Row],[Taxe foncière €/m²]]*Tableau1[[#This Row],[Surface GLA]],)</f>
        <v>1696</v>
      </c>
      <c r="AB207" s="12">
        <v>16</v>
      </c>
      <c r="AC207" s="12">
        <f>IFERROR(Tableau1[[#This Row],[Marketing €/m²]]*Tableau1[[#This Row],[Surface GLA]],)</f>
        <v>3922</v>
      </c>
      <c r="AD207" s="12">
        <v>37</v>
      </c>
      <c r="AE207" s="12">
        <f>IFERROR(Tableau1[[#This Row],[Loyer annuel]]+Tableau1[[#This Row],[Charges annuelles]]+Tableau1[[#This Row],[Taxe foncière]]+Tableau1[[#This Row],[Marketing]],"")</f>
        <v>49078</v>
      </c>
      <c r="AF207" s="12" t="str">
        <f t="shared" si="10"/>
        <v>3 mois = 9 010 €</v>
      </c>
      <c r="AG207" s="6" t="s">
        <v>98</v>
      </c>
      <c r="AH207" s="51">
        <v>2.5000000000000001E-2</v>
      </c>
      <c r="AI207" s="12" t="s">
        <v>373</v>
      </c>
      <c r="AJ207" s="10" t="s">
        <v>369</v>
      </c>
      <c r="AK207" s="10" t="s">
        <v>363</v>
      </c>
      <c r="AL207" s="10" t="s">
        <v>1458</v>
      </c>
      <c r="AM207" s="11" t="s">
        <v>1469</v>
      </c>
      <c r="AN207" s="11" t="s">
        <v>1509</v>
      </c>
      <c r="AO207" s="5" t="s">
        <v>361</v>
      </c>
      <c r="AP207" s="11" t="s">
        <v>1484</v>
      </c>
      <c r="AQ207" s="11" t="s">
        <v>1485</v>
      </c>
      <c r="AR207" s="11" t="s">
        <v>1447</v>
      </c>
      <c r="AS207" s="36" t="s">
        <v>1508</v>
      </c>
      <c r="AT207" s="11" t="s">
        <v>70</v>
      </c>
      <c r="AU207" s="11" t="s">
        <v>370</v>
      </c>
      <c r="AV207" s="13" t="s">
        <v>69</v>
      </c>
      <c r="AW207" s="14"/>
      <c r="AX207" s="44">
        <v>46058</v>
      </c>
    </row>
    <row r="208" spans="1:50" ht="38.25">
      <c r="A208" s="38" t="str">
        <f>VLOOKUP(Tableau1[[#This Row],[N° Département]],Feuil1!$C$6:$E$106,3)</f>
        <v>Nouvelle-Aquitaine</v>
      </c>
      <c r="B208" s="38" t="str">
        <f>VLOOKUP(Tableau1[[#This Row],[N° Département]],Feuil1!$C$6:$E$106,2)</f>
        <v>Haute-Vienne</v>
      </c>
      <c r="C208" s="38">
        <f>LEFT(Tableau1[[#This Row],[Code Postal]],2)*1</f>
        <v>87</v>
      </c>
      <c r="D208" s="11" t="s">
        <v>1417</v>
      </c>
      <c r="E208" s="26">
        <v>87220</v>
      </c>
      <c r="F208" s="10" t="s">
        <v>1418</v>
      </c>
      <c r="G208" s="39" t="str">
        <f>Tableau1[[#This Row],[Rue]]&amp;CHAR(10)&amp;Tableau1[[#This Row],[Code Postal]]&amp;" - "&amp;Tableau1[[#This Row],[Ville]]</f>
        <v>Centre commercial Boisseuil
Route de Toulouse
87220 - Boisseuil</v>
      </c>
      <c r="H208" s="15" t="s">
        <v>1416</v>
      </c>
      <c r="I208" s="12" t="s">
        <v>47</v>
      </c>
      <c r="J208" s="12" t="s">
        <v>49</v>
      </c>
      <c r="K208" s="10" t="s">
        <v>98</v>
      </c>
      <c r="L208" s="10"/>
      <c r="M208" s="12" t="s">
        <v>98</v>
      </c>
      <c r="N208" s="36" t="s">
        <v>1425</v>
      </c>
      <c r="O208" s="34">
        <v>74</v>
      </c>
      <c r="P208" s="12"/>
      <c r="Q208" s="34">
        <v>265</v>
      </c>
      <c r="R208" s="34" t="s">
        <v>98</v>
      </c>
      <c r="S208" s="34" t="s">
        <v>98</v>
      </c>
      <c r="T208" s="12">
        <f>Tableau1[[#This Row],[Loyer €/m²]]*Tableau1[[#This Row],[Surface GLA]]</f>
        <v>25160</v>
      </c>
      <c r="U208" s="12">
        <f>IFERROR(Tableau1[[#This Row],[Loyer annuel]]/12,"")</f>
        <v>2096.6666666666665</v>
      </c>
      <c r="V208" s="12">
        <v>340</v>
      </c>
      <c r="W208" s="50">
        <v>0.08</v>
      </c>
      <c r="X208" s="6">
        <f>Tableau1[[#This Row],[Charges €/m²]]*Tableau1[[#This Row],[Surface GLA]]</f>
        <v>5180</v>
      </c>
      <c r="Y208" s="12">
        <f>Tableau1[[#This Row],[Charges annuelles]]/12</f>
        <v>431.66666666666669</v>
      </c>
      <c r="Z208" s="12">
        <v>70</v>
      </c>
      <c r="AA208" s="12">
        <f>IFERROR(Tableau1[[#This Row],[Taxe foncière €/m²]]*Tableau1[[#This Row],[Surface GLA]],)</f>
        <v>1184</v>
      </c>
      <c r="AB208" s="12">
        <v>16</v>
      </c>
      <c r="AC208" s="12">
        <f>IFERROR(Tableau1[[#This Row],[Marketing €/m²]]*Tableau1[[#This Row],[Surface GLA]],)</f>
        <v>2738</v>
      </c>
      <c r="AD208" s="12">
        <v>37</v>
      </c>
      <c r="AE208" s="12">
        <f>IFERROR(Tableau1[[#This Row],[Loyer annuel]]+Tableau1[[#This Row],[Charges annuelles]]+Tableau1[[#This Row],[Taxe foncière]]+Tableau1[[#This Row],[Marketing]],"")</f>
        <v>34262</v>
      </c>
      <c r="AF208" s="12" t="str">
        <f t="shared" si="10"/>
        <v>3 mois = 6 290 €</v>
      </c>
      <c r="AG208" s="6" t="s">
        <v>98</v>
      </c>
      <c r="AH208" s="51">
        <v>2.5000000000000001E-2</v>
      </c>
      <c r="AI208" s="12" t="s">
        <v>373</v>
      </c>
      <c r="AJ208" s="10" t="s">
        <v>369</v>
      </c>
      <c r="AK208" s="10" t="s">
        <v>363</v>
      </c>
      <c r="AL208" s="10" t="s">
        <v>1458</v>
      </c>
      <c r="AM208" s="11" t="s">
        <v>1469</v>
      </c>
      <c r="AN208" s="11" t="s">
        <v>1509</v>
      </c>
      <c r="AO208" s="5" t="s">
        <v>361</v>
      </c>
      <c r="AP208" s="11" t="s">
        <v>1486</v>
      </c>
      <c r="AQ208" s="11" t="s">
        <v>1487</v>
      </c>
      <c r="AR208" s="11" t="s">
        <v>1448</v>
      </c>
      <c r="AS208" s="36" t="s">
        <v>1508</v>
      </c>
      <c r="AT208" s="11" t="s">
        <v>70</v>
      </c>
      <c r="AU208" s="11" t="s">
        <v>370</v>
      </c>
      <c r="AV208" s="13" t="s">
        <v>69</v>
      </c>
      <c r="AW208" s="14"/>
      <c r="AX208" s="44">
        <v>46058</v>
      </c>
    </row>
    <row r="209" spans="1:50" ht="38.25">
      <c r="A209" s="38" t="str">
        <f>VLOOKUP(Tableau1[[#This Row],[N° Département]],Feuil1!$C$6:$E$106,3)</f>
        <v>Nouvelle-Aquitaine</v>
      </c>
      <c r="B209" s="38" t="str">
        <f>VLOOKUP(Tableau1[[#This Row],[N° Département]],Feuil1!$C$6:$E$106,2)</f>
        <v>Haute-Vienne</v>
      </c>
      <c r="C209" s="38">
        <f>LEFT(Tableau1[[#This Row],[Code Postal]],2)*1</f>
        <v>87</v>
      </c>
      <c r="D209" s="11" t="s">
        <v>1417</v>
      </c>
      <c r="E209" s="26">
        <v>87220</v>
      </c>
      <c r="F209" s="10" t="s">
        <v>1418</v>
      </c>
      <c r="G209" s="39" t="str">
        <f>Tableau1[[#This Row],[Rue]]&amp;CHAR(10)&amp;Tableau1[[#This Row],[Code Postal]]&amp;" - "&amp;Tableau1[[#This Row],[Ville]]</f>
        <v>Centre commercial Boisseuil
Route de Toulouse
87220 - Boisseuil</v>
      </c>
      <c r="H209" s="15" t="s">
        <v>1416</v>
      </c>
      <c r="I209" s="12" t="s">
        <v>47</v>
      </c>
      <c r="J209" s="12" t="s">
        <v>49</v>
      </c>
      <c r="K209" s="10" t="s">
        <v>98</v>
      </c>
      <c r="L209" s="10"/>
      <c r="M209" s="12" t="s">
        <v>98</v>
      </c>
      <c r="N209" s="36" t="s">
        <v>1426</v>
      </c>
      <c r="O209" s="34">
        <v>85</v>
      </c>
      <c r="P209" s="12"/>
      <c r="Q209" s="34">
        <v>265</v>
      </c>
      <c r="R209" s="34" t="s">
        <v>98</v>
      </c>
      <c r="S209" s="34" t="s">
        <v>98</v>
      </c>
      <c r="T209" s="12">
        <f>Tableau1[[#This Row],[Loyer €/m²]]*Tableau1[[#This Row],[Surface GLA]]</f>
        <v>28900</v>
      </c>
      <c r="U209" s="12">
        <f>IFERROR(Tableau1[[#This Row],[Loyer annuel]]/12,"")</f>
        <v>2408.3333333333335</v>
      </c>
      <c r="V209" s="12">
        <v>340</v>
      </c>
      <c r="W209" s="50">
        <v>0.08</v>
      </c>
      <c r="X209" s="6">
        <f>Tableau1[[#This Row],[Charges €/m²]]*Tableau1[[#This Row],[Surface GLA]]</f>
        <v>5950</v>
      </c>
      <c r="Y209" s="12">
        <f>Tableau1[[#This Row],[Charges annuelles]]/12</f>
        <v>495.83333333333331</v>
      </c>
      <c r="Z209" s="12">
        <v>70</v>
      </c>
      <c r="AA209" s="12">
        <f>IFERROR(Tableau1[[#This Row],[Taxe foncière €/m²]]*Tableau1[[#This Row],[Surface GLA]],)</f>
        <v>1360</v>
      </c>
      <c r="AB209" s="12">
        <v>16</v>
      </c>
      <c r="AC209" s="12">
        <f>IFERROR(Tableau1[[#This Row],[Marketing €/m²]]*Tableau1[[#This Row],[Surface GLA]],)</f>
        <v>3145</v>
      </c>
      <c r="AD209" s="12">
        <v>37</v>
      </c>
      <c r="AE209" s="12">
        <f>IFERROR(Tableau1[[#This Row],[Loyer annuel]]+Tableau1[[#This Row],[Charges annuelles]]+Tableau1[[#This Row],[Taxe foncière]]+Tableau1[[#This Row],[Marketing]],"")</f>
        <v>39355</v>
      </c>
      <c r="AF209" s="12" t="str">
        <f t="shared" si="10"/>
        <v>3 mois = 7 225 €</v>
      </c>
      <c r="AG209" s="6" t="s">
        <v>98</v>
      </c>
      <c r="AH209" s="51">
        <v>2.5000000000000001E-2</v>
      </c>
      <c r="AI209" s="12" t="s">
        <v>357</v>
      </c>
      <c r="AJ209" s="10" t="s">
        <v>369</v>
      </c>
      <c r="AK209" s="10" t="s">
        <v>363</v>
      </c>
      <c r="AL209" s="10" t="s">
        <v>1458</v>
      </c>
      <c r="AM209" s="11" t="s">
        <v>1469</v>
      </c>
      <c r="AN209" s="11" t="s">
        <v>1509</v>
      </c>
      <c r="AO209" s="5" t="s">
        <v>361</v>
      </c>
      <c r="AP209" s="11" t="s">
        <v>1488</v>
      </c>
      <c r="AQ209" s="11" t="s">
        <v>1489</v>
      </c>
      <c r="AR209" s="11" t="s">
        <v>1449</v>
      </c>
      <c r="AS209" s="36" t="s">
        <v>1508</v>
      </c>
      <c r="AT209" s="11" t="s">
        <v>70</v>
      </c>
      <c r="AU209" s="11" t="s">
        <v>370</v>
      </c>
      <c r="AV209" s="13" t="s">
        <v>69</v>
      </c>
      <c r="AW209" s="14"/>
      <c r="AX209" s="44">
        <v>46058</v>
      </c>
    </row>
    <row r="210" spans="1:50" ht="38.25">
      <c r="A210" s="38" t="str">
        <f>VLOOKUP(Tableau1[[#This Row],[N° Département]],Feuil1!$C$6:$E$106,3)</f>
        <v>Nouvelle-Aquitaine</v>
      </c>
      <c r="B210" s="38" t="str">
        <f>VLOOKUP(Tableau1[[#This Row],[N° Département]],Feuil1!$C$6:$E$106,2)</f>
        <v>Haute-Vienne</v>
      </c>
      <c r="C210" s="38">
        <f>LEFT(Tableau1[[#This Row],[Code Postal]],2)*1</f>
        <v>87</v>
      </c>
      <c r="D210" s="11" t="s">
        <v>1417</v>
      </c>
      <c r="E210" s="26">
        <v>87220</v>
      </c>
      <c r="F210" s="10" t="s">
        <v>1418</v>
      </c>
      <c r="G210" s="39" t="str">
        <f>Tableau1[[#This Row],[Rue]]&amp;CHAR(10)&amp;Tableau1[[#This Row],[Code Postal]]&amp;" - "&amp;Tableau1[[#This Row],[Ville]]</f>
        <v>Centre commercial Boisseuil
Route de Toulouse
87220 - Boisseuil</v>
      </c>
      <c r="H210" s="15" t="s">
        <v>1416</v>
      </c>
      <c r="I210" s="12" t="s">
        <v>47</v>
      </c>
      <c r="J210" s="12" t="s">
        <v>49</v>
      </c>
      <c r="K210" s="10" t="s">
        <v>98</v>
      </c>
      <c r="L210" s="10"/>
      <c r="M210" s="12" t="s">
        <v>98</v>
      </c>
      <c r="N210" s="36" t="s">
        <v>1427</v>
      </c>
      <c r="O210" s="34">
        <v>164</v>
      </c>
      <c r="P210" s="12"/>
      <c r="Q210" s="34"/>
      <c r="R210" s="34" t="s">
        <v>98</v>
      </c>
      <c r="S210" s="34" t="s">
        <v>98</v>
      </c>
      <c r="T210" s="12">
        <f>Tableau1[[#This Row],[Loyer €/m²]]*Tableau1[[#This Row],[Surface GLA]]</f>
        <v>55760</v>
      </c>
      <c r="U210" s="12">
        <f>IFERROR(Tableau1[[#This Row],[Loyer annuel]]/12,"")</f>
        <v>4646.666666666667</v>
      </c>
      <c r="V210" s="12">
        <v>340</v>
      </c>
      <c r="W210" s="50">
        <v>0.08</v>
      </c>
      <c r="X210" s="6">
        <f>Tableau1[[#This Row],[Charges €/m²]]*Tableau1[[#This Row],[Surface GLA]]</f>
        <v>11480</v>
      </c>
      <c r="Y210" s="12">
        <f>Tableau1[[#This Row],[Charges annuelles]]/12</f>
        <v>956.66666666666663</v>
      </c>
      <c r="Z210" s="12">
        <v>70</v>
      </c>
      <c r="AA210" s="12">
        <f>IFERROR(Tableau1[[#This Row],[Taxe foncière €/m²]]*Tableau1[[#This Row],[Surface GLA]],)</f>
        <v>2624</v>
      </c>
      <c r="AB210" s="12">
        <v>16</v>
      </c>
      <c r="AC210" s="12">
        <f>IFERROR(Tableau1[[#This Row],[Marketing €/m²]]*Tableau1[[#This Row],[Surface GLA]],)</f>
        <v>6068</v>
      </c>
      <c r="AD210" s="12">
        <v>37</v>
      </c>
      <c r="AE210" s="12">
        <f>IFERROR(Tableau1[[#This Row],[Loyer annuel]]+Tableau1[[#This Row],[Charges annuelles]]+Tableau1[[#This Row],[Taxe foncière]]+Tableau1[[#This Row],[Marketing]],"")</f>
        <v>75932</v>
      </c>
      <c r="AF210" s="12" t="str">
        <f t="shared" si="10"/>
        <v>3 mois = 13 940 €</v>
      </c>
      <c r="AG210" s="6" t="s">
        <v>98</v>
      </c>
      <c r="AH210" s="51">
        <v>2.5000000000000001E-2</v>
      </c>
      <c r="AI210" s="12" t="s">
        <v>357</v>
      </c>
      <c r="AJ210" s="10" t="s">
        <v>369</v>
      </c>
      <c r="AK210" s="10" t="s">
        <v>363</v>
      </c>
      <c r="AL210" s="10" t="s">
        <v>1458</v>
      </c>
      <c r="AM210" s="11" t="s">
        <v>1469</v>
      </c>
      <c r="AN210" s="11" t="s">
        <v>1509</v>
      </c>
      <c r="AO210" s="5" t="s">
        <v>361</v>
      </c>
      <c r="AP210" s="11" t="s">
        <v>1490</v>
      </c>
      <c r="AQ210" s="11" t="s">
        <v>1491</v>
      </c>
      <c r="AR210" s="11" t="s">
        <v>1450</v>
      </c>
      <c r="AS210" s="36" t="s">
        <v>1508</v>
      </c>
      <c r="AT210" s="11" t="s">
        <v>70</v>
      </c>
      <c r="AU210" s="11" t="s">
        <v>370</v>
      </c>
      <c r="AV210" s="13" t="s">
        <v>69</v>
      </c>
      <c r="AW210" s="14"/>
      <c r="AX210" s="44">
        <v>46058</v>
      </c>
    </row>
    <row r="211" spans="1:50" ht="38.25">
      <c r="A211" s="38" t="str">
        <f>VLOOKUP(Tableau1[[#This Row],[N° Département]],Feuil1!$C$6:$E$106,3)</f>
        <v>Nouvelle-Aquitaine</v>
      </c>
      <c r="B211" s="38" t="str">
        <f>VLOOKUP(Tableau1[[#This Row],[N° Département]],Feuil1!$C$6:$E$106,2)</f>
        <v>Haute-Vienne</v>
      </c>
      <c r="C211" s="38">
        <f>LEFT(Tableau1[[#This Row],[Code Postal]],2)*1</f>
        <v>87</v>
      </c>
      <c r="D211" s="11" t="s">
        <v>1417</v>
      </c>
      <c r="E211" s="26">
        <v>87220</v>
      </c>
      <c r="F211" s="10" t="s">
        <v>1418</v>
      </c>
      <c r="G211" s="39" t="str">
        <f>Tableau1[[#This Row],[Rue]]&amp;CHAR(10)&amp;Tableau1[[#This Row],[Code Postal]]&amp;" - "&amp;Tableau1[[#This Row],[Ville]]</f>
        <v>Centre commercial Boisseuil
Route de Toulouse
87220 - Boisseuil</v>
      </c>
      <c r="H211" s="15" t="s">
        <v>1416</v>
      </c>
      <c r="I211" s="12" t="s">
        <v>47</v>
      </c>
      <c r="J211" s="12" t="s">
        <v>49</v>
      </c>
      <c r="K211" s="10" t="s">
        <v>98</v>
      </c>
      <c r="L211" s="10"/>
      <c r="M211" s="12" t="s">
        <v>98</v>
      </c>
      <c r="N211" s="36">
        <v>32</v>
      </c>
      <c r="O211" s="34">
        <v>138</v>
      </c>
      <c r="P211" s="12"/>
      <c r="Q211" s="34"/>
      <c r="R211" s="34" t="s">
        <v>98</v>
      </c>
      <c r="S211" s="34" t="s">
        <v>98</v>
      </c>
      <c r="T211" s="12">
        <f>Tableau1[[#This Row],[Loyer €/m²]]*Tableau1[[#This Row],[Surface GLA]]</f>
        <v>46920</v>
      </c>
      <c r="U211" s="12">
        <f>IFERROR(Tableau1[[#This Row],[Loyer annuel]]/12,"")</f>
        <v>3910</v>
      </c>
      <c r="V211" s="12">
        <v>340</v>
      </c>
      <c r="W211" s="50">
        <v>0.08</v>
      </c>
      <c r="X211" s="6">
        <f>Tableau1[[#This Row],[Charges €/m²]]*Tableau1[[#This Row],[Surface GLA]]</f>
        <v>9660</v>
      </c>
      <c r="Y211" s="12">
        <f>Tableau1[[#This Row],[Charges annuelles]]/12</f>
        <v>805</v>
      </c>
      <c r="Z211" s="12">
        <v>70</v>
      </c>
      <c r="AA211" s="12">
        <f>IFERROR(Tableau1[[#This Row],[Taxe foncière €/m²]]*Tableau1[[#This Row],[Surface GLA]],)</f>
        <v>2208</v>
      </c>
      <c r="AB211" s="12">
        <v>16</v>
      </c>
      <c r="AC211" s="12">
        <f>IFERROR(Tableau1[[#This Row],[Marketing €/m²]]*Tableau1[[#This Row],[Surface GLA]],)</f>
        <v>5106</v>
      </c>
      <c r="AD211" s="12">
        <v>37</v>
      </c>
      <c r="AE211" s="12">
        <f>IFERROR(Tableau1[[#This Row],[Loyer annuel]]+Tableau1[[#This Row],[Charges annuelles]]+Tableau1[[#This Row],[Taxe foncière]]+Tableau1[[#This Row],[Marketing]],"")</f>
        <v>63894</v>
      </c>
      <c r="AF211" s="12" t="str">
        <f t="shared" si="10"/>
        <v>3 mois = 11 730 €</v>
      </c>
      <c r="AG211" s="6" t="s">
        <v>98</v>
      </c>
      <c r="AH211" s="51">
        <v>2.5000000000000001E-2</v>
      </c>
      <c r="AI211" s="12" t="s">
        <v>357</v>
      </c>
      <c r="AJ211" s="10" t="s">
        <v>369</v>
      </c>
      <c r="AK211" s="10" t="s">
        <v>363</v>
      </c>
      <c r="AL211" s="10" t="s">
        <v>1458</v>
      </c>
      <c r="AM211" s="11" t="s">
        <v>1469</v>
      </c>
      <c r="AN211" s="11" t="s">
        <v>1509</v>
      </c>
      <c r="AO211" s="5" t="s">
        <v>361</v>
      </c>
      <c r="AP211" s="11" t="s">
        <v>1492</v>
      </c>
      <c r="AQ211" s="11" t="s">
        <v>1493</v>
      </c>
      <c r="AR211" s="11" t="s">
        <v>1451</v>
      </c>
      <c r="AS211" s="36" t="s">
        <v>1508</v>
      </c>
      <c r="AT211" s="11" t="s">
        <v>70</v>
      </c>
      <c r="AU211" s="11" t="s">
        <v>370</v>
      </c>
      <c r="AV211" s="13" t="s">
        <v>69</v>
      </c>
      <c r="AW211" s="14"/>
      <c r="AX211" s="44">
        <v>46058</v>
      </c>
    </row>
    <row r="212" spans="1:50" ht="38.25">
      <c r="A212" s="38" t="str">
        <f>VLOOKUP(Tableau1[[#This Row],[N° Département]],Feuil1!$C$6:$E$106,3)</f>
        <v>Nouvelle-Aquitaine</v>
      </c>
      <c r="B212" s="38" t="str">
        <f>VLOOKUP(Tableau1[[#This Row],[N° Département]],Feuil1!$C$6:$E$106,2)</f>
        <v>Haute-Vienne</v>
      </c>
      <c r="C212" s="38">
        <f>LEFT(Tableau1[[#This Row],[Code Postal]],2)*1</f>
        <v>87</v>
      </c>
      <c r="D212" s="11" t="s">
        <v>1417</v>
      </c>
      <c r="E212" s="26">
        <v>87221</v>
      </c>
      <c r="F212" s="10" t="s">
        <v>1418</v>
      </c>
      <c r="G212" s="39" t="str">
        <f>Tableau1[[#This Row],[Rue]]&amp;CHAR(10)&amp;Tableau1[[#This Row],[Code Postal]]&amp;" - "&amp;Tableau1[[#This Row],[Ville]]</f>
        <v>Centre commercial Boisseuil
Route de Toulouse
87221 - Boisseuil</v>
      </c>
      <c r="H212" s="15" t="s">
        <v>1435</v>
      </c>
      <c r="I212" s="12" t="s">
        <v>47</v>
      </c>
      <c r="J212" s="12" t="s">
        <v>49</v>
      </c>
      <c r="K212" s="10" t="s">
        <v>98</v>
      </c>
      <c r="L212" s="10"/>
      <c r="M212" s="12" t="s">
        <v>98</v>
      </c>
      <c r="N212" s="36" t="s">
        <v>1434</v>
      </c>
      <c r="O212" s="34">
        <v>205</v>
      </c>
      <c r="P212" s="12"/>
      <c r="Q212" s="34"/>
      <c r="R212" s="34" t="s">
        <v>98</v>
      </c>
      <c r="S212" s="34" t="s">
        <v>98</v>
      </c>
      <c r="T212" s="12">
        <f>Tableau1[[#This Row],[Loyer €/m²]]*Tableau1[[#This Row],[Surface GLA]]</f>
        <v>71750</v>
      </c>
      <c r="U212" s="12">
        <f>IFERROR(Tableau1[[#This Row],[Loyer annuel]]/12,"")</f>
        <v>5979.166666666667</v>
      </c>
      <c r="V212" s="12">
        <v>350</v>
      </c>
      <c r="W212" s="50">
        <v>0.08</v>
      </c>
      <c r="X212" s="6">
        <f>Tableau1[[#This Row],[Charges €/m²]]*Tableau1[[#This Row],[Surface GLA]]</f>
        <v>14350</v>
      </c>
      <c r="Y212" s="12">
        <f>Tableau1[[#This Row],[Charges annuelles]]/12</f>
        <v>1195.8333333333333</v>
      </c>
      <c r="Z212" s="12">
        <v>70</v>
      </c>
      <c r="AA212" s="12">
        <f>IFERROR(Tableau1[[#This Row],[Taxe foncière €/m²]]*Tableau1[[#This Row],[Surface GLA]],)</f>
        <v>3280</v>
      </c>
      <c r="AB212" s="12">
        <v>16</v>
      </c>
      <c r="AC212" s="12">
        <f>IFERROR(Tableau1[[#This Row],[Marketing €/m²]]*Tableau1[[#This Row],[Surface GLA]],)</f>
        <v>7585</v>
      </c>
      <c r="AD212" s="12">
        <v>37</v>
      </c>
      <c r="AE212" s="12">
        <f>IFERROR(Tableau1[[#This Row],[Loyer annuel]]+Tableau1[[#This Row],[Charges annuelles]]+Tableau1[[#This Row],[Taxe foncière]]+Tableau1[[#This Row],[Marketing]],"")</f>
        <v>96965</v>
      </c>
      <c r="AF212" s="12" t="str">
        <f t="shared" si="10"/>
        <v>3 mois = 17 938 €</v>
      </c>
      <c r="AG212" s="6" t="s">
        <v>98</v>
      </c>
      <c r="AH212" s="51">
        <v>2.5000000000000001E-2</v>
      </c>
      <c r="AI212" s="12" t="s">
        <v>357</v>
      </c>
      <c r="AJ212" s="10" t="s">
        <v>369</v>
      </c>
      <c r="AK212" s="10" t="s">
        <v>363</v>
      </c>
      <c r="AL212" s="10" t="s">
        <v>1458</v>
      </c>
      <c r="AM212" s="11" t="s">
        <v>1469</v>
      </c>
      <c r="AN212" s="11" t="s">
        <v>1509</v>
      </c>
      <c r="AO212" s="5" t="s">
        <v>361</v>
      </c>
      <c r="AP212" s="11" t="s">
        <v>1494</v>
      </c>
      <c r="AQ212" s="11" t="s">
        <v>1495</v>
      </c>
      <c r="AR212" s="11" t="s">
        <v>1452</v>
      </c>
      <c r="AS212" s="36" t="s">
        <v>1508</v>
      </c>
      <c r="AT212" s="11" t="s">
        <v>70</v>
      </c>
      <c r="AU212" s="11" t="s">
        <v>370</v>
      </c>
      <c r="AV212" s="13" t="s">
        <v>69</v>
      </c>
      <c r="AW212" s="14"/>
      <c r="AX212" s="44">
        <v>46058</v>
      </c>
    </row>
    <row r="213" spans="1:50" ht="38.25">
      <c r="A213" s="38" t="str">
        <f>VLOOKUP(Tableau1[[#This Row],[N° Département]],Feuil1!$C$6:$E$106,3)</f>
        <v>Nouvelle-Aquitaine</v>
      </c>
      <c r="B213" s="38" t="str">
        <f>VLOOKUP(Tableau1[[#This Row],[N° Département]],Feuil1!$C$6:$E$106,2)</f>
        <v>Haute-Vienne</v>
      </c>
      <c r="C213" s="38">
        <f>LEFT(Tableau1[[#This Row],[Code Postal]],2)*1</f>
        <v>87</v>
      </c>
      <c r="D213" s="11" t="s">
        <v>1417</v>
      </c>
      <c r="E213" s="26">
        <v>87220</v>
      </c>
      <c r="F213" s="10" t="s">
        <v>1418</v>
      </c>
      <c r="G213" s="39" t="str">
        <f>Tableau1[[#This Row],[Rue]]&amp;CHAR(10)&amp;Tableau1[[#This Row],[Code Postal]]&amp;" - "&amp;Tableau1[[#This Row],[Ville]]</f>
        <v>Centre commercial Boisseuil
Route de Toulouse
87220 - Boisseuil</v>
      </c>
      <c r="H213" s="15" t="s">
        <v>1416</v>
      </c>
      <c r="I213" s="12" t="s">
        <v>47</v>
      </c>
      <c r="J213" s="12" t="s">
        <v>49</v>
      </c>
      <c r="K213" s="10" t="s">
        <v>98</v>
      </c>
      <c r="L213" s="10"/>
      <c r="M213" s="12" t="s">
        <v>98</v>
      </c>
      <c r="N213" s="36" t="s">
        <v>1428</v>
      </c>
      <c r="O213" s="34">
        <v>468</v>
      </c>
      <c r="P213" s="12" t="s">
        <v>1432</v>
      </c>
      <c r="Q213" s="34"/>
      <c r="R213" s="34" t="s">
        <v>98</v>
      </c>
      <c r="S213" s="34" t="s">
        <v>98</v>
      </c>
      <c r="T213" s="12">
        <f>Tableau1[[#This Row],[Loyer €/m²]]*Tableau1[[#This Row],[Surface GLA]]</f>
        <v>84240</v>
      </c>
      <c r="U213" s="12">
        <f>IFERROR(Tableau1[[#This Row],[Loyer annuel]]/12,"")</f>
        <v>7020</v>
      </c>
      <c r="V213" s="12">
        <v>180</v>
      </c>
      <c r="W213" s="50">
        <v>0.08</v>
      </c>
      <c r="X213" s="6">
        <f>Tableau1[[#This Row],[Charges €/m²]]*Tableau1[[#This Row],[Surface GLA]]</f>
        <v>32760</v>
      </c>
      <c r="Y213" s="12">
        <f>Tableau1[[#This Row],[Charges annuelles]]/12</f>
        <v>2730</v>
      </c>
      <c r="Z213" s="12">
        <v>70</v>
      </c>
      <c r="AA213" s="12">
        <f>IFERROR(Tableau1[[#This Row],[Taxe foncière €/m²]]*Tableau1[[#This Row],[Surface GLA]],)</f>
        <v>7488</v>
      </c>
      <c r="AB213" s="12">
        <v>16</v>
      </c>
      <c r="AC213" s="12">
        <f>IFERROR(Tableau1[[#This Row],[Marketing €/m²]]*Tableau1[[#This Row],[Surface GLA]],)</f>
        <v>17316</v>
      </c>
      <c r="AD213" s="12">
        <v>37</v>
      </c>
      <c r="AE213" s="12">
        <f>IFERROR(Tableau1[[#This Row],[Loyer annuel]]+Tableau1[[#This Row],[Charges annuelles]]+Tableau1[[#This Row],[Taxe foncière]]+Tableau1[[#This Row],[Marketing]],"")</f>
        <v>141804</v>
      </c>
      <c r="AF213" s="12" t="str">
        <f t="shared" si="10"/>
        <v>3 mois = 21 060 €</v>
      </c>
      <c r="AG213" s="6" t="s">
        <v>98</v>
      </c>
      <c r="AH213" s="51">
        <v>2.5000000000000001E-2</v>
      </c>
      <c r="AI213" s="12" t="s">
        <v>357</v>
      </c>
      <c r="AJ213" s="10" t="s">
        <v>369</v>
      </c>
      <c r="AK213" s="10" t="s">
        <v>363</v>
      </c>
      <c r="AL213" s="10" t="s">
        <v>1458</v>
      </c>
      <c r="AM213" s="11" t="s">
        <v>1469</v>
      </c>
      <c r="AN213" s="11" t="s">
        <v>1509</v>
      </c>
      <c r="AO213" s="5" t="s">
        <v>361</v>
      </c>
      <c r="AP213" s="11" t="s">
        <v>1496</v>
      </c>
      <c r="AQ213" s="11" t="s">
        <v>1497</v>
      </c>
      <c r="AR213" s="11" t="s">
        <v>1453</v>
      </c>
      <c r="AS213" s="36" t="s">
        <v>1508</v>
      </c>
      <c r="AT213" s="11" t="s">
        <v>70</v>
      </c>
      <c r="AU213" s="11" t="s">
        <v>370</v>
      </c>
      <c r="AV213" s="13" t="s">
        <v>69</v>
      </c>
      <c r="AW213" s="14"/>
      <c r="AX213" s="44">
        <v>46058</v>
      </c>
    </row>
    <row r="214" spans="1:50" ht="38.25">
      <c r="A214" s="38" t="str">
        <f>VLOOKUP(Tableau1[[#This Row],[N° Département]],Feuil1!$C$6:$E$106,3)</f>
        <v>Nouvelle-Aquitaine</v>
      </c>
      <c r="B214" s="38" t="str">
        <f>VLOOKUP(Tableau1[[#This Row],[N° Département]],Feuil1!$C$6:$E$106,2)</f>
        <v>Haute-Vienne</v>
      </c>
      <c r="C214" s="38">
        <f>LEFT(Tableau1[[#This Row],[Code Postal]],2)*1</f>
        <v>87</v>
      </c>
      <c r="D214" s="11" t="s">
        <v>1417</v>
      </c>
      <c r="E214" s="26">
        <v>87220</v>
      </c>
      <c r="F214" s="10" t="s">
        <v>1418</v>
      </c>
      <c r="G214" s="39" t="str">
        <f>Tableau1[[#This Row],[Rue]]&amp;CHAR(10)&amp;Tableau1[[#This Row],[Code Postal]]&amp;" - "&amp;Tableau1[[#This Row],[Ville]]</f>
        <v>Centre commercial Boisseuil
Route de Toulouse
87220 - Boisseuil</v>
      </c>
      <c r="H214" s="15" t="s">
        <v>1416</v>
      </c>
      <c r="I214" s="12" t="s">
        <v>47</v>
      </c>
      <c r="J214" s="12" t="s">
        <v>49</v>
      </c>
      <c r="K214" s="10" t="s">
        <v>98</v>
      </c>
      <c r="L214" s="10"/>
      <c r="M214" s="12" t="s">
        <v>98</v>
      </c>
      <c r="N214" s="36">
        <v>42</v>
      </c>
      <c r="O214" s="34">
        <v>229</v>
      </c>
      <c r="P214" s="12"/>
      <c r="Q214" s="34"/>
      <c r="R214" s="34" t="s">
        <v>98</v>
      </c>
      <c r="S214" s="34" t="s">
        <v>98</v>
      </c>
      <c r="T214" s="12">
        <f>Tableau1[[#This Row],[Loyer €/m²]]*Tableau1[[#This Row],[Surface GLA]]</f>
        <v>73280</v>
      </c>
      <c r="U214" s="12">
        <f>IFERROR(Tableau1[[#This Row],[Loyer annuel]]/12,"")</f>
        <v>6106.666666666667</v>
      </c>
      <c r="V214" s="12">
        <v>320</v>
      </c>
      <c r="W214" s="50">
        <v>0.08</v>
      </c>
      <c r="X214" s="6">
        <f>Tableau1[[#This Row],[Charges €/m²]]*Tableau1[[#This Row],[Surface GLA]]</f>
        <v>16030</v>
      </c>
      <c r="Y214" s="12">
        <f>Tableau1[[#This Row],[Charges annuelles]]/12</f>
        <v>1335.8333333333333</v>
      </c>
      <c r="Z214" s="12">
        <v>70</v>
      </c>
      <c r="AA214" s="12">
        <f>IFERROR(Tableau1[[#This Row],[Taxe foncière €/m²]]*Tableau1[[#This Row],[Surface GLA]],)</f>
        <v>3664</v>
      </c>
      <c r="AB214" s="12">
        <v>16</v>
      </c>
      <c r="AC214" s="12">
        <f>IFERROR(Tableau1[[#This Row],[Marketing €/m²]]*Tableau1[[#This Row],[Surface GLA]],)</f>
        <v>8473</v>
      </c>
      <c r="AD214" s="12">
        <v>37</v>
      </c>
      <c r="AE214" s="12">
        <f>IFERROR(Tableau1[[#This Row],[Loyer annuel]]+Tableau1[[#This Row],[Charges annuelles]]+Tableau1[[#This Row],[Taxe foncière]]+Tableau1[[#This Row],[Marketing]],"")</f>
        <v>101447</v>
      </c>
      <c r="AF214" s="12" t="str">
        <f t="shared" si="10"/>
        <v>3 mois = 18 320 €</v>
      </c>
      <c r="AG214" s="6" t="s">
        <v>98</v>
      </c>
      <c r="AH214" s="51">
        <v>2.5000000000000001E-2</v>
      </c>
      <c r="AI214" s="12" t="s">
        <v>373</v>
      </c>
      <c r="AJ214" s="10" t="s">
        <v>369</v>
      </c>
      <c r="AK214" s="10" t="s">
        <v>363</v>
      </c>
      <c r="AL214" s="10" t="s">
        <v>1458</v>
      </c>
      <c r="AM214" s="11" t="s">
        <v>1469</v>
      </c>
      <c r="AN214" s="11" t="s">
        <v>1509</v>
      </c>
      <c r="AO214" s="5" t="s">
        <v>361</v>
      </c>
      <c r="AP214" s="11" t="s">
        <v>1498</v>
      </c>
      <c r="AQ214" s="11" t="s">
        <v>1499</v>
      </c>
      <c r="AR214" s="11" t="s">
        <v>1454</v>
      </c>
      <c r="AS214" s="36" t="s">
        <v>1508</v>
      </c>
      <c r="AT214" s="11" t="s">
        <v>70</v>
      </c>
      <c r="AU214" s="11" t="s">
        <v>370</v>
      </c>
      <c r="AV214" s="13" t="s">
        <v>69</v>
      </c>
      <c r="AW214" s="14"/>
      <c r="AX214" s="44">
        <v>46058</v>
      </c>
    </row>
    <row r="215" spans="1:50" ht="38.25">
      <c r="A215" s="38" t="str">
        <f>VLOOKUP(Tableau1[[#This Row],[N° Département]],Feuil1!$C$6:$E$106,3)</f>
        <v>Nouvelle-Aquitaine</v>
      </c>
      <c r="B215" s="38" t="str">
        <f>VLOOKUP(Tableau1[[#This Row],[N° Département]],Feuil1!$C$6:$E$106,2)</f>
        <v>Haute-Vienne</v>
      </c>
      <c r="C215" s="38">
        <f>LEFT(Tableau1[[#This Row],[Code Postal]],2)*1</f>
        <v>87</v>
      </c>
      <c r="D215" s="11" t="s">
        <v>1417</v>
      </c>
      <c r="E215" s="26">
        <v>87220</v>
      </c>
      <c r="F215" s="10" t="s">
        <v>1418</v>
      </c>
      <c r="G215" s="39" t="str">
        <f>Tableau1[[#This Row],[Rue]]&amp;CHAR(10)&amp;Tableau1[[#This Row],[Code Postal]]&amp;" - "&amp;Tableau1[[#This Row],[Ville]]</f>
        <v>Centre commercial Boisseuil
Route de Toulouse
87220 - Boisseuil</v>
      </c>
      <c r="H215" s="15" t="s">
        <v>1416</v>
      </c>
      <c r="I215" s="12" t="s">
        <v>47</v>
      </c>
      <c r="J215" s="12" t="s">
        <v>49</v>
      </c>
      <c r="K215" s="10" t="s">
        <v>98</v>
      </c>
      <c r="L215" s="10"/>
      <c r="M215" s="12" t="s">
        <v>98</v>
      </c>
      <c r="N215" s="36">
        <v>47</v>
      </c>
      <c r="O215" s="34">
        <v>90</v>
      </c>
      <c r="P215" s="12"/>
      <c r="Q215" s="34"/>
      <c r="R215" s="34" t="s">
        <v>98</v>
      </c>
      <c r="S215" s="34" t="s">
        <v>98</v>
      </c>
      <c r="T215" s="12">
        <f>Tableau1[[#This Row],[Loyer €/m²]]*Tableau1[[#This Row],[Surface GLA]]</f>
        <v>32400</v>
      </c>
      <c r="U215" s="12">
        <f>IFERROR(Tableau1[[#This Row],[Loyer annuel]]/12,"")</f>
        <v>2700</v>
      </c>
      <c r="V215" s="12">
        <v>360</v>
      </c>
      <c r="W215" s="50">
        <v>0.08</v>
      </c>
      <c r="X215" s="6">
        <f>Tableau1[[#This Row],[Charges €/m²]]*Tableau1[[#This Row],[Surface GLA]]</f>
        <v>6300</v>
      </c>
      <c r="Y215" s="12">
        <f>Tableau1[[#This Row],[Charges annuelles]]/12</f>
        <v>525</v>
      </c>
      <c r="Z215" s="12">
        <v>70</v>
      </c>
      <c r="AA215" s="12">
        <f>IFERROR(Tableau1[[#This Row],[Taxe foncière €/m²]]*Tableau1[[#This Row],[Surface GLA]],)</f>
        <v>1440</v>
      </c>
      <c r="AB215" s="12">
        <v>16</v>
      </c>
      <c r="AC215" s="12">
        <f>IFERROR(Tableau1[[#This Row],[Marketing €/m²]]*Tableau1[[#This Row],[Surface GLA]],)</f>
        <v>3330</v>
      </c>
      <c r="AD215" s="12">
        <v>37</v>
      </c>
      <c r="AE215" s="12">
        <f>IFERROR(Tableau1[[#This Row],[Loyer annuel]]+Tableau1[[#This Row],[Charges annuelles]]+Tableau1[[#This Row],[Taxe foncière]]+Tableau1[[#This Row],[Marketing]],"")</f>
        <v>43470</v>
      </c>
      <c r="AF215" s="12" t="str">
        <f t="shared" si="10"/>
        <v>3 mois = 8 100 €</v>
      </c>
      <c r="AG215" s="6" t="s">
        <v>98</v>
      </c>
      <c r="AH215" s="51">
        <v>2.5000000000000001E-2</v>
      </c>
      <c r="AI215" s="12" t="s">
        <v>357</v>
      </c>
      <c r="AJ215" s="10" t="s">
        <v>369</v>
      </c>
      <c r="AK215" s="10" t="s">
        <v>363</v>
      </c>
      <c r="AL215" s="10" t="s">
        <v>1458</v>
      </c>
      <c r="AM215" s="11" t="s">
        <v>1469</v>
      </c>
      <c r="AN215" s="11" t="s">
        <v>1509</v>
      </c>
      <c r="AO215" s="5" t="s">
        <v>361</v>
      </c>
      <c r="AP215" s="11" t="s">
        <v>1500</v>
      </c>
      <c r="AQ215" s="11" t="s">
        <v>1501</v>
      </c>
      <c r="AR215" s="11" t="s">
        <v>1455</v>
      </c>
      <c r="AS215" s="36" t="s">
        <v>1508</v>
      </c>
      <c r="AT215" s="11" t="s">
        <v>70</v>
      </c>
      <c r="AU215" s="11" t="s">
        <v>370</v>
      </c>
      <c r="AV215" s="13" t="s">
        <v>69</v>
      </c>
      <c r="AW215" s="14"/>
      <c r="AX215" s="44">
        <v>46058</v>
      </c>
    </row>
    <row r="216" spans="1:50" ht="38.25">
      <c r="A216" s="38" t="str">
        <f>VLOOKUP(Tableau1[[#This Row],[N° Département]],Feuil1!$C$6:$E$106,3)</f>
        <v>Nouvelle-Aquitaine</v>
      </c>
      <c r="B216" s="38" t="str">
        <f>VLOOKUP(Tableau1[[#This Row],[N° Département]],Feuil1!$C$6:$E$106,2)</f>
        <v>Haute-Vienne</v>
      </c>
      <c r="C216" s="38">
        <f>LEFT(Tableau1[[#This Row],[Code Postal]],2)*1</f>
        <v>87</v>
      </c>
      <c r="D216" s="11" t="s">
        <v>1417</v>
      </c>
      <c r="E216" s="26">
        <v>87220</v>
      </c>
      <c r="F216" s="10" t="s">
        <v>1418</v>
      </c>
      <c r="G216" s="39" t="str">
        <f>Tableau1[[#This Row],[Rue]]&amp;CHAR(10)&amp;Tableau1[[#This Row],[Code Postal]]&amp;" - "&amp;Tableau1[[#This Row],[Ville]]</f>
        <v>Centre commercial Boisseuil
Route de Toulouse
87220 - Boisseuil</v>
      </c>
      <c r="H216" s="15" t="s">
        <v>1416</v>
      </c>
      <c r="I216" s="12" t="s">
        <v>47</v>
      </c>
      <c r="J216" s="12" t="s">
        <v>49</v>
      </c>
      <c r="K216" s="10" t="s">
        <v>98</v>
      </c>
      <c r="L216" s="10"/>
      <c r="M216" s="12" t="s">
        <v>98</v>
      </c>
      <c r="N216" s="36">
        <v>48</v>
      </c>
      <c r="O216" s="34">
        <v>174</v>
      </c>
      <c r="P216" s="12">
        <v>358</v>
      </c>
      <c r="Q216" s="34"/>
      <c r="R216" s="34" t="s">
        <v>98</v>
      </c>
      <c r="S216" s="34" t="s">
        <v>98</v>
      </c>
      <c r="T216" s="12">
        <f>Tableau1[[#This Row],[Loyer €/m²]]*Tableau1[[#This Row],[Surface GLA]]</f>
        <v>62640</v>
      </c>
      <c r="U216" s="12">
        <f>IFERROR(Tableau1[[#This Row],[Loyer annuel]]/12,"")</f>
        <v>5220</v>
      </c>
      <c r="V216" s="12">
        <v>360</v>
      </c>
      <c r="W216" s="50">
        <v>0.08</v>
      </c>
      <c r="X216" s="6">
        <f>Tableau1[[#This Row],[Charges €/m²]]*Tableau1[[#This Row],[Surface GLA]]</f>
        <v>12180</v>
      </c>
      <c r="Y216" s="12">
        <f>Tableau1[[#This Row],[Charges annuelles]]/12</f>
        <v>1015</v>
      </c>
      <c r="Z216" s="12">
        <v>70</v>
      </c>
      <c r="AA216" s="12">
        <f>IFERROR(Tableau1[[#This Row],[Taxe foncière €/m²]]*Tableau1[[#This Row],[Surface GLA]],)</f>
        <v>2784</v>
      </c>
      <c r="AB216" s="12">
        <v>16</v>
      </c>
      <c r="AC216" s="12">
        <f>IFERROR(Tableau1[[#This Row],[Marketing €/m²]]*Tableau1[[#This Row],[Surface GLA]],)</f>
        <v>6438</v>
      </c>
      <c r="AD216" s="12">
        <v>37</v>
      </c>
      <c r="AE216" s="12">
        <f>IFERROR(Tableau1[[#This Row],[Loyer annuel]]+Tableau1[[#This Row],[Charges annuelles]]+Tableau1[[#This Row],[Taxe foncière]]+Tableau1[[#This Row],[Marketing]],"")</f>
        <v>84042</v>
      </c>
      <c r="AF216" s="12" t="str">
        <f t="shared" si="10"/>
        <v>3 mois = 15 660 €</v>
      </c>
      <c r="AG216" s="6" t="s">
        <v>98</v>
      </c>
      <c r="AH216" s="51">
        <v>2.5000000000000001E-2</v>
      </c>
      <c r="AI216" s="12" t="s">
        <v>357</v>
      </c>
      <c r="AJ216" s="10" t="s">
        <v>369</v>
      </c>
      <c r="AK216" s="10" t="s">
        <v>363</v>
      </c>
      <c r="AL216" s="10" t="s">
        <v>1458</v>
      </c>
      <c r="AM216" s="11" t="s">
        <v>1469</v>
      </c>
      <c r="AN216" s="11" t="s">
        <v>1509</v>
      </c>
      <c r="AO216" s="5" t="s">
        <v>361</v>
      </c>
      <c r="AP216" s="11" t="s">
        <v>1502</v>
      </c>
      <c r="AQ216" s="11" t="s">
        <v>1503</v>
      </c>
      <c r="AR216" s="11" t="s">
        <v>1456</v>
      </c>
      <c r="AS216" s="36" t="s">
        <v>1508</v>
      </c>
      <c r="AT216" s="11" t="s">
        <v>70</v>
      </c>
      <c r="AU216" s="11" t="s">
        <v>370</v>
      </c>
      <c r="AV216" s="13" t="s">
        <v>69</v>
      </c>
      <c r="AW216" s="14"/>
      <c r="AX216" s="44">
        <v>46058</v>
      </c>
    </row>
    <row r="217" spans="1:50" ht="38.25">
      <c r="A217" s="38" t="str">
        <f>VLOOKUP(Tableau1[[#This Row],[N° Département]],Feuil1!$C$6:$E$106,3)</f>
        <v>Nouvelle-Aquitaine</v>
      </c>
      <c r="B217" s="38" t="str">
        <f>VLOOKUP(Tableau1[[#This Row],[N° Département]],Feuil1!$C$6:$E$106,2)</f>
        <v>Haute-Vienne</v>
      </c>
      <c r="C217" s="38">
        <f>LEFT(Tableau1[[#This Row],[Code Postal]],2)*1</f>
        <v>87</v>
      </c>
      <c r="D217" s="11" t="s">
        <v>1417</v>
      </c>
      <c r="E217" s="26">
        <v>87220</v>
      </c>
      <c r="F217" s="10" t="s">
        <v>1418</v>
      </c>
      <c r="G217" s="39" t="str">
        <f>Tableau1[[#This Row],[Rue]]&amp;CHAR(10)&amp;Tableau1[[#This Row],[Code Postal]]&amp;" - "&amp;Tableau1[[#This Row],[Ville]]</f>
        <v>Centre commercial Boisseuil
Route de Toulouse
87220 - Boisseuil</v>
      </c>
      <c r="H217" s="15" t="s">
        <v>1416</v>
      </c>
      <c r="I217" s="12" t="s">
        <v>47</v>
      </c>
      <c r="J217" s="12" t="s">
        <v>49</v>
      </c>
      <c r="K217" s="10" t="s">
        <v>98</v>
      </c>
      <c r="L217" s="10"/>
      <c r="M217" s="12" t="s">
        <v>98</v>
      </c>
      <c r="N217" s="36">
        <v>49</v>
      </c>
      <c r="O217" s="34">
        <v>184</v>
      </c>
      <c r="P217" s="12">
        <v>358</v>
      </c>
      <c r="Q217" s="34"/>
      <c r="R217" s="34" t="s">
        <v>98</v>
      </c>
      <c r="S217" s="34" t="s">
        <v>98</v>
      </c>
      <c r="T217" s="12">
        <f>Tableau1[[#This Row],[Loyer €/m²]]*Tableau1[[#This Row],[Surface GLA]]</f>
        <v>66240</v>
      </c>
      <c r="U217" s="12">
        <f>IFERROR(Tableau1[[#This Row],[Loyer annuel]]/12,"")</f>
        <v>5520</v>
      </c>
      <c r="V217" s="12">
        <v>360</v>
      </c>
      <c r="W217" s="50">
        <v>0.08</v>
      </c>
      <c r="X217" s="6">
        <f>Tableau1[[#This Row],[Charges €/m²]]*Tableau1[[#This Row],[Surface GLA]]</f>
        <v>12880</v>
      </c>
      <c r="Y217" s="12">
        <f>Tableau1[[#This Row],[Charges annuelles]]/12</f>
        <v>1073.3333333333333</v>
      </c>
      <c r="Z217" s="12">
        <v>70</v>
      </c>
      <c r="AA217" s="12">
        <f>IFERROR(Tableau1[[#This Row],[Taxe foncière €/m²]]*Tableau1[[#This Row],[Surface GLA]],)</f>
        <v>2944</v>
      </c>
      <c r="AB217" s="12">
        <v>16</v>
      </c>
      <c r="AC217" s="12">
        <f>IFERROR(Tableau1[[#This Row],[Marketing €/m²]]*Tableau1[[#This Row],[Surface GLA]],)</f>
        <v>6808</v>
      </c>
      <c r="AD217" s="12">
        <v>37</v>
      </c>
      <c r="AE217" s="12">
        <f>IFERROR(Tableau1[[#This Row],[Loyer annuel]]+Tableau1[[#This Row],[Charges annuelles]]+Tableau1[[#This Row],[Taxe foncière]]+Tableau1[[#This Row],[Marketing]],"")</f>
        <v>88872</v>
      </c>
      <c r="AF217" s="12" t="str">
        <f t="shared" si="10"/>
        <v>3 mois = 16 560 €</v>
      </c>
      <c r="AG217" s="6" t="s">
        <v>98</v>
      </c>
      <c r="AH217" s="51">
        <v>2.5000000000000001E-2</v>
      </c>
      <c r="AI217" s="12" t="s">
        <v>357</v>
      </c>
      <c r="AJ217" s="10" t="s">
        <v>369</v>
      </c>
      <c r="AK217" s="10" t="s">
        <v>363</v>
      </c>
      <c r="AL217" s="10" t="s">
        <v>1458</v>
      </c>
      <c r="AM217" s="11" t="s">
        <v>1469</v>
      </c>
      <c r="AN217" s="11" t="s">
        <v>1509</v>
      </c>
      <c r="AO217" s="5" t="s">
        <v>361</v>
      </c>
      <c r="AP217" s="11" t="s">
        <v>1504</v>
      </c>
      <c r="AQ217" s="11" t="s">
        <v>1505</v>
      </c>
      <c r="AR217" s="11" t="s">
        <v>1457</v>
      </c>
      <c r="AS217" s="36" t="s">
        <v>1508</v>
      </c>
      <c r="AT217" s="11" t="s">
        <v>70</v>
      </c>
      <c r="AU217" s="11" t="s">
        <v>370</v>
      </c>
      <c r="AV217" s="13" t="s">
        <v>69</v>
      </c>
      <c r="AW217" s="14"/>
      <c r="AX217" s="44">
        <v>46058</v>
      </c>
    </row>
    <row r="218" spans="1:50" ht="38.25">
      <c r="A218" s="38" t="str">
        <f>VLOOKUP(Tableau1[[#This Row],[N° Département]],Feuil1!$C$6:$E$106,3)</f>
        <v>Nouvelle-Aquitaine</v>
      </c>
      <c r="B218" s="38" t="str">
        <f>VLOOKUP(Tableau1[[#This Row],[N° Département]],Feuil1!$C$6:$E$106,2)</f>
        <v>Haute-Vienne</v>
      </c>
      <c r="C218" s="38">
        <f>LEFT(Tableau1[[#This Row],[Code Postal]],2)*1</f>
        <v>87</v>
      </c>
      <c r="D218" s="11" t="s">
        <v>1417</v>
      </c>
      <c r="E218" s="26">
        <v>87220</v>
      </c>
      <c r="F218" s="10" t="s">
        <v>1418</v>
      </c>
      <c r="G218" s="39" t="str">
        <f>Tableau1[[#This Row],[Rue]]&amp;CHAR(10)&amp;Tableau1[[#This Row],[Code Postal]]&amp;" - "&amp;Tableau1[[#This Row],[Ville]]</f>
        <v>Centre commercial Boisseuil
Route de Toulouse
87220 - Boisseuil</v>
      </c>
      <c r="H218" s="15" t="s">
        <v>1416</v>
      </c>
      <c r="I218" s="12" t="s">
        <v>47</v>
      </c>
      <c r="J218" s="12" t="s">
        <v>49</v>
      </c>
      <c r="K218" s="10" t="s">
        <v>1255</v>
      </c>
      <c r="L218" s="10"/>
      <c r="M218" s="12" t="s">
        <v>98</v>
      </c>
      <c r="N218" s="36" t="s">
        <v>1429</v>
      </c>
      <c r="O218" s="34">
        <v>48</v>
      </c>
      <c r="P218" s="12" t="s">
        <v>1433</v>
      </c>
      <c r="Q218" s="34"/>
      <c r="R218" s="34" t="s">
        <v>98</v>
      </c>
      <c r="S218" s="34" t="s">
        <v>98</v>
      </c>
      <c r="T218" s="12">
        <f>Tableau1[[#This Row],[Loyer €/m²]]*Tableau1[[#This Row],[Surface GLA]]</f>
        <v>36000</v>
      </c>
      <c r="U218" s="12">
        <f>IFERROR(Tableau1[[#This Row],[Loyer annuel]]/12,"")</f>
        <v>3000</v>
      </c>
      <c r="V218" s="12">
        <v>750</v>
      </c>
      <c r="W218" s="50">
        <v>0.08</v>
      </c>
      <c r="X218" s="6">
        <f>Tableau1[[#This Row],[Charges €/m²]]*Tableau1[[#This Row],[Surface GLA]]</f>
        <v>3360</v>
      </c>
      <c r="Y218" s="12">
        <f>Tableau1[[#This Row],[Charges annuelles]]/12</f>
        <v>280</v>
      </c>
      <c r="Z218" s="12">
        <v>70</v>
      </c>
      <c r="AA218" s="12">
        <f>IFERROR(Tableau1[[#This Row],[Taxe foncière €/m²]]*Tableau1[[#This Row],[Surface GLA]],)</f>
        <v>768</v>
      </c>
      <c r="AB218" s="12">
        <v>16</v>
      </c>
      <c r="AC218" s="12">
        <f>IFERROR(Tableau1[[#This Row],[Marketing €/m²]]*Tableau1[[#This Row],[Surface GLA]],)</f>
        <v>1776</v>
      </c>
      <c r="AD218" s="12">
        <v>37</v>
      </c>
      <c r="AE218" s="12">
        <f>IFERROR(Tableau1[[#This Row],[Loyer annuel]]+Tableau1[[#This Row],[Charges annuelles]]+Tableau1[[#This Row],[Taxe foncière]]+Tableau1[[#This Row],[Marketing]],"")</f>
        <v>41904</v>
      </c>
      <c r="AF218" s="12" t="str">
        <f t="shared" si="10"/>
        <v>3 mois = 9 000 €</v>
      </c>
      <c r="AG218" s="6" t="s">
        <v>98</v>
      </c>
      <c r="AH218" s="51">
        <v>2.5000000000000001E-2</v>
      </c>
      <c r="AI218" s="12" t="s">
        <v>357</v>
      </c>
      <c r="AJ218" s="10" t="s">
        <v>369</v>
      </c>
      <c r="AK218" s="10" t="s">
        <v>363</v>
      </c>
      <c r="AL218" s="10" t="s">
        <v>1458</v>
      </c>
      <c r="AM218" s="11" t="s">
        <v>1469</v>
      </c>
      <c r="AN218" s="11" t="s">
        <v>1509</v>
      </c>
      <c r="AO218" s="5" t="s">
        <v>361</v>
      </c>
      <c r="AP218" s="11" t="s">
        <v>1506</v>
      </c>
      <c r="AQ218" s="11" t="s">
        <v>1507</v>
      </c>
      <c r="AR218" s="11" t="s">
        <v>1470</v>
      </c>
      <c r="AS218" s="36" t="s">
        <v>1508</v>
      </c>
      <c r="AT218" s="11" t="s">
        <v>70</v>
      </c>
      <c r="AU218" s="11" t="s">
        <v>370</v>
      </c>
      <c r="AV218" s="13" t="s">
        <v>69</v>
      </c>
      <c r="AW218" s="14"/>
      <c r="AX218" s="44">
        <v>46058</v>
      </c>
    </row>
    <row r="219" spans="1:50" ht="38.25">
      <c r="A219" s="38" t="str">
        <f>VLOOKUP(Tableau1[[#This Row],[N° Département]],Feuil1!$C$6:$E$106,3)</f>
        <v>Grand Est</v>
      </c>
      <c r="B219" s="38" t="str">
        <f>VLOOKUP(Tableau1[[#This Row],[N° Département]],Feuil1!$C$6:$E$106,2)</f>
        <v>Haut-Rhin</v>
      </c>
      <c r="C219" s="38">
        <f>LEFT(Tableau1[[#This Row],[Code Postal]],2)*1</f>
        <v>68</v>
      </c>
      <c r="D219" s="11" t="s">
        <v>1515</v>
      </c>
      <c r="E219" s="26">
        <v>68730</v>
      </c>
      <c r="F219" s="42" t="s">
        <v>1516</v>
      </c>
      <c r="G219" s="39" t="str">
        <f>Tableau1[[#This Row],[Rue]]&amp;CHAR(10)&amp;Tableau1[[#This Row],[Code Postal]]&amp;" - "&amp;Tableau1[[#This Row],[Ville]]</f>
        <v>Hyper Leclerc Blotzheim
5 bis rue Pierre Clostermann
68730 - Blotzheim</v>
      </c>
      <c r="H219" s="15" t="s">
        <v>1517</v>
      </c>
      <c r="I219" s="12" t="s">
        <v>47</v>
      </c>
      <c r="J219" s="12" t="s">
        <v>50</v>
      </c>
      <c r="K219" s="10" t="s">
        <v>98</v>
      </c>
      <c r="L219" s="53" t="s">
        <v>1518</v>
      </c>
      <c r="M219" s="12" t="s">
        <v>98</v>
      </c>
      <c r="N219" s="36"/>
      <c r="O219" s="34">
        <v>446</v>
      </c>
      <c r="P219" s="12"/>
      <c r="Q219" s="34"/>
      <c r="R219" s="34" t="s">
        <v>98</v>
      </c>
      <c r="S219" s="34" t="s">
        <v>98</v>
      </c>
      <c r="T219" s="12">
        <f>Tableau1[[#This Row],[Loyer €/m²]]*Tableau1[[#This Row],[Surface GLA]]</f>
        <v>66900</v>
      </c>
      <c r="U219" s="12">
        <f>IFERROR(Tableau1[[#This Row],[Loyer annuel]]/12,"")</f>
        <v>5575</v>
      </c>
      <c r="V219" s="12">
        <v>150</v>
      </c>
      <c r="W219" s="34" t="s">
        <v>98</v>
      </c>
      <c r="X219" s="6">
        <f>Tableau1[[#This Row],[Charges €/m²]]*Tableau1[[#This Row],[Surface GLA]]</f>
        <v>1784</v>
      </c>
      <c r="Y219" s="12">
        <f>Tableau1[[#This Row],[Charges annuelles]]/12</f>
        <v>148.66666666666666</v>
      </c>
      <c r="Z219" s="12">
        <v>4</v>
      </c>
      <c r="AA219" s="12">
        <f>IFERROR(Tableau1[[#This Row],[Taxe foncière €/m²]]*Tableau1[[#This Row],[Surface GLA]],)</f>
        <v>4460</v>
      </c>
      <c r="AB219" s="12">
        <v>10</v>
      </c>
      <c r="AC219" s="12">
        <f>IFERROR(Tableau1[[#This Row],[Marketing €/m²]]*Tableau1[[#This Row],[Surface GLA]],)</f>
        <v>0</v>
      </c>
      <c r="AD219" s="12" t="s">
        <v>98</v>
      </c>
      <c r="AE219" s="12">
        <f>IFERROR(Tableau1[[#This Row],[Loyer annuel]]+Tableau1[[#This Row],[Charges annuelles]]+Tableau1[[#This Row],[Taxe foncière]]+Tableau1[[#This Row],[Marketing]],"")</f>
        <v>73144</v>
      </c>
      <c r="AF219" s="12"/>
      <c r="AG219" s="6" t="s">
        <v>98</v>
      </c>
      <c r="AH219" s="6" t="s">
        <v>98</v>
      </c>
      <c r="AI219" s="12" t="s">
        <v>373</v>
      </c>
      <c r="AJ219" s="10" t="s">
        <v>369</v>
      </c>
      <c r="AK219" s="10" t="s">
        <v>363</v>
      </c>
      <c r="AL219" s="10"/>
      <c r="AM219" s="11"/>
      <c r="AN219" s="11" t="s">
        <v>98</v>
      </c>
      <c r="AO219" s="5" t="s">
        <v>361</v>
      </c>
      <c r="AP219" s="11" t="s">
        <v>1537</v>
      </c>
      <c r="AQ219" s="11" t="s">
        <v>1538</v>
      </c>
      <c r="AR219" s="11">
        <v>64</v>
      </c>
      <c r="AS219" s="36" t="s">
        <v>1533</v>
      </c>
      <c r="AT219" s="11" t="s">
        <v>70</v>
      </c>
      <c r="AU219" s="11" t="s">
        <v>1647</v>
      </c>
      <c r="AV219" s="13" t="s">
        <v>1011</v>
      </c>
      <c r="AW219" s="14"/>
      <c r="AX219" s="44">
        <v>46069</v>
      </c>
    </row>
    <row r="220" spans="1:50" ht="38.25">
      <c r="A220" s="38" t="str">
        <f>VLOOKUP(Tableau1[[#This Row],[N° Département]],Feuil1!$C$6:$E$106,3)</f>
        <v>Grand Est</v>
      </c>
      <c r="B220" s="38" t="str">
        <f>VLOOKUP(Tableau1[[#This Row],[N° Département]],Feuil1!$C$6:$E$106,2)</f>
        <v>Haut-Rhin</v>
      </c>
      <c r="C220" s="38">
        <f>LEFT(Tableau1[[#This Row],[Code Postal]],2)*1</f>
        <v>68</v>
      </c>
      <c r="D220" s="11" t="s">
        <v>1519</v>
      </c>
      <c r="E220" s="26">
        <v>68330</v>
      </c>
      <c r="F220" s="42" t="s">
        <v>867</v>
      </c>
      <c r="G220" s="39" t="str">
        <f>Tableau1[[#This Row],[Rue]]&amp;CHAR(10)&amp;Tableau1[[#This Row],[Code Postal]]&amp;" - "&amp;Tableau1[[#This Row],[Ville]]</f>
        <v>Les galeries d'Huningue
9 avenue d'Alsace
68330 - Huningue</v>
      </c>
      <c r="H220" s="15" t="s">
        <v>1521</v>
      </c>
      <c r="I220" s="12" t="s">
        <v>47</v>
      </c>
      <c r="J220" s="12" t="s">
        <v>50</v>
      </c>
      <c r="K220" s="10" t="s">
        <v>98</v>
      </c>
      <c r="L220" s="53" t="s">
        <v>1518</v>
      </c>
      <c r="M220" s="12" t="s">
        <v>98</v>
      </c>
      <c r="N220" s="36" t="s">
        <v>1532</v>
      </c>
      <c r="O220" s="34">
        <v>300</v>
      </c>
      <c r="P220" s="12"/>
      <c r="Q220" s="34"/>
      <c r="R220" s="34" t="s">
        <v>98</v>
      </c>
      <c r="S220" s="34" t="s">
        <v>98</v>
      </c>
      <c r="T220" s="12">
        <f>Tableau1[[#This Row],[Loyer €/m²]]*Tableau1[[#This Row],[Surface GLA]]</f>
        <v>60000</v>
      </c>
      <c r="U220" s="12">
        <f>IFERROR(Tableau1[[#This Row],[Loyer annuel]]/12,"")</f>
        <v>5000</v>
      </c>
      <c r="V220" s="12">
        <v>200</v>
      </c>
      <c r="W220" s="34" t="s">
        <v>98</v>
      </c>
      <c r="X220" s="12"/>
      <c r="Y220" s="12">
        <f>Tableau1[[#This Row],[Charges annuelles]]/12</f>
        <v>0</v>
      </c>
      <c r="Z220" s="12"/>
      <c r="AA220" s="12">
        <f>IFERROR(Tableau1[[#This Row],[Taxe foncière €/m²]]*Tableau1[[#This Row],[Surface GLA]],)</f>
        <v>0</v>
      </c>
      <c r="AB220" s="12"/>
      <c r="AC220" s="12">
        <f>IFERROR(Tableau1[[#This Row],[Marketing €/m²]]*Tableau1[[#This Row],[Surface GLA]],)</f>
        <v>0</v>
      </c>
      <c r="AD220" s="12" t="s">
        <v>98</v>
      </c>
      <c r="AE220" s="12">
        <f>IFERROR(Tableau1[[#This Row],[Loyer annuel]]+Tableau1[[#This Row],[Charges annuelles]]+Tableau1[[#This Row],[Taxe foncière]]+Tableau1[[#This Row],[Marketing]],"")</f>
        <v>60000</v>
      </c>
      <c r="AF220" s="12"/>
      <c r="AG220" s="6" t="s">
        <v>98</v>
      </c>
      <c r="AH220" s="6" t="s">
        <v>98</v>
      </c>
      <c r="AI220" s="12" t="s">
        <v>373</v>
      </c>
      <c r="AJ220" s="10" t="s">
        <v>369</v>
      </c>
      <c r="AK220" s="10" t="s">
        <v>363</v>
      </c>
      <c r="AL220" s="10"/>
      <c r="AM220" s="11" t="s">
        <v>1013</v>
      </c>
      <c r="AN220" s="11" t="s">
        <v>98</v>
      </c>
      <c r="AO220" s="5" t="s">
        <v>361</v>
      </c>
      <c r="AP220" s="11" t="s">
        <v>1003</v>
      </c>
      <c r="AQ220" s="11" t="s">
        <v>1004</v>
      </c>
      <c r="AR220" s="11" t="s">
        <v>1529</v>
      </c>
      <c r="AS220" s="36" t="s">
        <v>1534</v>
      </c>
      <c r="AT220" s="11" t="s">
        <v>70</v>
      </c>
      <c r="AU220" s="11" t="s">
        <v>1648</v>
      </c>
      <c r="AV220" s="13" t="s">
        <v>1011</v>
      </c>
      <c r="AW220" s="14"/>
      <c r="AX220" s="44">
        <v>46069</v>
      </c>
    </row>
    <row r="221" spans="1:50" ht="38.25">
      <c r="A221" s="38" t="str">
        <f>VLOOKUP(Tableau1[[#This Row],[N° Département]],Feuil1!$C$6:$E$106,3)</f>
        <v>Grand Est</v>
      </c>
      <c r="B221" s="38" t="str">
        <f>VLOOKUP(Tableau1[[#This Row],[N° Département]],Feuil1!$C$6:$E$106,2)</f>
        <v>Haut-Rhin</v>
      </c>
      <c r="C221" s="38">
        <f>LEFT(Tableau1[[#This Row],[Code Postal]],2)*1</f>
        <v>68</v>
      </c>
      <c r="D221" s="11" t="s">
        <v>1520</v>
      </c>
      <c r="E221" s="26">
        <v>68331</v>
      </c>
      <c r="F221" s="42" t="s">
        <v>867</v>
      </c>
      <c r="G221" s="39" t="str">
        <f>Tableau1[[#This Row],[Rue]]&amp;CHAR(10)&amp;Tableau1[[#This Row],[Code Postal]]&amp;" - "&amp;Tableau1[[#This Row],[Ville]]</f>
        <v>Les galeries d'Huningue
7 avenue d'Alsace
68331 - Huningue</v>
      </c>
      <c r="H221" s="15" t="s">
        <v>1522</v>
      </c>
      <c r="I221" s="12" t="s">
        <v>47</v>
      </c>
      <c r="J221" s="12" t="s">
        <v>50</v>
      </c>
      <c r="K221" s="10" t="s">
        <v>98</v>
      </c>
      <c r="L221" s="53" t="s">
        <v>1518</v>
      </c>
      <c r="M221" s="12" t="s">
        <v>1152</v>
      </c>
      <c r="N221" s="36"/>
      <c r="O221" s="34">
        <v>608</v>
      </c>
      <c r="P221" s="12"/>
      <c r="Q221" s="34"/>
      <c r="R221" s="34" t="s">
        <v>98</v>
      </c>
      <c r="S221" s="34" t="s">
        <v>98</v>
      </c>
      <c r="T221" s="12">
        <f>Tableau1[[#This Row],[Loyer €/m²]]*Tableau1[[#This Row],[Surface GLA]]</f>
        <v>121600</v>
      </c>
      <c r="U221" s="12">
        <f>IFERROR(Tableau1[[#This Row],[Loyer annuel]]/12,"")</f>
        <v>10133.333333333334</v>
      </c>
      <c r="V221" s="12">
        <v>200</v>
      </c>
      <c r="W221" s="34" t="s">
        <v>98</v>
      </c>
      <c r="X221" s="12"/>
      <c r="Y221" s="12">
        <f>Tableau1[[#This Row],[Charges annuelles]]/12</f>
        <v>0</v>
      </c>
      <c r="Z221" s="12"/>
      <c r="AA221" s="12">
        <f>IFERROR(Tableau1[[#This Row],[Taxe foncière €/m²]]*Tableau1[[#This Row],[Surface GLA]],)</f>
        <v>0</v>
      </c>
      <c r="AB221" s="12"/>
      <c r="AC221" s="12">
        <f>IFERROR(Tableau1[[#This Row],[Marketing €/m²]]*Tableau1[[#This Row],[Surface GLA]],)</f>
        <v>0</v>
      </c>
      <c r="AD221" s="12" t="s">
        <v>98</v>
      </c>
      <c r="AE221" s="12">
        <f>IFERROR(Tableau1[[#This Row],[Loyer annuel]]+Tableau1[[#This Row],[Charges annuelles]]+Tableau1[[#This Row],[Taxe foncière]]+Tableau1[[#This Row],[Marketing]],"")</f>
        <v>121600</v>
      </c>
      <c r="AF221" s="12"/>
      <c r="AG221" s="6" t="s">
        <v>98</v>
      </c>
      <c r="AH221" s="6" t="s">
        <v>98</v>
      </c>
      <c r="AI221" s="12" t="s">
        <v>373</v>
      </c>
      <c r="AJ221" s="10" t="s">
        <v>369</v>
      </c>
      <c r="AK221" s="10" t="s">
        <v>363</v>
      </c>
      <c r="AL221" s="10"/>
      <c r="AM221" s="11" t="s">
        <v>1531</v>
      </c>
      <c r="AN221" s="11" t="s">
        <v>98</v>
      </c>
      <c r="AO221" s="5" t="s">
        <v>361</v>
      </c>
      <c r="AP221" s="11" t="s">
        <v>1539</v>
      </c>
      <c r="AQ221" s="11" t="s">
        <v>1540</v>
      </c>
      <c r="AR221" s="11" t="s">
        <v>1530</v>
      </c>
      <c r="AS221" s="36" t="s">
        <v>1535</v>
      </c>
      <c r="AT221" s="11" t="s">
        <v>70</v>
      </c>
      <c r="AU221" s="11" t="s">
        <v>1649</v>
      </c>
      <c r="AV221" s="13" t="s">
        <v>1011</v>
      </c>
      <c r="AW221" s="14"/>
      <c r="AX221" s="44">
        <v>46069</v>
      </c>
    </row>
    <row r="222" spans="1:50" ht="38.25">
      <c r="A222" s="38" t="str">
        <f>VLOOKUP(Tableau1[[#This Row],[N° Département]],Feuil1!$C$6:$E$106,3)</f>
        <v>Grand Est</v>
      </c>
      <c r="B222" s="38" t="str">
        <f>VLOOKUP(Tableau1[[#This Row],[N° Département]],Feuil1!$C$6:$E$106,2)</f>
        <v>Haut-Rhin</v>
      </c>
      <c r="C222" s="38">
        <f>LEFT(Tableau1[[#This Row],[Code Postal]],2)*1</f>
        <v>68</v>
      </c>
      <c r="D222" s="11" t="s">
        <v>1523</v>
      </c>
      <c r="E222" s="26">
        <v>68220</v>
      </c>
      <c r="F222" s="42" t="s">
        <v>1524</v>
      </c>
      <c r="G222" s="39" t="str">
        <f>Tableau1[[#This Row],[Rue]]&amp;CHAR(10)&amp;Tableau1[[#This Row],[Code Postal]]&amp;" - "&amp;Tableau1[[#This Row],[Ville]]</f>
        <v>Les galeries d'Hegenheim
Rue d'Alschwill
68220 - Hegenheim</v>
      </c>
      <c r="H222" s="52"/>
      <c r="I222" s="12"/>
      <c r="J222" s="12"/>
      <c r="K222" s="10" t="s">
        <v>98</v>
      </c>
      <c r="L222" s="53" t="s">
        <v>1518</v>
      </c>
      <c r="M222" s="12" t="s">
        <v>98</v>
      </c>
      <c r="N222" s="36"/>
      <c r="O222" s="34">
        <v>257</v>
      </c>
      <c r="P222" s="12"/>
      <c r="Q222" s="34"/>
      <c r="R222" s="34" t="s">
        <v>98</v>
      </c>
      <c r="S222" s="34" t="s">
        <v>98</v>
      </c>
      <c r="T222" s="12">
        <f>Tableau1[[#This Row],[Loyer €/m²]]*Tableau1[[#This Row],[Surface GLA]]</f>
        <v>51400</v>
      </c>
      <c r="U222" s="12">
        <f>IFERROR(Tableau1[[#This Row],[Loyer annuel]]/12,"")</f>
        <v>4283.333333333333</v>
      </c>
      <c r="V222" s="12">
        <v>200</v>
      </c>
      <c r="W222" s="34" t="s">
        <v>98</v>
      </c>
      <c r="X222" s="12"/>
      <c r="Y222" s="12">
        <f>Tableau1[[#This Row],[Charges annuelles]]/12</f>
        <v>0</v>
      </c>
      <c r="Z222" s="12"/>
      <c r="AA222" s="12">
        <f>IFERROR(Tableau1[[#This Row],[Taxe foncière €/m²]]*Tableau1[[#This Row],[Surface GLA]],)</f>
        <v>0</v>
      </c>
      <c r="AB222" s="12"/>
      <c r="AC222" s="12">
        <f>IFERROR(Tableau1[[#This Row],[Marketing €/m²]]*Tableau1[[#This Row],[Surface GLA]],)</f>
        <v>0</v>
      </c>
      <c r="AD222" s="12" t="s">
        <v>98</v>
      </c>
      <c r="AE222" s="12">
        <f>IFERROR(Tableau1[[#This Row],[Loyer annuel]]+Tableau1[[#This Row],[Charges annuelles]]+Tableau1[[#This Row],[Taxe foncière]]+Tableau1[[#This Row],[Marketing]],"")</f>
        <v>51400</v>
      </c>
      <c r="AF222" s="12"/>
      <c r="AG222" s="6" t="s">
        <v>98</v>
      </c>
      <c r="AH222" s="6" t="s">
        <v>98</v>
      </c>
      <c r="AI222" s="12" t="s">
        <v>373</v>
      </c>
      <c r="AJ222" s="10" t="s">
        <v>369</v>
      </c>
      <c r="AK222" s="10" t="s">
        <v>363</v>
      </c>
      <c r="AL222" s="10"/>
      <c r="AM222" s="11"/>
      <c r="AN222" s="11" t="s">
        <v>98</v>
      </c>
      <c r="AO222" s="5" t="s">
        <v>361</v>
      </c>
      <c r="AP222" s="11"/>
      <c r="AQ222" s="11"/>
      <c r="AR222" s="11">
        <v>66</v>
      </c>
      <c r="AS222" s="36" t="s">
        <v>1536</v>
      </c>
      <c r="AT222" s="11" t="s">
        <v>70</v>
      </c>
      <c r="AU222" s="11" t="s">
        <v>1650</v>
      </c>
      <c r="AV222" s="13" t="s">
        <v>1011</v>
      </c>
      <c r="AW222" s="14"/>
      <c r="AX222" s="44">
        <v>46069</v>
      </c>
    </row>
    <row r="223" spans="1:50" ht="25.5">
      <c r="A223" s="38" t="str">
        <f>VLOOKUP(Tableau1[[#This Row],[N° Département]],Feuil1!$C$6:$E$106,3)</f>
        <v>Grand Est</v>
      </c>
      <c r="B223" s="38" t="str">
        <f>VLOOKUP(Tableau1[[#This Row],[N° Département]],Feuil1!$C$6:$E$106,2)</f>
        <v>Haut-Rhin</v>
      </c>
      <c r="C223" s="38">
        <f>LEFT(Tableau1[[#This Row],[Code Postal]],2)*1</f>
        <v>68</v>
      </c>
      <c r="D223" s="10" t="s">
        <v>1525</v>
      </c>
      <c r="E223" s="26">
        <v>68300</v>
      </c>
      <c r="F223" s="42" t="s">
        <v>1526</v>
      </c>
      <c r="G223" s="39" t="str">
        <f>Tableau1[[#This Row],[Rue]]&amp;CHAR(10)&amp;Tableau1[[#This Row],[Code Postal]]&amp;" - "&amp;Tableau1[[#This Row],[Ville]]</f>
        <v>10 rue Alexandre Freund
68300 - Saint-Louis</v>
      </c>
      <c r="H223" s="15" t="s">
        <v>1527</v>
      </c>
      <c r="I223" s="12" t="s">
        <v>47</v>
      </c>
      <c r="J223" s="12"/>
      <c r="K223" s="10" t="s">
        <v>1179</v>
      </c>
      <c r="L223" s="10"/>
      <c r="M223" s="12" t="s">
        <v>98</v>
      </c>
      <c r="N223" s="36"/>
      <c r="O223" s="34">
        <v>250</v>
      </c>
      <c r="P223" s="12"/>
      <c r="Q223" s="34"/>
      <c r="R223" s="34" t="s">
        <v>98</v>
      </c>
      <c r="S223" s="34" t="s">
        <v>98</v>
      </c>
      <c r="T223" s="12">
        <f>Tableau1[[#This Row],[Loyer €/m²]]*Tableau1[[#This Row],[Surface GLA]]</f>
        <v>43750</v>
      </c>
      <c r="U223" s="12">
        <f>IFERROR(Tableau1[[#This Row],[Loyer annuel]]/12,"")</f>
        <v>3645.8333333333335</v>
      </c>
      <c r="V223" s="12">
        <v>175</v>
      </c>
      <c r="W223" s="34" t="s">
        <v>98</v>
      </c>
      <c r="X223" s="12"/>
      <c r="Y223" s="12">
        <f>Tableau1[[#This Row],[Charges annuelles]]/12</f>
        <v>0</v>
      </c>
      <c r="Z223" s="12"/>
      <c r="AA223" s="12">
        <f>IFERROR(Tableau1[[#This Row],[Taxe foncière €/m²]]*Tableau1[[#This Row],[Surface GLA]],)</f>
        <v>2000</v>
      </c>
      <c r="AB223" s="12">
        <v>8</v>
      </c>
      <c r="AC223" s="12">
        <f>IFERROR(Tableau1[[#This Row],[Marketing €/m²]]*Tableau1[[#This Row],[Surface GLA]],)</f>
        <v>0</v>
      </c>
      <c r="AD223" s="12" t="s">
        <v>98</v>
      </c>
      <c r="AE223" s="12">
        <f>IFERROR(Tableau1[[#This Row],[Loyer annuel]]+Tableau1[[#This Row],[Charges annuelles]]+Tableau1[[#This Row],[Taxe foncière]]+Tableau1[[#This Row],[Marketing]],"")</f>
        <v>45750</v>
      </c>
      <c r="AF223" s="12"/>
      <c r="AG223" s="6" t="s">
        <v>98</v>
      </c>
      <c r="AH223" s="6" t="s">
        <v>98</v>
      </c>
      <c r="AI223" s="12" t="s">
        <v>357</v>
      </c>
      <c r="AJ223" s="10" t="s">
        <v>53</v>
      </c>
      <c r="AK223" s="10" t="s">
        <v>98</v>
      </c>
      <c r="AL223" s="10"/>
      <c r="AM223" s="11" t="s">
        <v>1528</v>
      </c>
      <c r="AN223" s="11" t="s">
        <v>98</v>
      </c>
      <c r="AO223" s="5" t="s">
        <v>361</v>
      </c>
      <c r="AP223" s="11" t="s">
        <v>1541</v>
      </c>
      <c r="AQ223" s="11" t="s">
        <v>1542</v>
      </c>
      <c r="AR223" s="11">
        <v>67</v>
      </c>
      <c r="AS223" s="36"/>
      <c r="AT223" s="11" t="s">
        <v>70</v>
      </c>
      <c r="AU223" s="11" t="s">
        <v>1651</v>
      </c>
      <c r="AV223" s="13" t="s">
        <v>1011</v>
      </c>
      <c r="AW223" s="14"/>
      <c r="AX223" s="44">
        <v>46069</v>
      </c>
    </row>
    <row r="224" spans="1:50" ht="38.25">
      <c r="A224" s="38" t="str">
        <f>VLOOKUP(Tableau1[[#This Row],[N° Département]],Feuil1!$C$6:$E$106,3)</f>
        <v>Occitanie</v>
      </c>
      <c r="B224" s="38" t="str">
        <f>VLOOKUP(Tableau1[[#This Row],[N° Département]],Feuil1!$C$6:$E$106,2)</f>
        <v>Lozère</v>
      </c>
      <c r="C224" s="38">
        <f>LEFT(Tableau1[[#This Row],[Code Postal]],2)*1</f>
        <v>48</v>
      </c>
      <c r="D224" s="11" t="s">
        <v>1510</v>
      </c>
      <c r="E224" s="26">
        <v>48000</v>
      </c>
      <c r="F224" s="10" t="s">
        <v>1511</v>
      </c>
      <c r="G224" s="39" t="str">
        <f>Tableau1[[#This Row],[Rue]]&amp;CHAR(10)&amp;Tableau1[[#This Row],[Code Postal]]&amp;" - "&amp;Tableau1[[#This Row],[Ville]]</f>
        <v>Centre commercial Cœur Lozère
Avenue de Ramilles
48000 - Mende</v>
      </c>
      <c r="H224" s="15" t="s">
        <v>1512</v>
      </c>
      <c r="I224" s="12" t="s">
        <v>47</v>
      </c>
      <c r="J224" s="12" t="s">
        <v>49</v>
      </c>
      <c r="K224" s="10" t="s">
        <v>98</v>
      </c>
      <c r="L224" s="10"/>
      <c r="M224" s="12" t="s">
        <v>1152</v>
      </c>
      <c r="N224" s="36" t="s">
        <v>352</v>
      </c>
      <c r="O224" s="34">
        <v>558</v>
      </c>
      <c r="P224" s="12" t="s">
        <v>1805</v>
      </c>
      <c r="Q224" s="34"/>
      <c r="R224" s="34" t="s">
        <v>98</v>
      </c>
      <c r="S224" s="34" t="s">
        <v>98</v>
      </c>
      <c r="T224" s="12">
        <f>Tableau1[[#This Row],[Loyer €/m²]]*Tableau1[[#This Row],[Surface GLA]]</f>
        <v>83700</v>
      </c>
      <c r="U224" s="12">
        <f>IFERROR(Tableau1[[#This Row],[Loyer annuel]]/12,"")</f>
        <v>6975</v>
      </c>
      <c r="V224" s="12">
        <v>150</v>
      </c>
      <c r="W224" s="34" t="s">
        <v>98</v>
      </c>
      <c r="X224" s="6">
        <f>Tableau1[[#This Row],[Charges €/m²]]*Tableau1[[#This Row],[Surface GLA]]</f>
        <v>14508</v>
      </c>
      <c r="Y224" s="12">
        <f>Tableau1[[#This Row],[Charges annuelles]]/12</f>
        <v>1209</v>
      </c>
      <c r="Z224" s="12">
        <v>26</v>
      </c>
      <c r="AA224" s="12">
        <f>IFERROR(Tableau1[[#This Row],[Taxe foncière €/m²]]*Tableau1[[#This Row],[Surface GLA]],)</f>
        <v>7533</v>
      </c>
      <c r="AB224" s="12">
        <v>13.5</v>
      </c>
      <c r="AC224" s="12">
        <f>IFERROR(Tableau1[[#This Row],[Marketing €/m²]]*Tableau1[[#This Row],[Surface GLA]],)</f>
        <v>0</v>
      </c>
      <c r="AD224" s="12" t="s">
        <v>98</v>
      </c>
      <c r="AE224" s="12">
        <f>IFERROR(Tableau1[[#This Row],[Loyer annuel]]+Tableau1[[#This Row],[Charges annuelles]]+Tableau1[[#This Row],[Taxe foncière]]+Tableau1[[#This Row],[Marketing]],"")</f>
        <v>105741</v>
      </c>
      <c r="AF224" s="12" t="str">
        <f t="shared" ref="AF224" si="11">"3 mois = "&amp;TEXT(ROUND(3/12*T224,0),"### ### ##0 €")</f>
        <v>3 mois = 20 925 €</v>
      </c>
      <c r="AG224" s="6" t="s">
        <v>98</v>
      </c>
      <c r="AH224" s="6" t="s">
        <v>98</v>
      </c>
      <c r="AI224" s="12" t="s">
        <v>357</v>
      </c>
      <c r="AJ224" s="10" t="s">
        <v>369</v>
      </c>
      <c r="AK224" s="10" t="s">
        <v>363</v>
      </c>
      <c r="AL224" s="10" t="s">
        <v>1640</v>
      </c>
      <c r="AM224" s="11" t="s">
        <v>1645</v>
      </c>
      <c r="AN224" s="11" t="s">
        <v>98</v>
      </c>
      <c r="AO224" s="5" t="s">
        <v>361</v>
      </c>
      <c r="AP224" s="11" t="s">
        <v>1634</v>
      </c>
      <c r="AQ224" s="11" t="s">
        <v>1635</v>
      </c>
      <c r="AR224" s="11" t="s">
        <v>1580</v>
      </c>
      <c r="AS224" s="36" t="s">
        <v>1806</v>
      </c>
      <c r="AT224" s="11" t="s">
        <v>70</v>
      </c>
      <c r="AU224" s="11" t="s">
        <v>1652</v>
      </c>
      <c r="AV224" s="13" t="s">
        <v>1584</v>
      </c>
      <c r="AW224" s="14"/>
      <c r="AX224" s="44">
        <v>46071</v>
      </c>
    </row>
    <row r="225" spans="1:50" ht="38.25">
      <c r="A225" s="38" t="str">
        <f>VLOOKUP(Tableau1[[#This Row],[N° Département]],Feuil1!$C$6:$E$106,3)</f>
        <v>Occitanie</v>
      </c>
      <c r="B225" s="38" t="str">
        <f>VLOOKUP(Tableau1[[#This Row],[N° Département]],Feuil1!$C$6:$E$106,2)</f>
        <v>Lozère</v>
      </c>
      <c r="C225" s="38">
        <f>LEFT(Tableau1[[#This Row],[Code Postal]],2)*1</f>
        <v>48</v>
      </c>
      <c r="D225" s="11" t="s">
        <v>1510</v>
      </c>
      <c r="E225" s="26">
        <v>48000</v>
      </c>
      <c r="F225" s="10" t="s">
        <v>1511</v>
      </c>
      <c r="G225" s="39" t="str">
        <f>Tableau1[[#This Row],[Rue]]&amp;CHAR(10)&amp;Tableau1[[#This Row],[Code Postal]]&amp;" - "&amp;Tableau1[[#This Row],[Ville]]</f>
        <v>Centre commercial Cœur Lozère
Avenue de Ramilles
48000 - Mende</v>
      </c>
      <c r="H225" s="15" t="s">
        <v>1513</v>
      </c>
      <c r="I225" s="12" t="s">
        <v>47</v>
      </c>
      <c r="J225" s="12" t="s">
        <v>49</v>
      </c>
      <c r="K225" s="10" t="s">
        <v>98</v>
      </c>
      <c r="L225" s="53" t="s">
        <v>1518</v>
      </c>
      <c r="M225" s="12" t="s">
        <v>1152</v>
      </c>
      <c r="N225" s="36" t="s">
        <v>353</v>
      </c>
      <c r="O225" s="34">
        <v>380</v>
      </c>
      <c r="P225" s="12" t="s">
        <v>1642</v>
      </c>
      <c r="Q225" s="34" t="s">
        <v>98</v>
      </c>
      <c r="R225" s="34" t="s">
        <v>98</v>
      </c>
      <c r="S225" s="34" t="s">
        <v>98</v>
      </c>
      <c r="T225" s="12">
        <f>Tableau1[[#This Row],[Loyer €/m²]]*Tableau1[[#This Row],[Surface GLA]]</f>
        <v>66500</v>
      </c>
      <c r="U225" s="12">
        <f>IFERROR(Tableau1[[#This Row],[Loyer annuel]]/12,"")</f>
        <v>5541.666666666667</v>
      </c>
      <c r="V225" s="12">
        <v>175</v>
      </c>
      <c r="W225" s="34" t="s">
        <v>98</v>
      </c>
      <c r="X225" s="6">
        <f>Tableau1[[#This Row],[Charges €/m²]]*Tableau1[[#This Row],[Surface GLA]]</f>
        <v>9880</v>
      </c>
      <c r="Y225" s="12">
        <f>Tableau1[[#This Row],[Charges annuelles]]/12</f>
        <v>823.33333333333337</v>
      </c>
      <c r="Z225" s="12">
        <v>26</v>
      </c>
      <c r="AA225" s="12">
        <f>IFERROR(Tableau1[[#This Row],[Taxe foncière €/m²]]*Tableau1[[#This Row],[Surface GLA]],)</f>
        <v>4940</v>
      </c>
      <c r="AB225" s="12">
        <v>13</v>
      </c>
      <c r="AC225" s="12">
        <f>IFERROR(Tableau1[[#This Row],[Marketing €/m²]]*Tableau1[[#This Row],[Surface GLA]],)</f>
        <v>0</v>
      </c>
      <c r="AD225" s="12" t="s">
        <v>98</v>
      </c>
      <c r="AE225" s="12">
        <f>IFERROR(Tableau1[[#This Row],[Loyer annuel]]+Tableau1[[#This Row],[Charges annuelles]]+Tableau1[[#This Row],[Taxe foncière]]+Tableau1[[#This Row],[Marketing]],"")</f>
        <v>81320</v>
      </c>
      <c r="AF225" s="12" t="str">
        <f t="shared" ref="AF225:AF255" si="12">"3 mois = "&amp;TEXT(ROUND(3/12*T225,0),"### ### ##0 €")</f>
        <v>3 mois = 16 625 €</v>
      </c>
      <c r="AG225" s="6" t="s">
        <v>98</v>
      </c>
      <c r="AH225" s="6" t="s">
        <v>98</v>
      </c>
      <c r="AI225" s="12" t="s">
        <v>357</v>
      </c>
      <c r="AJ225" s="10" t="s">
        <v>369</v>
      </c>
      <c r="AK225" s="10" t="s">
        <v>363</v>
      </c>
      <c r="AL225" s="10" t="s">
        <v>1640</v>
      </c>
      <c r="AM225" s="11" t="s">
        <v>1643</v>
      </c>
      <c r="AN225" s="11" t="s">
        <v>98</v>
      </c>
      <c r="AO225" s="5" t="s">
        <v>361</v>
      </c>
      <c r="AP225" s="11" t="s">
        <v>1636</v>
      </c>
      <c r="AQ225" s="11" t="s">
        <v>1637</v>
      </c>
      <c r="AR225" s="11" t="s">
        <v>1581</v>
      </c>
      <c r="AS225" s="36" t="s">
        <v>1644</v>
      </c>
      <c r="AT225" s="11" t="s">
        <v>70</v>
      </c>
      <c r="AU225" s="11" t="s">
        <v>1646</v>
      </c>
      <c r="AV225" s="13" t="s">
        <v>1584</v>
      </c>
      <c r="AW225" s="14"/>
      <c r="AX225" s="44">
        <v>46071</v>
      </c>
    </row>
    <row r="226" spans="1:50" ht="38.25">
      <c r="A226" s="38" t="str">
        <f>VLOOKUP(Tableau1[[#This Row],[N° Département]],Feuil1!$C$6:$E$106,3)</f>
        <v>Occitanie</v>
      </c>
      <c r="B226" s="38" t="str">
        <f>VLOOKUP(Tableau1[[#This Row],[N° Département]],Feuil1!$C$6:$E$106,2)</f>
        <v>Lozère</v>
      </c>
      <c r="C226" s="38">
        <f>LEFT(Tableau1[[#This Row],[Code Postal]],2)*1</f>
        <v>48</v>
      </c>
      <c r="D226" s="11" t="s">
        <v>1510</v>
      </c>
      <c r="E226" s="26">
        <v>48000</v>
      </c>
      <c r="F226" s="42" t="s">
        <v>1511</v>
      </c>
      <c r="G226" s="39" t="str">
        <f>Tableau1[[#This Row],[Rue]]&amp;CHAR(10)&amp;Tableau1[[#This Row],[Code Postal]]&amp;" - "&amp;Tableau1[[#This Row],[Ville]]</f>
        <v>Centre commercial Cœur Lozère
Avenue de Ramilles
48000 - Mende</v>
      </c>
      <c r="H226" s="15" t="s">
        <v>1514</v>
      </c>
      <c r="I226" s="12" t="s">
        <v>47</v>
      </c>
      <c r="J226" s="12" t="s">
        <v>49</v>
      </c>
      <c r="K226" s="10" t="s">
        <v>1255</v>
      </c>
      <c r="L226" s="10"/>
      <c r="M226" s="12" t="s">
        <v>98</v>
      </c>
      <c r="N226" s="36"/>
      <c r="O226" s="34">
        <v>45</v>
      </c>
      <c r="P226" s="6" t="s">
        <v>98</v>
      </c>
      <c r="Q226" s="34" t="s">
        <v>98</v>
      </c>
      <c r="R226" s="34" t="s">
        <v>98</v>
      </c>
      <c r="S226" s="6" t="s">
        <v>98</v>
      </c>
      <c r="T226" s="12">
        <f>Tableau1[[#This Row],[Loyer €/m²]]*Tableau1[[#This Row],[Surface GLA]]</f>
        <v>22500</v>
      </c>
      <c r="U226" s="12">
        <f>IFERROR(Tableau1[[#This Row],[Loyer annuel]]/12,"")</f>
        <v>1875</v>
      </c>
      <c r="V226" s="12">
        <v>500</v>
      </c>
      <c r="W226" s="34" t="s">
        <v>98</v>
      </c>
      <c r="X226" s="6">
        <f>Tableau1[[#This Row],[Charges €/m²]]*Tableau1[[#This Row],[Surface GLA]]</f>
        <v>1170</v>
      </c>
      <c r="Y226" s="12">
        <f>Tableau1[[#This Row],[Charges annuelles]]/12</f>
        <v>97.5</v>
      </c>
      <c r="Z226" s="12">
        <v>26</v>
      </c>
      <c r="AA226" s="12">
        <f>IFERROR(Tableau1[[#This Row],[Taxe foncière €/m²]]*Tableau1[[#This Row],[Surface GLA]],)</f>
        <v>630</v>
      </c>
      <c r="AB226" s="12">
        <v>14</v>
      </c>
      <c r="AC226" s="12">
        <f>IFERROR(Tableau1[[#This Row],[Marketing €/m²]]*Tableau1[[#This Row],[Surface GLA]],)</f>
        <v>0</v>
      </c>
      <c r="AD226" s="12" t="s">
        <v>98</v>
      </c>
      <c r="AE226" s="12">
        <f>IFERROR(Tableau1[[#This Row],[Loyer annuel]]+Tableau1[[#This Row],[Charges annuelles]]+Tableau1[[#This Row],[Taxe foncière]]+Tableau1[[#This Row],[Marketing]],"")</f>
        <v>24300</v>
      </c>
      <c r="AF226" s="12" t="str">
        <f t="shared" si="12"/>
        <v>3 mois = 5 625 €</v>
      </c>
      <c r="AG226" s="6" t="s">
        <v>98</v>
      </c>
      <c r="AH226" s="6" t="s">
        <v>98</v>
      </c>
      <c r="AI226" s="12" t="s">
        <v>357</v>
      </c>
      <c r="AJ226" s="10" t="s">
        <v>53</v>
      </c>
      <c r="AK226" s="10" t="s">
        <v>362</v>
      </c>
      <c r="AL226" s="10" t="s">
        <v>1640</v>
      </c>
      <c r="AM226" s="11" t="s">
        <v>1641</v>
      </c>
      <c r="AN226" s="11" t="s">
        <v>98</v>
      </c>
      <c r="AO226" s="5" t="s">
        <v>361</v>
      </c>
      <c r="AP226" s="11" t="s">
        <v>1638</v>
      </c>
      <c r="AQ226" s="11" t="s">
        <v>1639</v>
      </c>
      <c r="AR226" s="11" t="s">
        <v>1583</v>
      </c>
      <c r="AS226" s="36" t="s">
        <v>1644</v>
      </c>
      <c r="AT226" s="11" t="s">
        <v>70</v>
      </c>
      <c r="AU226" s="11" t="s">
        <v>1653</v>
      </c>
      <c r="AV226" s="13" t="s">
        <v>1584</v>
      </c>
      <c r="AW226" s="14"/>
      <c r="AX226" s="44">
        <v>46071</v>
      </c>
    </row>
    <row r="227" spans="1:50" ht="25.5">
      <c r="A227" s="38" t="str">
        <f>VLOOKUP(Tableau1[[#This Row],[N° Département]],Feuil1!$C$6:$E$106,3)</f>
        <v>Ile-de-France</v>
      </c>
      <c r="B227" s="38" t="str">
        <f>VLOOKUP(Tableau1[[#This Row],[N° Département]],Feuil1!$C$6:$E$106,2)</f>
        <v>Val-de-Marne</v>
      </c>
      <c r="C227" s="38">
        <f>LEFT(Tableau1[[#This Row],[Code Postal]],2)*1</f>
        <v>94</v>
      </c>
      <c r="D227" s="10" t="s">
        <v>1543</v>
      </c>
      <c r="E227" s="26">
        <v>94140</v>
      </c>
      <c r="F227" s="42" t="s">
        <v>1544</v>
      </c>
      <c r="G227" s="39" t="str">
        <f>Tableau1[[#This Row],[Rue]]&amp;CHAR(10)&amp;Tableau1[[#This Row],[Code Postal]]&amp;" - "&amp;Tableau1[[#This Row],[Ville]]</f>
        <v>5 rue Victor Hugo
94140 - Alfortville</v>
      </c>
      <c r="H227" s="15" t="s">
        <v>1763</v>
      </c>
      <c r="I227" s="12" t="s">
        <v>45</v>
      </c>
      <c r="J227" s="12" t="s">
        <v>44</v>
      </c>
      <c r="K227" s="10" t="s">
        <v>98</v>
      </c>
      <c r="L227" s="53" t="s">
        <v>1518</v>
      </c>
      <c r="M227" s="12" t="s">
        <v>98</v>
      </c>
      <c r="N227" s="36"/>
      <c r="O227" s="34">
        <v>143</v>
      </c>
      <c r="P227" s="6" t="s">
        <v>98</v>
      </c>
      <c r="Q227" s="34" t="s">
        <v>98</v>
      </c>
      <c r="R227" s="34" t="s">
        <v>98</v>
      </c>
      <c r="S227" s="6" t="s">
        <v>98</v>
      </c>
      <c r="T227" s="12">
        <f>Tableau1[[#This Row],[Loyer €/m²]]*Tableau1[[#This Row],[Surface GLA]]</f>
        <v>42900</v>
      </c>
      <c r="U227" s="12">
        <f>IFERROR(Tableau1[[#This Row],[Loyer annuel]]/12,"")</f>
        <v>3575</v>
      </c>
      <c r="V227" s="12">
        <v>300</v>
      </c>
      <c r="W227" s="34" t="s">
        <v>98</v>
      </c>
      <c r="X227" s="6">
        <f>Tableau1[[#This Row],[Charges €/m²]]*Tableau1[[#This Row],[Surface GLA]]</f>
        <v>2679.8199999999997</v>
      </c>
      <c r="Y227" s="12">
        <f>Tableau1[[#This Row],[Charges annuelles]]/12</f>
        <v>223.3183333333333</v>
      </c>
      <c r="Z227" s="12">
        <v>18.739999999999998</v>
      </c>
      <c r="AA227" s="12">
        <f>IFERROR(Tableau1[[#This Row],[Taxe foncière €/m²]]*Tableau1[[#This Row],[Surface GLA]],)</f>
        <v>0</v>
      </c>
      <c r="AB227" s="12"/>
      <c r="AC227" s="12">
        <f>IFERROR(Tableau1[[#This Row],[Marketing €/m²]]*Tableau1[[#This Row],[Surface GLA]],)</f>
        <v>0</v>
      </c>
      <c r="AD227" s="12" t="s">
        <v>98</v>
      </c>
      <c r="AE227" s="12">
        <f>IFERROR(Tableau1[[#This Row],[Loyer annuel]]+Tableau1[[#This Row],[Charges annuelles]]+Tableau1[[#This Row],[Taxe foncière]]+Tableau1[[#This Row],[Marketing]],"")</f>
        <v>45579.82</v>
      </c>
      <c r="AF227" s="12" t="str">
        <f t="shared" si="12"/>
        <v>3 mois = 10 725 €</v>
      </c>
      <c r="AG227" s="12" t="s">
        <v>98</v>
      </c>
      <c r="AH227" s="51">
        <v>1.4999999999999999E-2</v>
      </c>
      <c r="AI227" s="12" t="s">
        <v>373</v>
      </c>
      <c r="AJ227" s="10" t="s">
        <v>70</v>
      </c>
      <c r="AK227" s="10" t="s">
        <v>363</v>
      </c>
      <c r="AL227" s="10"/>
      <c r="AM227" s="11"/>
      <c r="AN227" s="11" t="s">
        <v>1547</v>
      </c>
      <c r="AO227" s="5" t="s">
        <v>361</v>
      </c>
      <c r="AP227" s="11" t="s">
        <v>1764</v>
      </c>
      <c r="AQ227" s="11" t="s">
        <v>1765</v>
      </c>
      <c r="AR227" s="11">
        <v>69</v>
      </c>
      <c r="AS227" s="36" t="s">
        <v>1804</v>
      </c>
      <c r="AT227" s="11" t="s">
        <v>70</v>
      </c>
      <c r="AU227" s="11" t="s">
        <v>1586</v>
      </c>
      <c r="AV227" s="13" t="s">
        <v>1585</v>
      </c>
      <c r="AW227" s="14"/>
      <c r="AX227" s="44">
        <v>46079</v>
      </c>
    </row>
    <row r="228" spans="1:50" ht="25.5">
      <c r="A228" s="38" t="str">
        <f>VLOOKUP(Tableau1[[#This Row],[N° Département]],Feuil1!$C$6:$E$106,3)</f>
        <v>Auvergne-Rhône-Alpes</v>
      </c>
      <c r="B228" s="38" t="str">
        <f>VLOOKUP(Tableau1[[#This Row],[N° Département]],Feuil1!$C$6:$E$106,2)</f>
        <v>Rhône</v>
      </c>
      <c r="C228" s="38">
        <f>LEFT(Tableau1[[#This Row],[Code Postal]],2)*1</f>
        <v>69</v>
      </c>
      <c r="D228" s="10" t="s">
        <v>1546</v>
      </c>
      <c r="E228" s="26">
        <v>69500</v>
      </c>
      <c r="F228" s="54" t="s">
        <v>1545</v>
      </c>
      <c r="G228" s="39" t="str">
        <f>Tableau1[[#This Row],[Rue]]&amp;CHAR(10)&amp;Tableau1[[#This Row],[Code Postal]]&amp;" - "&amp;Tableau1[[#This Row],[Ville]]</f>
        <v>Place du général Jean Raby
69500 - Bron</v>
      </c>
      <c r="H228" s="15" t="s">
        <v>1761</v>
      </c>
      <c r="I228" s="12" t="s">
        <v>45</v>
      </c>
      <c r="J228" s="12" t="s">
        <v>44</v>
      </c>
      <c r="K228" s="10" t="s">
        <v>98</v>
      </c>
      <c r="L228" s="53" t="s">
        <v>1518</v>
      </c>
      <c r="M228" s="12" t="s">
        <v>98</v>
      </c>
      <c r="N228" s="36" t="s">
        <v>330</v>
      </c>
      <c r="O228" s="34">
        <v>228</v>
      </c>
      <c r="P228" s="6" t="s">
        <v>98</v>
      </c>
      <c r="Q228" s="34" t="s">
        <v>98</v>
      </c>
      <c r="R228" s="34" t="s">
        <v>98</v>
      </c>
      <c r="S228" s="6" t="s">
        <v>98</v>
      </c>
      <c r="T228" s="12">
        <f>Tableau1[[#This Row],[Loyer €/m²]]*Tableau1[[#This Row],[Surface GLA]]</f>
        <v>45600</v>
      </c>
      <c r="U228" s="12">
        <f>IFERROR(Tableau1[[#This Row],[Loyer annuel]]/12,"")</f>
        <v>3800</v>
      </c>
      <c r="V228" s="12">
        <v>200</v>
      </c>
      <c r="W228" s="34" t="s">
        <v>98</v>
      </c>
      <c r="X228" s="6">
        <f>Tableau1[[#This Row],[Charges €/m²]]*Tableau1[[#This Row],[Surface GLA]]</f>
        <v>3312.8399999999997</v>
      </c>
      <c r="Y228" s="12">
        <f>Tableau1[[#This Row],[Charges annuelles]]/12</f>
        <v>276.07</v>
      </c>
      <c r="Z228" s="12">
        <v>14.53</v>
      </c>
      <c r="AA228" s="12">
        <f>IFERROR(Tableau1[[#This Row],[Taxe foncière €/m²]]*Tableau1[[#This Row],[Surface GLA]],)</f>
        <v>0</v>
      </c>
      <c r="AB228" s="12"/>
      <c r="AC228" s="12">
        <f>IFERROR(Tableau1[[#This Row],[Marketing €/m²]]*Tableau1[[#This Row],[Surface GLA]],)</f>
        <v>0</v>
      </c>
      <c r="AD228" s="12" t="s">
        <v>98</v>
      </c>
      <c r="AE228" s="12">
        <f>IFERROR(Tableau1[[#This Row],[Loyer annuel]]+Tableau1[[#This Row],[Charges annuelles]]+Tableau1[[#This Row],[Taxe foncière]]+Tableau1[[#This Row],[Marketing]],"")</f>
        <v>48912.84</v>
      </c>
      <c r="AF228" s="12" t="str">
        <f t="shared" si="12"/>
        <v>3 mois = 11 400 €</v>
      </c>
      <c r="AG228" s="12" t="s">
        <v>98</v>
      </c>
      <c r="AH228" s="51">
        <v>1.4999999999999999E-2</v>
      </c>
      <c r="AI228" s="12" t="s">
        <v>373</v>
      </c>
      <c r="AJ228" s="10" t="s">
        <v>70</v>
      </c>
      <c r="AK228" s="10" t="s">
        <v>363</v>
      </c>
      <c r="AL228" s="10"/>
      <c r="AM228" s="11"/>
      <c r="AN228" s="11" t="s">
        <v>1547</v>
      </c>
      <c r="AO228" s="5" t="s">
        <v>361</v>
      </c>
      <c r="AP228" s="11" t="s">
        <v>1735</v>
      </c>
      <c r="AQ228" s="11" t="s">
        <v>1736</v>
      </c>
      <c r="AR228" s="11" t="s">
        <v>1612</v>
      </c>
      <c r="AS228" s="36" t="s">
        <v>1747</v>
      </c>
      <c r="AT228" s="11" t="s">
        <v>70</v>
      </c>
      <c r="AU228" s="11" t="s">
        <v>1587</v>
      </c>
      <c r="AV228" s="13" t="s">
        <v>1585</v>
      </c>
      <c r="AW228" s="14"/>
      <c r="AX228" s="44">
        <v>46079</v>
      </c>
    </row>
    <row r="229" spans="1:50" ht="25.5">
      <c r="A229" s="38" t="str">
        <f>VLOOKUP(Tableau1[[#This Row],[N° Département]],Feuil1!$C$6:$E$106,3)</f>
        <v>Auvergne-Rhône-Alpes</v>
      </c>
      <c r="B229" s="38" t="str">
        <f>VLOOKUP(Tableau1[[#This Row],[N° Département]],Feuil1!$C$6:$E$106,2)</f>
        <v>Rhône</v>
      </c>
      <c r="C229" s="38">
        <f>LEFT(Tableau1[[#This Row],[Code Postal]],2)*1</f>
        <v>69</v>
      </c>
      <c r="D229" s="10" t="s">
        <v>1572</v>
      </c>
      <c r="E229" s="26">
        <v>69500</v>
      </c>
      <c r="F229" s="54" t="s">
        <v>1545</v>
      </c>
      <c r="G229" s="39" t="str">
        <f>Tableau1[[#This Row],[Rue]]&amp;CHAR(10)&amp;Tableau1[[#This Row],[Code Postal]]&amp;" - "&amp;Tableau1[[#This Row],[Ville]]</f>
        <v>rue du Colonel Arnaud Beltrame
69500 - Bron</v>
      </c>
      <c r="H229" s="15" t="s">
        <v>1762</v>
      </c>
      <c r="I229" s="12" t="s">
        <v>45</v>
      </c>
      <c r="J229" s="12" t="s">
        <v>44</v>
      </c>
      <c r="K229" s="10" t="s">
        <v>98</v>
      </c>
      <c r="L229" s="53" t="s">
        <v>1518</v>
      </c>
      <c r="M229" s="12" t="s">
        <v>98</v>
      </c>
      <c r="N229" s="36" t="s">
        <v>1160</v>
      </c>
      <c r="O229" s="34">
        <v>363</v>
      </c>
      <c r="P229" s="6" t="s">
        <v>98</v>
      </c>
      <c r="Q229" s="34" t="s">
        <v>98</v>
      </c>
      <c r="R229" s="34" t="s">
        <v>98</v>
      </c>
      <c r="S229" s="6" t="s">
        <v>98</v>
      </c>
      <c r="T229" s="12">
        <f>Tableau1[[#This Row],[Loyer €/m²]]*Tableau1[[#This Row],[Surface GLA]]</f>
        <v>54450</v>
      </c>
      <c r="U229" s="12">
        <f>IFERROR(Tableau1[[#This Row],[Loyer annuel]]/12,"")</f>
        <v>4537.5</v>
      </c>
      <c r="V229" s="12">
        <v>150</v>
      </c>
      <c r="W229" s="34" t="s">
        <v>98</v>
      </c>
      <c r="X229" s="6">
        <f>Tableau1[[#This Row],[Charges €/m²]]*Tableau1[[#This Row],[Surface GLA]]</f>
        <v>1190.6399999999999</v>
      </c>
      <c r="Y229" s="12">
        <f>Tableau1[[#This Row],[Charges annuelles]]/12</f>
        <v>99.219999999999985</v>
      </c>
      <c r="Z229" s="12">
        <v>3.28</v>
      </c>
      <c r="AA229" s="12">
        <f>IFERROR(Tableau1[[#This Row],[Taxe foncière €/m²]]*Tableau1[[#This Row],[Surface GLA]],)</f>
        <v>0</v>
      </c>
      <c r="AB229" s="12"/>
      <c r="AC229" s="12">
        <f>IFERROR(Tableau1[[#This Row],[Marketing €/m²]]*Tableau1[[#This Row],[Surface GLA]],)</f>
        <v>0</v>
      </c>
      <c r="AD229" s="12" t="s">
        <v>98</v>
      </c>
      <c r="AE229" s="12">
        <f>IFERROR(Tableau1[[#This Row],[Loyer annuel]]+Tableau1[[#This Row],[Charges annuelles]]+Tableau1[[#This Row],[Taxe foncière]]+Tableau1[[#This Row],[Marketing]],"")</f>
        <v>55640.639999999999</v>
      </c>
      <c r="AF229" s="12" t="str">
        <f t="shared" si="12"/>
        <v>3 mois = 13 613 €</v>
      </c>
      <c r="AG229" s="12" t="s">
        <v>98</v>
      </c>
      <c r="AH229" s="51">
        <v>1.4999999999999999E-2</v>
      </c>
      <c r="AI229" s="12" t="s">
        <v>373</v>
      </c>
      <c r="AJ229" s="10" t="s">
        <v>70</v>
      </c>
      <c r="AK229" s="10" t="s">
        <v>363</v>
      </c>
      <c r="AL229" s="10"/>
      <c r="AM229" s="11"/>
      <c r="AN229" s="11" t="s">
        <v>1547</v>
      </c>
      <c r="AO229" s="5" t="s">
        <v>361</v>
      </c>
      <c r="AP229" s="11" t="s">
        <v>1737</v>
      </c>
      <c r="AQ229" s="11" t="s">
        <v>1738</v>
      </c>
      <c r="AR229" s="11" t="s">
        <v>1613</v>
      </c>
      <c r="AS229" s="36" t="s">
        <v>1748</v>
      </c>
      <c r="AT229" s="11" t="s">
        <v>70</v>
      </c>
      <c r="AU229" s="11" t="s">
        <v>1588</v>
      </c>
      <c r="AV229" s="13" t="s">
        <v>1585</v>
      </c>
      <c r="AW229" s="14"/>
      <c r="AX229" s="44">
        <v>46079</v>
      </c>
    </row>
    <row r="230" spans="1:50" ht="25.5">
      <c r="A230" s="38" t="str">
        <f>VLOOKUP(Tableau1[[#This Row],[N° Département]],Feuil1!$C$6:$E$106,3)</f>
        <v>Auvergne-Rhône-Alpes</v>
      </c>
      <c r="B230" s="38" t="str">
        <f>VLOOKUP(Tableau1[[#This Row],[N° Département]],Feuil1!$C$6:$E$106,2)</f>
        <v>Rhône</v>
      </c>
      <c r="C230" s="38">
        <f>LEFT(Tableau1[[#This Row],[Code Postal]],2)*1</f>
        <v>69</v>
      </c>
      <c r="D230" s="10" t="s">
        <v>1572</v>
      </c>
      <c r="E230" s="26">
        <v>69500</v>
      </c>
      <c r="F230" s="54" t="s">
        <v>1545</v>
      </c>
      <c r="G230" s="39" t="str">
        <f>Tableau1[[#This Row],[Rue]]&amp;CHAR(10)&amp;Tableau1[[#This Row],[Code Postal]]&amp;" - "&amp;Tableau1[[#This Row],[Ville]]</f>
        <v>rue du Colonel Arnaud Beltrame
69500 - Bron</v>
      </c>
      <c r="H230" s="15" t="s">
        <v>1762</v>
      </c>
      <c r="I230" s="12" t="s">
        <v>45</v>
      </c>
      <c r="J230" s="12" t="s">
        <v>44</v>
      </c>
      <c r="K230" s="10" t="s">
        <v>98</v>
      </c>
      <c r="L230" s="53" t="s">
        <v>1518</v>
      </c>
      <c r="M230" s="12" t="s">
        <v>98</v>
      </c>
      <c r="N230" s="36" t="s">
        <v>1557</v>
      </c>
      <c r="O230" s="34">
        <v>110</v>
      </c>
      <c r="P230" s="6" t="s">
        <v>98</v>
      </c>
      <c r="Q230" s="34">
        <v>222</v>
      </c>
      <c r="R230" s="34" t="s">
        <v>98</v>
      </c>
      <c r="S230" s="6" t="s">
        <v>98</v>
      </c>
      <c r="T230" s="12">
        <f>Tableau1[[#This Row],[Loyer €/m²]]*Tableau1[[#This Row],[Surface GLA]]</f>
        <v>27500</v>
      </c>
      <c r="U230" s="12">
        <f>IFERROR(Tableau1[[#This Row],[Loyer annuel]]/12,"")</f>
        <v>2291.6666666666665</v>
      </c>
      <c r="V230" s="12">
        <v>250</v>
      </c>
      <c r="W230" s="34" t="s">
        <v>98</v>
      </c>
      <c r="X230" s="6">
        <f>Tableau1[[#This Row],[Charges €/m²]]*Tableau1[[#This Row],[Surface GLA]]</f>
        <v>359.7</v>
      </c>
      <c r="Y230" s="12">
        <f>Tableau1[[#This Row],[Charges annuelles]]/12</f>
        <v>29.974999999999998</v>
      </c>
      <c r="Z230" s="12">
        <v>3.27</v>
      </c>
      <c r="AA230" s="12">
        <f>IFERROR(Tableau1[[#This Row],[Taxe foncière €/m²]]*Tableau1[[#This Row],[Surface GLA]],)</f>
        <v>0</v>
      </c>
      <c r="AB230" s="12"/>
      <c r="AC230" s="12">
        <f>IFERROR(Tableau1[[#This Row],[Marketing €/m²]]*Tableau1[[#This Row],[Surface GLA]],)</f>
        <v>0</v>
      </c>
      <c r="AD230" s="12" t="s">
        <v>98</v>
      </c>
      <c r="AE230" s="12">
        <f>IFERROR(Tableau1[[#This Row],[Loyer annuel]]+Tableau1[[#This Row],[Charges annuelles]]+Tableau1[[#This Row],[Taxe foncière]]+Tableau1[[#This Row],[Marketing]],"")</f>
        <v>27859.7</v>
      </c>
      <c r="AF230" s="12" t="str">
        <f t="shared" si="12"/>
        <v>3 mois = 6 875 €</v>
      </c>
      <c r="AG230" s="12" t="s">
        <v>98</v>
      </c>
      <c r="AH230" s="51">
        <v>1.4999999999999999E-2</v>
      </c>
      <c r="AI230" s="12" t="s">
        <v>373</v>
      </c>
      <c r="AJ230" s="10" t="s">
        <v>70</v>
      </c>
      <c r="AK230" s="10" t="s">
        <v>363</v>
      </c>
      <c r="AL230" s="10"/>
      <c r="AM230" s="11"/>
      <c r="AN230" s="11" t="s">
        <v>1547</v>
      </c>
      <c r="AO230" s="5" t="s">
        <v>361</v>
      </c>
      <c r="AP230" s="11" t="s">
        <v>1739</v>
      </c>
      <c r="AQ230" s="11" t="s">
        <v>1740</v>
      </c>
      <c r="AR230" s="11" t="s">
        <v>1614</v>
      </c>
      <c r="AS230" s="36" t="s">
        <v>1749</v>
      </c>
      <c r="AT230" s="11" t="s">
        <v>70</v>
      </c>
      <c r="AU230" s="11" t="s">
        <v>1589</v>
      </c>
      <c r="AV230" s="13" t="s">
        <v>1585</v>
      </c>
      <c r="AW230" s="14"/>
      <c r="AX230" s="44">
        <v>46079</v>
      </c>
    </row>
    <row r="231" spans="1:50" ht="25.5">
      <c r="A231" s="38" t="str">
        <f>VLOOKUP(Tableau1[[#This Row],[N° Département]],Feuil1!$C$6:$E$106,3)</f>
        <v>Auvergne-Rhône-Alpes</v>
      </c>
      <c r="B231" s="38" t="str">
        <f>VLOOKUP(Tableau1[[#This Row],[N° Département]],Feuil1!$C$6:$E$106,2)</f>
        <v>Rhône</v>
      </c>
      <c r="C231" s="38">
        <f>LEFT(Tableau1[[#This Row],[Code Postal]],2)*1</f>
        <v>69</v>
      </c>
      <c r="D231" s="10" t="s">
        <v>1572</v>
      </c>
      <c r="E231" s="26">
        <v>69500</v>
      </c>
      <c r="F231" s="54" t="s">
        <v>1545</v>
      </c>
      <c r="G231" s="39" t="str">
        <f>Tableau1[[#This Row],[Rue]]&amp;CHAR(10)&amp;Tableau1[[#This Row],[Code Postal]]&amp;" - "&amp;Tableau1[[#This Row],[Ville]]</f>
        <v>rue du Colonel Arnaud Beltrame
69500 - Bron</v>
      </c>
      <c r="H231" s="15" t="s">
        <v>1762</v>
      </c>
      <c r="I231" s="12" t="s">
        <v>45</v>
      </c>
      <c r="J231" s="12" t="s">
        <v>44</v>
      </c>
      <c r="K231" s="10" t="s">
        <v>98</v>
      </c>
      <c r="L231" s="53" t="s">
        <v>1518</v>
      </c>
      <c r="M231" s="12" t="s">
        <v>98</v>
      </c>
      <c r="N231" s="36" t="s">
        <v>1173</v>
      </c>
      <c r="O231" s="34">
        <v>112</v>
      </c>
      <c r="P231" s="6" t="s">
        <v>98</v>
      </c>
      <c r="Q231" s="34">
        <v>222</v>
      </c>
      <c r="R231" s="34" t="s">
        <v>98</v>
      </c>
      <c r="S231" s="6" t="s">
        <v>98</v>
      </c>
      <c r="T231" s="12">
        <f>Tableau1[[#This Row],[Loyer €/m²]]*Tableau1[[#This Row],[Surface GLA]]</f>
        <v>28000</v>
      </c>
      <c r="U231" s="12">
        <f>IFERROR(Tableau1[[#This Row],[Loyer annuel]]/12,"")</f>
        <v>2333.3333333333335</v>
      </c>
      <c r="V231" s="12">
        <v>250</v>
      </c>
      <c r="W231" s="34" t="s">
        <v>98</v>
      </c>
      <c r="X231" s="6">
        <f>Tableau1[[#This Row],[Charges €/m²]]*Tableau1[[#This Row],[Surface GLA]]</f>
        <v>243.04</v>
      </c>
      <c r="Y231" s="12">
        <f>Tableau1[[#This Row],[Charges annuelles]]/12</f>
        <v>20.253333333333334</v>
      </c>
      <c r="Z231" s="12">
        <v>2.17</v>
      </c>
      <c r="AA231" s="12">
        <f>IFERROR(Tableau1[[#This Row],[Taxe foncière €/m²]]*Tableau1[[#This Row],[Surface GLA]],)</f>
        <v>0</v>
      </c>
      <c r="AB231" s="12"/>
      <c r="AC231" s="12">
        <f>IFERROR(Tableau1[[#This Row],[Marketing €/m²]]*Tableau1[[#This Row],[Surface GLA]],)</f>
        <v>0</v>
      </c>
      <c r="AD231" s="12" t="s">
        <v>98</v>
      </c>
      <c r="AE231" s="12">
        <f>IFERROR(Tableau1[[#This Row],[Loyer annuel]]+Tableau1[[#This Row],[Charges annuelles]]+Tableau1[[#This Row],[Taxe foncière]]+Tableau1[[#This Row],[Marketing]],"")</f>
        <v>28243.040000000001</v>
      </c>
      <c r="AF231" s="12" t="str">
        <f t="shared" si="12"/>
        <v>3 mois = 7 000 €</v>
      </c>
      <c r="AG231" s="12" t="s">
        <v>98</v>
      </c>
      <c r="AH231" s="51">
        <v>1.4999999999999999E-2</v>
      </c>
      <c r="AI231" s="12" t="s">
        <v>373</v>
      </c>
      <c r="AJ231" s="10" t="s">
        <v>70</v>
      </c>
      <c r="AK231" s="10" t="s">
        <v>363</v>
      </c>
      <c r="AL231" s="10"/>
      <c r="AM231" s="11"/>
      <c r="AN231" s="11" t="s">
        <v>1547</v>
      </c>
      <c r="AO231" s="5" t="s">
        <v>361</v>
      </c>
      <c r="AP231" s="11" t="s">
        <v>1741</v>
      </c>
      <c r="AQ231" s="11" t="s">
        <v>1742</v>
      </c>
      <c r="AR231" s="11" t="s">
        <v>1615</v>
      </c>
      <c r="AS231" s="36" t="s">
        <v>1749</v>
      </c>
      <c r="AT231" s="11" t="s">
        <v>70</v>
      </c>
      <c r="AU231" s="11" t="s">
        <v>1590</v>
      </c>
      <c r="AV231" s="13" t="s">
        <v>1585</v>
      </c>
      <c r="AW231" s="14"/>
      <c r="AX231" s="44">
        <v>46079</v>
      </c>
    </row>
    <row r="232" spans="1:50" ht="25.5">
      <c r="A232" s="38" t="str">
        <f>VLOOKUP(Tableau1[[#This Row],[N° Département]],Feuil1!$C$6:$E$106,3)</f>
        <v>Auvergne-Rhône-Alpes</v>
      </c>
      <c r="B232" s="38" t="str">
        <f>VLOOKUP(Tableau1[[#This Row],[N° Département]],Feuil1!$C$6:$E$106,2)</f>
        <v>Rhône</v>
      </c>
      <c r="C232" s="38">
        <f>LEFT(Tableau1[[#This Row],[Code Postal]],2)*1</f>
        <v>69</v>
      </c>
      <c r="D232" s="10" t="s">
        <v>1572</v>
      </c>
      <c r="E232" s="26">
        <v>69500</v>
      </c>
      <c r="F232" s="54" t="s">
        <v>1545</v>
      </c>
      <c r="G232" s="39" t="str">
        <f>Tableau1[[#This Row],[Rue]]&amp;CHAR(10)&amp;Tableau1[[#This Row],[Code Postal]]&amp;" - "&amp;Tableau1[[#This Row],[Ville]]</f>
        <v>rue du Colonel Arnaud Beltrame
69500 - Bron</v>
      </c>
      <c r="H232" s="15" t="s">
        <v>1762</v>
      </c>
      <c r="I232" s="12" t="s">
        <v>45</v>
      </c>
      <c r="J232" s="12" t="s">
        <v>44</v>
      </c>
      <c r="K232" s="10" t="s">
        <v>98</v>
      </c>
      <c r="L232" s="53" t="s">
        <v>1518</v>
      </c>
      <c r="M232" s="12" t="s">
        <v>98</v>
      </c>
      <c r="N232" s="36" t="s">
        <v>1558</v>
      </c>
      <c r="O232" s="34">
        <v>86</v>
      </c>
      <c r="P232" s="6" t="s">
        <v>98</v>
      </c>
      <c r="Q232" s="34">
        <v>179</v>
      </c>
      <c r="R232" s="34" t="s">
        <v>98</v>
      </c>
      <c r="S232" s="6" t="s">
        <v>98</v>
      </c>
      <c r="T232" s="12">
        <f>Tableau1[[#This Row],[Loyer €/m²]]*Tableau1[[#This Row],[Surface GLA]]</f>
        <v>21500</v>
      </c>
      <c r="U232" s="12">
        <f>IFERROR(Tableau1[[#This Row],[Loyer annuel]]/12,"")</f>
        <v>1791.6666666666667</v>
      </c>
      <c r="V232" s="12">
        <v>250</v>
      </c>
      <c r="W232" s="34" t="s">
        <v>98</v>
      </c>
      <c r="X232" s="6">
        <f>Tableau1[[#This Row],[Charges €/m²]]*Tableau1[[#This Row],[Surface GLA]]</f>
        <v>283.8</v>
      </c>
      <c r="Y232" s="12">
        <f>Tableau1[[#This Row],[Charges annuelles]]/12</f>
        <v>23.650000000000002</v>
      </c>
      <c r="Z232" s="12">
        <v>3.3</v>
      </c>
      <c r="AA232" s="12">
        <f>IFERROR(Tableau1[[#This Row],[Taxe foncière €/m²]]*Tableau1[[#This Row],[Surface GLA]],)</f>
        <v>0</v>
      </c>
      <c r="AB232" s="12"/>
      <c r="AC232" s="12">
        <f>IFERROR(Tableau1[[#This Row],[Marketing €/m²]]*Tableau1[[#This Row],[Surface GLA]],)</f>
        <v>0</v>
      </c>
      <c r="AD232" s="12" t="s">
        <v>98</v>
      </c>
      <c r="AE232" s="12">
        <f>IFERROR(Tableau1[[#This Row],[Loyer annuel]]+Tableau1[[#This Row],[Charges annuelles]]+Tableau1[[#This Row],[Taxe foncière]]+Tableau1[[#This Row],[Marketing]],"")</f>
        <v>21783.8</v>
      </c>
      <c r="AF232" s="12" t="str">
        <f t="shared" si="12"/>
        <v>3 mois = 5 375 €</v>
      </c>
      <c r="AG232" s="12" t="s">
        <v>98</v>
      </c>
      <c r="AH232" s="51">
        <v>1.4999999999999999E-2</v>
      </c>
      <c r="AI232" s="12" t="s">
        <v>373</v>
      </c>
      <c r="AJ232" s="10" t="s">
        <v>70</v>
      </c>
      <c r="AK232" s="10" t="s">
        <v>363</v>
      </c>
      <c r="AL232" s="10"/>
      <c r="AM232" s="11"/>
      <c r="AN232" s="11" t="s">
        <v>1547</v>
      </c>
      <c r="AO232" s="5" t="s">
        <v>361</v>
      </c>
      <c r="AP232" s="11" t="s">
        <v>1743</v>
      </c>
      <c r="AQ232" s="11" t="s">
        <v>1744</v>
      </c>
      <c r="AR232" s="11" t="s">
        <v>1616</v>
      </c>
      <c r="AS232" s="36" t="s">
        <v>1750</v>
      </c>
      <c r="AT232" s="11" t="s">
        <v>70</v>
      </c>
      <c r="AU232" s="11" t="s">
        <v>1655</v>
      </c>
      <c r="AV232" s="13" t="s">
        <v>1585</v>
      </c>
      <c r="AW232" s="14"/>
      <c r="AX232" s="44">
        <v>46079</v>
      </c>
    </row>
    <row r="233" spans="1:50" ht="25.5">
      <c r="A233" s="38" t="str">
        <f>VLOOKUP(Tableau1[[#This Row],[N° Département]],Feuil1!$C$6:$E$106,3)</f>
        <v>Auvergne-Rhône-Alpes</v>
      </c>
      <c r="B233" s="38" t="str">
        <f>VLOOKUP(Tableau1[[#This Row],[N° Département]],Feuil1!$C$6:$E$106,2)</f>
        <v>Rhône</v>
      </c>
      <c r="C233" s="38">
        <f>LEFT(Tableau1[[#This Row],[Code Postal]],2)*1</f>
        <v>69</v>
      </c>
      <c r="D233" s="10" t="s">
        <v>1572</v>
      </c>
      <c r="E233" s="26">
        <v>69500</v>
      </c>
      <c r="F233" s="54" t="s">
        <v>1545</v>
      </c>
      <c r="G233" s="39" t="str">
        <f>Tableau1[[#This Row],[Rue]]&amp;CHAR(10)&amp;Tableau1[[#This Row],[Code Postal]]&amp;" - "&amp;Tableau1[[#This Row],[Ville]]</f>
        <v>rue du Colonel Arnaud Beltrame
69500 - Bron</v>
      </c>
      <c r="H233" s="15" t="s">
        <v>1762</v>
      </c>
      <c r="I233" s="12" t="s">
        <v>45</v>
      </c>
      <c r="J233" s="12" t="s">
        <v>44</v>
      </c>
      <c r="K233" s="10" t="s">
        <v>98</v>
      </c>
      <c r="L233" s="53" t="s">
        <v>1518</v>
      </c>
      <c r="M233" s="12" t="s">
        <v>98</v>
      </c>
      <c r="N233" s="36" t="s">
        <v>1559</v>
      </c>
      <c r="O233" s="34">
        <v>91</v>
      </c>
      <c r="P233" s="6" t="s">
        <v>98</v>
      </c>
      <c r="Q233" s="34">
        <v>179</v>
      </c>
      <c r="R233" s="34" t="s">
        <v>98</v>
      </c>
      <c r="S233" s="6" t="s">
        <v>98</v>
      </c>
      <c r="T233" s="12">
        <f>Tableau1[[#This Row],[Loyer €/m²]]*Tableau1[[#This Row],[Surface GLA]]</f>
        <v>22750</v>
      </c>
      <c r="U233" s="12">
        <f>IFERROR(Tableau1[[#This Row],[Loyer annuel]]/12,"")</f>
        <v>1895.8333333333333</v>
      </c>
      <c r="V233" s="12">
        <v>250</v>
      </c>
      <c r="W233" s="34" t="s">
        <v>98</v>
      </c>
      <c r="X233" s="6">
        <f>Tableau1[[#This Row],[Charges €/m²]]*Tableau1[[#This Row],[Surface GLA]]</f>
        <v>322.14</v>
      </c>
      <c r="Y233" s="12">
        <f>Tableau1[[#This Row],[Charges annuelles]]/12</f>
        <v>26.844999999999999</v>
      </c>
      <c r="Z233" s="12">
        <v>3.54</v>
      </c>
      <c r="AA233" s="12">
        <f>IFERROR(Tableau1[[#This Row],[Taxe foncière €/m²]]*Tableau1[[#This Row],[Surface GLA]],)</f>
        <v>0</v>
      </c>
      <c r="AB233" s="12"/>
      <c r="AC233" s="12">
        <f>IFERROR(Tableau1[[#This Row],[Marketing €/m²]]*Tableau1[[#This Row],[Surface GLA]],)</f>
        <v>0</v>
      </c>
      <c r="AD233" s="12" t="s">
        <v>98</v>
      </c>
      <c r="AE233" s="12">
        <f>IFERROR(Tableau1[[#This Row],[Loyer annuel]]+Tableau1[[#This Row],[Charges annuelles]]+Tableau1[[#This Row],[Taxe foncière]]+Tableau1[[#This Row],[Marketing]],"")</f>
        <v>23072.14</v>
      </c>
      <c r="AF233" s="12" t="str">
        <f t="shared" si="12"/>
        <v>3 mois = 5 688 €</v>
      </c>
      <c r="AG233" s="12" t="s">
        <v>98</v>
      </c>
      <c r="AH233" s="51">
        <v>1.4999999999999999E-2</v>
      </c>
      <c r="AI233" s="12" t="s">
        <v>373</v>
      </c>
      <c r="AJ233" s="10" t="s">
        <v>70</v>
      </c>
      <c r="AK233" s="10" t="s">
        <v>363</v>
      </c>
      <c r="AL233" s="10"/>
      <c r="AM233" s="11"/>
      <c r="AN233" s="11" t="s">
        <v>1547</v>
      </c>
      <c r="AO233" s="5" t="s">
        <v>361</v>
      </c>
      <c r="AP233" s="11" t="s">
        <v>1745</v>
      </c>
      <c r="AQ233" s="11" t="s">
        <v>1746</v>
      </c>
      <c r="AR233" s="11" t="s">
        <v>1617</v>
      </c>
      <c r="AS233" s="36" t="s">
        <v>1750</v>
      </c>
      <c r="AT233" s="11" t="s">
        <v>70</v>
      </c>
      <c r="AU233" s="11" t="s">
        <v>1656</v>
      </c>
      <c r="AV233" s="13" t="s">
        <v>1585</v>
      </c>
      <c r="AW233" s="14"/>
      <c r="AX233" s="44">
        <v>46079</v>
      </c>
    </row>
    <row r="234" spans="1:50" ht="25.5">
      <c r="A234" s="38" t="str">
        <f>VLOOKUP(Tableau1[[#This Row],[N° Département]],Feuil1!$C$6:$E$106,3)</f>
        <v>Auvergne-Rhône-Alpes</v>
      </c>
      <c r="B234" s="38" t="str">
        <f>VLOOKUP(Tableau1[[#This Row],[N° Département]],Feuil1!$C$6:$E$106,2)</f>
        <v>Rhône</v>
      </c>
      <c r="C234" s="38">
        <f>LEFT(Tableau1[[#This Row],[Code Postal]],2)*1</f>
        <v>69</v>
      </c>
      <c r="D234" s="10" t="s">
        <v>1572</v>
      </c>
      <c r="E234" s="26">
        <v>69500</v>
      </c>
      <c r="F234" s="54" t="s">
        <v>1545</v>
      </c>
      <c r="G234" s="39" t="str">
        <f>Tableau1[[#This Row],[Rue]]&amp;CHAR(10)&amp;Tableau1[[#This Row],[Code Postal]]&amp;" - "&amp;Tableau1[[#This Row],[Ville]]</f>
        <v>rue du Colonel Arnaud Beltrame
69500 - Bron</v>
      </c>
      <c r="H234" s="15" t="s">
        <v>1760</v>
      </c>
      <c r="I234" s="12" t="s">
        <v>45</v>
      </c>
      <c r="J234" s="12" t="s">
        <v>44</v>
      </c>
      <c r="K234" s="10" t="s">
        <v>98</v>
      </c>
      <c r="L234" s="53" t="s">
        <v>1518</v>
      </c>
      <c r="M234" s="12" t="s">
        <v>98</v>
      </c>
      <c r="N234" s="36" t="s">
        <v>1560</v>
      </c>
      <c r="O234" s="34">
        <v>167</v>
      </c>
      <c r="P234" s="6" t="s">
        <v>98</v>
      </c>
      <c r="Q234" s="34">
        <v>260</v>
      </c>
      <c r="R234" s="34" t="s">
        <v>98</v>
      </c>
      <c r="S234" s="6" t="s">
        <v>98</v>
      </c>
      <c r="T234" s="12">
        <f>Tableau1[[#This Row],[Loyer €/m²]]*Tableau1[[#This Row],[Surface GLA]]</f>
        <v>33400</v>
      </c>
      <c r="U234" s="12">
        <f>IFERROR(Tableau1[[#This Row],[Loyer annuel]]/12,"")</f>
        <v>2783.3333333333335</v>
      </c>
      <c r="V234" s="12">
        <v>200</v>
      </c>
      <c r="W234" s="34" t="s">
        <v>98</v>
      </c>
      <c r="X234" s="6">
        <f>Tableau1[[#This Row],[Charges €/m²]]*Tableau1[[#This Row],[Surface GLA]]</f>
        <v>646.29</v>
      </c>
      <c r="Y234" s="12">
        <f>Tableau1[[#This Row],[Charges annuelles]]/12</f>
        <v>53.857499999999995</v>
      </c>
      <c r="Z234" s="12">
        <v>3.87</v>
      </c>
      <c r="AA234" s="12">
        <f>IFERROR(Tableau1[[#This Row],[Taxe foncière €/m²]]*Tableau1[[#This Row],[Surface GLA]],)</f>
        <v>0</v>
      </c>
      <c r="AB234" s="12"/>
      <c r="AC234" s="12">
        <f>IFERROR(Tableau1[[#This Row],[Marketing €/m²]]*Tableau1[[#This Row],[Surface GLA]],)</f>
        <v>0</v>
      </c>
      <c r="AD234" s="12" t="s">
        <v>98</v>
      </c>
      <c r="AE234" s="12">
        <f>IFERROR(Tableau1[[#This Row],[Loyer annuel]]+Tableau1[[#This Row],[Charges annuelles]]+Tableau1[[#This Row],[Taxe foncière]]+Tableau1[[#This Row],[Marketing]],"")</f>
        <v>34046.29</v>
      </c>
      <c r="AF234" s="12" t="str">
        <f t="shared" si="12"/>
        <v>3 mois = 8 350 €</v>
      </c>
      <c r="AG234" s="12" t="s">
        <v>98</v>
      </c>
      <c r="AH234" s="51">
        <v>1.4999999999999999E-2</v>
      </c>
      <c r="AI234" s="12" t="s">
        <v>373</v>
      </c>
      <c r="AJ234" s="10" t="s">
        <v>70</v>
      </c>
      <c r="AK234" s="10" t="s">
        <v>363</v>
      </c>
      <c r="AL234" s="10"/>
      <c r="AM234" s="11"/>
      <c r="AN234" s="11" t="s">
        <v>1547</v>
      </c>
      <c r="AO234" s="5" t="s">
        <v>361</v>
      </c>
      <c r="AP234" s="11" t="s">
        <v>1751</v>
      </c>
      <c r="AQ234" s="11" t="s">
        <v>1752</v>
      </c>
      <c r="AR234" s="11" t="s">
        <v>1618</v>
      </c>
      <c r="AS234" s="36" t="s">
        <v>1757</v>
      </c>
      <c r="AT234" s="11" t="s">
        <v>70</v>
      </c>
      <c r="AU234" s="11" t="s">
        <v>1591</v>
      </c>
      <c r="AV234" s="13" t="s">
        <v>1585</v>
      </c>
      <c r="AW234" s="14"/>
      <c r="AX234" s="44">
        <v>46079</v>
      </c>
    </row>
    <row r="235" spans="1:50" ht="25.5">
      <c r="A235" s="38" t="str">
        <f>VLOOKUP(Tableau1[[#This Row],[N° Département]],Feuil1!$C$6:$E$106,3)</f>
        <v>Auvergne-Rhône-Alpes</v>
      </c>
      <c r="B235" s="38" t="str">
        <f>VLOOKUP(Tableau1[[#This Row],[N° Département]],Feuil1!$C$6:$E$106,2)</f>
        <v>Rhône</v>
      </c>
      <c r="C235" s="38">
        <f>LEFT(Tableau1[[#This Row],[Code Postal]],2)*1</f>
        <v>69</v>
      </c>
      <c r="D235" s="10" t="s">
        <v>1572</v>
      </c>
      <c r="E235" s="26">
        <v>69501</v>
      </c>
      <c r="F235" s="54" t="s">
        <v>1545</v>
      </c>
      <c r="G235" s="39" t="str">
        <f>Tableau1[[#This Row],[Rue]]&amp;CHAR(10)&amp;Tableau1[[#This Row],[Code Postal]]&amp;" - "&amp;Tableau1[[#This Row],[Ville]]</f>
        <v>rue du Colonel Arnaud Beltrame
69501 - Bron</v>
      </c>
      <c r="H235" s="15" t="s">
        <v>1760</v>
      </c>
      <c r="I235" s="12" t="s">
        <v>45</v>
      </c>
      <c r="J235" s="12" t="s">
        <v>44</v>
      </c>
      <c r="K235" s="10" t="s">
        <v>98</v>
      </c>
      <c r="L235" s="53" t="s">
        <v>1518</v>
      </c>
      <c r="M235" s="12" t="s">
        <v>98</v>
      </c>
      <c r="N235" s="36" t="s">
        <v>1661</v>
      </c>
      <c r="O235" s="34">
        <v>93</v>
      </c>
      <c r="P235" s="6" t="s">
        <v>98</v>
      </c>
      <c r="Q235" s="34">
        <v>260</v>
      </c>
      <c r="R235" s="34" t="s">
        <v>98</v>
      </c>
      <c r="S235" s="6" t="s">
        <v>98</v>
      </c>
      <c r="T235" s="12">
        <f>Tableau1[[#This Row],[Loyer €/m²]]*Tableau1[[#This Row],[Surface GLA]]</f>
        <v>18600</v>
      </c>
      <c r="U235" s="12">
        <f>IFERROR(Tableau1[[#This Row],[Loyer annuel]]/12,"")</f>
        <v>1550</v>
      </c>
      <c r="V235" s="12">
        <v>200</v>
      </c>
      <c r="W235" s="34" t="s">
        <v>98</v>
      </c>
      <c r="X235" s="6">
        <f>Tableau1[[#This Row],[Charges €/m²]]*Tableau1[[#This Row],[Surface GLA]]</f>
        <v>452.91</v>
      </c>
      <c r="Y235" s="12">
        <f>Tableau1[[#This Row],[Charges annuelles]]/12</f>
        <v>37.7425</v>
      </c>
      <c r="Z235" s="12">
        <v>4.87</v>
      </c>
      <c r="AA235" s="12">
        <f>IFERROR(Tableau1[[#This Row],[Taxe foncière €/m²]]*Tableau1[[#This Row],[Surface GLA]],)</f>
        <v>0</v>
      </c>
      <c r="AB235" s="12"/>
      <c r="AC235" s="12">
        <f>IFERROR(Tableau1[[#This Row],[Marketing €/m²]]*Tableau1[[#This Row],[Surface GLA]],)</f>
        <v>0</v>
      </c>
      <c r="AD235" s="12"/>
      <c r="AE235" s="12">
        <f>IFERROR(Tableau1[[#This Row],[Loyer annuel]]+Tableau1[[#This Row],[Charges annuelles]]+Tableau1[[#This Row],[Taxe foncière]]+Tableau1[[#This Row],[Marketing]],"")</f>
        <v>19052.91</v>
      </c>
      <c r="AF235" s="12" t="str">
        <f t="shared" ref="AF235" si="13">"3 mois = "&amp;TEXT(ROUND(3/12*T235,0),"### ### ##0 €")</f>
        <v>3 mois = 4 650 €</v>
      </c>
      <c r="AG235" s="12" t="s">
        <v>98</v>
      </c>
      <c r="AH235" s="51">
        <v>1.4999999999999999E-2</v>
      </c>
      <c r="AI235" s="12" t="s">
        <v>373</v>
      </c>
      <c r="AJ235" s="10" t="s">
        <v>70</v>
      </c>
      <c r="AK235" s="10" t="s">
        <v>363</v>
      </c>
      <c r="AL235" s="10"/>
      <c r="AM235" s="11"/>
      <c r="AN235" s="11" t="s">
        <v>1662</v>
      </c>
      <c r="AO235" s="5" t="s">
        <v>361</v>
      </c>
      <c r="AP235" s="11" t="s">
        <v>1753</v>
      </c>
      <c r="AQ235" s="11" t="s">
        <v>1754</v>
      </c>
      <c r="AR235" s="11" t="s">
        <v>1619</v>
      </c>
      <c r="AS235" s="36" t="s">
        <v>1758</v>
      </c>
      <c r="AT235" s="11" t="s">
        <v>70</v>
      </c>
      <c r="AU235" s="11" t="s">
        <v>1664</v>
      </c>
      <c r="AV235" s="13" t="s">
        <v>1585</v>
      </c>
      <c r="AW235" s="14"/>
      <c r="AX235" s="44">
        <v>46079</v>
      </c>
    </row>
    <row r="236" spans="1:50" ht="25.5">
      <c r="A236" s="38" t="str">
        <f>VLOOKUP(Tableau1[[#This Row],[N° Département]],Feuil1!$C$6:$E$106,3)</f>
        <v>Auvergne-Rhône-Alpes</v>
      </c>
      <c r="B236" s="38" t="str">
        <f>VLOOKUP(Tableau1[[#This Row],[N° Département]],Feuil1!$C$6:$E$106,2)</f>
        <v>Rhône</v>
      </c>
      <c r="C236" s="38">
        <f>LEFT(Tableau1[[#This Row],[Code Postal]],2)*1</f>
        <v>69</v>
      </c>
      <c r="D236" s="10" t="s">
        <v>1572</v>
      </c>
      <c r="E236" s="26">
        <v>69500</v>
      </c>
      <c r="F236" s="54" t="s">
        <v>1545</v>
      </c>
      <c r="G236" s="39" t="str">
        <f>Tableau1[[#This Row],[Rue]]&amp;CHAR(10)&amp;Tableau1[[#This Row],[Code Postal]]&amp;" - "&amp;Tableau1[[#This Row],[Ville]]</f>
        <v>rue du Colonel Arnaud Beltrame
69500 - Bron</v>
      </c>
      <c r="H236" s="15" t="s">
        <v>1760</v>
      </c>
      <c r="I236" s="12" t="s">
        <v>45</v>
      </c>
      <c r="J236" s="12" t="s">
        <v>44</v>
      </c>
      <c r="K236" s="10" t="s">
        <v>98</v>
      </c>
      <c r="L236" s="53" t="s">
        <v>1518</v>
      </c>
      <c r="M236" s="12" t="s">
        <v>98</v>
      </c>
      <c r="N236" s="36" t="s">
        <v>165</v>
      </c>
      <c r="O236" s="34">
        <v>123</v>
      </c>
      <c r="P236" s="6" t="s">
        <v>98</v>
      </c>
      <c r="Q236" s="34" t="s">
        <v>98</v>
      </c>
      <c r="R236" s="34" t="s">
        <v>98</v>
      </c>
      <c r="S236" s="6" t="s">
        <v>98</v>
      </c>
      <c r="T236" s="12">
        <f>Tableau1[[#This Row],[Loyer €/m²]]*Tableau1[[#This Row],[Surface GLA]]</f>
        <v>24600</v>
      </c>
      <c r="U236" s="12">
        <f>IFERROR(Tableau1[[#This Row],[Loyer annuel]]/12,"")</f>
        <v>2050</v>
      </c>
      <c r="V236" s="12">
        <v>200</v>
      </c>
      <c r="W236" s="34" t="s">
        <v>98</v>
      </c>
      <c r="X236" s="6">
        <f>Tableau1[[#This Row],[Charges €/m²]]*Tableau1[[#This Row],[Surface GLA]]</f>
        <v>476.01</v>
      </c>
      <c r="Y236" s="12">
        <f>Tableau1[[#This Row],[Charges annuelles]]/12</f>
        <v>39.667499999999997</v>
      </c>
      <c r="Z236" s="12">
        <v>3.87</v>
      </c>
      <c r="AA236" s="12">
        <f>IFERROR(Tableau1[[#This Row],[Taxe foncière €/m²]]*Tableau1[[#This Row],[Surface GLA]],)</f>
        <v>0</v>
      </c>
      <c r="AB236" s="12"/>
      <c r="AC236" s="12">
        <f>IFERROR(Tableau1[[#This Row],[Marketing €/m²]]*Tableau1[[#This Row],[Surface GLA]],)</f>
        <v>0</v>
      </c>
      <c r="AD236" s="12" t="s">
        <v>98</v>
      </c>
      <c r="AE236" s="12">
        <f>IFERROR(Tableau1[[#This Row],[Loyer annuel]]+Tableau1[[#This Row],[Charges annuelles]]+Tableau1[[#This Row],[Taxe foncière]]+Tableau1[[#This Row],[Marketing]],"")</f>
        <v>25076.01</v>
      </c>
      <c r="AF236" s="12" t="str">
        <f t="shared" si="12"/>
        <v>3 mois = 6 150 €</v>
      </c>
      <c r="AG236" s="12" t="s">
        <v>98</v>
      </c>
      <c r="AH236" s="51">
        <v>1.4999999999999999E-2</v>
      </c>
      <c r="AI236" s="12" t="s">
        <v>373</v>
      </c>
      <c r="AJ236" s="10" t="s">
        <v>70</v>
      </c>
      <c r="AK236" s="10" t="s">
        <v>363</v>
      </c>
      <c r="AL236" s="10"/>
      <c r="AM236" s="11"/>
      <c r="AN236" s="11" t="s">
        <v>1547</v>
      </c>
      <c r="AO236" s="5" t="s">
        <v>361</v>
      </c>
      <c r="AP236" s="11" t="s">
        <v>1755</v>
      </c>
      <c r="AQ236" s="11" t="s">
        <v>1756</v>
      </c>
      <c r="AR236" s="11" t="s">
        <v>1663</v>
      </c>
      <c r="AS236" s="36" t="s">
        <v>1759</v>
      </c>
      <c r="AT236" s="11" t="s">
        <v>70</v>
      </c>
      <c r="AU236" s="11" t="s">
        <v>1592</v>
      </c>
      <c r="AV236" s="13" t="s">
        <v>1585</v>
      </c>
      <c r="AW236" s="14"/>
      <c r="AX236" s="44">
        <v>46079</v>
      </c>
    </row>
    <row r="237" spans="1:50" ht="25.5">
      <c r="A237" s="38" t="str">
        <f>VLOOKUP(Tableau1[[#This Row],[N° Département]],Feuil1!$C$6:$E$106,3)</f>
        <v>Ile-de-France</v>
      </c>
      <c r="B237" s="38" t="str">
        <f>VLOOKUP(Tableau1[[#This Row],[N° Département]],Feuil1!$C$6:$E$106,2)</f>
        <v>Hauts-de-Seine</v>
      </c>
      <c r="C237" s="38">
        <f>LEFT(Tableau1[[#This Row],[Code Postal]],2)*1</f>
        <v>92</v>
      </c>
      <c r="D237" s="10" t="s">
        <v>1666</v>
      </c>
      <c r="E237" s="26">
        <v>92700</v>
      </c>
      <c r="F237" s="54" t="s">
        <v>1548</v>
      </c>
      <c r="G237" s="39" t="str">
        <f>Tableau1[[#This Row],[Rue]]&amp;CHAR(10)&amp;Tableau1[[#This Row],[Code Postal]]&amp;" - "&amp;Tableau1[[#This Row],[Ville]]</f>
        <v>165 rue des Entrepreneurs
92700 - Colombes</v>
      </c>
      <c r="H237" s="15" t="s">
        <v>1665</v>
      </c>
      <c r="I237" s="12" t="s">
        <v>45</v>
      </c>
      <c r="J237" s="12" t="s">
        <v>44</v>
      </c>
      <c r="K237" s="10" t="s">
        <v>98</v>
      </c>
      <c r="L237" s="53" t="s">
        <v>1518</v>
      </c>
      <c r="M237" s="12" t="s">
        <v>98</v>
      </c>
      <c r="N237" s="36" t="s">
        <v>351</v>
      </c>
      <c r="O237" s="34">
        <v>200</v>
      </c>
      <c r="P237" s="6" t="s">
        <v>98</v>
      </c>
      <c r="Q237" s="34" t="s">
        <v>98</v>
      </c>
      <c r="R237" s="34" t="s">
        <v>98</v>
      </c>
      <c r="S237" s="6" t="s">
        <v>98</v>
      </c>
      <c r="T237" s="12">
        <f>Tableau1[[#This Row],[Loyer €/m²]]*Tableau1[[#This Row],[Surface GLA]]</f>
        <v>30000</v>
      </c>
      <c r="U237" s="12">
        <f>IFERROR(Tableau1[[#This Row],[Loyer annuel]]/12,"")</f>
        <v>2500</v>
      </c>
      <c r="V237" s="12">
        <v>150</v>
      </c>
      <c r="W237" s="34" t="s">
        <v>98</v>
      </c>
      <c r="X237" s="6">
        <f>Tableau1[[#This Row],[Charges €/m²]]*Tableau1[[#This Row],[Surface GLA]]</f>
        <v>0</v>
      </c>
      <c r="Y237" s="12">
        <f>Tableau1[[#This Row],[Charges annuelles]]/12</f>
        <v>0</v>
      </c>
      <c r="Z237" s="12"/>
      <c r="AA237" s="12">
        <f>IFERROR(Tableau1[[#This Row],[Taxe foncière €/m²]]*Tableau1[[#This Row],[Surface GLA]],)</f>
        <v>0</v>
      </c>
      <c r="AB237" s="12"/>
      <c r="AC237" s="12">
        <f>IFERROR(Tableau1[[#This Row],[Marketing €/m²]]*Tableau1[[#This Row],[Surface GLA]],)</f>
        <v>0</v>
      </c>
      <c r="AD237" s="12" t="s">
        <v>98</v>
      </c>
      <c r="AE237" s="12">
        <f>IFERROR(Tableau1[[#This Row],[Loyer annuel]]+Tableau1[[#This Row],[Charges annuelles]]+Tableau1[[#This Row],[Taxe foncière]]+Tableau1[[#This Row],[Marketing]],"")</f>
        <v>30000</v>
      </c>
      <c r="AF237" s="12" t="str">
        <f t="shared" si="12"/>
        <v>3 mois = 7 500 €</v>
      </c>
      <c r="AG237" s="12" t="s">
        <v>98</v>
      </c>
      <c r="AH237" s="51">
        <v>1.4999999999999999E-2</v>
      </c>
      <c r="AI237" s="12" t="s">
        <v>373</v>
      </c>
      <c r="AJ237" s="10" t="s">
        <v>70</v>
      </c>
      <c r="AK237" s="10" t="s">
        <v>363</v>
      </c>
      <c r="AL237" s="10"/>
      <c r="AM237" s="11"/>
      <c r="AN237" s="11" t="s">
        <v>1547</v>
      </c>
      <c r="AO237" s="5" t="s">
        <v>361</v>
      </c>
      <c r="AP237" s="11" t="s">
        <v>1667</v>
      </c>
      <c r="AQ237" s="11" t="s">
        <v>1668</v>
      </c>
      <c r="AR237" s="11">
        <v>71</v>
      </c>
      <c r="AS237" s="36" t="s">
        <v>1669</v>
      </c>
      <c r="AT237" s="11" t="s">
        <v>70</v>
      </c>
      <c r="AU237" s="11" t="s">
        <v>1593</v>
      </c>
      <c r="AV237" s="13" t="s">
        <v>1585</v>
      </c>
      <c r="AW237" s="14"/>
      <c r="AX237" s="44">
        <v>46079</v>
      </c>
    </row>
    <row r="238" spans="1:50" ht="25.5">
      <c r="A238" s="38" t="str">
        <f>VLOOKUP(Tableau1[[#This Row],[N° Département]],Feuil1!$C$6:$E$106,3)</f>
        <v>Centre-Val de Loire</v>
      </c>
      <c r="B238" s="38" t="str">
        <f>VLOOKUP(Tableau1[[#This Row],[N° Département]],Feuil1!$C$6:$E$106,2)</f>
        <v>Indre-et-Loire</v>
      </c>
      <c r="C238" s="38">
        <f>LEFT(Tableau1[[#This Row],[Code Postal]],2)*1</f>
        <v>37</v>
      </c>
      <c r="D238" s="10" t="s">
        <v>1658</v>
      </c>
      <c r="E238" s="26">
        <v>37300</v>
      </c>
      <c r="F238" s="42" t="s">
        <v>1549</v>
      </c>
      <c r="G238" s="39" t="str">
        <f>Tableau1[[#This Row],[Rue]]&amp;CHAR(10)&amp;Tableau1[[#This Row],[Code Postal]]&amp;" - "&amp;Tableau1[[#This Row],[Ville]]</f>
        <v>18 rue de la rotière
37300 - Joué les Tours</v>
      </c>
      <c r="H238" s="15" t="s">
        <v>1657</v>
      </c>
      <c r="I238" s="12" t="s">
        <v>45</v>
      </c>
      <c r="J238" s="12" t="s">
        <v>44</v>
      </c>
      <c r="K238" s="10" t="s">
        <v>98</v>
      </c>
      <c r="L238" s="53" t="s">
        <v>1518</v>
      </c>
      <c r="M238" s="12" t="s">
        <v>98</v>
      </c>
      <c r="N238" s="36"/>
      <c r="O238" s="34">
        <v>54</v>
      </c>
      <c r="P238" s="6" t="s">
        <v>98</v>
      </c>
      <c r="Q238" s="34" t="s">
        <v>98</v>
      </c>
      <c r="R238" s="34" t="s">
        <v>98</v>
      </c>
      <c r="S238" s="6" t="s">
        <v>98</v>
      </c>
      <c r="T238" s="12">
        <f>Tableau1[[#This Row],[Loyer €/m²]]*Tableau1[[#This Row],[Surface GLA]]</f>
        <v>10800</v>
      </c>
      <c r="U238" s="12">
        <f>IFERROR(Tableau1[[#This Row],[Loyer annuel]]/12,"")</f>
        <v>900</v>
      </c>
      <c r="V238" s="12">
        <v>200</v>
      </c>
      <c r="W238" s="34" t="s">
        <v>98</v>
      </c>
      <c r="X238" s="6">
        <f>Tableau1[[#This Row],[Charges €/m²]]*Tableau1[[#This Row],[Surface GLA]]</f>
        <v>99.36</v>
      </c>
      <c r="Y238" s="12">
        <f>Tableau1[[#This Row],[Charges annuelles]]/12</f>
        <v>8.2799999999999994</v>
      </c>
      <c r="Z238" s="12">
        <v>1.84</v>
      </c>
      <c r="AA238" s="12">
        <f>IFERROR(Tableau1[[#This Row],[Taxe foncière €/m²]]*Tableau1[[#This Row],[Surface GLA]],)</f>
        <v>0</v>
      </c>
      <c r="AB238" s="12"/>
      <c r="AC238" s="12">
        <f>IFERROR(Tableau1[[#This Row],[Marketing €/m²]]*Tableau1[[#This Row],[Surface GLA]],)</f>
        <v>0</v>
      </c>
      <c r="AD238" s="12" t="s">
        <v>98</v>
      </c>
      <c r="AE238" s="12">
        <f>IFERROR(Tableau1[[#This Row],[Loyer annuel]]+Tableau1[[#This Row],[Charges annuelles]]+Tableau1[[#This Row],[Taxe foncière]]+Tableau1[[#This Row],[Marketing]],"")</f>
        <v>10899.36</v>
      </c>
      <c r="AF238" s="12" t="str">
        <f t="shared" si="12"/>
        <v>3 mois = 2 700 €</v>
      </c>
      <c r="AG238" s="12" t="s">
        <v>98</v>
      </c>
      <c r="AH238" s="51">
        <v>1.4999999999999999E-2</v>
      </c>
      <c r="AI238" s="12" t="s">
        <v>373</v>
      </c>
      <c r="AJ238" s="10" t="s">
        <v>70</v>
      </c>
      <c r="AK238" s="10" t="s">
        <v>363</v>
      </c>
      <c r="AL238" s="10"/>
      <c r="AM238" s="11"/>
      <c r="AN238" s="11" t="s">
        <v>1547</v>
      </c>
      <c r="AO238" s="5" t="s">
        <v>361</v>
      </c>
      <c r="AP238" s="11" t="s">
        <v>1766</v>
      </c>
      <c r="AQ238" s="11" t="s">
        <v>1767</v>
      </c>
      <c r="AR238" s="11">
        <v>72</v>
      </c>
      <c r="AS238" s="36"/>
      <c r="AT238" s="11" t="s">
        <v>70</v>
      </c>
      <c r="AU238" s="11" t="s">
        <v>1594</v>
      </c>
      <c r="AV238" s="13" t="s">
        <v>1585</v>
      </c>
      <c r="AW238" s="14"/>
      <c r="AX238" s="44">
        <v>46079</v>
      </c>
    </row>
    <row r="239" spans="1:50" ht="25.5">
      <c r="A239" s="38" t="str">
        <f>VLOOKUP(Tableau1[[#This Row],[N° Département]],Feuil1!$C$6:$E$106,3)</f>
        <v>Hauts-de-France</v>
      </c>
      <c r="B239" s="38" t="str">
        <f>VLOOKUP(Tableau1[[#This Row],[N° Département]],Feuil1!$C$6:$E$106,2)</f>
        <v>Nord</v>
      </c>
      <c r="C239" s="38">
        <f>LEFT(Tableau1[[#This Row],[Code Postal]],2)*1</f>
        <v>59</v>
      </c>
      <c r="D239" s="10" t="s">
        <v>1659</v>
      </c>
      <c r="E239" s="26">
        <v>59800</v>
      </c>
      <c r="F239" s="54" t="s">
        <v>1550</v>
      </c>
      <c r="G239" s="39" t="str">
        <f>Tableau1[[#This Row],[Rue]]&amp;CHAR(10)&amp;Tableau1[[#This Row],[Code Postal]]&amp;" - "&amp;Tableau1[[#This Row],[Ville]]</f>
        <v>12 rue des chaudronniers
59800 - Lille Fives</v>
      </c>
      <c r="H239" s="15" t="s">
        <v>1670</v>
      </c>
      <c r="I239" s="12" t="s">
        <v>45</v>
      </c>
      <c r="J239" s="12" t="s">
        <v>44</v>
      </c>
      <c r="K239" s="10" t="s">
        <v>98</v>
      </c>
      <c r="L239" s="53" t="s">
        <v>1518</v>
      </c>
      <c r="M239" s="12" t="s">
        <v>98</v>
      </c>
      <c r="N239" s="36" t="s">
        <v>329</v>
      </c>
      <c r="O239" s="34">
        <v>150</v>
      </c>
      <c r="P239" s="6" t="s">
        <v>98</v>
      </c>
      <c r="Q239" s="34" t="s">
        <v>98</v>
      </c>
      <c r="R239" s="34" t="s">
        <v>98</v>
      </c>
      <c r="S239" s="6" t="s">
        <v>98</v>
      </c>
      <c r="T239" s="12">
        <f>Tableau1[[#This Row],[Loyer €/m²]]*Tableau1[[#This Row],[Surface GLA]]</f>
        <v>30000</v>
      </c>
      <c r="U239" s="12">
        <f>IFERROR(Tableau1[[#This Row],[Loyer annuel]]/12,"")</f>
        <v>2500</v>
      </c>
      <c r="V239" s="12">
        <v>200</v>
      </c>
      <c r="W239" s="34" t="s">
        <v>98</v>
      </c>
      <c r="X239" s="6">
        <f>Tableau1[[#This Row],[Charges €/m²]]*Tableau1[[#This Row],[Surface GLA]]</f>
        <v>877.5</v>
      </c>
      <c r="Y239" s="12">
        <f>Tableau1[[#This Row],[Charges annuelles]]/12</f>
        <v>73.125</v>
      </c>
      <c r="Z239" s="12">
        <v>5.85</v>
      </c>
      <c r="AA239" s="12">
        <f>IFERROR(Tableau1[[#This Row],[Taxe foncière €/m²]]*Tableau1[[#This Row],[Surface GLA]],)</f>
        <v>0</v>
      </c>
      <c r="AB239" s="12"/>
      <c r="AC239" s="12">
        <f>IFERROR(Tableau1[[#This Row],[Marketing €/m²]]*Tableau1[[#This Row],[Surface GLA]],)</f>
        <v>0</v>
      </c>
      <c r="AD239" s="12" t="s">
        <v>98</v>
      </c>
      <c r="AE239" s="12">
        <f>IFERROR(Tableau1[[#This Row],[Loyer annuel]]+Tableau1[[#This Row],[Charges annuelles]]+Tableau1[[#This Row],[Taxe foncière]]+Tableau1[[#This Row],[Marketing]],"")</f>
        <v>30877.5</v>
      </c>
      <c r="AF239" s="12" t="str">
        <f t="shared" si="12"/>
        <v>3 mois = 7 500 €</v>
      </c>
      <c r="AG239" s="12" t="s">
        <v>98</v>
      </c>
      <c r="AH239" s="51">
        <v>1.4999999999999999E-2</v>
      </c>
      <c r="AI239" s="12" t="s">
        <v>373</v>
      </c>
      <c r="AJ239" s="10" t="s">
        <v>70</v>
      </c>
      <c r="AK239" s="10" t="s">
        <v>363</v>
      </c>
      <c r="AL239" s="10"/>
      <c r="AM239" s="11"/>
      <c r="AN239" s="11" t="s">
        <v>1547</v>
      </c>
      <c r="AO239" s="5" t="s">
        <v>361</v>
      </c>
      <c r="AP239" s="11" t="s">
        <v>1672</v>
      </c>
      <c r="AQ239" s="11" t="s">
        <v>1671</v>
      </c>
      <c r="AR239" s="11">
        <v>73</v>
      </c>
      <c r="AS239" s="36" t="s">
        <v>1673</v>
      </c>
      <c r="AT239" s="11" t="s">
        <v>70</v>
      </c>
      <c r="AU239" s="11" t="s">
        <v>1595</v>
      </c>
      <c r="AV239" s="13" t="s">
        <v>1585</v>
      </c>
      <c r="AW239" s="14"/>
      <c r="AX239" s="44">
        <v>46079</v>
      </c>
    </row>
    <row r="240" spans="1:50" ht="25.5">
      <c r="A240" s="38" t="str">
        <f>VLOOKUP(Tableau1[[#This Row],[N° Département]],Feuil1!$C$6:$E$106,3)</f>
        <v>Hauts-de-France</v>
      </c>
      <c r="B240" s="38" t="str">
        <f>VLOOKUP(Tableau1[[#This Row],[N° Département]],Feuil1!$C$6:$E$106,2)</f>
        <v>Nord</v>
      </c>
      <c r="C240" s="38">
        <f>LEFT(Tableau1[[#This Row],[Code Postal]],2)*1</f>
        <v>59</v>
      </c>
      <c r="D240" s="10" t="s">
        <v>1573</v>
      </c>
      <c r="E240" s="26">
        <v>59800</v>
      </c>
      <c r="F240" s="54" t="s">
        <v>1551</v>
      </c>
      <c r="G240" s="39" t="str">
        <f>Tableau1[[#This Row],[Rue]]&amp;CHAR(10)&amp;Tableau1[[#This Row],[Code Postal]]&amp;" - "&amp;Tableau1[[#This Row],[Ville]]</f>
        <v>178 rue Faidherbes
59800 - Lille Hellemmes</v>
      </c>
      <c r="H240" s="15" t="s">
        <v>1574</v>
      </c>
      <c r="I240" s="12" t="s">
        <v>45</v>
      </c>
      <c r="J240" s="12" t="s">
        <v>44</v>
      </c>
      <c r="K240" s="10" t="s">
        <v>98</v>
      </c>
      <c r="L240" s="53" t="s">
        <v>1518</v>
      </c>
      <c r="M240" s="12" t="s">
        <v>98</v>
      </c>
      <c r="N240" s="36" t="s">
        <v>1561</v>
      </c>
      <c r="O240" s="34">
        <v>173</v>
      </c>
      <c r="P240" s="6" t="s">
        <v>98</v>
      </c>
      <c r="Q240" s="34" t="s">
        <v>98</v>
      </c>
      <c r="R240" s="34" t="s">
        <v>98</v>
      </c>
      <c r="S240" s="6" t="s">
        <v>98</v>
      </c>
      <c r="T240" s="12">
        <f>Tableau1[[#This Row],[Loyer €/m²]]*Tableau1[[#This Row],[Surface GLA]]</f>
        <v>34600</v>
      </c>
      <c r="U240" s="12">
        <f>IFERROR(Tableau1[[#This Row],[Loyer annuel]]/12,"")</f>
        <v>2883.3333333333335</v>
      </c>
      <c r="V240" s="12">
        <v>200</v>
      </c>
      <c r="W240" s="34" t="s">
        <v>98</v>
      </c>
      <c r="X240" s="6">
        <f>Tableau1[[#This Row],[Charges €/m²]]*Tableau1[[#This Row],[Surface GLA]]</f>
        <v>9205.33</v>
      </c>
      <c r="Y240" s="12">
        <f>Tableau1[[#This Row],[Charges annuelles]]/12</f>
        <v>767.11083333333329</v>
      </c>
      <c r="Z240" s="12">
        <v>53.21</v>
      </c>
      <c r="AA240" s="12">
        <f>IFERROR(Tableau1[[#This Row],[Taxe foncière €/m²]]*Tableau1[[#This Row],[Surface GLA]],)</f>
        <v>0</v>
      </c>
      <c r="AB240" s="12"/>
      <c r="AC240" s="12">
        <f>IFERROR(Tableau1[[#This Row],[Marketing €/m²]]*Tableau1[[#This Row],[Surface GLA]],)</f>
        <v>0</v>
      </c>
      <c r="AD240" s="12" t="s">
        <v>98</v>
      </c>
      <c r="AE240" s="12">
        <f>IFERROR(Tableau1[[#This Row],[Loyer annuel]]+Tableau1[[#This Row],[Charges annuelles]]+Tableau1[[#This Row],[Taxe foncière]]+Tableau1[[#This Row],[Marketing]],"")</f>
        <v>43805.33</v>
      </c>
      <c r="AF240" s="12" t="str">
        <f t="shared" si="12"/>
        <v>3 mois = 8 650 €</v>
      </c>
      <c r="AG240" s="12" t="s">
        <v>98</v>
      </c>
      <c r="AH240" s="51">
        <v>1.4999999999999999E-2</v>
      </c>
      <c r="AI240" s="12" t="s">
        <v>373</v>
      </c>
      <c r="AJ240" s="10" t="s">
        <v>70</v>
      </c>
      <c r="AK240" s="10" t="s">
        <v>363</v>
      </c>
      <c r="AL240" s="10"/>
      <c r="AM240" s="11"/>
      <c r="AN240" s="11" t="s">
        <v>1547</v>
      </c>
      <c r="AO240" s="5" t="s">
        <v>361</v>
      </c>
      <c r="AP240" s="11" t="s">
        <v>1674</v>
      </c>
      <c r="AQ240" s="11" t="s">
        <v>1675</v>
      </c>
      <c r="AR240" s="11" t="s">
        <v>1620</v>
      </c>
      <c r="AS240" s="36" t="s">
        <v>1679</v>
      </c>
      <c r="AT240" s="11" t="s">
        <v>70</v>
      </c>
      <c r="AU240" s="11" t="s">
        <v>1598</v>
      </c>
      <c r="AV240" s="13" t="s">
        <v>1585</v>
      </c>
      <c r="AW240" s="14"/>
      <c r="AX240" s="44">
        <v>46079</v>
      </c>
    </row>
    <row r="241" spans="1:50" ht="25.5">
      <c r="A241" s="38" t="str">
        <f>VLOOKUP(Tableau1[[#This Row],[N° Département]],Feuil1!$C$6:$E$106,3)</f>
        <v>Hauts-de-France</v>
      </c>
      <c r="B241" s="38" t="str">
        <f>VLOOKUP(Tableau1[[#This Row],[N° Département]],Feuil1!$C$6:$E$106,2)</f>
        <v>Nord</v>
      </c>
      <c r="C241" s="38">
        <f>LEFT(Tableau1[[#This Row],[Code Postal]],2)*1</f>
        <v>59</v>
      </c>
      <c r="D241" s="10" t="s">
        <v>1573</v>
      </c>
      <c r="E241" s="26">
        <v>59800</v>
      </c>
      <c r="F241" s="54" t="s">
        <v>1551</v>
      </c>
      <c r="G241" s="39" t="str">
        <f>Tableau1[[#This Row],[Rue]]&amp;CHAR(10)&amp;Tableau1[[#This Row],[Code Postal]]&amp;" - "&amp;Tableau1[[#This Row],[Ville]]</f>
        <v>178 rue Faidherbes
59800 - Lille Hellemmes</v>
      </c>
      <c r="H241" s="15" t="s">
        <v>1574</v>
      </c>
      <c r="I241" s="12" t="s">
        <v>45</v>
      </c>
      <c r="J241" s="12" t="s">
        <v>44</v>
      </c>
      <c r="K241" s="10" t="s">
        <v>98</v>
      </c>
      <c r="L241" s="53" t="s">
        <v>1518</v>
      </c>
      <c r="M241" s="12" t="s">
        <v>98</v>
      </c>
      <c r="N241" s="36" t="s">
        <v>1562</v>
      </c>
      <c r="O241" s="34">
        <v>52</v>
      </c>
      <c r="P241" s="6" t="s">
        <v>98</v>
      </c>
      <c r="Q241" s="34">
        <v>211</v>
      </c>
      <c r="R241" s="34" t="s">
        <v>98</v>
      </c>
      <c r="S241" s="6" t="s">
        <v>98</v>
      </c>
      <c r="T241" s="12">
        <f>Tableau1[[#This Row],[Loyer €/m²]]*Tableau1[[#This Row],[Surface GLA]]</f>
        <v>13000</v>
      </c>
      <c r="U241" s="12">
        <f>IFERROR(Tableau1[[#This Row],[Loyer annuel]]/12,"")</f>
        <v>1083.3333333333333</v>
      </c>
      <c r="V241" s="12">
        <v>250</v>
      </c>
      <c r="W241" s="34" t="s">
        <v>98</v>
      </c>
      <c r="X241" s="6">
        <f>Tableau1[[#This Row],[Charges €/m²]]*Tableau1[[#This Row],[Surface GLA]]</f>
        <v>982.28</v>
      </c>
      <c r="Y241" s="12">
        <f>Tableau1[[#This Row],[Charges annuelles]]/12</f>
        <v>81.856666666666669</v>
      </c>
      <c r="Z241" s="12">
        <v>18.89</v>
      </c>
      <c r="AA241" s="12">
        <f>IFERROR(Tableau1[[#This Row],[Taxe foncière €/m²]]*Tableau1[[#This Row],[Surface GLA]],)</f>
        <v>0</v>
      </c>
      <c r="AB241" s="12"/>
      <c r="AC241" s="12">
        <f>IFERROR(Tableau1[[#This Row],[Marketing €/m²]]*Tableau1[[#This Row],[Surface GLA]],)</f>
        <v>0</v>
      </c>
      <c r="AD241" s="12" t="s">
        <v>98</v>
      </c>
      <c r="AE241" s="12">
        <f>IFERROR(Tableau1[[#This Row],[Loyer annuel]]+Tableau1[[#This Row],[Charges annuelles]]+Tableau1[[#This Row],[Taxe foncière]]+Tableau1[[#This Row],[Marketing]],"")</f>
        <v>13982.28</v>
      </c>
      <c r="AF241" s="12" t="str">
        <f t="shared" si="12"/>
        <v>3 mois = 3 250 €</v>
      </c>
      <c r="AG241" s="12" t="s">
        <v>98</v>
      </c>
      <c r="AH241" s="51">
        <v>1.4999999999999999E-2</v>
      </c>
      <c r="AI241" s="12" t="s">
        <v>373</v>
      </c>
      <c r="AJ241" s="10" t="s">
        <v>70</v>
      </c>
      <c r="AK241" s="10" t="s">
        <v>363</v>
      </c>
      <c r="AL241" s="10"/>
      <c r="AM241" s="11"/>
      <c r="AN241" s="11" t="s">
        <v>1547</v>
      </c>
      <c r="AO241" s="5" t="s">
        <v>361</v>
      </c>
      <c r="AP241" s="11" t="s">
        <v>1676</v>
      </c>
      <c r="AQ241" s="11" t="s">
        <v>1675</v>
      </c>
      <c r="AR241" s="11" t="s">
        <v>1621</v>
      </c>
      <c r="AS241" s="36" t="s">
        <v>1680</v>
      </c>
      <c r="AT241" s="11" t="s">
        <v>70</v>
      </c>
      <c r="AU241" s="11" t="s">
        <v>1596</v>
      </c>
      <c r="AV241" s="13" t="s">
        <v>1585</v>
      </c>
      <c r="AW241" s="14"/>
      <c r="AX241" s="44">
        <v>46079</v>
      </c>
    </row>
    <row r="242" spans="1:50" ht="25.5">
      <c r="A242" s="38" t="str">
        <f>VLOOKUP(Tableau1[[#This Row],[N° Département]],Feuil1!$C$6:$E$106,3)</f>
        <v>Hauts-de-France</v>
      </c>
      <c r="B242" s="38" t="str">
        <f>VLOOKUP(Tableau1[[#This Row],[N° Département]],Feuil1!$C$6:$E$106,2)</f>
        <v>Nord</v>
      </c>
      <c r="C242" s="38">
        <f>LEFT(Tableau1[[#This Row],[Code Postal]],2)*1</f>
        <v>59</v>
      </c>
      <c r="D242" s="10" t="s">
        <v>1573</v>
      </c>
      <c r="E242" s="26">
        <v>59800</v>
      </c>
      <c r="F242" s="54" t="s">
        <v>1551</v>
      </c>
      <c r="G242" s="39" t="str">
        <f>Tableau1[[#This Row],[Rue]]&amp;CHAR(10)&amp;Tableau1[[#This Row],[Code Postal]]&amp;" - "&amp;Tableau1[[#This Row],[Ville]]</f>
        <v>178 rue Faidherbes
59800 - Lille Hellemmes</v>
      </c>
      <c r="H242" s="15" t="s">
        <v>1574</v>
      </c>
      <c r="I242" s="12" t="s">
        <v>45</v>
      </c>
      <c r="J242" s="12" t="s">
        <v>44</v>
      </c>
      <c r="K242" s="10" t="s">
        <v>98</v>
      </c>
      <c r="L242" s="53" t="s">
        <v>1518</v>
      </c>
      <c r="M242" s="12" t="s">
        <v>98</v>
      </c>
      <c r="N242" s="36" t="s">
        <v>1563</v>
      </c>
      <c r="O242" s="34">
        <v>38</v>
      </c>
      <c r="P242" s="6" t="s">
        <v>98</v>
      </c>
      <c r="Q242" s="34">
        <v>211</v>
      </c>
      <c r="R242" s="34" t="s">
        <v>98</v>
      </c>
      <c r="S242" s="6" t="s">
        <v>98</v>
      </c>
      <c r="T242" s="12">
        <f>Tableau1[[#This Row],[Loyer €/m²]]*Tableau1[[#This Row],[Surface GLA]]</f>
        <v>9500</v>
      </c>
      <c r="U242" s="12">
        <f>IFERROR(Tableau1[[#This Row],[Loyer annuel]]/12,"")</f>
        <v>791.66666666666663</v>
      </c>
      <c r="V242" s="12">
        <v>250</v>
      </c>
      <c r="W242" s="34" t="s">
        <v>98</v>
      </c>
      <c r="X242" s="6">
        <f>Tableau1[[#This Row],[Charges €/m²]]*Tableau1[[#This Row],[Surface GLA]]</f>
        <v>123.12</v>
      </c>
      <c r="Y242" s="12">
        <f>Tableau1[[#This Row],[Charges annuelles]]/12</f>
        <v>10.26</v>
      </c>
      <c r="Z242" s="12">
        <v>3.24</v>
      </c>
      <c r="AA242" s="12">
        <f>IFERROR(Tableau1[[#This Row],[Taxe foncière €/m²]]*Tableau1[[#This Row],[Surface GLA]],)</f>
        <v>0</v>
      </c>
      <c r="AB242" s="12"/>
      <c r="AC242" s="12">
        <f>IFERROR(Tableau1[[#This Row],[Marketing €/m²]]*Tableau1[[#This Row],[Surface GLA]],)</f>
        <v>0</v>
      </c>
      <c r="AD242" s="12" t="s">
        <v>98</v>
      </c>
      <c r="AE242" s="12">
        <f>IFERROR(Tableau1[[#This Row],[Loyer annuel]]+Tableau1[[#This Row],[Charges annuelles]]+Tableau1[[#This Row],[Taxe foncière]]+Tableau1[[#This Row],[Marketing]],"")</f>
        <v>9623.1200000000008</v>
      </c>
      <c r="AF242" s="12" t="str">
        <f t="shared" si="12"/>
        <v>3 mois = 2 375 €</v>
      </c>
      <c r="AG242" s="12" t="s">
        <v>98</v>
      </c>
      <c r="AH242" s="51">
        <v>1.4999999999999999E-2</v>
      </c>
      <c r="AI242" s="12" t="s">
        <v>373</v>
      </c>
      <c r="AJ242" s="10" t="s">
        <v>70</v>
      </c>
      <c r="AK242" s="10" t="s">
        <v>363</v>
      </c>
      <c r="AL242" s="10"/>
      <c r="AM242" s="11"/>
      <c r="AN242" s="11" t="s">
        <v>1547</v>
      </c>
      <c r="AO242" s="5" t="s">
        <v>361</v>
      </c>
      <c r="AP242" s="11" t="s">
        <v>1677</v>
      </c>
      <c r="AQ242" s="11" t="s">
        <v>1678</v>
      </c>
      <c r="AR242" s="11" t="s">
        <v>1622</v>
      </c>
      <c r="AS242" s="36" t="s">
        <v>1681</v>
      </c>
      <c r="AT242" s="11" t="s">
        <v>70</v>
      </c>
      <c r="AU242" s="11" t="s">
        <v>1597</v>
      </c>
      <c r="AV242" s="13" t="s">
        <v>1585</v>
      </c>
      <c r="AW242" s="14"/>
      <c r="AX242" s="44">
        <v>46079</v>
      </c>
    </row>
    <row r="243" spans="1:50" ht="25.5">
      <c r="A243" s="38" t="str">
        <f>VLOOKUP(Tableau1[[#This Row],[N° Département]],Feuil1!$C$6:$E$106,3)</f>
        <v>Ile-de-France</v>
      </c>
      <c r="B243" s="38" t="str">
        <f>VLOOKUP(Tableau1[[#This Row],[N° Département]],Feuil1!$C$6:$E$106,2)</f>
        <v>Seine-Saint-Denis</v>
      </c>
      <c r="C243" s="38">
        <f>LEFT(Tableau1[[#This Row],[Code Postal]],2)*1</f>
        <v>93</v>
      </c>
      <c r="D243" s="10" t="s">
        <v>1575</v>
      </c>
      <c r="E243" s="26">
        <v>93100</v>
      </c>
      <c r="F243" s="54" t="s">
        <v>1552</v>
      </c>
      <c r="G243" s="39" t="str">
        <f>Tableau1[[#This Row],[Rue]]&amp;CHAR(10)&amp;Tableau1[[#This Row],[Code Postal]]&amp;" - "&amp;Tableau1[[#This Row],[Ville]]</f>
        <v>299 rue de Rosny
93100 - Montreuil</v>
      </c>
      <c r="H243" s="15" t="s">
        <v>1682</v>
      </c>
      <c r="I243" s="12" t="s">
        <v>45</v>
      </c>
      <c r="J243" s="12" t="s">
        <v>44</v>
      </c>
      <c r="K243" s="10" t="s">
        <v>98</v>
      </c>
      <c r="L243" s="53" t="s">
        <v>1518</v>
      </c>
      <c r="M243" s="12" t="s">
        <v>98</v>
      </c>
      <c r="N243" s="36" t="s">
        <v>1564</v>
      </c>
      <c r="O243" s="34">
        <v>320</v>
      </c>
      <c r="P243" s="6" t="s">
        <v>98</v>
      </c>
      <c r="Q243" s="34">
        <v>600</v>
      </c>
      <c r="R243" s="34" t="s">
        <v>98</v>
      </c>
      <c r="S243" s="6" t="s">
        <v>98</v>
      </c>
      <c r="T243" s="12">
        <f>Tableau1[[#This Row],[Loyer €/m²]]*Tableau1[[#This Row],[Surface GLA]]</f>
        <v>64000</v>
      </c>
      <c r="U243" s="12">
        <f>IFERROR(Tableau1[[#This Row],[Loyer annuel]]/12,"")</f>
        <v>5333.333333333333</v>
      </c>
      <c r="V243" s="12">
        <v>200</v>
      </c>
      <c r="W243" s="34" t="s">
        <v>98</v>
      </c>
      <c r="X243" s="6">
        <f>Tableau1[[#This Row],[Charges €/m²]]*Tableau1[[#This Row],[Surface GLA]]</f>
        <v>0</v>
      </c>
      <c r="Y243" s="12">
        <f>Tableau1[[#This Row],[Charges annuelles]]/12</f>
        <v>0</v>
      </c>
      <c r="Z243" s="12"/>
      <c r="AA243" s="12">
        <f>IFERROR(Tableau1[[#This Row],[Taxe foncière €/m²]]*Tableau1[[#This Row],[Surface GLA]],)</f>
        <v>0</v>
      </c>
      <c r="AB243" s="12"/>
      <c r="AC243" s="12">
        <f>IFERROR(Tableau1[[#This Row],[Marketing €/m²]]*Tableau1[[#This Row],[Surface GLA]],)</f>
        <v>0</v>
      </c>
      <c r="AD243" s="12" t="s">
        <v>98</v>
      </c>
      <c r="AE243" s="12">
        <f>IFERROR(Tableau1[[#This Row],[Loyer annuel]]+Tableau1[[#This Row],[Charges annuelles]]+Tableau1[[#This Row],[Taxe foncière]]+Tableau1[[#This Row],[Marketing]],"")</f>
        <v>64000</v>
      </c>
      <c r="AF243" s="12" t="str">
        <f t="shared" si="12"/>
        <v>3 mois = 16 000 €</v>
      </c>
      <c r="AG243" s="12" t="s">
        <v>98</v>
      </c>
      <c r="AH243" s="51">
        <v>1.4999999999999999E-2</v>
      </c>
      <c r="AI243" s="12" t="s">
        <v>373</v>
      </c>
      <c r="AJ243" s="10" t="s">
        <v>70</v>
      </c>
      <c r="AK243" s="10" t="s">
        <v>363</v>
      </c>
      <c r="AL243" s="10"/>
      <c r="AM243" s="11"/>
      <c r="AN243" s="11" t="s">
        <v>1547</v>
      </c>
      <c r="AO243" s="5" t="s">
        <v>361</v>
      </c>
      <c r="AP243" s="11" t="s">
        <v>1685</v>
      </c>
      <c r="AQ243" s="11" t="s">
        <v>1686</v>
      </c>
      <c r="AR243" s="11" t="s">
        <v>1623</v>
      </c>
      <c r="AS243" s="36" t="s">
        <v>1683</v>
      </c>
      <c r="AT243" s="11" t="s">
        <v>70</v>
      </c>
      <c r="AU243" s="11" t="s">
        <v>1599</v>
      </c>
      <c r="AV243" s="13" t="s">
        <v>1585</v>
      </c>
      <c r="AW243" s="14"/>
      <c r="AX243" s="44">
        <v>46079</v>
      </c>
    </row>
    <row r="244" spans="1:50" ht="25.5">
      <c r="A244" s="38" t="str">
        <f>VLOOKUP(Tableau1[[#This Row],[N° Département]],Feuil1!$C$6:$E$106,3)</f>
        <v>Ile-de-France</v>
      </c>
      <c r="B244" s="38" t="str">
        <f>VLOOKUP(Tableau1[[#This Row],[N° Département]],Feuil1!$C$6:$E$106,2)</f>
        <v>Seine-Saint-Denis</v>
      </c>
      <c r="C244" s="38">
        <f>LEFT(Tableau1[[#This Row],[Code Postal]],2)*1</f>
        <v>93</v>
      </c>
      <c r="D244" s="10" t="s">
        <v>1575</v>
      </c>
      <c r="E244" s="26">
        <v>93100</v>
      </c>
      <c r="F244" s="54" t="s">
        <v>1552</v>
      </c>
      <c r="G244" s="39" t="str">
        <f>Tableau1[[#This Row],[Rue]]&amp;CHAR(10)&amp;Tableau1[[#This Row],[Code Postal]]&amp;" - "&amp;Tableau1[[#This Row],[Ville]]</f>
        <v>299 rue de Rosny
93100 - Montreuil</v>
      </c>
      <c r="H244" s="15" t="s">
        <v>1682</v>
      </c>
      <c r="I244" s="12" t="s">
        <v>45</v>
      </c>
      <c r="J244" s="12" t="s">
        <v>44</v>
      </c>
      <c r="K244" s="10" t="s">
        <v>98</v>
      </c>
      <c r="L244" s="53" t="s">
        <v>1518</v>
      </c>
      <c r="M244" s="12" t="s">
        <v>98</v>
      </c>
      <c r="N244" s="36" t="s">
        <v>1565</v>
      </c>
      <c r="O244" s="34">
        <v>280</v>
      </c>
      <c r="P244" s="6" t="s">
        <v>98</v>
      </c>
      <c r="Q244" s="34">
        <v>600</v>
      </c>
      <c r="R244" s="34" t="s">
        <v>98</v>
      </c>
      <c r="S244" s="6" t="s">
        <v>98</v>
      </c>
      <c r="T244" s="12">
        <f>Tableau1[[#This Row],[Loyer €/m²]]*Tableau1[[#This Row],[Surface GLA]]</f>
        <v>56000</v>
      </c>
      <c r="U244" s="12">
        <f>IFERROR(Tableau1[[#This Row],[Loyer annuel]]/12,"")</f>
        <v>4666.666666666667</v>
      </c>
      <c r="V244" s="12">
        <v>200</v>
      </c>
      <c r="W244" s="34" t="s">
        <v>98</v>
      </c>
      <c r="X244" s="6">
        <f>Tableau1[[#This Row],[Charges €/m²]]*Tableau1[[#This Row],[Surface GLA]]</f>
        <v>0</v>
      </c>
      <c r="Y244" s="12">
        <f>Tableau1[[#This Row],[Charges annuelles]]/12</f>
        <v>0</v>
      </c>
      <c r="Z244" s="12"/>
      <c r="AA244" s="12">
        <f>IFERROR(Tableau1[[#This Row],[Taxe foncière €/m²]]*Tableau1[[#This Row],[Surface GLA]],)</f>
        <v>0</v>
      </c>
      <c r="AB244" s="12"/>
      <c r="AC244" s="12">
        <f>IFERROR(Tableau1[[#This Row],[Marketing €/m²]]*Tableau1[[#This Row],[Surface GLA]],)</f>
        <v>0</v>
      </c>
      <c r="AD244" s="12" t="s">
        <v>98</v>
      </c>
      <c r="AE244" s="12">
        <f>IFERROR(Tableau1[[#This Row],[Loyer annuel]]+Tableau1[[#This Row],[Charges annuelles]]+Tableau1[[#This Row],[Taxe foncière]]+Tableau1[[#This Row],[Marketing]],"")</f>
        <v>56000</v>
      </c>
      <c r="AF244" s="12" t="str">
        <f t="shared" si="12"/>
        <v>3 mois = 14 000 €</v>
      </c>
      <c r="AG244" s="12" t="s">
        <v>98</v>
      </c>
      <c r="AH244" s="51">
        <v>1.4999999999999999E-2</v>
      </c>
      <c r="AI244" s="12" t="s">
        <v>373</v>
      </c>
      <c r="AJ244" s="10" t="s">
        <v>70</v>
      </c>
      <c r="AK244" s="10" t="s">
        <v>363</v>
      </c>
      <c r="AL244" s="10"/>
      <c r="AM244" s="11"/>
      <c r="AN244" s="11" t="s">
        <v>1547</v>
      </c>
      <c r="AO244" s="5" t="s">
        <v>361</v>
      </c>
      <c r="AP244" s="11" t="s">
        <v>1687</v>
      </c>
      <c r="AQ244" s="11" t="s">
        <v>1688</v>
      </c>
      <c r="AR244" s="11" t="s">
        <v>1624</v>
      </c>
      <c r="AS244" s="36" t="s">
        <v>1684</v>
      </c>
      <c r="AT244" s="11" t="s">
        <v>70</v>
      </c>
      <c r="AU244" s="11" t="s">
        <v>1600</v>
      </c>
      <c r="AV244" s="13" t="s">
        <v>1585</v>
      </c>
      <c r="AW244" s="14"/>
      <c r="AX244" s="44">
        <v>46079</v>
      </c>
    </row>
    <row r="245" spans="1:50" ht="25.5">
      <c r="A245" s="38" t="str">
        <f>VLOOKUP(Tableau1[[#This Row],[N° Département]],Feuil1!$C$6:$E$106,3)</f>
        <v>Ile-de-France</v>
      </c>
      <c r="B245" s="38" t="str">
        <f>VLOOKUP(Tableau1[[#This Row],[N° Département]],Feuil1!$C$6:$E$106,2)</f>
        <v>Yvelines</v>
      </c>
      <c r="C245" s="38">
        <f>LEFT(Tableau1[[#This Row],[Code Postal]],2)*1</f>
        <v>78</v>
      </c>
      <c r="D245" s="10" t="s">
        <v>1576</v>
      </c>
      <c r="E245" s="26">
        <v>78300</v>
      </c>
      <c r="F245" s="54" t="s">
        <v>1553</v>
      </c>
      <c r="G245" s="39" t="str">
        <f>Tableau1[[#This Row],[Rue]]&amp;CHAR(10)&amp;Tableau1[[#This Row],[Code Postal]]&amp;" - "&amp;Tableau1[[#This Row],[Ville]]</f>
        <v>30 rue Maurice Clerc
78300 - Poissy</v>
      </c>
      <c r="H245" s="15" t="s">
        <v>1690</v>
      </c>
      <c r="I245" s="12" t="s">
        <v>45</v>
      </c>
      <c r="J245" s="12" t="s">
        <v>44</v>
      </c>
      <c r="K245" s="10" t="s">
        <v>98</v>
      </c>
      <c r="L245" s="53" t="s">
        <v>1518</v>
      </c>
      <c r="M245" s="12" t="s">
        <v>98</v>
      </c>
      <c r="N245" s="36" t="s">
        <v>1566</v>
      </c>
      <c r="O245" s="34">
        <v>132</v>
      </c>
      <c r="P245" s="6" t="s">
        <v>98</v>
      </c>
      <c r="Q245" s="34" t="s">
        <v>98</v>
      </c>
      <c r="R245" s="34" t="s">
        <v>98</v>
      </c>
      <c r="S245" s="6" t="s">
        <v>98</v>
      </c>
      <c r="T245" s="12">
        <f>Tableau1[[#This Row],[Loyer €/m²]]*Tableau1[[#This Row],[Surface GLA]]</f>
        <v>33000</v>
      </c>
      <c r="U245" s="12">
        <f>IFERROR(Tableau1[[#This Row],[Loyer annuel]]/12,"")</f>
        <v>2750</v>
      </c>
      <c r="V245" s="12">
        <v>250</v>
      </c>
      <c r="W245" s="34" t="s">
        <v>98</v>
      </c>
      <c r="X245" s="6">
        <f>Tableau1[[#This Row],[Charges €/m²]]*Tableau1[[#This Row],[Surface GLA]]</f>
        <v>1222.32</v>
      </c>
      <c r="Y245" s="12">
        <f>Tableau1[[#This Row],[Charges annuelles]]/12</f>
        <v>101.86</v>
      </c>
      <c r="Z245" s="12">
        <v>9.26</v>
      </c>
      <c r="AA245" s="12">
        <f>IFERROR(Tableau1[[#This Row],[Taxe foncière €/m²]]*Tableau1[[#This Row],[Surface GLA]],)</f>
        <v>0</v>
      </c>
      <c r="AB245" s="12"/>
      <c r="AC245" s="12">
        <f>IFERROR(Tableau1[[#This Row],[Marketing €/m²]]*Tableau1[[#This Row],[Surface GLA]],)</f>
        <v>0</v>
      </c>
      <c r="AD245" s="12" t="s">
        <v>98</v>
      </c>
      <c r="AE245" s="12">
        <f>IFERROR(Tableau1[[#This Row],[Loyer annuel]]+Tableau1[[#This Row],[Charges annuelles]]+Tableau1[[#This Row],[Taxe foncière]]+Tableau1[[#This Row],[Marketing]],"")</f>
        <v>34222.32</v>
      </c>
      <c r="AF245" s="12" t="str">
        <f t="shared" si="12"/>
        <v>3 mois = 8 250 €</v>
      </c>
      <c r="AG245" s="12" t="s">
        <v>98</v>
      </c>
      <c r="AH245" s="51">
        <v>1.4999999999999999E-2</v>
      </c>
      <c r="AI245" s="12" t="s">
        <v>373</v>
      </c>
      <c r="AJ245" s="10" t="s">
        <v>70</v>
      </c>
      <c r="AK245" s="10" t="s">
        <v>363</v>
      </c>
      <c r="AL245" s="10"/>
      <c r="AM245" s="11"/>
      <c r="AN245" s="11" t="s">
        <v>1547</v>
      </c>
      <c r="AO245" s="5" t="s">
        <v>361</v>
      </c>
      <c r="AP245" s="11" t="s">
        <v>1692</v>
      </c>
      <c r="AQ245" s="11" t="s">
        <v>1693</v>
      </c>
      <c r="AR245" s="11" t="s">
        <v>1625</v>
      </c>
      <c r="AS245" s="36" t="s">
        <v>1696</v>
      </c>
      <c r="AT245" s="11" t="s">
        <v>70</v>
      </c>
      <c r="AU245" s="11" t="s">
        <v>1601</v>
      </c>
      <c r="AV245" s="13" t="s">
        <v>1585</v>
      </c>
      <c r="AW245" s="14"/>
      <c r="AX245" s="44">
        <v>46079</v>
      </c>
    </row>
    <row r="246" spans="1:50" ht="25.5">
      <c r="A246" s="38" t="str">
        <f>VLOOKUP(Tableau1[[#This Row],[N° Département]],Feuil1!$C$6:$E$106,3)</f>
        <v>Ile-de-France</v>
      </c>
      <c r="B246" s="38" t="str">
        <f>VLOOKUP(Tableau1[[#This Row],[N° Département]],Feuil1!$C$6:$E$106,2)</f>
        <v>Yvelines</v>
      </c>
      <c r="C246" s="38">
        <f>LEFT(Tableau1[[#This Row],[Code Postal]],2)*1</f>
        <v>78</v>
      </c>
      <c r="D246" s="10" t="s">
        <v>1689</v>
      </c>
      <c r="E246" s="26">
        <v>78300</v>
      </c>
      <c r="F246" s="54" t="s">
        <v>1553</v>
      </c>
      <c r="G246" s="39" t="str">
        <f>Tableau1[[#This Row],[Rue]]&amp;CHAR(10)&amp;Tableau1[[#This Row],[Code Postal]]&amp;" - "&amp;Tableau1[[#This Row],[Ville]]</f>
        <v>23 rue Maurice Clerc
78300 - Poissy</v>
      </c>
      <c r="H246" s="15" t="s">
        <v>1691</v>
      </c>
      <c r="I246" s="12" t="s">
        <v>45</v>
      </c>
      <c r="J246" s="12" t="s">
        <v>44</v>
      </c>
      <c r="K246" s="10" t="s">
        <v>98</v>
      </c>
      <c r="L246" s="53" t="s">
        <v>1518</v>
      </c>
      <c r="M246" s="12" t="s">
        <v>98</v>
      </c>
      <c r="N246" s="36" t="s">
        <v>1567</v>
      </c>
      <c r="O246" s="34">
        <v>111</v>
      </c>
      <c r="P246" s="6" t="s">
        <v>98</v>
      </c>
      <c r="Q246" s="34" t="s">
        <v>98</v>
      </c>
      <c r="R246" s="34" t="s">
        <v>98</v>
      </c>
      <c r="S246" s="6" t="s">
        <v>98</v>
      </c>
      <c r="T246" s="12">
        <f>Tableau1[[#This Row],[Loyer €/m²]]*Tableau1[[#This Row],[Surface GLA]]</f>
        <v>27750</v>
      </c>
      <c r="U246" s="12">
        <f>IFERROR(Tableau1[[#This Row],[Loyer annuel]]/12,"")</f>
        <v>2312.5</v>
      </c>
      <c r="V246" s="12">
        <v>250</v>
      </c>
      <c r="W246" s="34" t="s">
        <v>98</v>
      </c>
      <c r="X246" s="6">
        <f>Tableau1[[#This Row],[Charges €/m²]]*Tableau1[[#This Row],[Surface GLA]]</f>
        <v>1279.83</v>
      </c>
      <c r="Y246" s="12">
        <f>Tableau1[[#This Row],[Charges annuelles]]/12</f>
        <v>106.65249999999999</v>
      </c>
      <c r="Z246" s="12">
        <v>11.53</v>
      </c>
      <c r="AA246" s="12">
        <f>IFERROR(Tableau1[[#This Row],[Taxe foncière €/m²]]*Tableau1[[#This Row],[Surface GLA]],)</f>
        <v>0</v>
      </c>
      <c r="AB246" s="12"/>
      <c r="AC246" s="12">
        <f>IFERROR(Tableau1[[#This Row],[Marketing €/m²]]*Tableau1[[#This Row],[Surface GLA]],)</f>
        <v>0</v>
      </c>
      <c r="AD246" s="12" t="s">
        <v>98</v>
      </c>
      <c r="AE246" s="12">
        <f>IFERROR(Tableau1[[#This Row],[Loyer annuel]]+Tableau1[[#This Row],[Charges annuelles]]+Tableau1[[#This Row],[Taxe foncière]]+Tableau1[[#This Row],[Marketing]],"")</f>
        <v>29029.83</v>
      </c>
      <c r="AF246" s="12" t="str">
        <f t="shared" si="12"/>
        <v>3 mois = 6 938 €</v>
      </c>
      <c r="AG246" s="12" t="s">
        <v>98</v>
      </c>
      <c r="AH246" s="51">
        <v>1.4999999999999999E-2</v>
      </c>
      <c r="AI246" s="12" t="s">
        <v>373</v>
      </c>
      <c r="AJ246" s="10" t="s">
        <v>70</v>
      </c>
      <c r="AK246" s="10" t="s">
        <v>363</v>
      </c>
      <c r="AL246" s="10"/>
      <c r="AM246" s="11"/>
      <c r="AN246" s="11" t="s">
        <v>1547</v>
      </c>
      <c r="AO246" s="5" t="s">
        <v>361</v>
      </c>
      <c r="AP246" s="11" t="s">
        <v>1694</v>
      </c>
      <c r="AQ246" s="11" t="s">
        <v>1695</v>
      </c>
      <c r="AR246" s="11" t="s">
        <v>1626</v>
      </c>
      <c r="AS246" s="36" t="s">
        <v>1697</v>
      </c>
      <c r="AT246" s="11" t="s">
        <v>70</v>
      </c>
      <c r="AU246" s="11" t="s">
        <v>1602</v>
      </c>
      <c r="AV246" s="13" t="s">
        <v>1585</v>
      </c>
      <c r="AW246" s="14"/>
      <c r="AX246" s="44">
        <v>46079</v>
      </c>
    </row>
    <row r="247" spans="1:50" ht="25.5">
      <c r="A247" s="38" t="str">
        <f>VLOOKUP(Tableau1[[#This Row],[N° Département]],Feuil1!$C$6:$E$106,3)</f>
        <v>Ile-de-France</v>
      </c>
      <c r="B247" s="38" t="str">
        <f>VLOOKUP(Tableau1[[#This Row],[N° Département]],Feuil1!$C$6:$E$106,2)</f>
        <v>Seine-Saint-Denis</v>
      </c>
      <c r="C247" s="38">
        <f>LEFT(Tableau1[[#This Row],[Code Postal]],2)*1</f>
        <v>93</v>
      </c>
      <c r="D247" s="10" t="s">
        <v>1577</v>
      </c>
      <c r="E247" s="26">
        <v>93400</v>
      </c>
      <c r="F247" s="54" t="s">
        <v>1554</v>
      </c>
      <c r="G247" s="39" t="str">
        <f>Tableau1[[#This Row],[Rue]]&amp;CHAR(10)&amp;Tableau1[[#This Row],[Code Postal]]&amp;" - "&amp;Tableau1[[#This Row],[Ville]]</f>
        <v>12 bis rue des Bateliers
93400 - Saint-Ouen</v>
      </c>
      <c r="H247" s="15" t="s">
        <v>1660</v>
      </c>
      <c r="I247" s="12" t="s">
        <v>45</v>
      </c>
      <c r="J247" s="12" t="s">
        <v>44</v>
      </c>
      <c r="K247" s="10" t="s">
        <v>98</v>
      </c>
      <c r="L247" s="53" t="s">
        <v>1518</v>
      </c>
      <c r="M247" s="12" t="s">
        <v>98</v>
      </c>
      <c r="N247" s="36" t="s">
        <v>329</v>
      </c>
      <c r="O247" s="34">
        <v>142</v>
      </c>
      <c r="P247" s="6" t="s">
        <v>1698</v>
      </c>
      <c r="Q247" s="34" t="s">
        <v>98</v>
      </c>
      <c r="R247" s="34" t="s">
        <v>98</v>
      </c>
      <c r="S247" s="6" t="s">
        <v>98</v>
      </c>
      <c r="T247" s="12">
        <f>Tableau1[[#This Row],[Loyer €/m²]]*Tableau1[[#This Row],[Surface GLA]]</f>
        <v>49700</v>
      </c>
      <c r="U247" s="12">
        <f>IFERROR(Tableau1[[#This Row],[Loyer annuel]]/12,"")</f>
        <v>4141.666666666667</v>
      </c>
      <c r="V247" s="12">
        <v>350</v>
      </c>
      <c r="W247" s="34" t="s">
        <v>98</v>
      </c>
      <c r="X247" s="6">
        <f>Tableau1[[#This Row],[Charges €/m²]]*Tableau1[[#This Row],[Surface GLA]]</f>
        <v>0</v>
      </c>
      <c r="Y247" s="12">
        <f>Tableau1[[#This Row],[Charges annuelles]]/12</f>
        <v>0</v>
      </c>
      <c r="Z247" s="12"/>
      <c r="AA247" s="12">
        <f>IFERROR(Tableau1[[#This Row],[Taxe foncière €/m²]]*Tableau1[[#This Row],[Surface GLA]],)</f>
        <v>0</v>
      </c>
      <c r="AB247" s="12"/>
      <c r="AC247" s="12">
        <f>IFERROR(Tableau1[[#This Row],[Marketing €/m²]]*Tableau1[[#This Row],[Surface GLA]],)</f>
        <v>0</v>
      </c>
      <c r="AD247" s="12" t="s">
        <v>98</v>
      </c>
      <c r="AE247" s="12">
        <f>IFERROR(Tableau1[[#This Row],[Loyer annuel]]+Tableau1[[#This Row],[Charges annuelles]]+Tableau1[[#This Row],[Taxe foncière]]+Tableau1[[#This Row],[Marketing]],"")</f>
        <v>49700</v>
      </c>
      <c r="AF247" s="12" t="str">
        <f t="shared" si="12"/>
        <v>3 mois = 12 425 €</v>
      </c>
      <c r="AG247" s="12" t="s">
        <v>98</v>
      </c>
      <c r="AH247" s="51">
        <v>1.4999999999999999E-2</v>
      </c>
      <c r="AI247" s="12" t="s">
        <v>373</v>
      </c>
      <c r="AJ247" s="10" t="s">
        <v>70</v>
      </c>
      <c r="AK247" s="10" t="s">
        <v>363</v>
      </c>
      <c r="AL247" s="10"/>
      <c r="AM247" s="11"/>
      <c r="AN247" s="11" t="s">
        <v>1547</v>
      </c>
      <c r="AO247" s="5" t="s">
        <v>361</v>
      </c>
      <c r="AP247" s="11" t="s">
        <v>1701</v>
      </c>
      <c r="AQ247" s="11" t="s">
        <v>1700</v>
      </c>
      <c r="AR247" s="11">
        <v>77</v>
      </c>
      <c r="AS247" s="36" t="s">
        <v>1699</v>
      </c>
      <c r="AT247" s="11" t="s">
        <v>70</v>
      </c>
      <c r="AU247" s="11" t="s">
        <v>1603</v>
      </c>
      <c r="AV247" s="13" t="s">
        <v>1585</v>
      </c>
      <c r="AW247" s="14"/>
      <c r="AX247" s="44">
        <v>46079</v>
      </c>
    </row>
    <row r="248" spans="1:50" ht="25.5">
      <c r="A248" s="38" t="str">
        <f>VLOOKUP(Tableau1[[#This Row],[N° Département]],Feuil1!$C$6:$E$106,3)</f>
        <v>Ile-de-France</v>
      </c>
      <c r="B248" s="38" t="str">
        <f>VLOOKUP(Tableau1[[#This Row],[N° Département]],Feuil1!$C$6:$E$106,2)</f>
        <v>Val-de-Marne</v>
      </c>
      <c r="C248" s="38">
        <f>LEFT(Tableau1[[#This Row],[Code Postal]],2)*1</f>
        <v>94</v>
      </c>
      <c r="D248" s="10" t="s">
        <v>1578</v>
      </c>
      <c r="E248" s="26">
        <v>94513</v>
      </c>
      <c r="F248" s="54" t="s">
        <v>1555</v>
      </c>
      <c r="G248" s="39" t="str">
        <f>Tableau1[[#This Row],[Rue]]&amp;CHAR(10)&amp;Tableau1[[#This Row],[Code Postal]]&amp;" - "&amp;Tableau1[[#This Row],[Ville]]</f>
        <v>rue Dunoyer de Segonzac
94513 - La Queue en Brie</v>
      </c>
      <c r="H248" s="15" t="s">
        <v>1703</v>
      </c>
      <c r="I248" s="12" t="s">
        <v>45</v>
      </c>
      <c r="J248" s="12" t="s">
        <v>44</v>
      </c>
      <c r="K248" s="10" t="s">
        <v>98</v>
      </c>
      <c r="L248" s="53" t="s">
        <v>1518</v>
      </c>
      <c r="M248" s="12" t="s">
        <v>98</v>
      </c>
      <c r="N248" s="36" t="s">
        <v>351</v>
      </c>
      <c r="O248" s="34">
        <v>38</v>
      </c>
      <c r="P248" s="6" t="s">
        <v>98</v>
      </c>
      <c r="Q248" s="34" t="s">
        <v>98</v>
      </c>
      <c r="R248" s="34" t="s">
        <v>98</v>
      </c>
      <c r="S248" s="6" t="s">
        <v>98</v>
      </c>
      <c r="T248" s="12">
        <f>Tableau1[[#This Row],[Loyer €/m²]]*Tableau1[[#This Row],[Surface GLA]]</f>
        <v>11400</v>
      </c>
      <c r="U248" s="12">
        <f>IFERROR(Tableau1[[#This Row],[Loyer annuel]]/12,"")</f>
        <v>950</v>
      </c>
      <c r="V248" s="12">
        <v>300</v>
      </c>
      <c r="W248" s="34" t="s">
        <v>98</v>
      </c>
      <c r="X248" s="6">
        <f>Tableau1[[#This Row],[Charges €/m²]]*Tableau1[[#This Row],[Surface GLA]]</f>
        <v>0</v>
      </c>
      <c r="Y248" s="12">
        <f>Tableau1[[#This Row],[Charges annuelles]]/12</f>
        <v>0</v>
      </c>
      <c r="Z248" s="12"/>
      <c r="AA248" s="12">
        <f>IFERROR(Tableau1[[#This Row],[Taxe foncière €/m²]]*Tableau1[[#This Row],[Surface GLA]],)</f>
        <v>0</v>
      </c>
      <c r="AB248" s="12"/>
      <c r="AC248" s="12">
        <f>IFERROR(Tableau1[[#This Row],[Marketing €/m²]]*Tableau1[[#This Row],[Surface GLA]],)</f>
        <v>0</v>
      </c>
      <c r="AD248" s="12" t="s">
        <v>98</v>
      </c>
      <c r="AE248" s="12">
        <f>IFERROR(Tableau1[[#This Row],[Loyer annuel]]+Tableau1[[#This Row],[Charges annuelles]]+Tableau1[[#This Row],[Taxe foncière]]+Tableau1[[#This Row],[Marketing]],"")</f>
        <v>11400</v>
      </c>
      <c r="AF248" s="12" t="str">
        <f>"3 mois = "&amp;TEXT(ROUND(3/12*T248,0),"### ### ##0 €")</f>
        <v>3 mois = 2 850 €</v>
      </c>
      <c r="AG248" s="12" t="s">
        <v>98</v>
      </c>
      <c r="AH248" s="51">
        <v>1.4999999999999999E-2</v>
      </c>
      <c r="AI248" s="12" t="s">
        <v>373</v>
      </c>
      <c r="AJ248" s="10" t="s">
        <v>70</v>
      </c>
      <c r="AK248" s="10" t="s">
        <v>363</v>
      </c>
      <c r="AL248" s="10"/>
      <c r="AM248" s="11"/>
      <c r="AN248" s="11" t="s">
        <v>1547</v>
      </c>
      <c r="AO248" s="5" t="s">
        <v>361</v>
      </c>
      <c r="AP248" s="11" t="s">
        <v>1708</v>
      </c>
      <c r="AQ248" s="11" t="s">
        <v>1709</v>
      </c>
      <c r="AR248" s="11" t="s">
        <v>1627</v>
      </c>
      <c r="AS248" s="36" t="s">
        <v>1704</v>
      </c>
      <c r="AT248" s="11" t="s">
        <v>70</v>
      </c>
      <c r="AU248" s="11" t="s">
        <v>1607</v>
      </c>
      <c r="AV248" s="13" t="s">
        <v>1585</v>
      </c>
      <c r="AW248" s="14"/>
      <c r="AX248" s="44">
        <v>46079</v>
      </c>
    </row>
    <row r="249" spans="1:50" ht="25.5">
      <c r="A249" s="38" t="str">
        <f>VLOOKUP(Tableau1[[#This Row],[N° Département]],Feuil1!$C$6:$E$106,3)</f>
        <v>Ile-de-France</v>
      </c>
      <c r="B249" s="38" t="str">
        <f>VLOOKUP(Tableau1[[#This Row],[N° Département]],Feuil1!$C$6:$E$106,2)</f>
        <v>Val-de-Marne</v>
      </c>
      <c r="C249" s="38">
        <f>LEFT(Tableau1[[#This Row],[Code Postal]],2)*1</f>
        <v>94</v>
      </c>
      <c r="D249" s="10" t="s">
        <v>1578</v>
      </c>
      <c r="E249" s="26">
        <v>94512</v>
      </c>
      <c r="F249" s="54" t="s">
        <v>1555</v>
      </c>
      <c r="G249" s="39" t="str">
        <f>Tableau1[[#This Row],[Rue]]&amp;CHAR(10)&amp;Tableau1[[#This Row],[Code Postal]]&amp;" - "&amp;Tableau1[[#This Row],[Ville]]</f>
        <v>rue Dunoyer de Segonzac
94512 - La Queue en Brie</v>
      </c>
      <c r="H249" s="15" t="s">
        <v>1703</v>
      </c>
      <c r="I249" s="12" t="s">
        <v>45</v>
      </c>
      <c r="J249" s="12" t="s">
        <v>44</v>
      </c>
      <c r="K249" s="10" t="s">
        <v>98</v>
      </c>
      <c r="L249" s="53" t="s">
        <v>1518</v>
      </c>
      <c r="M249" s="12" t="s">
        <v>98</v>
      </c>
      <c r="N249" s="36" t="s">
        <v>352</v>
      </c>
      <c r="O249" s="34">
        <v>95</v>
      </c>
      <c r="P249" s="6" t="s">
        <v>98</v>
      </c>
      <c r="Q249" s="34" t="s">
        <v>98</v>
      </c>
      <c r="R249" s="34" t="s">
        <v>98</v>
      </c>
      <c r="S249" s="6" t="s">
        <v>98</v>
      </c>
      <c r="T249" s="12">
        <f>Tableau1[[#This Row],[Loyer €/m²]]*Tableau1[[#This Row],[Surface GLA]]</f>
        <v>23750</v>
      </c>
      <c r="U249" s="12">
        <f>IFERROR(Tableau1[[#This Row],[Loyer annuel]]/12,"")</f>
        <v>1979.1666666666667</v>
      </c>
      <c r="V249" s="12">
        <v>250</v>
      </c>
      <c r="W249" s="34" t="s">
        <v>98</v>
      </c>
      <c r="X249" s="6">
        <f>Tableau1[[#This Row],[Charges €/m²]]*Tableau1[[#This Row],[Surface GLA]]</f>
        <v>0</v>
      </c>
      <c r="Y249" s="12">
        <f>Tableau1[[#This Row],[Charges annuelles]]/12</f>
        <v>0</v>
      </c>
      <c r="Z249" s="12"/>
      <c r="AA249" s="12">
        <f>IFERROR(Tableau1[[#This Row],[Taxe foncière €/m²]]*Tableau1[[#This Row],[Surface GLA]],)</f>
        <v>0</v>
      </c>
      <c r="AB249" s="12"/>
      <c r="AC249" s="12">
        <f>IFERROR(Tableau1[[#This Row],[Marketing €/m²]]*Tableau1[[#This Row],[Surface GLA]],)</f>
        <v>0</v>
      </c>
      <c r="AD249" s="12" t="s">
        <v>98</v>
      </c>
      <c r="AE249" s="12">
        <f>IFERROR(Tableau1[[#This Row],[Loyer annuel]]+Tableau1[[#This Row],[Charges annuelles]]+Tableau1[[#This Row],[Taxe foncière]]+Tableau1[[#This Row],[Marketing]],"")</f>
        <v>23750</v>
      </c>
      <c r="AF249" s="12" t="str">
        <f>"3 mois = "&amp;TEXT(ROUND(3/12*T249,0),"### ### ##0 €")</f>
        <v>3 mois = 5 938 €</v>
      </c>
      <c r="AG249" s="12" t="s">
        <v>98</v>
      </c>
      <c r="AH249" s="51">
        <v>1.4999999999999999E-2</v>
      </c>
      <c r="AI249" s="12" t="s">
        <v>373</v>
      </c>
      <c r="AJ249" s="10" t="s">
        <v>70</v>
      </c>
      <c r="AK249" s="10" t="s">
        <v>363</v>
      </c>
      <c r="AL249" s="10"/>
      <c r="AM249" s="11"/>
      <c r="AN249" s="11" t="s">
        <v>1547</v>
      </c>
      <c r="AO249" s="5" t="s">
        <v>361</v>
      </c>
      <c r="AP249" s="11" t="s">
        <v>1710</v>
      </c>
      <c r="AQ249" s="11" t="s">
        <v>1711</v>
      </c>
      <c r="AR249" s="11" t="s">
        <v>1582</v>
      </c>
      <c r="AS249" s="36" t="s">
        <v>1705</v>
      </c>
      <c r="AT249" s="11" t="s">
        <v>70</v>
      </c>
      <c r="AU249" s="11" t="s">
        <v>1606</v>
      </c>
      <c r="AV249" s="13" t="s">
        <v>1585</v>
      </c>
      <c r="AW249" s="14"/>
      <c r="AX249" s="44">
        <v>46079</v>
      </c>
    </row>
    <row r="250" spans="1:50" ht="25.5">
      <c r="A250" s="38" t="str">
        <f>VLOOKUP(Tableau1[[#This Row],[N° Département]],Feuil1!$C$6:$E$106,3)</f>
        <v>Ile-de-France</v>
      </c>
      <c r="B250" s="38" t="str">
        <f>VLOOKUP(Tableau1[[#This Row],[N° Département]],Feuil1!$C$6:$E$106,2)</f>
        <v>Val-de-Marne</v>
      </c>
      <c r="C250" s="38">
        <f>LEFT(Tableau1[[#This Row],[Code Postal]],2)*1</f>
        <v>94</v>
      </c>
      <c r="D250" s="10" t="s">
        <v>1578</v>
      </c>
      <c r="E250" s="26">
        <v>94511</v>
      </c>
      <c r="F250" s="54" t="s">
        <v>1555</v>
      </c>
      <c r="G250" s="39" t="str">
        <f>Tableau1[[#This Row],[Rue]]&amp;CHAR(10)&amp;Tableau1[[#This Row],[Code Postal]]&amp;" - "&amp;Tableau1[[#This Row],[Ville]]</f>
        <v>rue Dunoyer de Segonzac
94511 - La Queue en Brie</v>
      </c>
      <c r="H250" s="15" t="s">
        <v>1703</v>
      </c>
      <c r="I250" s="12" t="s">
        <v>45</v>
      </c>
      <c r="J250" s="12" t="s">
        <v>44</v>
      </c>
      <c r="K250" s="10" t="s">
        <v>98</v>
      </c>
      <c r="L250" s="53" t="s">
        <v>1518</v>
      </c>
      <c r="M250" s="12" t="s">
        <v>98</v>
      </c>
      <c r="N250" s="36" t="s">
        <v>353</v>
      </c>
      <c r="O250" s="34">
        <v>152</v>
      </c>
      <c r="P250" s="6" t="s">
        <v>98</v>
      </c>
      <c r="Q250" s="34">
        <v>205</v>
      </c>
      <c r="R250" s="34" t="s">
        <v>98</v>
      </c>
      <c r="S250" s="6" t="s">
        <v>98</v>
      </c>
      <c r="T250" s="12">
        <f>Tableau1[[#This Row],[Loyer €/m²]]*Tableau1[[#This Row],[Surface GLA]]</f>
        <v>38000</v>
      </c>
      <c r="U250" s="12">
        <f>IFERROR(Tableau1[[#This Row],[Loyer annuel]]/12,"")</f>
        <v>3166.6666666666665</v>
      </c>
      <c r="V250" s="12">
        <v>250</v>
      </c>
      <c r="W250" s="34" t="s">
        <v>98</v>
      </c>
      <c r="X250" s="6">
        <f>Tableau1[[#This Row],[Charges €/m²]]*Tableau1[[#This Row],[Surface GLA]]</f>
        <v>0</v>
      </c>
      <c r="Y250" s="12">
        <f>Tableau1[[#This Row],[Charges annuelles]]/12</f>
        <v>0</v>
      </c>
      <c r="Z250" s="12"/>
      <c r="AA250" s="12">
        <f>IFERROR(Tableau1[[#This Row],[Taxe foncière €/m²]]*Tableau1[[#This Row],[Surface GLA]],)</f>
        <v>0</v>
      </c>
      <c r="AB250" s="12"/>
      <c r="AC250" s="12">
        <f>IFERROR(Tableau1[[#This Row],[Marketing €/m²]]*Tableau1[[#This Row],[Surface GLA]],)</f>
        <v>0</v>
      </c>
      <c r="AD250" s="12" t="s">
        <v>98</v>
      </c>
      <c r="AE250" s="12">
        <f>IFERROR(Tableau1[[#This Row],[Loyer annuel]]+Tableau1[[#This Row],[Charges annuelles]]+Tableau1[[#This Row],[Taxe foncière]]+Tableau1[[#This Row],[Marketing]],"")</f>
        <v>38000</v>
      </c>
      <c r="AF250" s="12" t="str">
        <f>"3 mois = "&amp;TEXT(ROUND(3/12*T250,0),"### ### ##0 €")</f>
        <v>3 mois = 9 500 €</v>
      </c>
      <c r="AG250" s="12" t="s">
        <v>98</v>
      </c>
      <c r="AH250" s="51">
        <v>1.4999999999999999E-2</v>
      </c>
      <c r="AI250" s="12" t="s">
        <v>373</v>
      </c>
      <c r="AJ250" s="10" t="s">
        <v>70</v>
      </c>
      <c r="AK250" s="10" t="s">
        <v>363</v>
      </c>
      <c r="AL250" s="10"/>
      <c r="AM250" s="11"/>
      <c r="AN250" s="11" t="s">
        <v>1547</v>
      </c>
      <c r="AO250" s="5" t="s">
        <v>361</v>
      </c>
      <c r="AP250" s="11" t="s">
        <v>1712</v>
      </c>
      <c r="AQ250" s="11" t="s">
        <v>1713</v>
      </c>
      <c r="AR250" s="11" t="s">
        <v>1628</v>
      </c>
      <c r="AS250" s="36" t="s">
        <v>1706</v>
      </c>
      <c r="AT250" s="11" t="s">
        <v>70</v>
      </c>
      <c r="AU250" s="11" t="s">
        <v>1605</v>
      </c>
      <c r="AV250" s="13" t="s">
        <v>1585</v>
      </c>
      <c r="AW250" s="14"/>
      <c r="AX250" s="44">
        <v>46079</v>
      </c>
    </row>
    <row r="251" spans="1:50" ht="25.5">
      <c r="A251" s="38" t="str">
        <f>VLOOKUP(Tableau1[[#This Row],[N° Département]],Feuil1!$C$6:$E$106,3)</f>
        <v>Ile-de-France</v>
      </c>
      <c r="B251" s="38" t="str">
        <f>VLOOKUP(Tableau1[[#This Row],[N° Département]],Feuil1!$C$6:$E$106,2)</f>
        <v>Val-de-Marne</v>
      </c>
      <c r="C251" s="38">
        <f>LEFT(Tableau1[[#This Row],[Code Postal]],2)*1</f>
        <v>94</v>
      </c>
      <c r="D251" s="10" t="s">
        <v>1578</v>
      </c>
      <c r="E251" s="26">
        <v>94510</v>
      </c>
      <c r="F251" s="54" t="s">
        <v>1555</v>
      </c>
      <c r="G251" s="39" t="str">
        <f>Tableau1[[#This Row],[Rue]]&amp;CHAR(10)&amp;Tableau1[[#This Row],[Code Postal]]&amp;" - "&amp;Tableau1[[#This Row],[Ville]]</f>
        <v>rue Dunoyer de Segonzac
94510 - La Queue en Brie</v>
      </c>
      <c r="H251" s="15" t="s">
        <v>1702</v>
      </c>
      <c r="I251" s="12" t="s">
        <v>45</v>
      </c>
      <c r="J251" s="12" t="s">
        <v>44</v>
      </c>
      <c r="K251" s="10" t="s">
        <v>98</v>
      </c>
      <c r="L251" s="53" t="s">
        <v>1518</v>
      </c>
      <c r="M251" s="12" t="s">
        <v>98</v>
      </c>
      <c r="N251" s="36" t="s">
        <v>354</v>
      </c>
      <c r="O251" s="34">
        <v>53</v>
      </c>
      <c r="P251" s="6" t="s">
        <v>98</v>
      </c>
      <c r="Q251" s="34">
        <v>205</v>
      </c>
      <c r="R251" s="34" t="s">
        <v>98</v>
      </c>
      <c r="S251" s="6" t="s">
        <v>98</v>
      </c>
      <c r="T251" s="12">
        <f>Tableau1[[#This Row],[Loyer €/m²]]*Tableau1[[#This Row],[Surface GLA]]</f>
        <v>15900</v>
      </c>
      <c r="U251" s="12">
        <f>IFERROR(Tableau1[[#This Row],[Loyer annuel]]/12,"")</f>
        <v>1325</v>
      </c>
      <c r="V251" s="12">
        <v>300</v>
      </c>
      <c r="W251" s="34" t="s">
        <v>98</v>
      </c>
      <c r="X251" s="6">
        <f>Tableau1[[#This Row],[Charges €/m²]]*Tableau1[[#This Row],[Surface GLA]]</f>
        <v>0</v>
      </c>
      <c r="Y251" s="12">
        <f>Tableau1[[#This Row],[Charges annuelles]]/12</f>
        <v>0</v>
      </c>
      <c r="Z251" s="12"/>
      <c r="AA251" s="12">
        <f>IFERROR(Tableau1[[#This Row],[Taxe foncière €/m²]]*Tableau1[[#This Row],[Surface GLA]],)</f>
        <v>0</v>
      </c>
      <c r="AB251" s="12"/>
      <c r="AC251" s="12">
        <f>IFERROR(Tableau1[[#This Row],[Marketing €/m²]]*Tableau1[[#This Row],[Surface GLA]],)</f>
        <v>0</v>
      </c>
      <c r="AD251" s="12" t="s">
        <v>98</v>
      </c>
      <c r="AE251" s="12">
        <f>IFERROR(Tableau1[[#This Row],[Loyer annuel]]+Tableau1[[#This Row],[Charges annuelles]]+Tableau1[[#This Row],[Taxe foncière]]+Tableau1[[#This Row],[Marketing]],"")</f>
        <v>15900</v>
      </c>
      <c r="AF251" s="12" t="str">
        <f t="shared" si="12"/>
        <v>3 mois = 3 975 €</v>
      </c>
      <c r="AG251" s="12" t="s">
        <v>98</v>
      </c>
      <c r="AH251" s="51">
        <v>1.4999999999999999E-2</v>
      </c>
      <c r="AI251" s="12" t="s">
        <v>373</v>
      </c>
      <c r="AJ251" s="10" t="s">
        <v>70</v>
      </c>
      <c r="AK251" s="10" t="s">
        <v>363</v>
      </c>
      <c r="AL251" s="10"/>
      <c r="AM251" s="11"/>
      <c r="AN251" s="11" t="s">
        <v>1547</v>
      </c>
      <c r="AO251" s="5" t="s">
        <v>361</v>
      </c>
      <c r="AP251" s="11" t="s">
        <v>1714</v>
      </c>
      <c r="AQ251" s="11" t="s">
        <v>1715</v>
      </c>
      <c r="AR251" s="11" t="s">
        <v>1629</v>
      </c>
      <c r="AS251" s="36" t="s">
        <v>1707</v>
      </c>
      <c r="AT251" s="11" t="s">
        <v>70</v>
      </c>
      <c r="AU251" s="11" t="s">
        <v>1604</v>
      </c>
      <c r="AV251" s="13" t="s">
        <v>1585</v>
      </c>
      <c r="AW251" s="14"/>
      <c r="AX251" s="44">
        <v>46079</v>
      </c>
    </row>
    <row r="252" spans="1:50" ht="25.5">
      <c r="A252" s="38" t="str">
        <f>VLOOKUP(Tableau1[[#This Row],[N° Département]],Feuil1!$C$6:$E$106,3)</f>
        <v>Auvergne-Rhône-Alpes</v>
      </c>
      <c r="B252" s="38" t="str">
        <f>VLOOKUP(Tableau1[[#This Row],[N° Département]],Feuil1!$C$6:$E$106,2)</f>
        <v>Rhône</v>
      </c>
      <c r="C252" s="38">
        <f>LEFT(Tableau1[[#This Row],[Code Postal]],2)*1</f>
        <v>69</v>
      </c>
      <c r="D252" s="10" t="s">
        <v>1579</v>
      </c>
      <c r="E252" s="26">
        <v>69002</v>
      </c>
      <c r="F252" s="54" t="s">
        <v>1556</v>
      </c>
      <c r="G252" s="39" t="str">
        <f>Tableau1[[#This Row],[Rue]]&amp;CHAR(10)&amp;Tableau1[[#This Row],[Code Postal]]&amp;" - "&amp;Tableau1[[#This Row],[Ville]]</f>
        <v>Allée Louis Thomas Achille
69002 - Lyon Confluence</v>
      </c>
      <c r="H252" s="15" t="s">
        <v>1726</v>
      </c>
      <c r="I252" s="12" t="s">
        <v>45</v>
      </c>
      <c r="J252" s="12" t="s">
        <v>44</v>
      </c>
      <c r="K252" s="10" t="s">
        <v>98</v>
      </c>
      <c r="L252" s="53" t="s">
        <v>1518</v>
      </c>
      <c r="M252" s="12" t="s">
        <v>98</v>
      </c>
      <c r="N252" s="36" t="s">
        <v>1568</v>
      </c>
      <c r="O252" s="34">
        <v>248</v>
      </c>
      <c r="P252" s="6" t="s">
        <v>1716</v>
      </c>
      <c r="Q252" s="34">
        <v>512</v>
      </c>
      <c r="R252" s="34">
        <v>240</v>
      </c>
      <c r="S252" s="6" t="s">
        <v>1717</v>
      </c>
      <c r="T252" s="12">
        <f>Tableau1[[#This Row],[Loyer €/m²]]*Tableau1[[#This Row],[Surface GLA]]</f>
        <v>62000</v>
      </c>
      <c r="U252" s="12">
        <f>IFERROR(Tableau1[[#This Row],[Loyer annuel]]/12,"")</f>
        <v>5166.666666666667</v>
      </c>
      <c r="V252" s="12">
        <v>250</v>
      </c>
      <c r="W252" s="34" t="s">
        <v>98</v>
      </c>
      <c r="X252" s="6">
        <f>Tableau1[[#This Row],[Charges €/m²]]*Tableau1[[#This Row],[Surface GLA]]</f>
        <v>0</v>
      </c>
      <c r="Y252" s="12">
        <f>Tableau1[[#This Row],[Charges annuelles]]/12</f>
        <v>0</v>
      </c>
      <c r="Z252" s="12"/>
      <c r="AA252" s="12">
        <f>IFERROR(Tableau1[[#This Row],[Taxe foncière €/m²]]*Tableau1[[#This Row],[Surface GLA]],)</f>
        <v>0</v>
      </c>
      <c r="AB252" s="12"/>
      <c r="AC252" s="12">
        <f>IFERROR(Tableau1[[#This Row],[Marketing €/m²]]*Tableau1[[#This Row],[Surface GLA]],)</f>
        <v>0</v>
      </c>
      <c r="AD252" s="12" t="s">
        <v>98</v>
      </c>
      <c r="AE252" s="12">
        <f>IFERROR(Tableau1[[#This Row],[Loyer annuel]]+Tableau1[[#This Row],[Charges annuelles]]+Tableau1[[#This Row],[Taxe foncière]]+Tableau1[[#This Row],[Marketing]],"")</f>
        <v>62000</v>
      </c>
      <c r="AF252" s="12" t="str">
        <f t="shared" si="12"/>
        <v>3 mois = 15 500 €</v>
      </c>
      <c r="AG252" s="12" t="s">
        <v>98</v>
      </c>
      <c r="AH252" s="51">
        <v>1.4999999999999999E-2</v>
      </c>
      <c r="AI252" s="12" t="s">
        <v>373</v>
      </c>
      <c r="AJ252" s="10" t="s">
        <v>70</v>
      </c>
      <c r="AK252" s="10" t="s">
        <v>363</v>
      </c>
      <c r="AL252" s="10"/>
      <c r="AM252" s="11"/>
      <c r="AN252" s="11" t="s">
        <v>1547</v>
      </c>
      <c r="AO252" s="5" t="s">
        <v>361</v>
      </c>
      <c r="AP252" s="11" t="s">
        <v>1727</v>
      </c>
      <c r="AQ252" s="11" t="s">
        <v>1728</v>
      </c>
      <c r="AR252" s="11" t="s">
        <v>1630</v>
      </c>
      <c r="AS252" s="36" t="s">
        <v>1722</v>
      </c>
      <c r="AT252" s="11" t="s">
        <v>70</v>
      </c>
      <c r="AU252" s="11" t="s">
        <v>1608</v>
      </c>
      <c r="AV252" s="13" t="s">
        <v>1585</v>
      </c>
      <c r="AW252" s="14"/>
      <c r="AX252" s="44">
        <v>46079</v>
      </c>
    </row>
    <row r="253" spans="1:50" ht="25.5">
      <c r="A253" s="38" t="str">
        <f>VLOOKUP(Tableau1[[#This Row],[N° Département]],Feuil1!$C$6:$E$106,3)</f>
        <v>Auvergne-Rhône-Alpes</v>
      </c>
      <c r="B253" s="38" t="str">
        <f>VLOOKUP(Tableau1[[#This Row],[N° Département]],Feuil1!$C$6:$E$106,2)</f>
        <v>Rhône</v>
      </c>
      <c r="C253" s="38">
        <f>LEFT(Tableau1[[#This Row],[Code Postal]],2)*1</f>
        <v>69</v>
      </c>
      <c r="D253" s="10" t="s">
        <v>1579</v>
      </c>
      <c r="E253" s="26">
        <v>69002</v>
      </c>
      <c r="F253" s="54" t="s">
        <v>1556</v>
      </c>
      <c r="G253" s="39" t="str">
        <f>Tableau1[[#This Row],[Rue]]&amp;CHAR(10)&amp;Tableau1[[#This Row],[Code Postal]]&amp;" - "&amp;Tableau1[[#This Row],[Ville]]</f>
        <v>Allée Louis Thomas Achille
69002 - Lyon Confluence</v>
      </c>
      <c r="H253" s="15" t="s">
        <v>1726</v>
      </c>
      <c r="I253" s="12" t="s">
        <v>45</v>
      </c>
      <c r="J253" s="12" t="s">
        <v>44</v>
      </c>
      <c r="K253" s="10" t="s">
        <v>98</v>
      </c>
      <c r="L253" s="53" t="s">
        <v>1518</v>
      </c>
      <c r="M253" s="12" t="s">
        <v>98</v>
      </c>
      <c r="N253" s="36" t="s">
        <v>1569</v>
      </c>
      <c r="O253" s="34">
        <v>264</v>
      </c>
      <c r="P253" s="6" t="s">
        <v>1718</v>
      </c>
      <c r="Q253" s="34">
        <v>512</v>
      </c>
      <c r="R253" s="34">
        <v>252</v>
      </c>
      <c r="S253" s="6" t="s">
        <v>1719</v>
      </c>
      <c r="T253" s="12">
        <f>Tableau1[[#This Row],[Loyer €/m²]]*Tableau1[[#This Row],[Surface GLA]]</f>
        <v>52800</v>
      </c>
      <c r="U253" s="12">
        <f>IFERROR(Tableau1[[#This Row],[Loyer annuel]]/12,"")</f>
        <v>4400</v>
      </c>
      <c r="V253" s="12">
        <v>200</v>
      </c>
      <c r="W253" s="34" t="s">
        <v>98</v>
      </c>
      <c r="X253" s="6">
        <f>Tableau1[[#This Row],[Charges €/m²]]*Tableau1[[#This Row],[Surface GLA]]</f>
        <v>0</v>
      </c>
      <c r="Y253" s="12">
        <f>Tableau1[[#This Row],[Charges annuelles]]/12</f>
        <v>0</v>
      </c>
      <c r="Z253" s="12"/>
      <c r="AA253" s="12">
        <f>IFERROR(Tableau1[[#This Row],[Taxe foncière €/m²]]*Tableau1[[#This Row],[Surface GLA]],)</f>
        <v>0</v>
      </c>
      <c r="AB253" s="12"/>
      <c r="AC253" s="12">
        <f>IFERROR(Tableau1[[#This Row],[Marketing €/m²]]*Tableau1[[#This Row],[Surface GLA]],)</f>
        <v>0</v>
      </c>
      <c r="AD253" s="12" t="s">
        <v>98</v>
      </c>
      <c r="AE253" s="12">
        <f>IFERROR(Tableau1[[#This Row],[Loyer annuel]]+Tableau1[[#This Row],[Charges annuelles]]+Tableau1[[#This Row],[Taxe foncière]]+Tableau1[[#This Row],[Marketing]],"")</f>
        <v>52800</v>
      </c>
      <c r="AF253" s="12" t="str">
        <f t="shared" si="12"/>
        <v>3 mois = 13 200 €</v>
      </c>
      <c r="AG253" s="12" t="s">
        <v>98</v>
      </c>
      <c r="AH253" s="51">
        <v>1.4999999999999999E-2</v>
      </c>
      <c r="AI253" s="12" t="s">
        <v>373</v>
      </c>
      <c r="AJ253" s="10" t="s">
        <v>70</v>
      </c>
      <c r="AK253" s="10" t="s">
        <v>363</v>
      </c>
      <c r="AL253" s="10"/>
      <c r="AM253" s="11"/>
      <c r="AN253" s="11" t="s">
        <v>1547</v>
      </c>
      <c r="AO253" s="5" t="s">
        <v>361</v>
      </c>
      <c r="AP253" s="11" t="s">
        <v>1729</v>
      </c>
      <c r="AQ253" s="11" t="s">
        <v>1730</v>
      </c>
      <c r="AR253" s="11" t="s">
        <v>1631</v>
      </c>
      <c r="AS253" s="36" t="s">
        <v>1723</v>
      </c>
      <c r="AT253" s="11" t="s">
        <v>70</v>
      </c>
      <c r="AU253" s="11" t="s">
        <v>1609</v>
      </c>
      <c r="AV253" s="13" t="s">
        <v>1585</v>
      </c>
      <c r="AW253" s="14"/>
      <c r="AX253" s="44">
        <v>46079</v>
      </c>
    </row>
    <row r="254" spans="1:50" ht="25.5">
      <c r="A254" s="38" t="str">
        <f>VLOOKUP(Tableau1[[#This Row],[N° Département]],Feuil1!$C$6:$E$106,3)</f>
        <v>Auvergne-Rhône-Alpes</v>
      </c>
      <c r="B254" s="38" t="str">
        <f>VLOOKUP(Tableau1[[#This Row],[N° Département]],Feuil1!$C$6:$E$106,2)</f>
        <v>Rhône</v>
      </c>
      <c r="C254" s="38">
        <f>LEFT(Tableau1[[#This Row],[Code Postal]],2)*1</f>
        <v>69</v>
      </c>
      <c r="D254" s="10" t="s">
        <v>1579</v>
      </c>
      <c r="E254" s="26">
        <v>69002</v>
      </c>
      <c r="F254" s="54" t="s">
        <v>1556</v>
      </c>
      <c r="G254" s="39" t="str">
        <f>Tableau1[[#This Row],[Rue]]&amp;CHAR(10)&amp;Tableau1[[#This Row],[Code Postal]]&amp;" - "&amp;Tableau1[[#This Row],[Ville]]</f>
        <v>Allée Louis Thomas Achille
69002 - Lyon Confluence</v>
      </c>
      <c r="H254" s="15" t="s">
        <v>1726</v>
      </c>
      <c r="I254" s="12" t="s">
        <v>45</v>
      </c>
      <c r="J254" s="12" t="s">
        <v>44</v>
      </c>
      <c r="K254" s="10" t="s">
        <v>98</v>
      </c>
      <c r="L254" s="53" t="s">
        <v>1518</v>
      </c>
      <c r="M254" s="12" t="s">
        <v>98</v>
      </c>
      <c r="N254" s="36" t="s">
        <v>1570</v>
      </c>
      <c r="O254" s="34">
        <v>174</v>
      </c>
      <c r="P254" s="6" t="s">
        <v>98</v>
      </c>
      <c r="Q254" s="34" t="s">
        <v>98</v>
      </c>
      <c r="R254" s="34">
        <v>168</v>
      </c>
      <c r="S254" s="6" t="s">
        <v>98</v>
      </c>
      <c r="T254" s="12">
        <f>Tableau1[[#This Row],[Loyer €/m²]]*Tableau1[[#This Row],[Surface GLA]]</f>
        <v>43500</v>
      </c>
      <c r="U254" s="12">
        <f>IFERROR(Tableau1[[#This Row],[Loyer annuel]]/12,"")</f>
        <v>3625</v>
      </c>
      <c r="V254" s="12">
        <v>250</v>
      </c>
      <c r="W254" s="34" t="s">
        <v>98</v>
      </c>
      <c r="X254" s="6">
        <f>Tableau1[[#This Row],[Charges €/m²]]*Tableau1[[#This Row],[Surface GLA]]</f>
        <v>0</v>
      </c>
      <c r="Y254" s="12">
        <f>Tableau1[[#This Row],[Charges annuelles]]/12</f>
        <v>0</v>
      </c>
      <c r="Z254" s="12"/>
      <c r="AA254" s="12">
        <f>IFERROR(Tableau1[[#This Row],[Taxe foncière €/m²]]*Tableau1[[#This Row],[Surface GLA]],)</f>
        <v>0</v>
      </c>
      <c r="AB254" s="12"/>
      <c r="AC254" s="12">
        <f>IFERROR(Tableau1[[#This Row],[Marketing €/m²]]*Tableau1[[#This Row],[Surface GLA]],)</f>
        <v>0</v>
      </c>
      <c r="AD254" s="12" t="s">
        <v>98</v>
      </c>
      <c r="AE254" s="12">
        <f>IFERROR(Tableau1[[#This Row],[Loyer annuel]]+Tableau1[[#This Row],[Charges annuelles]]+Tableau1[[#This Row],[Taxe foncière]]+Tableau1[[#This Row],[Marketing]],"")</f>
        <v>43500</v>
      </c>
      <c r="AF254" s="12" t="str">
        <f t="shared" si="12"/>
        <v>3 mois = 10 875 €</v>
      </c>
      <c r="AG254" s="12" t="s">
        <v>98</v>
      </c>
      <c r="AH254" s="51">
        <v>1.4999999999999999E-2</v>
      </c>
      <c r="AI254" s="12" t="s">
        <v>373</v>
      </c>
      <c r="AJ254" s="10" t="s">
        <v>70</v>
      </c>
      <c r="AK254" s="10" t="s">
        <v>363</v>
      </c>
      <c r="AL254" s="10"/>
      <c r="AM254" s="11"/>
      <c r="AN254" s="11" t="s">
        <v>1547</v>
      </c>
      <c r="AO254" s="5" t="s">
        <v>361</v>
      </c>
      <c r="AP254" s="11" t="s">
        <v>1731</v>
      </c>
      <c r="AQ254" s="11" t="s">
        <v>1732</v>
      </c>
      <c r="AR254" s="11" t="s">
        <v>1632</v>
      </c>
      <c r="AS254" s="36" t="s">
        <v>1724</v>
      </c>
      <c r="AT254" s="11" t="s">
        <v>70</v>
      </c>
      <c r="AU254" s="11" t="s">
        <v>1610</v>
      </c>
      <c r="AV254" s="13" t="s">
        <v>1585</v>
      </c>
      <c r="AW254" s="14"/>
      <c r="AX254" s="44">
        <v>46079</v>
      </c>
    </row>
    <row r="255" spans="1:50" ht="25.5">
      <c r="A255" s="38" t="str">
        <f>VLOOKUP(Tableau1[[#This Row],[N° Département]],Feuil1!$C$6:$E$106,3)</f>
        <v>Auvergne-Rhône-Alpes</v>
      </c>
      <c r="B255" s="38" t="str">
        <f>VLOOKUP(Tableau1[[#This Row],[N° Département]],Feuil1!$C$6:$E$106,2)</f>
        <v>Rhône</v>
      </c>
      <c r="C255" s="38">
        <f>LEFT(Tableau1[[#This Row],[Code Postal]],2)*1</f>
        <v>69</v>
      </c>
      <c r="D255" s="10" t="s">
        <v>1579</v>
      </c>
      <c r="E255" s="26">
        <v>69002</v>
      </c>
      <c r="F255" s="54" t="s">
        <v>1556</v>
      </c>
      <c r="G255" s="39" t="str">
        <f>Tableau1[[#This Row],[Rue]]&amp;CHAR(10)&amp;Tableau1[[#This Row],[Code Postal]]&amp;" - "&amp;Tableau1[[#This Row],[Ville]]</f>
        <v>Allée Louis Thomas Achille
69002 - Lyon Confluence</v>
      </c>
      <c r="H255" s="15" t="s">
        <v>1726</v>
      </c>
      <c r="I255" s="12" t="s">
        <v>45</v>
      </c>
      <c r="J255" s="12" t="s">
        <v>44</v>
      </c>
      <c r="K255" s="10" t="s">
        <v>98</v>
      </c>
      <c r="L255" s="53" t="s">
        <v>1518</v>
      </c>
      <c r="M255" s="12" t="s">
        <v>98</v>
      </c>
      <c r="N255" s="36" t="s">
        <v>1571</v>
      </c>
      <c r="O255" s="34">
        <v>239</v>
      </c>
      <c r="P255" s="6" t="s">
        <v>1720</v>
      </c>
      <c r="Q255" s="34" t="s">
        <v>98</v>
      </c>
      <c r="R255" s="34">
        <v>235</v>
      </c>
      <c r="S255" s="6" t="s">
        <v>1721</v>
      </c>
      <c r="T255" s="12">
        <f>Tableau1[[#This Row],[Loyer €/m²]]*Tableau1[[#This Row],[Surface GLA]]</f>
        <v>47800</v>
      </c>
      <c r="U255" s="12">
        <f>IFERROR(Tableau1[[#This Row],[Loyer annuel]]/12,"")</f>
        <v>3983.3333333333335</v>
      </c>
      <c r="V255" s="12">
        <v>200</v>
      </c>
      <c r="W255" s="34" t="s">
        <v>98</v>
      </c>
      <c r="X255" s="6">
        <f>Tableau1[[#This Row],[Charges €/m²]]*Tableau1[[#This Row],[Surface GLA]]</f>
        <v>0</v>
      </c>
      <c r="Y255" s="12">
        <f>Tableau1[[#This Row],[Charges annuelles]]/12</f>
        <v>0</v>
      </c>
      <c r="Z255" s="12"/>
      <c r="AA255" s="12">
        <f>IFERROR(Tableau1[[#This Row],[Taxe foncière €/m²]]*Tableau1[[#This Row],[Surface GLA]],)</f>
        <v>0</v>
      </c>
      <c r="AB255" s="12"/>
      <c r="AC255" s="12">
        <f>IFERROR(Tableau1[[#This Row],[Marketing €/m²]]*Tableau1[[#This Row],[Surface GLA]],)</f>
        <v>0</v>
      </c>
      <c r="AD255" s="12" t="s">
        <v>98</v>
      </c>
      <c r="AE255" s="12">
        <f>IFERROR(Tableau1[[#This Row],[Loyer annuel]]+Tableau1[[#This Row],[Charges annuelles]]+Tableau1[[#This Row],[Taxe foncière]]+Tableau1[[#This Row],[Marketing]],"")</f>
        <v>47800</v>
      </c>
      <c r="AF255" s="12" t="str">
        <f t="shared" si="12"/>
        <v>3 mois = 11 950 €</v>
      </c>
      <c r="AG255" s="12" t="s">
        <v>98</v>
      </c>
      <c r="AH255" s="51">
        <v>1.4999999999999999E-2</v>
      </c>
      <c r="AI255" s="12" t="s">
        <v>373</v>
      </c>
      <c r="AJ255" s="10" t="s">
        <v>70</v>
      </c>
      <c r="AK255" s="10" t="s">
        <v>363</v>
      </c>
      <c r="AL255" s="10"/>
      <c r="AM255" s="11"/>
      <c r="AN255" s="11" t="s">
        <v>1547</v>
      </c>
      <c r="AO255" s="5" t="s">
        <v>361</v>
      </c>
      <c r="AP255" s="11" t="s">
        <v>1733</v>
      </c>
      <c r="AQ255" s="11" t="s">
        <v>1734</v>
      </c>
      <c r="AR255" s="11" t="s">
        <v>1633</v>
      </c>
      <c r="AS255" s="36" t="s">
        <v>1725</v>
      </c>
      <c r="AT255" s="11" t="s">
        <v>70</v>
      </c>
      <c r="AU255" s="11" t="s">
        <v>1611</v>
      </c>
      <c r="AV255" s="13" t="s">
        <v>1585</v>
      </c>
      <c r="AW255" s="14"/>
      <c r="AX255" s="44">
        <v>46079</v>
      </c>
    </row>
    <row r="256" spans="1:50" ht="25.5">
      <c r="A256" s="38" t="str">
        <f>VLOOKUP(Tableau1[[#This Row],[N° Département]],Feuil1!$C$6:$E$106,3)</f>
        <v>Occitanie</v>
      </c>
      <c r="B256" s="38" t="str">
        <f>VLOOKUP(Tableau1[[#This Row],[N° Département]],Feuil1!$C$6:$E$106,2)</f>
        <v>Gard</v>
      </c>
      <c r="C256" s="38">
        <f>LEFT(Tableau1[[#This Row],[Code Postal]],2)*1</f>
        <v>30</v>
      </c>
      <c r="D256" s="10" t="s">
        <v>1784</v>
      </c>
      <c r="E256" s="26">
        <v>30130</v>
      </c>
      <c r="F256" s="10" t="s">
        <v>1785</v>
      </c>
      <c r="G256" s="39" t="str">
        <f>Tableau1[[#This Row],[Rue]]&amp;CHAR(10)&amp;Tableau1[[#This Row],[Code Postal]]&amp;" - "&amp;Tableau1[[#This Row],[Ville]]</f>
        <v>Avenue du Général de Gaulle
30130 - Pont-Saint-Esprit</v>
      </c>
      <c r="H256" s="15" t="s">
        <v>1786</v>
      </c>
      <c r="I256" s="12" t="s">
        <v>47</v>
      </c>
      <c r="J256" s="12" t="s">
        <v>50</v>
      </c>
      <c r="K256" s="10" t="s">
        <v>98</v>
      </c>
      <c r="L256" s="12" t="s">
        <v>98</v>
      </c>
      <c r="M256" s="12" t="s">
        <v>98</v>
      </c>
      <c r="N256" s="12" t="s">
        <v>98</v>
      </c>
      <c r="O256" s="34">
        <v>76</v>
      </c>
      <c r="P256" s="6" t="s">
        <v>98</v>
      </c>
      <c r="Q256" s="34" t="s">
        <v>98</v>
      </c>
      <c r="R256" s="34" t="s">
        <v>98</v>
      </c>
      <c r="S256" s="6" t="s">
        <v>98</v>
      </c>
      <c r="T256" s="12">
        <f>Tableau1[[#This Row],[Loyer €/m²]]*Tableau1[[#This Row],[Surface GLA]]</f>
        <v>22800</v>
      </c>
      <c r="U256" s="12">
        <f>IFERROR(Tableau1[[#This Row],[Loyer annuel]]/12,"")</f>
        <v>1900</v>
      </c>
      <c r="V256" s="12">
        <v>300</v>
      </c>
      <c r="W256" s="34" t="s">
        <v>98</v>
      </c>
      <c r="X256" s="6">
        <f>Tableau1[[#This Row],[Charges €/m²]]*Tableau1[[#This Row],[Surface GLA]]</f>
        <v>0</v>
      </c>
      <c r="Y256" s="12">
        <f>Tableau1[[#This Row],[Charges annuelles]]/12</f>
        <v>0</v>
      </c>
      <c r="Z256" s="12"/>
      <c r="AA256" s="12">
        <f>IFERROR(Tableau1[[#This Row],[Taxe foncière €/m²]]*Tableau1[[#This Row],[Surface GLA]],)</f>
        <v>0</v>
      </c>
      <c r="AB256" s="12"/>
      <c r="AC256" s="12">
        <f>IFERROR(Tableau1[[#This Row],[Marketing €/m²]]*Tableau1[[#This Row],[Surface GLA]],)</f>
        <v>0</v>
      </c>
      <c r="AD256" s="12" t="s">
        <v>98</v>
      </c>
      <c r="AE256" s="12">
        <f>IFERROR(Tableau1[[#This Row],[Loyer annuel]]+Tableau1[[#This Row],[Charges annuelles]]+Tableau1[[#This Row],[Taxe foncière]]+Tableau1[[#This Row],[Marketing]],"")</f>
        <v>22800</v>
      </c>
      <c r="AF256" s="12"/>
      <c r="AG256" s="12" t="s">
        <v>98</v>
      </c>
      <c r="AH256" s="12" t="s">
        <v>98</v>
      </c>
      <c r="AI256" s="12" t="s">
        <v>357</v>
      </c>
      <c r="AJ256" s="10" t="s">
        <v>369</v>
      </c>
      <c r="AK256" s="10" t="s">
        <v>363</v>
      </c>
      <c r="AL256" s="10"/>
      <c r="AM256" s="11" t="s">
        <v>1787</v>
      </c>
      <c r="AN256" s="11"/>
      <c r="AO256" s="5" t="s">
        <v>361</v>
      </c>
      <c r="AP256" s="11" t="s">
        <v>1789</v>
      </c>
      <c r="AQ256" s="11" t="s">
        <v>1790</v>
      </c>
      <c r="AR256" s="11">
        <v>80</v>
      </c>
      <c r="AS256" s="36" t="s">
        <v>1791</v>
      </c>
      <c r="AT256" s="11" t="s">
        <v>70</v>
      </c>
      <c r="AU256" s="11" t="s">
        <v>1788</v>
      </c>
      <c r="AV256" s="13" t="s">
        <v>1792</v>
      </c>
      <c r="AW256" s="14"/>
      <c r="AX256" s="44">
        <v>46085</v>
      </c>
    </row>
    <row r="257" spans="1:50" ht="38.25">
      <c r="A257" s="38" t="str">
        <f>VLOOKUP(Tableau1[[#This Row],[N° Département]],Feuil1!$C$6:$E$106,3)</f>
        <v>Occitanie</v>
      </c>
      <c r="B257" s="38" t="str">
        <f>VLOOKUP(Tableau1[[#This Row],[N° Département]],Feuil1!$C$6:$E$106,2)</f>
        <v>Gard</v>
      </c>
      <c r="C257" s="38">
        <f>LEFT(Tableau1[[#This Row],[Code Postal]],2)*1</f>
        <v>30</v>
      </c>
      <c r="D257" s="11" t="s">
        <v>1796</v>
      </c>
      <c r="E257" s="26">
        <v>30100</v>
      </c>
      <c r="F257" s="54" t="s">
        <v>1795</v>
      </c>
      <c r="G257" s="39" t="str">
        <f>Tableau1[[#This Row],[Rue]]&amp;CHAR(10)&amp;Tableau1[[#This Row],[Code Postal]]&amp;" - "&amp;Tableau1[[#This Row],[Ville]]</f>
        <v>Zone Commerciale Porte Sud
1585 Quai du Mas d'Hours
30100 - Alès</v>
      </c>
      <c r="H257" s="15" t="s">
        <v>1794</v>
      </c>
      <c r="I257" s="12" t="s">
        <v>47</v>
      </c>
      <c r="J257" s="12" t="s">
        <v>50</v>
      </c>
      <c r="K257" s="10" t="s">
        <v>98</v>
      </c>
      <c r="L257" s="12" t="s">
        <v>98</v>
      </c>
      <c r="M257" s="12" t="s">
        <v>98</v>
      </c>
      <c r="N257" s="12" t="s">
        <v>98</v>
      </c>
      <c r="O257" s="34">
        <v>533</v>
      </c>
      <c r="P257" s="6" t="s">
        <v>98</v>
      </c>
      <c r="Q257" s="34" t="s">
        <v>98</v>
      </c>
      <c r="R257" s="34" t="s">
        <v>98</v>
      </c>
      <c r="S257" s="6" t="s">
        <v>98</v>
      </c>
      <c r="T257" s="12">
        <f>Tableau1[[#This Row],[Loyer €/m²]]*Tableau1[[#This Row],[Surface GLA]]</f>
        <v>0</v>
      </c>
      <c r="U257" s="12">
        <f>IFERROR(Tableau1[[#This Row],[Loyer annuel]]/12,"")</f>
        <v>0</v>
      </c>
      <c r="V257" s="12"/>
      <c r="W257" s="34" t="s">
        <v>98</v>
      </c>
      <c r="X257" s="6">
        <f>Tableau1[[#This Row],[Charges €/m²]]*Tableau1[[#This Row],[Surface GLA]]</f>
        <v>0</v>
      </c>
      <c r="Y257" s="12">
        <f>Tableau1[[#This Row],[Charges annuelles]]/12</f>
        <v>0</v>
      </c>
      <c r="Z257" s="12"/>
      <c r="AA257" s="12">
        <f>IFERROR(Tableau1[[#This Row],[Taxe foncière €/m²]]*Tableau1[[#This Row],[Surface GLA]],)</f>
        <v>0</v>
      </c>
      <c r="AB257" s="12"/>
      <c r="AC257" s="12">
        <f>IFERROR(Tableau1[[#This Row],[Marketing €/m²]]*Tableau1[[#This Row],[Surface GLA]],)</f>
        <v>0</v>
      </c>
      <c r="AD257" s="12" t="s">
        <v>98</v>
      </c>
      <c r="AE257" s="12">
        <f>IFERROR(Tableau1[[#This Row],[Loyer annuel]]+Tableau1[[#This Row],[Charges annuelles]]+Tableau1[[#This Row],[Taxe foncière]]+Tableau1[[#This Row],[Marketing]],"")</f>
        <v>0</v>
      </c>
      <c r="AF257" s="12"/>
      <c r="AG257" s="12" t="s">
        <v>98</v>
      </c>
      <c r="AH257" s="12" t="s">
        <v>98</v>
      </c>
      <c r="AI257" s="12" t="s">
        <v>357</v>
      </c>
      <c r="AJ257" s="10" t="s">
        <v>369</v>
      </c>
      <c r="AK257" s="10" t="s">
        <v>363</v>
      </c>
      <c r="AL257" s="10"/>
      <c r="AM257" s="11"/>
      <c r="AN257" s="11"/>
      <c r="AO257" s="5" t="s">
        <v>361</v>
      </c>
      <c r="AP257" s="11" t="s">
        <v>1797</v>
      </c>
      <c r="AQ257" s="11" t="s">
        <v>1798</v>
      </c>
      <c r="AR257" s="11">
        <v>81</v>
      </c>
      <c r="AS257" s="36" t="s">
        <v>1793</v>
      </c>
      <c r="AT257" s="11" t="s">
        <v>70</v>
      </c>
      <c r="AU257" s="11"/>
      <c r="AV257" s="13" t="s">
        <v>1792</v>
      </c>
      <c r="AW257" s="14"/>
      <c r="AX257" s="44">
        <v>46085</v>
      </c>
    </row>
    <row r="258" spans="1:50" ht="38.25">
      <c r="A258" s="38" t="str">
        <f>VLOOKUP(Tableau1[[#This Row],[N° Département]],Feuil1!$C$6:$E$106,3)</f>
        <v>Ile-de-France</v>
      </c>
      <c r="B258" s="38" t="str">
        <f>VLOOKUP(Tableau1[[#This Row],[N° Département]],Feuil1!$C$6:$E$106,2)</f>
        <v>Val-D'Oise</v>
      </c>
      <c r="C258" s="38">
        <f>LEFT(Tableau1[[#This Row],[Code Postal]],2)*1</f>
        <v>95</v>
      </c>
      <c r="D258" s="11" t="s">
        <v>1800</v>
      </c>
      <c r="E258" s="26">
        <v>95290</v>
      </c>
      <c r="F258" s="54" t="s">
        <v>956</v>
      </c>
      <c r="G258" s="39" t="str">
        <f>Tableau1[[#This Row],[Rue]]&amp;CHAR(10)&amp;Tableau1[[#This Row],[Code Postal]]&amp;" - "&amp;Tableau1[[#This Row],[Ville]]</f>
        <v>Boulevard de Tilsit - Carrefour ZAC du Pont des Rayons
95290 - L'Isle-Adam</v>
      </c>
      <c r="H258" s="15" t="s">
        <v>1799</v>
      </c>
      <c r="I258" s="12" t="s">
        <v>47</v>
      </c>
      <c r="J258" s="12" t="s">
        <v>50</v>
      </c>
      <c r="K258" s="10" t="s">
        <v>98</v>
      </c>
      <c r="L258" s="12" t="s">
        <v>98</v>
      </c>
      <c r="M258" s="12" t="s">
        <v>98</v>
      </c>
      <c r="N258" s="12" t="s">
        <v>286</v>
      </c>
      <c r="O258" s="34">
        <v>760</v>
      </c>
      <c r="P258" s="6" t="s">
        <v>98</v>
      </c>
      <c r="Q258" s="34" t="s">
        <v>98</v>
      </c>
      <c r="R258" s="34" t="s">
        <v>98</v>
      </c>
      <c r="S258" s="6" t="s">
        <v>98</v>
      </c>
      <c r="T258" s="12">
        <f>Tableau1[[#This Row],[Loyer €/m²]]*Tableau1[[#This Row],[Surface GLA]]</f>
        <v>0</v>
      </c>
      <c r="U258" s="12">
        <f>IFERROR(Tableau1[[#This Row],[Loyer annuel]]/12,"")</f>
        <v>0</v>
      </c>
      <c r="V258" s="12"/>
      <c r="W258" s="34" t="s">
        <v>98</v>
      </c>
      <c r="X258" s="6">
        <f>Tableau1[[#This Row],[Charges €/m²]]*Tableau1[[#This Row],[Surface GLA]]</f>
        <v>31160</v>
      </c>
      <c r="Y258" s="12">
        <f>Tableau1[[#This Row],[Charges annuelles]]/12</f>
        <v>2596.6666666666665</v>
      </c>
      <c r="Z258" s="12">
        <v>41</v>
      </c>
      <c r="AA258" s="12">
        <f>IFERROR(Tableau1[[#This Row],[Taxe foncière €/m²]]*Tableau1[[#This Row],[Surface GLA]],)</f>
        <v>0</v>
      </c>
      <c r="AB258" s="12"/>
      <c r="AC258" s="12">
        <f>IFERROR(Tableau1[[#This Row],[Marketing €/m²]]*Tableau1[[#This Row],[Surface GLA]],)</f>
        <v>0</v>
      </c>
      <c r="AD258" s="12" t="s">
        <v>98</v>
      </c>
      <c r="AE258" s="12">
        <f>IFERROR(Tableau1[[#This Row],[Loyer annuel]]+Tableau1[[#This Row],[Charges annuelles]]+Tableau1[[#This Row],[Taxe foncière]]+Tableau1[[#This Row],[Marketing]],"")</f>
        <v>31160</v>
      </c>
      <c r="AF258" s="12"/>
      <c r="AG258" s="12" t="s">
        <v>98</v>
      </c>
      <c r="AH258" s="12" t="s">
        <v>98</v>
      </c>
      <c r="AI258" s="12" t="s">
        <v>98</v>
      </c>
      <c r="AJ258" s="10" t="s">
        <v>369</v>
      </c>
      <c r="AK258" s="10" t="s">
        <v>363</v>
      </c>
      <c r="AL258" s="10"/>
      <c r="AM258" s="11"/>
      <c r="AN258" s="11"/>
      <c r="AO258" s="5" t="s">
        <v>361</v>
      </c>
      <c r="AP258" s="11" t="s">
        <v>1801</v>
      </c>
      <c r="AQ258" s="11" t="s">
        <v>1802</v>
      </c>
      <c r="AR258" s="11">
        <v>82</v>
      </c>
      <c r="AS258" s="36" t="s">
        <v>1803</v>
      </c>
      <c r="AT258" s="11" t="s">
        <v>70</v>
      </c>
      <c r="AU258" s="11"/>
      <c r="AV258" s="13" t="s">
        <v>919</v>
      </c>
      <c r="AW258" s="14"/>
      <c r="AX258" s="44">
        <v>46087</v>
      </c>
    </row>
    <row r="259" spans="1:50" ht="25.5">
      <c r="A259" s="38" t="str">
        <f>VLOOKUP(Tableau1[[#This Row],[N° Département]],Feuil1!$C$6:$E$106,3)</f>
        <v>Ile-de-France</v>
      </c>
      <c r="B259" s="38" t="str">
        <f>VLOOKUP(Tableau1[[#This Row],[N° Département]],Feuil1!$C$6:$E$106,2)</f>
        <v>Hauts-de-Seine</v>
      </c>
      <c r="C259" s="38">
        <f>LEFT(Tableau1[[#This Row],[Code Postal]],2)*1</f>
        <v>92</v>
      </c>
      <c r="D259" s="11" t="s">
        <v>1810</v>
      </c>
      <c r="E259" s="26">
        <v>92370</v>
      </c>
      <c r="F259" s="54" t="s">
        <v>1812</v>
      </c>
      <c r="G259" s="39" t="str">
        <f>Tableau1[[#This Row],[Rue]]&amp;CHAR(10)&amp;Tableau1[[#This Row],[Code Postal]]&amp;" - "&amp;Tableau1[[#This Row],[Ville]]</f>
        <v>34 rue Carnot
92370 - Chaville</v>
      </c>
      <c r="H259" s="15" t="s">
        <v>1811</v>
      </c>
      <c r="I259" s="12" t="s">
        <v>45</v>
      </c>
      <c r="J259" s="12" t="s">
        <v>44</v>
      </c>
      <c r="K259" s="10" t="s">
        <v>98</v>
      </c>
      <c r="L259" s="53" t="s">
        <v>1518</v>
      </c>
      <c r="M259" s="12" t="s">
        <v>98</v>
      </c>
      <c r="N259" s="36"/>
      <c r="O259" s="34">
        <v>255</v>
      </c>
      <c r="P259" s="6" t="s">
        <v>98</v>
      </c>
      <c r="Q259" s="34" t="s">
        <v>98</v>
      </c>
      <c r="R259" s="34" t="s">
        <v>98</v>
      </c>
      <c r="S259" s="6" t="s">
        <v>98</v>
      </c>
      <c r="T259" s="12">
        <f>Tableau1[[#This Row],[Loyer €/m²]]*Tableau1[[#This Row],[Surface GLA]]</f>
        <v>89250</v>
      </c>
      <c r="U259" s="12">
        <f>IFERROR(Tableau1[[#This Row],[Loyer annuel]]/12,"")</f>
        <v>7437.5</v>
      </c>
      <c r="V259" s="12">
        <v>350</v>
      </c>
      <c r="W259" s="34" t="s">
        <v>98</v>
      </c>
      <c r="X259" s="6">
        <f>Tableau1[[#This Row],[Charges €/m²]]*Tableau1[[#This Row],[Surface GLA]]</f>
        <v>0</v>
      </c>
      <c r="Y259" s="12">
        <f>Tableau1[[#This Row],[Charges annuelles]]/12</f>
        <v>0</v>
      </c>
      <c r="Z259" s="12"/>
      <c r="AA259" s="12">
        <f>IFERROR(Tableau1[[#This Row],[Taxe foncière €/m²]]*Tableau1[[#This Row],[Surface GLA]],)</f>
        <v>0</v>
      </c>
      <c r="AB259" s="12"/>
      <c r="AC259" s="12">
        <f>IFERROR(Tableau1[[#This Row],[Marketing €/m²]]*Tableau1[[#This Row],[Surface GLA]],)</f>
        <v>0</v>
      </c>
      <c r="AD259" s="12" t="s">
        <v>98</v>
      </c>
      <c r="AE259" s="12">
        <f>IFERROR(Tableau1[[#This Row],[Loyer annuel]]+Tableau1[[#This Row],[Charges annuelles]]+Tableau1[[#This Row],[Taxe foncière]]+Tableau1[[#This Row],[Marketing]],"")</f>
        <v>89250</v>
      </c>
      <c r="AF259" s="12" t="str">
        <f t="shared" ref="AF259" si="14">"3 mois = "&amp;TEXT(ROUND(3/12*T259,0),"### ### ##0 €")</f>
        <v>3 mois = 22 313 €</v>
      </c>
      <c r="AG259" s="12" t="s">
        <v>98</v>
      </c>
      <c r="AH259" s="51">
        <v>1.4999999999999999E-2</v>
      </c>
      <c r="AI259" s="12" t="s">
        <v>357</v>
      </c>
      <c r="AJ259" s="10" t="s">
        <v>369</v>
      </c>
      <c r="AK259" s="10" t="s">
        <v>363</v>
      </c>
      <c r="AL259" s="10"/>
      <c r="AM259" s="11"/>
      <c r="AN259" s="11" t="s">
        <v>1813</v>
      </c>
      <c r="AO259" s="5" t="s">
        <v>361</v>
      </c>
      <c r="AP259" s="11" t="s">
        <v>1815</v>
      </c>
      <c r="AQ259" s="11" t="s">
        <v>1816</v>
      </c>
      <c r="AR259" s="11">
        <v>83</v>
      </c>
      <c r="AS259" s="36" t="s">
        <v>1817</v>
      </c>
      <c r="AT259" s="11" t="s">
        <v>70</v>
      </c>
      <c r="AU259" s="11" t="s">
        <v>1814</v>
      </c>
      <c r="AV259" s="13" t="s">
        <v>1585</v>
      </c>
      <c r="AW259" s="14"/>
      <c r="AX259" s="44">
        <v>46099</v>
      </c>
    </row>
    <row r="260" spans="1:50" ht="25.5">
      <c r="A260" s="38" t="str">
        <f>VLOOKUP(Tableau1[[#This Row],[N° Département]],Feuil1!$C$6:$E$106,3)</f>
        <v>Centre-Val de Loire</v>
      </c>
      <c r="B260" s="38" t="str">
        <f>VLOOKUP(Tableau1[[#This Row],[N° Département]],Feuil1!$C$6:$E$106,2)</f>
        <v>Eure-et-Loir</v>
      </c>
      <c r="C260" s="38">
        <f>LEFT(Tableau1[[#This Row],[Code Postal]],2)*1</f>
        <v>28</v>
      </c>
      <c r="D260" s="11" t="s">
        <v>1829</v>
      </c>
      <c r="E260" s="26">
        <v>28260</v>
      </c>
      <c r="F260" s="10" t="s">
        <v>1828</v>
      </c>
      <c r="G260" s="39" t="str">
        <f>Tableau1[[#This Row],[Rue]]&amp;CHAR(10)&amp;Tableau1[[#This Row],[Code Postal]]&amp;" - "&amp;Tableau1[[#This Row],[Ville]]</f>
        <v>Leclerc Anet
28260 - Anet</v>
      </c>
      <c r="H260" s="15" t="s">
        <v>1830</v>
      </c>
      <c r="I260" s="12" t="s">
        <v>47</v>
      </c>
      <c r="J260" s="12" t="s">
        <v>51</v>
      </c>
      <c r="K260" s="10" t="s">
        <v>98</v>
      </c>
      <c r="L260" s="12" t="s">
        <v>98</v>
      </c>
      <c r="M260" s="12" t="s">
        <v>98</v>
      </c>
      <c r="N260" s="36"/>
      <c r="O260" s="34">
        <v>120</v>
      </c>
      <c r="P260" s="6" t="s">
        <v>98</v>
      </c>
      <c r="Q260" s="34" t="s">
        <v>98</v>
      </c>
      <c r="R260" s="34" t="s">
        <v>98</v>
      </c>
      <c r="S260" s="6" t="s">
        <v>98</v>
      </c>
      <c r="T260" s="12">
        <f>Tableau1[[#This Row],[Loyer €/m²]]*Tableau1[[#This Row],[Surface GLA]]</f>
        <v>42000</v>
      </c>
      <c r="U260" s="12">
        <f>IFERROR(Tableau1[[#This Row],[Loyer annuel]]/12,"")</f>
        <v>3500</v>
      </c>
      <c r="V260" s="12">
        <v>350</v>
      </c>
      <c r="W260" s="34" t="s">
        <v>98</v>
      </c>
      <c r="X260" s="6">
        <f>Tableau1[[#This Row],[Charges €/m²]]*Tableau1[[#This Row],[Surface GLA]]</f>
        <v>0</v>
      </c>
      <c r="Y260" s="12">
        <f>Tableau1[[#This Row],[Charges annuelles]]/12</f>
        <v>0</v>
      </c>
      <c r="Z260" s="12"/>
      <c r="AA260" s="12">
        <f>IFERROR(Tableau1[[#This Row],[Taxe foncière €/m²]]*Tableau1[[#This Row],[Surface GLA]],)</f>
        <v>0</v>
      </c>
      <c r="AB260" s="12"/>
      <c r="AC260" s="12">
        <f>IFERROR(Tableau1[[#This Row],[Marketing €/m²]]*Tableau1[[#This Row],[Surface GLA]],)</f>
        <v>0</v>
      </c>
      <c r="AD260" s="12" t="s">
        <v>98</v>
      </c>
      <c r="AE260" s="12">
        <f>IFERROR(Tableau1[[#This Row],[Loyer annuel]]+Tableau1[[#This Row],[Charges annuelles]]+Tableau1[[#This Row],[Taxe foncière]]+Tableau1[[#This Row],[Marketing]],"")</f>
        <v>42000</v>
      </c>
      <c r="AF260" s="12"/>
      <c r="AG260" s="12" t="s">
        <v>98</v>
      </c>
      <c r="AH260" s="12" t="s">
        <v>98</v>
      </c>
      <c r="AI260" s="12" t="s">
        <v>357</v>
      </c>
      <c r="AJ260" s="10" t="s">
        <v>53</v>
      </c>
      <c r="AK260" s="10" t="s">
        <v>362</v>
      </c>
      <c r="AL260" s="10"/>
      <c r="AM260" s="11" t="s">
        <v>1833</v>
      </c>
      <c r="AN260" s="11"/>
      <c r="AO260" s="5" t="s">
        <v>361</v>
      </c>
      <c r="AP260" s="11" t="s">
        <v>1831</v>
      </c>
      <c r="AQ260" s="11" t="s">
        <v>1832</v>
      </c>
      <c r="AR260" s="11">
        <v>84</v>
      </c>
      <c r="AS260" s="36" t="s">
        <v>1842</v>
      </c>
      <c r="AT260" s="11" t="s">
        <v>70</v>
      </c>
      <c r="AU260" s="11"/>
      <c r="AV260" s="13" t="s">
        <v>1829</v>
      </c>
      <c r="AW260" s="14"/>
      <c r="AX260" s="44">
        <v>46132</v>
      </c>
    </row>
    <row r="261" spans="1:50" ht="25.5">
      <c r="A261" s="38" t="str">
        <f>VLOOKUP(Tableau1[[#This Row],[N° Département]],Feuil1!$C$6:$E$106,3)</f>
        <v>Centre-Val de Loire</v>
      </c>
      <c r="B261" s="38" t="str">
        <f>VLOOKUP(Tableau1[[#This Row],[N° Département]],Feuil1!$C$6:$E$106,2)</f>
        <v>Eure-et-Loir</v>
      </c>
      <c r="C261" s="38">
        <f>LEFT(Tableau1[[#This Row],[Code Postal]],2)*1</f>
        <v>28</v>
      </c>
      <c r="D261" s="11" t="s">
        <v>1834</v>
      </c>
      <c r="E261" s="26">
        <v>28260</v>
      </c>
      <c r="F261" s="10" t="s">
        <v>1828</v>
      </c>
      <c r="G261" s="39" t="str">
        <f>Tableau1[[#This Row],[Rue]]&amp;CHAR(10)&amp;Tableau1[[#This Row],[Code Postal]]&amp;" - "&amp;Tableau1[[#This Row],[Ville]]</f>
        <v>11 rue Diane de Poitiers
28260 - Anet</v>
      </c>
      <c r="H261" s="15" t="s">
        <v>1835</v>
      </c>
      <c r="I261" s="12" t="s">
        <v>45</v>
      </c>
      <c r="J261" s="12" t="s">
        <v>44</v>
      </c>
      <c r="K261" s="10" t="s">
        <v>98</v>
      </c>
      <c r="L261" s="12" t="s">
        <v>98</v>
      </c>
      <c r="M261" s="12" t="s">
        <v>98</v>
      </c>
      <c r="N261" s="36"/>
      <c r="O261" s="34">
        <v>190</v>
      </c>
      <c r="P261" s="6" t="s">
        <v>98</v>
      </c>
      <c r="Q261" s="34" t="s">
        <v>98</v>
      </c>
      <c r="R261" s="34" t="s">
        <v>98</v>
      </c>
      <c r="S261" s="6" t="s">
        <v>98</v>
      </c>
      <c r="T261" s="12">
        <f>Tableau1[[#This Row],[Loyer €/m²]]*Tableau1[[#This Row],[Surface GLA]]</f>
        <v>0</v>
      </c>
      <c r="U261" s="12">
        <f>IFERROR(Tableau1[[#This Row],[Loyer annuel]]/12,"")</f>
        <v>0</v>
      </c>
      <c r="V261" s="12"/>
      <c r="W261" s="34" t="s">
        <v>98</v>
      </c>
      <c r="X261" s="6">
        <f>Tableau1[[#This Row],[Charges €/m²]]*Tableau1[[#This Row],[Surface GLA]]</f>
        <v>0</v>
      </c>
      <c r="Y261" s="12">
        <f>Tableau1[[#This Row],[Charges annuelles]]/12</f>
        <v>0</v>
      </c>
      <c r="Z261" s="12"/>
      <c r="AA261" s="12">
        <f>IFERROR(Tableau1[[#This Row],[Taxe foncière €/m²]]*Tableau1[[#This Row],[Surface GLA]],)</f>
        <v>0</v>
      </c>
      <c r="AB261" s="12"/>
      <c r="AC261" s="12">
        <f>IFERROR(Tableau1[[#This Row],[Marketing €/m²]]*Tableau1[[#This Row],[Surface GLA]],)</f>
        <v>0</v>
      </c>
      <c r="AD261" s="12" t="s">
        <v>98</v>
      </c>
      <c r="AE261" s="12">
        <f>IFERROR(Tableau1[[#This Row],[Loyer annuel]]+Tableau1[[#This Row],[Charges annuelles]]+Tableau1[[#This Row],[Taxe foncière]]+Tableau1[[#This Row],[Marketing]],"")</f>
        <v>0</v>
      </c>
      <c r="AF261" s="12"/>
      <c r="AG261" s="12" t="s">
        <v>98</v>
      </c>
      <c r="AH261" s="12" t="s">
        <v>98</v>
      </c>
      <c r="AI261" s="12" t="s">
        <v>373</v>
      </c>
      <c r="AJ261" s="10" t="s">
        <v>53</v>
      </c>
      <c r="AK261" s="10" t="s">
        <v>53</v>
      </c>
      <c r="AL261" s="10" t="s">
        <v>1837</v>
      </c>
      <c r="AM261" s="11" t="s">
        <v>1836</v>
      </c>
      <c r="AN261" s="11"/>
      <c r="AO261" s="5" t="s">
        <v>361</v>
      </c>
      <c r="AP261" s="11" t="s">
        <v>1839</v>
      </c>
      <c r="AQ261" s="11" t="s">
        <v>1840</v>
      </c>
      <c r="AR261" s="11">
        <v>85</v>
      </c>
      <c r="AS261" s="36" t="s">
        <v>1841</v>
      </c>
      <c r="AT261" s="11" t="s">
        <v>70</v>
      </c>
      <c r="AU261" s="11"/>
      <c r="AV261" s="13" t="s">
        <v>1838</v>
      </c>
      <c r="AW261" s="14"/>
      <c r="AX261" s="44">
        <v>46132</v>
      </c>
    </row>
    <row r="262" spans="1:50" ht="25.5">
      <c r="A262" s="38" t="str">
        <f>VLOOKUP(Tableau1[[#This Row],[N° Département]],Feuil1!$C$6:$E$106,3)</f>
        <v>Pays de la Loire</v>
      </c>
      <c r="B262" s="38" t="str">
        <f>VLOOKUP(Tableau1[[#This Row],[N° Département]],Feuil1!$C$6:$E$106,2)</f>
        <v>Maine-et-Loire</v>
      </c>
      <c r="C262" s="38">
        <f>LEFT(Tableau1[[#This Row],[Code Postal]],2)*1</f>
        <v>49</v>
      </c>
      <c r="D262" s="10" t="s">
        <v>1853</v>
      </c>
      <c r="E262" s="26">
        <v>49000</v>
      </c>
      <c r="F262" s="10" t="s">
        <v>1852</v>
      </c>
      <c r="G262" s="39" t="str">
        <f>Tableau1[[#This Row],[Rue]]&amp;CHAR(10)&amp;Tableau1[[#This Row],[Code Postal]]&amp;" - "&amp;Tableau1[[#This Row],[Ville]]</f>
        <v>10 Rue du Grand Launay
49000 - Angers</v>
      </c>
      <c r="H262" s="15" t="s">
        <v>1854</v>
      </c>
      <c r="I262" s="12" t="s">
        <v>47</v>
      </c>
      <c r="J262" s="12" t="s">
        <v>49</v>
      </c>
      <c r="K262" s="10" t="s">
        <v>98</v>
      </c>
      <c r="L262" s="12" t="s">
        <v>98</v>
      </c>
      <c r="M262" s="12" t="s">
        <v>98</v>
      </c>
      <c r="N262" s="36" t="s">
        <v>1855</v>
      </c>
      <c r="O262" s="34">
        <v>160</v>
      </c>
      <c r="P262" s="6" t="s">
        <v>98</v>
      </c>
      <c r="Q262" s="34" t="s">
        <v>98</v>
      </c>
      <c r="R262" s="34" t="s">
        <v>98</v>
      </c>
      <c r="S262" s="6" t="s">
        <v>98</v>
      </c>
      <c r="T262" s="12">
        <f>Tableau1[[#This Row],[Loyer €/m²]]*Tableau1[[#This Row],[Surface GLA]]</f>
        <v>48000</v>
      </c>
      <c r="U262" s="12">
        <f>IFERROR(Tableau1[[#This Row],[Loyer annuel]]/12,"")</f>
        <v>4000</v>
      </c>
      <c r="V262" s="12">
        <v>300</v>
      </c>
      <c r="W262" s="34" t="s">
        <v>98</v>
      </c>
      <c r="X262" s="6">
        <f>Tableau1[[#This Row],[Charges €/m²]]*Tableau1[[#This Row],[Surface GLA]]</f>
        <v>12000</v>
      </c>
      <c r="Y262" s="12">
        <f>Tableau1[[#This Row],[Charges annuelles]]/12</f>
        <v>1000</v>
      </c>
      <c r="Z262" s="12">
        <v>75</v>
      </c>
      <c r="AA262" s="12">
        <f>IFERROR(Tableau1[[#This Row],[Taxe foncière €/m²]]*Tableau1[[#This Row],[Surface GLA]],)</f>
        <v>4640</v>
      </c>
      <c r="AB262" s="12">
        <v>29</v>
      </c>
      <c r="AC262" s="12">
        <f>IFERROR(Tableau1[[#This Row],[Marketing €/m²]]*Tableau1[[#This Row],[Surface GLA]],)</f>
        <v>5600</v>
      </c>
      <c r="AD262" s="12">
        <v>35</v>
      </c>
      <c r="AE262" s="12">
        <f>IFERROR(Tableau1[[#This Row],[Loyer annuel]]+Tableau1[[#This Row],[Charges annuelles]]+Tableau1[[#This Row],[Taxe foncière]]+Tableau1[[#This Row],[Marketing]],"")</f>
        <v>70240</v>
      </c>
      <c r="AF262" s="12" t="str">
        <f t="shared" ref="AF262:AF310" si="15">"3 mois = "&amp;TEXT(ROUND(3/12*T262,0),"### ### ##0 €")</f>
        <v>3 mois = 12 000 €</v>
      </c>
      <c r="AG262" s="12" t="s">
        <v>98</v>
      </c>
      <c r="AH262" s="12" t="s">
        <v>98</v>
      </c>
      <c r="AI262" s="12" t="s">
        <v>357</v>
      </c>
      <c r="AJ262" s="10"/>
      <c r="AK262" s="10"/>
      <c r="AL262" s="10" t="s">
        <v>1870</v>
      </c>
      <c r="AM262" s="11" t="s">
        <v>1869</v>
      </c>
      <c r="AN262" s="11" t="s">
        <v>1386</v>
      </c>
      <c r="AO262" s="5" t="s">
        <v>361</v>
      </c>
      <c r="AP262" s="11" t="s">
        <v>1872</v>
      </c>
      <c r="AQ262" s="11" t="s">
        <v>1873</v>
      </c>
      <c r="AR262" s="11" t="s">
        <v>1905</v>
      </c>
      <c r="AS262" s="36" t="s">
        <v>1921</v>
      </c>
      <c r="AT262" s="11" t="s">
        <v>70</v>
      </c>
      <c r="AU262" s="11" t="s">
        <v>370</v>
      </c>
      <c r="AV262" s="13" t="s">
        <v>1871</v>
      </c>
      <c r="AW262" s="14"/>
      <c r="AX262" s="44"/>
    </row>
    <row r="263" spans="1:50" ht="25.5">
      <c r="A263" s="38" t="str">
        <f>VLOOKUP(Tableau1[[#This Row],[N° Département]],Feuil1!$C$6:$E$106,3)</f>
        <v>Pays de la Loire</v>
      </c>
      <c r="B263" s="38" t="str">
        <f>VLOOKUP(Tableau1[[#This Row],[N° Département]],Feuil1!$C$6:$E$106,2)</f>
        <v>Maine-et-Loire</v>
      </c>
      <c r="C263" s="38">
        <f>LEFT(Tableau1[[#This Row],[Code Postal]],2)*1</f>
        <v>49</v>
      </c>
      <c r="D263" s="10" t="s">
        <v>1853</v>
      </c>
      <c r="E263" s="26">
        <v>49000</v>
      </c>
      <c r="F263" s="10" t="s">
        <v>1852</v>
      </c>
      <c r="G263" s="39" t="str">
        <f>Tableau1[[#This Row],[Rue]]&amp;CHAR(10)&amp;Tableau1[[#This Row],[Code Postal]]&amp;" - "&amp;Tableau1[[#This Row],[Ville]]</f>
        <v>10 Rue du Grand Launay
49000 - Angers</v>
      </c>
      <c r="H263" s="15" t="s">
        <v>1854</v>
      </c>
      <c r="I263" s="12" t="s">
        <v>47</v>
      </c>
      <c r="J263" s="12" t="s">
        <v>49</v>
      </c>
      <c r="K263" s="10" t="s">
        <v>98</v>
      </c>
      <c r="L263" s="12" t="s">
        <v>98</v>
      </c>
      <c r="M263" s="12" t="s">
        <v>98</v>
      </c>
      <c r="N263" s="36" t="s">
        <v>1856</v>
      </c>
      <c r="O263" s="34">
        <v>164</v>
      </c>
      <c r="P263" s="6" t="s">
        <v>98</v>
      </c>
      <c r="Q263" s="34">
        <v>203</v>
      </c>
      <c r="R263" s="34" t="s">
        <v>98</v>
      </c>
      <c r="S263" s="6" t="s">
        <v>98</v>
      </c>
      <c r="T263" s="12">
        <f>Tableau1[[#This Row],[Loyer €/m²]]*Tableau1[[#This Row],[Surface GLA]]</f>
        <v>49200</v>
      </c>
      <c r="U263" s="12">
        <f>IFERROR(Tableau1[[#This Row],[Loyer annuel]]/12,"")</f>
        <v>4100</v>
      </c>
      <c r="V263" s="12">
        <v>300</v>
      </c>
      <c r="W263" s="34" t="s">
        <v>98</v>
      </c>
      <c r="X263" s="6">
        <f>Tableau1[[#This Row],[Charges €/m²]]*Tableau1[[#This Row],[Surface GLA]]</f>
        <v>12300</v>
      </c>
      <c r="Y263" s="12">
        <f>Tableau1[[#This Row],[Charges annuelles]]/12</f>
        <v>1025</v>
      </c>
      <c r="Z263" s="12">
        <v>75</v>
      </c>
      <c r="AA263" s="12">
        <f>IFERROR(Tableau1[[#This Row],[Taxe foncière €/m²]]*Tableau1[[#This Row],[Surface GLA]],)</f>
        <v>4756</v>
      </c>
      <c r="AB263" s="12">
        <v>29</v>
      </c>
      <c r="AC263" s="12">
        <f>IFERROR(Tableau1[[#This Row],[Marketing €/m²]]*Tableau1[[#This Row],[Surface GLA]],)</f>
        <v>5740</v>
      </c>
      <c r="AD263" s="12">
        <v>35</v>
      </c>
      <c r="AE263" s="12">
        <f>IFERROR(Tableau1[[#This Row],[Loyer annuel]]+Tableau1[[#This Row],[Charges annuelles]]+Tableau1[[#This Row],[Taxe foncière]]+Tableau1[[#This Row],[Marketing]],"")</f>
        <v>71996</v>
      </c>
      <c r="AF263" s="12" t="str">
        <f t="shared" si="15"/>
        <v>3 mois = 12 300 €</v>
      </c>
      <c r="AG263" s="12" t="s">
        <v>98</v>
      </c>
      <c r="AH263" s="12" t="s">
        <v>98</v>
      </c>
      <c r="AI263" s="12" t="s">
        <v>357</v>
      </c>
      <c r="AJ263" s="10"/>
      <c r="AK263" s="10"/>
      <c r="AL263" s="10" t="s">
        <v>1870</v>
      </c>
      <c r="AM263" s="11" t="s">
        <v>1869</v>
      </c>
      <c r="AN263" s="11" t="s">
        <v>1386</v>
      </c>
      <c r="AO263" s="5" t="s">
        <v>361</v>
      </c>
      <c r="AP263" s="11" t="s">
        <v>1874</v>
      </c>
      <c r="AQ263" s="11" t="s">
        <v>1875</v>
      </c>
      <c r="AR263" s="11" t="s">
        <v>1906</v>
      </c>
      <c r="AS263" s="36" t="s">
        <v>1921</v>
      </c>
      <c r="AT263" s="11" t="s">
        <v>70</v>
      </c>
      <c r="AU263" s="11" t="s">
        <v>370</v>
      </c>
      <c r="AV263" s="13" t="s">
        <v>1871</v>
      </c>
      <c r="AW263" s="14"/>
      <c r="AX263" s="44"/>
    </row>
    <row r="264" spans="1:50" ht="25.5">
      <c r="A264" s="38" t="str">
        <f>VLOOKUP(Tableau1[[#This Row],[N° Département]],Feuil1!$C$6:$E$106,3)</f>
        <v>Pays de la Loire</v>
      </c>
      <c r="B264" s="38" t="str">
        <f>VLOOKUP(Tableau1[[#This Row],[N° Département]],Feuil1!$C$6:$E$106,2)</f>
        <v>Maine-et-Loire</v>
      </c>
      <c r="C264" s="38">
        <f>LEFT(Tableau1[[#This Row],[Code Postal]],2)*1</f>
        <v>49</v>
      </c>
      <c r="D264" s="10" t="s">
        <v>1853</v>
      </c>
      <c r="E264" s="26">
        <v>49000</v>
      </c>
      <c r="F264" s="10" t="s">
        <v>1852</v>
      </c>
      <c r="G264" s="39" t="str">
        <f>Tableau1[[#This Row],[Rue]]&amp;CHAR(10)&amp;Tableau1[[#This Row],[Code Postal]]&amp;" - "&amp;Tableau1[[#This Row],[Ville]]</f>
        <v>10 Rue du Grand Launay
49000 - Angers</v>
      </c>
      <c r="H264" s="15" t="s">
        <v>1854</v>
      </c>
      <c r="I264" s="12" t="s">
        <v>47</v>
      </c>
      <c r="J264" s="12" t="s">
        <v>49</v>
      </c>
      <c r="K264" s="10" t="s">
        <v>98</v>
      </c>
      <c r="L264" s="12" t="s">
        <v>98</v>
      </c>
      <c r="M264" s="12" t="s">
        <v>98</v>
      </c>
      <c r="N264" s="36" t="s">
        <v>302</v>
      </c>
      <c r="O264" s="34">
        <v>39</v>
      </c>
      <c r="P264" s="6" t="s">
        <v>98</v>
      </c>
      <c r="Q264" s="34">
        <v>203</v>
      </c>
      <c r="R264" s="34" t="s">
        <v>98</v>
      </c>
      <c r="S264" s="6" t="s">
        <v>98</v>
      </c>
      <c r="T264" s="12">
        <f>Tableau1[[#This Row],[Loyer €/m²]]*Tableau1[[#This Row],[Surface GLA]]</f>
        <v>19500</v>
      </c>
      <c r="U264" s="12">
        <f>IFERROR(Tableau1[[#This Row],[Loyer annuel]]/12,"")</f>
        <v>1625</v>
      </c>
      <c r="V264" s="12">
        <v>500</v>
      </c>
      <c r="W264" s="34" t="s">
        <v>98</v>
      </c>
      <c r="X264" s="6">
        <f>Tableau1[[#This Row],[Charges €/m²]]*Tableau1[[#This Row],[Surface GLA]]</f>
        <v>2925</v>
      </c>
      <c r="Y264" s="12">
        <f>Tableau1[[#This Row],[Charges annuelles]]/12</f>
        <v>243.75</v>
      </c>
      <c r="Z264" s="12">
        <v>75</v>
      </c>
      <c r="AA264" s="12">
        <f>IFERROR(Tableau1[[#This Row],[Taxe foncière €/m²]]*Tableau1[[#This Row],[Surface GLA]],)</f>
        <v>1131</v>
      </c>
      <c r="AB264" s="12">
        <v>29</v>
      </c>
      <c r="AC264" s="12">
        <f>IFERROR(Tableau1[[#This Row],[Marketing €/m²]]*Tableau1[[#This Row],[Surface GLA]],)</f>
        <v>1365</v>
      </c>
      <c r="AD264" s="12">
        <v>35</v>
      </c>
      <c r="AE264" s="12">
        <f>IFERROR(Tableau1[[#This Row],[Loyer annuel]]+Tableau1[[#This Row],[Charges annuelles]]+Tableau1[[#This Row],[Taxe foncière]]+Tableau1[[#This Row],[Marketing]],"")</f>
        <v>24921</v>
      </c>
      <c r="AF264" s="12" t="str">
        <f t="shared" si="15"/>
        <v>3 mois = 4 875 €</v>
      </c>
      <c r="AG264" s="12" t="s">
        <v>98</v>
      </c>
      <c r="AH264" s="12" t="s">
        <v>98</v>
      </c>
      <c r="AI264" s="12" t="s">
        <v>357</v>
      </c>
      <c r="AJ264" s="10"/>
      <c r="AK264" s="10"/>
      <c r="AL264" s="10" t="s">
        <v>1870</v>
      </c>
      <c r="AM264" s="11" t="s">
        <v>1869</v>
      </c>
      <c r="AN264" s="11" t="s">
        <v>1386</v>
      </c>
      <c r="AO264" s="5" t="s">
        <v>361</v>
      </c>
      <c r="AP264" s="11" t="s">
        <v>1876</v>
      </c>
      <c r="AQ264" s="11" t="s">
        <v>1877</v>
      </c>
      <c r="AR264" s="11" t="s">
        <v>1907</v>
      </c>
      <c r="AS264" s="36" t="s">
        <v>1921</v>
      </c>
      <c r="AT264" s="11" t="s">
        <v>70</v>
      </c>
      <c r="AU264" s="11" t="s">
        <v>370</v>
      </c>
      <c r="AV264" s="13" t="s">
        <v>1871</v>
      </c>
      <c r="AW264" s="14"/>
      <c r="AX264" s="44"/>
    </row>
    <row r="265" spans="1:50" ht="25.5">
      <c r="A265" s="38" t="str">
        <f>VLOOKUP(Tableau1[[#This Row],[N° Département]],Feuil1!$C$6:$E$106,3)</f>
        <v>Pays de la Loire</v>
      </c>
      <c r="B265" s="38" t="str">
        <f>VLOOKUP(Tableau1[[#This Row],[N° Département]],Feuil1!$C$6:$E$106,2)</f>
        <v>Maine-et-Loire</v>
      </c>
      <c r="C265" s="38">
        <f>LEFT(Tableau1[[#This Row],[Code Postal]],2)*1</f>
        <v>49</v>
      </c>
      <c r="D265" s="10" t="s">
        <v>1853</v>
      </c>
      <c r="E265" s="26">
        <v>49000</v>
      </c>
      <c r="F265" s="10" t="s">
        <v>1852</v>
      </c>
      <c r="G265" s="39" t="str">
        <f>Tableau1[[#This Row],[Rue]]&amp;CHAR(10)&amp;Tableau1[[#This Row],[Code Postal]]&amp;" - "&amp;Tableau1[[#This Row],[Ville]]</f>
        <v>10 Rue du Grand Launay
49000 - Angers</v>
      </c>
      <c r="H265" s="15" t="s">
        <v>1854</v>
      </c>
      <c r="I265" s="12" t="s">
        <v>47</v>
      </c>
      <c r="J265" s="12" t="s">
        <v>49</v>
      </c>
      <c r="K265" s="10" t="s">
        <v>98</v>
      </c>
      <c r="L265" s="12" t="s">
        <v>98</v>
      </c>
      <c r="M265" s="12" t="s">
        <v>98</v>
      </c>
      <c r="N265" s="36" t="s">
        <v>1857</v>
      </c>
      <c r="O265" s="34">
        <v>84</v>
      </c>
      <c r="P265" s="6" t="s">
        <v>98</v>
      </c>
      <c r="Q265" s="34">
        <v>203</v>
      </c>
      <c r="R265" s="34" t="s">
        <v>98</v>
      </c>
      <c r="S265" s="6" t="s">
        <v>98</v>
      </c>
      <c r="T265" s="12">
        <f>Tableau1[[#This Row],[Loyer €/m²]]*Tableau1[[#This Row],[Surface GLA]]</f>
        <v>33600</v>
      </c>
      <c r="U265" s="12">
        <f>IFERROR(Tableau1[[#This Row],[Loyer annuel]]/12,"")</f>
        <v>2800</v>
      </c>
      <c r="V265" s="12">
        <v>400</v>
      </c>
      <c r="W265" s="34" t="s">
        <v>98</v>
      </c>
      <c r="X265" s="6">
        <f>Tableau1[[#This Row],[Charges €/m²]]*Tableau1[[#This Row],[Surface GLA]]</f>
        <v>6300</v>
      </c>
      <c r="Y265" s="12">
        <f>Tableau1[[#This Row],[Charges annuelles]]/12</f>
        <v>525</v>
      </c>
      <c r="Z265" s="12">
        <v>75</v>
      </c>
      <c r="AA265" s="12">
        <f>IFERROR(Tableau1[[#This Row],[Taxe foncière €/m²]]*Tableau1[[#This Row],[Surface GLA]],)</f>
        <v>2436</v>
      </c>
      <c r="AB265" s="12">
        <v>29</v>
      </c>
      <c r="AC265" s="12">
        <f>IFERROR(Tableau1[[#This Row],[Marketing €/m²]]*Tableau1[[#This Row],[Surface GLA]],)</f>
        <v>2940</v>
      </c>
      <c r="AD265" s="12">
        <v>35</v>
      </c>
      <c r="AE265" s="12">
        <f>IFERROR(Tableau1[[#This Row],[Loyer annuel]]+Tableau1[[#This Row],[Charges annuelles]]+Tableau1[[#This Row],[Taxe foncière]]+Tableau1[[#This Row],[Marketing]],"")</f>
        <v>45276</v>
      </c>
      <c r="AF265" s="12" t="str">
        <f t="shared" si="15"/>
        <v>3 mois = 8 400 €</v>
      </c>
      <c r="AG265" s="12" t="s">
        <v>98</v>
      </c>
      <c r="AH265" s="12" t="s">
        <v>98</v>
      </c>
      <c r="AI265" s="12" t="s">
        <v>357</v>
      </c>
      <c r="AJ265" s="10"/>
      <c r="AK265" s="10"/>
      <c r="AL265" s="10" t="s">
        <v>1870</v>
      </c>
      <c r="AM265" s="11" t="s">
        <v>1869</v>
      </c>
      <c r="AN265" s="11" t="s">
        <v>1386</v>
      </c>
      <c r="AO265" s="5" t="s">
        <v>361</v>
      </c>
      <c r="AP265" s="11" t="s">
        <v>1878</v>
      </c>
      <c r="AQ265" s="11" t="s">
        <v>1879</v>
      </c>
      <c r="AR265" s="11" t="s">
        <v>1908</v>
      </c>
      <c r="AS265" s="36" t="s">
        <v>1921</v>
      </c>
      <c r="AT265" s="11" t="s">
        <v>70</v>
      </c>
      <c r="AU265" s="11" t="s">
        <v>370</v>
      </c>
      <c r="AV265" s="13" t="s">
        <v>1871</v>
      </c>
      <c r="AW265" s="14"/>
      <c r="AX265" s="44"/>
    </row>
    <row r="266" spans="1:50" ht="25.5">
      <c r="A266" s="38" t="str">
        <f>VLOOKUP(Tableau1[[#This Row],[N° Département]],Feuil1!$C$6:$E$106,3)</f>
        <v>Pays de la Loire</v>
      </c>
      <c r="B266" s="38" t="str">
        <f>VLOOKUP(Tableau1[[#This Row],[N° Département]],Feuil1!$C$6:$E$106,2)</f>
        <v>Maine-et-Loire</v>
      </c>
      <c r="C266" s="38">
        <f>LEFT(Tableau1[[#This Row],[Code Postal]],2)*1</f>
        <v>49</v>
      </c>
      <c r="D266" s="10" t="s">
        <v>1853</v>
      </c>
      <c r="E266" s="26">
        <v>49000</v>
      </c>
      <c r="F266" s="10" t="s">
        <v>1852</v>
      </c>
      <c r="G266" s="39" t="str">
        <f>Tableau1[[#This Row],[Rue]]&amp;CHAR(10)&amp;Tableau1[[#This Row],[Code Postal]]&amp;" - "&amp;Tableau1[[#This Row],[Ville]]</f>
        <v>10 Rue du Grand Launay
49000 - Angers</v>
      </c>
      <c r="H266" s="15" t="s">
        <v>1854</v>
      </c>
      <c r="I266" s="12" t="s">
        <v>47</v>
      </c>
      <c r="J266" s="12" t="s">
        <v>49</v>
      </c>
      <c r="K266" s="10" t="s">
        <v>98</v>
      </c>
      <c r="L266" s="12" t="s">
        <v>98</v>
      </c>
      <c r="M266" s="12" t="s">
        <v>98</v>
      </c>
      <c r="N266" s="36" t="s">
        <v>1858</v>
      </c>
      <c r="O266" s="34">
        <v>101</v>
      </c>
      <c r="P266" s="6" t="s">
        <v>98</v>
      </c>
      <c r="Q266" s="34" t="s">
        <v>98</v>
      </c>
      <c r="R266" s="34" t="s">
        <v>98</v>
      </c>
      <c r="S266" s="6" t="s">
        <v>98</v>
      </c>
      <c r="T266" s="12">
        <f>Tableau1[[#This Row],[Loyer €/m²]]*Tableau1[[#This Row],[Surface GLA]]</f>
        <v>35350</v>
      </c>
      <c r="U266" s="12">
        <f>IFERROR(Tableau1[[#This Row],[Loyer annuel]]/12,"")</f>
        <v>2945.8333333333335</v>
      </c>
      <c r="V266" s="12">
        <v>350</v>
      </c>
      <c r="W266" s="34" t="s">
        <v>98</v>
      </c>
      <c r="X266" s="6">
        <f>Tableau1[[#This Row],[Charges €/m²]]*Tableau1[[#This Row],[Surface GLA]]</f>
        <v>7575</v>
      </c>
      <c r="Y266" s="12">
        <f>Tableau1[[#This Row],[Charges annuelles]]/12</f>
        <v>631.25</v>
      </c>
      <c r="Z266" s="12">
        <v>75</v>
      </c>
      <c r="AA266" s="12">
        <f>IFERROR(Tableau1[[#This Row],[Taxe foncière €/m²]]*Tableau1[[#This Row],[Surface GLA]],)</f>
        <v>2929</v>
      </c>
      <c r="AB266" s="12">
        <v>29</v>
      </c>
      <c r="AC266" s="12">
        <f>IFERROR(Tableau1[[#This Row],[Marketing €/m²]]*Tableau1[[#This Row],[Surface GLA]],)</f>
        <v>3535</v>
      </c>
      <c r="AD266" s="12">
        <v>35</v>
      </c>
      <c r="AE266" s="12">
        <f>IFERROR(Tableau1[[#This Row],[Loyer annuel]]+Tableau1[[#This Row],[Charges annuelles]]+Tableau1[[#This Row],[Taxe foncière]]+Tableau1[[#This Row],[Marketing]],"")</f>
        <v>49389</v>
      </c>
      <c r="AF266" s="12" t="str">
        <f t="shared" si="15"/>
        <v>3 mois = 8 838 €</v>
      </c>
      <c r="AG266" s="12" t="s">
        <v>98</v>
      </c>
      <c r="AH266" s="12" t="s">
        <v>98</v>
      </c>
      <c r="AI266" s="12" t="s">
        <v>357</v>
      </c>
      <c r="AJ266" s="10"/>
      <c r="AK266" s="10"/>
      <c r="AL266" s="10" t="s">
        <v>1870</v>
      </c>
      <c r="AM266" s="11" t="s">
        <v>1869</v>
      </c>
      <c r="AN266" s="11" t="s">
        <v>1386</v>
      </c>
      <c r="AO266" s="5" t="s">
        <v>361</v>
      </c>
      <c r="AP266" s="11" t="s">
        <v>1880</v>
      </c>
      <c r="AQ266" s="11" t="s">
        <v>1881</v>
      </c>
      <c r="AR266" s="11" t="s">
        <v>1909</v>
      </c>
      <c r="AS266" s="36" t="s">
        <v>1921</v>
      </c>
      <c r="AT266" s="11" t="s">
        <v>70</v>
      </c>
      <c r="AU266" s="11" t="s">
        <v>370</v>
      </c>
      <c r="AV266" s="13" t="s">
        <v>1871</v>
      </c>
      <c r="AW266" s="14"/>
      <c r="AX266" s="44"/>
    </row>
    <row r="267" spans="1:50" ht="25.5">
      <c r="A267" s="38" t="str">
        <f>VLOOKUP(Tableau1[[#This Row],[N° Département]],Feuil1!$C$6:$E$106,3)</f>
        <v>Pays de la Loire</v>
      </c>
      <c r="B267" s="38" t="str">
        <f>VLOOKUP(Tableau1[[#This Row],[N° Département]],Feuil1!$C$6:$E$106,2)</f>
        <v>Maine-et-Loire</v>
      </c>
      <c r="C267" s="38">
        <f>LEFT(Tableau1[[#This Row],[Code Postal]],2)*1</f>
        <v>49</v>
      </c>
      <c r="D267" s="10" t="s">
        <v>1853</v>
      </c>
      <c r="E267" s="26">
        <v>49000</v>
      </c>
      <c r="F267" s="10" t="s">
        <v>1852</v>
      </c>
      <c r="G267" s="39" t="str">
        <f>Tableau1[[#This Row],[Rue]]&amp;CHAR(10)&amp;Tableau1[[#This Row],[Code Postal]]&amp;" - "&amp;Tableau1[[#This Row],[Ville]]</f>
        <v>10 Rue du Grand Launay
49000 - Angers</v>
      </c>
      <c r="H267" s="15" t="s">
        <v>1854</v>
      </c>
      <c r="I267" s="12" t="s">
        <v>47</v>
      </c>
      <c r="J267" s="12" t="s">
        <v>49</v>
      </c>
      <c r="K267" s="10" t="s">
        <v>98</v>
      </c>
      <c r="L267" s="12" t="s">
        <v>98</v>
      </c>
      <c r="M267" s="12" t="s">
        <v>98</v>
      </c>
      <c r="N267" s="36" t="s">
        <v>1859</v>
      </c>
      <c r="O267" s="34">
        <v>64</v>
      </c>
      <c r="P267" s="6" t="s">
        <v>98</v>
      </c>
      <c r="Q267" s="34" t="s">
        <v>98</v>
      </c>
      <c r="R267" s="34" t="s">
        <v>98</v>
      </c>
      <c r="S267" s="6" t="s">
        <v>98</v>
      </c>
      <c r="T267" s="12">
        <f>Tableau1[[#This Row],[Loyer €/m²]]*Tableau1[[#This Row],[Surface GLA]]</f>
        <v>25600</v>
      </c>
      <c r="U267" s="12">
        <f>IFERROR(Tableau1[[#This Row],[Loyer annuel]]/12,"")</f>
        <v>2133.3333333333335</v>
      </c>
      <c r="V267" s="12">
        <v>400</v>
      </c>
      <c r="W267" s="34" t="s">
        <v>98</v>
      </c>
      <c r="X267" s="6">
        <f>Tableau1[[#This Row],[Charges €/m²]]*Tableau1[[#This Row],[Surface GLA]]</f>
        <v>4800</v>
      </c>
      <c r="Y267" s="12">
        <f>Tableau1[[#This Row],[Charges annuelles]]/12</f>
        <v>400</v>
      </c>
      <c r="Z267" s="12">
        <v>75</v>
      </c>
      <c r="AA267" s="12">
        <f>IFERROR(Tableau1[[#This Row],[Taxe foncière €/m²]]*Tableau1[[#This Row],[Surface GLA]],)</f>
        <v>1856</v>
      </c>
      <c r="AB267" s="12">
        <v>29</v>
      </c>
      <c r="AC267" s="12">
        <f>IFERROR(Tableau1[[#This Row],[Marketing €/m²]]*Tableau1[[#This Row],[Surface GLA]],)</f>
        <v>2240</v>
      </c>
      <c r="AD267" s="12">
        <v>35</v>
      </c>
      <c r="AE267" s="12">
        <f>IFERROR(Tableau1[[#This Row],[Loyer annuel]]+Tableau1[[#This Row],[Charges annuelles]]+Tableau1[[#This Row],[Taxe foncière]]+Tableau1[[#This Row],[Marketing]],"")</f>
        <v>34496</v>
      </c>
      <c r="AF267" s="12" t="str">
        <f t="shared" si="15"/>
        <v>3 mois = 6 400 €</v>
      </c>
      <c r="AG267" s="12" t="s">
        <v>98</v>
      </c>
      <c r="AH267" s="12" t="s">
        <v>98</v>
      </c>
      <c r="AI267" s="12" t="s">
        <v>357</v>
      </c>
      <c r="AJ267" s="10"/>
      <c r="AK267" s="10"/>
      <c r="AL267" s="10" t="s">
        <v>1870</v>
      </c>
      <c r="AM267" s="11" t="s">
        <v>1869</v>
      </c>
      <c r="AN267" s="11" t="s">
        <v>1386</v>
      </c>
      <c r="AO267" s="5" t="s">
        <v>361</v>
      </c>
      <c r="AP267" s="11" t="s">
        <v>1882</v>
      </c>
      <c r="AQ267" s="11" t="s">
        <v>1883</v>
      </c>
      <c r="AR267" s="11" t="s">
        <v>1910</v>
      </c>
      <c r="AS267" s="36" t="s">
        <v>1921</v>
      </c>
      <c r="AT267" s="11" t="s">
        <v>70</v>
      </c>
      <c r="AU267" s="11" t="s">
        <v>370</v>
      </c>
      <c r="AV267" s="13" t="s">
        <v>1871</v>
      </c>
      <c r="AW267" s="14"/>
      <c r="AX267" s="44"/>
    </row>
    <row r="268" spans="1:50" ht="25.5">
      <c r="A268" s="38" t="str">
        <f>VLOOKUP(Tableau1[[#This Row],[N° Département]],Feuil1!$C$6:$E$106,3)</f>
        <v>Pays de la Loire</v>
      </c>
      <c r="B268" s="38" t="str">
        <f>VLOOKUP(Tableau1[[#This Row],[N° Département]],Feuil1!$C$6:$E$106,2)</f>
        <v>Maine-et-Loire</v>
      </c>
      <c r="C268" s="38">
        <f>LEFT(Tableau1[[#This Row],[Code Postal]],2)*1</f>
        <v>49</v>
      </c>
      <c r="D268" s="10" t="s">
        <v>1853</v>
      </c>
      <c r="E268" s="26">
        <v>49000</v>
      </c>
      <c r="F268" s="10" t="s">
        <v>1852</v>
      </c>
      <c r="G268" s="39" t="str">
        <f>Tableau1[[#This Row],[Rue]]&amp;CHAR(10)&amp;Tableau1[[#This Row],[Code Postal]]&amp;" - "&amp;Tableau1[[#This Row],[Ville]]</f>
        <v>10 Rue du Grand Launay
49000 - Angers</v>
      </c>
      <c r="H268" s="15" t="s">
        <v>1854</v>
      </c>
      <c r="I268" s="12" t="s">
        <v>47</v>
      </c>
      <c r="J268" s="12" t="s">
        <v>49</v>
      </c>
      <c r="K268" s="10" t="s">
        <v>98</v>
      </c>
      <c r="L268" s="12" t="s">
        <v>98</v>
      </c>
      <c r="M268" s="12" t="s">
        <v>98</v>
      </c>
      <c r="N268" s="36" t="s">
        <v>1860</v>
      </c>
      <c r="O268" s="34">
        <v>46</v>
      </c>
      <c r="P268" s="6" t="s">
        <v>98</v>
      </c>
      <c r="Q268" s="34">
        <v>136</v>
      </c>
      <c r="R268" s="34" t="s">
        <v>98</v>
      </c>
      <c r="S268" s="6" t="s">
        <v>98</v>
      </c>
      <c r="T268" s="12">
        <f>Tableau1[[#This Row],[Loyer €/m²]]*Tableau1[[#This Row],[Surface GLA]]</f>
        <v>23000</v>
      </c>
      <c r="U268" s="12">
        <f>IFERROR(Tableau1[[#This Row],[Loyer annuel]]/12,"")</f>
        <v>1916.6666666666667</v>
      </c>
      <c r="V268" s="12">
        <v>500</v>
      </c>
      <c r="W268" s="34" t="s">
        <v>98</v>
      </c>
      <c r="X268" s="6">
        <f>Tableau1[[#This Row],[Charges €/m²]]*Tableau1[[#This Row],[Surface GLA]]</f>
        <v>3450</v>
      </c>
      <c r="Y268" s="12">
        <f>Tableau1[[#This Row],[Charges annuelles]]/12</f>
        <v>287.5</v>
      </c>
      <c r="Z268" s="12">
        <v>75</v>
      </c>
      <c r="AA268" s="12">
        <f>IFERROR(Tableau1[[#This Row],[Taxe foncière €/m²]]*Tableau1[[#This Row],[Surface GLA]],)</f>
        <v>1334</v>
      </c>
      <c r="AB268" s="12">
        <v>29</v>
      </c>
      <c r="AC268" s="12">
        <f>IFERROR(Tableau1[[#This Row],[Marketing €/m²]]*Tableau1[[#This Row],[Surface GLA]],)</f>
        <v>1610</v>
      </c>
      <c r="AD268" s="12">
        <v>35</v>
      </c>
      <c r="AE268" s="12">
        <f>IFERROR(Tableau1[[#This Row],[Loyer annuel]]+Tableau1[[#This Row],[Charges annuelles]]+Tableau1[[#This Row],[Taxe foncière]]+Tableau1[[#This Row],[Marketing]],"")</f>
        <v>29394</v>
      </c>
      <c r="AF268" s="12" t="str">
        <f t="shared" si="15"/>
        <v>3 mois = 5 750 €</v>
      </c>
      <c r="AG268" s="12" t="s">
        <v>98</v>
      </c>
      <c r="AH268" s="12" t="s">
        <v>98</v>
      </c>
      <c r="AI268" s="12" t="s">
        <v>357</v>
      </c>
      <c r="AJ268" s="10"/>
      <c r="AK268" s="10"/>
      <c r="AL268" s="10" t="s">
        <v>1870</v>
      </c>
      <c r="AM268" s="11" t="s">
        <v>1869</v>
      </c>
      <c r="AN268" s="11" t="s">
        <v>1386</v>
      </c>
      <c r="AO268" s="5" t="s">
        <v>361</v>
      </c>
      <c r="AP268" s="11" t="s">
        <v>1884</v>
      </c>
      <c r="AQ268" s="11" t="s">
        <v>1885</v>
      </c>
      <c r="AR268" s="11" t="s">
        <v>1911</v>
      </c>
      <c r="AS268" s="36" t="s">
        <v>1921</v>
      </c>
      <c r="AT268" s="11" t="s">
        <v>70</v>
      </c>
      <c r="AU268" s="11" t="s">
        <v>370</v>
      </c>
      <c r="AV268" s="13" t="s">
        <v>1871</v>
      </c>
      <c r="AW268" s="14"/>
      <c r="AX268" s="44"/>
    </row>
    <row r="269" spans="1:50" ht="25.5">
      <c r="A269" s="38" t="str">
        <f>VLOOKUP(Tableau1[[#This Row],[N° Département]],Feuil1!$C$6:$E$106,3)</f>
        <v>Pays de la Loire</v>
      </c>
      <c r="B269" s="38" t="str">
        <f>VLOOKUP(Tableau1[[#This Row],[N° Département]],Feuil1!$C$6:$E$106,2)</f>
        <v>Maine-et-Loire</v>
      </c>
      <c r="C269" s="38">
        <f>LEFT(Tableau1[[#This Row],[Code Postal]],2)*1</f>
        <v>49</v>
      </c>
      <c r="D269" s="10" t="s">
        <v>1853</v>
      </c>
      <c r="E269" s="26">
        <v>49000</v>
      </c>
      <c r="F269" s="10" t="s">
        <v>1852</v>
      </c>
      <c r="G269" s="39" t="str">
        <f>Tableau1[[#This Row],[Rue]]&amp;CHAR(10)&amp;Tableau1[[#This Row],[Code Postal]]&amp;" - "&amp;Tableau1[[#This Row],[Ville]]</f>
        <v>10 Rue du Grand Launay
49000 - Angers</v>
      </c>
      <c r="H269" s="15" t="s">
        <v>1854</v>
      </c>
      <c r="I269" s="12" t="s">
        <v>47</v>
      </c>
      <c r="J269" s="12" t="s">
        <v>49</v>
      </c>
      <c r="K269" s="10" t="s">
        <v>98</v>
      </c>
      <c r="L269" s="12" t="s">
        <v>98</v>
      </c>
      <c r="M269" s="12" t="s">
        <v>98</v>
      </c>
      <c r="N269" s="36" t="s">
        <v>1861</v>
      </c>
      <c r="O269" s="34">
        <v>90</v>
      </c>
      <c r="P269" s="6" t="s">
        <v>98</v>
      </c>
      <c r="Q269" s="34">
        <v>136</v>
      </c>
      <c r="R269" s="34" t="s">
        <v>98</v>
      </c>
      <c r="S269" s="6" t="s">
        <v>98</v>
      </c>
      <c r="T269" s="12">
        <f>Tableau1[[#This Row],[Loyer €/m²]]*Tableau1[[#This Row],[Surface GLA]]</f>
        <v>36000</v>
      </c>
      <c r="U269" s="12">
        <f>IFERROR(Tableau1[[#This Row],[Loyer annuel]]/12,"")</f>
        <v>3000</v>
      </c>
      <c r="V269" s="12">
        <v>400</v>
      </c>
      <c r="W269" s="34" t="s">
        <v>98</v>
      </c>
      <c r="X269" s="6">
        <f>Tableau1[[#This Row],[Charges €/m²]]*Tableau1[[#This Row],[Surface GLA]]</f>
        <v>6750</v>
      </c>
      <c r="Y269" s="12">
        <f>Tableau1[[#This Row],[Charges annuelles]]/12</f>
        <v>562.5</v>
      </c>
      <c r="Z269" s="12">
        <v>75</v>
      </c>
      <c r="AA269" s="12">
        <f>IFERROR(Tableau1[[#This Row],[Taxe foncière €/m²]]*Tableau1[[#This Row],[Surface GLA]],)</f>
        <v>2610</v>
      </c>
      <c r="AB269" s="12">
        <v>29</v>
      </c>
      <c r="AC269" s="12">
        <f>IFERROR(Tableau1[[#This Row],[Marketing €/m²]]*Tableau1[[#This Row],[Surface GLA]],)</f>
        <v>3150</v>
      </c>
      <c r="AD269" s="12">
        <v>35</v>
      </c>
      <c r="AE269" s="12">
        <f>IFERROR(Tableau1[[#This Row],[Loyer annuel]]+Tableau1[[#This Row],[Charges annuelles]]+Tableau1[[#This Row],[Taxe foncière]]+Tableau1[[#This Row],[Marketing]],"")</f>
        <v>48510</v>
      </c>
      <c r="AF269" s="12" t="str">
        <f t="shared" si="15"/>
        <v>3 mois = 9 000 €</v>
      </c>
      <c r="AG269" s="12" t="s">
        <v>98</v>
      </c>
      <c r="AH269" s="12" t="s">
        <v>98</v>
      </c>
      <c r="AI269" s="12" t="s">
        <v>357</v>
      </c>
      <c r="AJ269" s="10"/>
      <c r="AK269" s="10"/>
      <c r="AL269" s="10" t="s">
        <v>1870</v>
      </c>
      <c r="AM269" s="11" t="s">
        <v>1869</v>
      </c>
      <c r="AN269" s="11" t="s">
        <v>1386</v>
      </c>
      <c r="AO269" s="5" t="s">
        <v>361</v>
      </c>
      <c r="AP269" s="11" t="s">
        <v>1886</v>
      </c>
      <c r="AQ269" s="11" t="s">
        <v>1887</v>
      </c>
      <c r="AR269" s="11" t="s">
        <v>1912</v>
      </c>
      <c r="AS269" s="36" t="s">
        <v>1921</v>
      </c>
      <c r="AT269" s="11" t="s">
        <v>70</v>
      </c>
      <c r="AU269" s="11" t="s">
        <v>370</v>
      </c>
      <c r="AV269" s="13" t="s">
        <v>1871</v>
      </c>
      <c r="AW269" s="14"/>
      <c r="AX269" s="44"/>
    </row>
    <row r="270" spans="1:50" ht="25.5">
      <c r="A270" s="38" t="str">
        <f>VLOOKUP(Tableau1[[#This Row],[N° Département]],Feuil1!$C$6:$E$106,3)</f>
        <v>Pays de la Loire</v>
      </c>
      <c r="B270" s="38" t="str">
        <f>VLOOKUP(Tableau1[[#This Row],[N° Département]],Feuil1!$C$6:$E$106,2)</f>
        <v>Maine-et-Loire</v>
      </c>
      <c r="C270" s="38">
        <f>LEFT(Tableau1[[#This Row],[Code Postal]],2)*1</f>
        <v>49</v>
      </c>
      <c r="D270" s="10" t="s">
        <v>1853</v>
      </c>
      <c r="E270" s="26">
        <v>49000</v>
      </c>
      <c r="F270" s="10" t="s">
        <v>1852</v>
      </c>
      <c r="G270" s="39" t="str">
        <f>Tableau1[[#This Row],[Rue]]&amp;CHAR(10)&amp;Tableau1[[#This Row],[Code Postal]]&amp;" - "&amp;Tableau1[[#This Row],[Ville]]</f>
        <v>10 Rue du Grand Launay
49000 - Angers</v>
      </c>
      <c r="H270" s="15" t="s">
        <v>1854</v>
      </c>
      <c r="I270" s="12" t="s">
        <v>47</v>
      </c>
      <c r="J270" s="12" t="s">
        <v>49</v>
      </c>
      <c r="K270" s="10" t="s">
        <v>98</v>
      </c>
      <c r="L270" s="12" t="s">
        <v>98</v>
      </c>
      <c r="M270" s="12" t="s">
        <v>98</v>
      </c>
      <c r="N270" s="36" t="s">
        <v>1862</v>
      </c>
      <c r="O270" s="34">
        <v>56</v>
      </c>
      <c r="P270" s="6" t="s">
        <v>98</v>
      </c>
      <c r="Q270" s="34">
        <v>163</v>
      </c>
      <c r="R270" s="34" t="s">
        <v>98</v>
      </c>
      <c r="S270" s="6" t="s">
        <v>98</v>
      </c>
      <c r="T270" s="12">
        <f>Tableau1[[#This Row],[Loyer €/m²]]*Tableau1[[#This Row],[Surface GLA]]</f>
        <v>22400</v>
      </c>
      <c r="U270" s="12">
        <f>IFERROR(Tableau1[[#This Row],[Loyer annuel]]/12,"")</f>
        <v>1866.6666666666667</v>
      </c>
      <c r="V270" s="12">
        <v>400</v>
      </c>
      <c r="W270" s="34" t="s">
        <v>98</v>
      </c>
      <c r="X270" s="6">
        <f>Tableau1[[#This Row],[Charges €/m²]]*Tableau1[[#This Row],[Surface GLA]]</f>
        <v>4200</v>
      </c>
      <c r="Y270" s="12">
        <f>Tableau1[[#This Row],[Charges annuelles]]/12</f>
        <v>350</v>
      </c>
      <c r="Z270" s="12">
        <v>75</v>
      </c>
      <c r="AA270" s="12">
        <f>IFERROR(Tableau1[[#This Row],[Taxe foncière €/m²]]*Tableau1[[#This Row],[Surface GLA]],)</f>
        <v>1624</v>
      </c>
      <c r="AB270" s="12">
        <v>29</v>
      </c>
      <c r="AC270" s="12">
        <f>IFERROR(Tableau1[[#This Row],[Marketing €/m²]]*Tableau1[[#This Row],[Surface GLA]],)</f>
        <v>1960</v>
      </c>
      <c r="AD270" s="12">
        <v>35</v>
      </c>
      <c r="AE270" s="12">
        <f>IFERROR(Tableau1[[#This Row],[Loyer annuel]]+Tableau1[[#This Row],[Charges annuelles]]+Tableau1[[#This Row],[Taxe foncière]]+Tableau1[[#This Row],[Marketing]],"")</f>
        <v>30184</v>
      </c>
      <c r="AF270" s="12" t="str">
        <f t="shared" si="15"/>
        <v>3 mois = 5 600 €</v>
      </c>
      <c r="AG270" s="12" t="s">
        <v>98</v>
      </c>
      <c r="AH270" s="12" t="s">
        <v>98</v>
      </c>
      <c r="AI270" s="12" t="s">
        <v>357</v>
      </c>
      <c r="AJ270" s="10"/>
      <c r="AK270" s="10"/>
      <c r="AL270" s="10" t="s">
        <v>1870</v>
      </c>
      <c r="AM270" s="11" t="s">
        <v>1869</v>
      </c>
      <c r="AN270" s="11" t="s">
        <v>1386</v>
      </c>
      <c r="AO270" s="5" t="s">
        <v>361</v>
      </c>
      <c r="AP270" s="11" t="s">
        <v>1888</v>
      </c>
      <c r="AQ270" s="11" t="s">
        <v>1889</v>
      </c>
      <c r="AR270" s="11" t="s">
        <v>1913</v>
      </c>
      <c r="AS270" s="36" t="s">
        <v>1921</v>
      </c>
      <c r="AT270" s="11" t="s">
        <v>70</v>
      </c>
      <c r="AU270" s="11" t="s">
        <v>370</v>
      </c>
      <c r="AV270" s="13" t="s">
        <v>1871</v>
      </c>
      <c r="AW270" s="14"/>
      <c r="AX270" s="44"/>
    </row>
    <row r="271" spans="1:50" ht="25.5">
      <c r="A271" s="38" t="str">
        <f>VLOOKUP(Tableau1[[#This Row],[N° Département]],Feuil1!$C$6:$E$106,3)</f>
        <v>Pays de la Loire</v>
      </c>
      <c r="B271" s="38" t="str">
        <f>VLOOKUP(Tableau1[[#This Row],[N° Département]],Feuil1!$C$6:$E$106,2)</f>
        <v>Maine-et-Loire</v>
      </c>
      <c r="C271" s="38">
        <f>LEFT(Tableau1[[#This Row],[Code Postal]],2)*1</f>
        <v>49</v>
      </c>
      <c r="D271" s="10" t="s">
        <v>1853</v>
      </c>
      <c r="E271" s="26">
        <v>49000</v>
      </c>
      <c r="F271" s="10" t="s">
        <v>1852</v>
      </c>
      <c r="G271" s="39" t="str">
        <f>Tableau1[[#This Row],[Rue]]&amp;CHAR(10)&amp;Tableau1[[#This Row],[Code Postal]]&amp;" - "&amp;Tableau1[[#This Row],[Ville]]</f>
        <v>10 Rue du Grand Launay
49000 - Angers</v>
      </c>
      <c r="H271" s="15" t="s">
        <v>1854</v>
      </c>
      <c r="I271" s="12" t="s">
        <v>47</v>
      </c>
      <c r="J271" s="12" t="s">
        <v>49</v>
      </c>
      <c r="K271" s="10" t="s">
        <v>98</v>
      </c>
      <c r="L271" s="12" t="s">
        <v>98</v>
      </c>
      <c r="M271" s="12" t="s">
        <v>98</v>
      </c>
      <c r="N271" s="36" t="s">
        <v>1863</v>
      </c>
      <c r="O271" s="34">
        <v>107</v>
      </c>
      <c r="P271" s="6" t="s">
        <v>98</v>
      </c>
      <c r="Q271" s="34">
        <v>163</v>
      </c>
      <c r="R271" s="34" t="s">
        <v>98</v>
      </c>
      <c r="S271" s="6" t="s">
        <v>98</v>
      </c>
      <c r="T271" s="12">
        <f>Tableau1[[#This Row],[Loyer €/m²]]*Tableau1[[#This Row],[Surface GLA]]</f>
        <v>37450</v>
      </c>
      <c r="U271" s="12">
        <f>IFERROR(Tableau1[[#This Row],[Loyer annuel]]/12,"")</f>
        <v>3120.8333333333335</v>
      </c>
      <c r="V271" s="12">
        <v>350</v>
      </c>
      <c r="W271" s="34" t="s">
        <v>98</v>
      </c>
      <c r="X271" s="6">
        <f>Tableau1[[#This Row],[Charges €/m²]]*Tableau1[[#This Row],[Surface GLA]]</f>
        <v>8025</v>
      </c>
      <c r="Y271" s="12">
        <f>Tableau1[[#This Row],[Charges annuelles]]/12</f>
        <v>668.75</v>
      </c>
      <c r="Z271" s="12">
        <v>75</v>
      </c>
      <c r="AA271" s="12">
        <f>IFERROR(Tableau1[[#This Row],[Taxe foncière €/m²]]*Tableau1[[#This Row],[Surface GLA]],)</f>
        <v>3103</v>
      </c>
      <c r="AB271" s="12">
        <v>29</v>
      </c>
      <c r="AC271" s="12">
        <f>IFERROR(Tableau1[[#This Row],[Marketing €/m²]]*Tableau1[[#This Row],[Surface GLA]],)</f>
        <v>3745</v>
      </c>
      <c r="AD271" s="12">
        <v>35</v>
      </c>
      <c r="AE271" s="12">
        <f>IFERROR(Tableau1[[#This Row],[Loyer annuel]]+Tableau1[[#This Row],[Charges annuelles]]+Tableau1[[#This Row],[Taxe foncière]]+Tableau1[[#This Row],[Marketing]],"")</f>
        <v>52323</v>
      </c>
      <c r="AF271" s="12" t="str">
        <f t="shared" si="15"/>
        <v>3 mois = 9 363 €</v>
      </c>
      <c r="AG271" s="12" t="s">
        <v>98</v>
      </c>
      <c r="AH271" s="12" t="s">
        <v>98</v>
      </c>
      <c r="AI271" s="12" t="s">
        <v>357</v>
      </c>
      <c r="AJ271" s="10"/>
      <c r="AK271" s="10"/>
      <c r="AL271" s="10" t="s">
        <v>1870</v>
      </c>
      <c r="AM271" s="11" t="s">
        <v>1869</v>
      </c>
      <c r="AN271" s="11" t="s">
        <v>1386</v>
      </c>
      <c r="AO271" s="5" t="s">
        <v>361</v>
      </c>
      <c r="AP271" s="11" t="s">
        <v>1890</v>
      </c>
      <c r="AQ271" s="11" t="s">
        <v>1891</v>
      </c>
      <c r="AR271" s="11" t="s">
        <v>1914</v>
      </c>
      <c r="AS271" s="36" t="s">
        <v>1921</v>
      </c>
      <c r="AT271" s="11" t="s">
        <v>70</v>
      </c>
      <c r="AU271" s="11" t="s">
        <v>370</v>
      </c>
      <c r="AV271" s="13" t="s">
        <v>1871</v>
      </c>
      <c r="AW271" s="14"/>
      <c r="AX271" s="44"/>
    </row>
    <row r="272" spans="1:50" ht="25.5">
      <c r="A272" s="38" t="str">
        <f>VLOOKUP(Tableau1[[#This Row],[N° Département]],Feuil1!$C$6:$E$106,3)</f>
        <v>Pays de la Loire</v>
      </c>
      <c r="B272" s="38" t="str">
        <f>VLOOKUP(Tableau1[[#This Row],[N° Département]],Feuil1!$C$6:$E$106,2)</f>
        <v>Maine-et-Loire</v>
      </c>
      <c r="C272" s="38">
        <f>LEFT(Tableau1[[#This Row],[Code Postal]],2)*1</f>
        <v>49</v>
      </c>
      <c r="D272" s="10" t="s">
        <v>1853</v>
      </c>
      <c r="E272" s="26">
        <v>49000</v>
      </c>
      <c r="F272" s="10" t="s">
        <v>1852</v>
      </c>
      <c r="G272" s="39" t="str">
        <f>Tableau1[[#This Row],[Rue]]&amp;CHAR(10)&amp;Tableau1[[#This Row],[Code Postal]]&amp;" - "&amp;Tableau1[[#This Row],[Ville]]</f>
        <v>10 Rue du Grand Launay
49000 - Angers</v>
      </c>
      <c r="H272" s="15" t="s">
        <v>1854</v>
      </c>
      <c r="I272" s="12" t="s">
        <v>47</v>
      </c>
      <c r="J272" s="12" t="s">
        <v>49</v>
      </c>
      <c r="K272" s="10" t="s">
        <v>98</v>
      </c>
      <c r="L272" s="12" t="s">
        <v>98</v>
      </c>
      <c r="M272" s="12" t="s">
        <v>98</v>
      </c>
      <c r="N272" s="36" t="s">
        <v>1864</v>
      </c>
      <c r="O272" s="34">
        <v>127</v>
      </c>
      <c r="P272" s="6" t="s">
        <v>98</v>
      </c>
      <c r="Q272" s="34" t="s">
        <v>98</v>
      </c>
      <c r="R272" s="34" t="s">
        <v>98</v>
      </c>
      <c r="S272" s="6" t="s">
        <v>98</v>
      </c>
      <c r="T272" s="12">
        <f>Tableau1[[#This Row],[Loyer €/m²]]*Tableau1[[#This Row],[Surface GLA]]</f>
        <v>44450</v>
      </c>
      <c r="U272" s="12">
        <f>IFERROR(Tableau1[[#This Row],[Loyer annuel]]/12,"")</f>
        <v>3704.1666666666665</v>
      </c>
      <c r="V272" s="12">
        <v>350</v>
      </c>
      <c r="W272" s="34" t="s">
        <v>98</v>
      </c>
      <c r="X272" s="6">
        <f>Tableau1[[#This Row],[Charges €/m²]]*Tableau1[[#This Row],[Surface GLA]]</f>
        <v>9525</v>
      </c>
      <c r="Y272" s="12">
        <f>Tableau1[[#This Row],[Charges annuelles]]/12</f>
        <v>793.75</v>
      </c>
      <c r="Z272" s="12">
        <v>75</v>
      </c>
      <c r="AA272" s="12">
        <f>IFERROR(Tableau1[[#This Row],[Taxe foncière €/m²]]*Tableau1[[#This Row],[Surface GLA]],)</f>
        <v>3683</v>
      </c>
      <c r="AB272" s="12">
        <v>29</v>
      </c>
      <c r="AC272" s="12">
        <f>IFERROR(Tableau1[[#This Row],[Marketing €/m²]]*Tableau1[[#This Row],[Surface GLA]],)</f>
        <v>4445</v>
      </c>
      <c r="AD272" s="12">
        <v>35</v>
      </c>
      <c r="AE272" s="12">
        <f>IFERROR(Tableau1[[#This Row],[Loyer annuel]]+Tableau1[[#This Row],[Charges annuelles]]+Tableau1[[#This Row],[Taxe foncière]]+Tableau1[[#This Row],[Marketing]],"")</f>
        <v>62103</v>
      </c>
      <c r="AF272" s="12" t="str">
        <f t="shared" si="15"/>
        <v>3 mois = 11 113 €</v>
      </c>
      <c r="AG272" s="12" t="s">
        <v>98</v>
      </c>
      <c r="AH272" s="12" t="s">
        <v>98</v>
      </c>
      <c r="AI272" s="12" t="s">
        <v>357</v>
      </c>
      <c r="AJ272" s="10"/>
      <c r="AK272" s="10"/>
      <c r="AL272" s="10" t="s">
        <v>1870</v>
      </c>
      <c r="AM272" s="11" t="s">
        <v>1869</v>
      </c>
      <c r="AN272" s="11" t="s">
        <v>1386</v>
      </c>
      <c r="AO272" s="5" t="s">
        <v>361</v>
      </c>
      <c r="AP272" s="11" t="s">
        <v>1892</v>
      </c>
      <c r="AQ272" s="11" t="s">
        <v>1893</v>
      </c>
      <c r="AR272" s="11" t="s">
        <v>1915</v>
      </c>
      <c r="AS272" s="36" t="s">
        <v>1921</v>
      </c>
      <c r="AT272" s="11" t="s">
        <v>70</v>
      </c>
      <c r="AU272" s="11" t="s">
        <v>370</v>
      </c>
      <c r="AV272" s="13" t="s">
        <v>1871</v>
      </c>
      <c r="AW272" s="14"/>
      <c r="AX272" s="44"/>
    </row>
    <row r="273" spans="1:50" ht="25.5">
      <c r="A273" s="38" t="str">
        <f>VLOOKUP(Tableau1[[#This Row],[N° Département]],Feuil1!$C$6:$E$106,3)</f>
        <v>Pays de la Loire</v>
      </c>
      <c r="B273" s="38" t="str">
        <f>VLOOKUP(Tableau1[[#This Row],[N° Département]],Feuil1!$C$6:$E$106,2)</f>
        <v>Maine-et-Loire</v>
      </c>
      <c r="C273" s="38">
        <f>LEFT(Tableau1[[#This Row],[Code Postal]],2)*1</f>
        <v>49</v>
      </c>
      <c r="D273" s="10" t="s">
        <v>1853</v>
      </c>
      <c r="E273" s="26">
        <v>49000</v>
      </c>
      <c r="F273" s="10" t="s">
        <v>1852</v>
      </c>
      <c r="G273" s="39" t="str">
        <f>Tableau1[[#This Row],[Rue]]&amp;CHAR(10)&amp;Tableau1[[#This Row],[Code Postal]]&amp;" - "&amp;Tableau1[[#This Row],[Ville]]</f>
        <v>10 Rue du Grand Launay
49000 - Angers</v>
      </c>
      <c r="H273" s="15" t="s">
        <v>1854</v>
      </c>
      <c r="I273" s="12" t="s">
        <v>47</v>
      </c>
      <c r="J273" s="12" t="s">
        <v>49</v>
      </c>
      <c r="K273" s="10" t="s">
        <v>98</v>
      </c>
      <c r="L273" s="12" t="s">
        <v>98</v>
      </c>
      <c r="M273" s="12" t="s">
        <v>98</v>
      </c>
      <c r="N273" s="36" t="s">
        <v>307</v>
      </c>
      <c r="O273" s="34">
        <v>97</v>
      </c>
      <c r="P273" s="6" t="s">
        <v>98</v>
      </c>
      <c r="Q273" s="34">
        <v>144</v>
      </c>
      <c r="R273" s="34" t="s">
        <v>98</v>
      </c>
      <c r="S273" s="6" t="s">
        <v>98</v>
      </c>
      <c r="T273" s="12">
        <f>Tableau1[[#This Row],[Loyer €/m²]]*Tableau1[[#This Row],[Surface GLA]]</f>
        <v>38800</v>
      </c>
      <c r="U273" s="12">
        <f>IFERROR(Tableau1[[#This Row],[Loyer annuel]]/12,"")</f>
        <v>3233.3333333333335</v>
      </c>
      <c r="V273" s="12">
        <v>400</v>
      </c>
      <c r="W273" s="34" t="s">
        <v>98</v>
      </c>
      <c r="X273" s="6">
        <f>Tableau1[[#This Row],[Charges €/m²]]*Tableau1[[#This Row],[Surface GLA]]</f>
        <v>7275</v>
      </c>
      <c r="Y273" s="12">
        <f>Tableau1[[#This Row],[Charges annuelles]]/12</f>
        <v>606.25</v>
      </c>
      <c r="Z273" s="12">
        <v>75</v>
      </c>
      <c r="AA273" s="12">
        <f>IFERROR(Tableau1[[#This Row],[Taxe foncière €/m²]]*Tableau1[[#This Row],[Surface GLA]],)</f>
        <v>2813</v>
      </c>
      <c r="AB273" s="12">
        <v>29</v>
      </c>
      <c r="AC273" s="12">
        <f>IFERROR(Tableau1[[#This Row],[Marketing €/m²]]*Tableau1[[#This Row],[Surface GLA]],)</f>
        <v>3395</v>
      </c>
      <c r="AD273" s="12">
        <v>35</v>
      </c>
      <c r="AE273" s="12">
        <f>IFERROR(Tableau1[[#This Row],[Loyer annuel]]+Tableau1[[#This Row],[Charges annuelles]]+Tableau1[[#This Row],[Taxe foncière]]+Tableau1[[#This Row],[Marketing]],"")</f>
        <v>52283</v>
      </c>
      <c r="AF273" s="12" t="str">
        <f t="shared" si="15"/>
        <v>3 mois = 9 700 €</v>
      </c>
      <c r="AG273" s="12" t="s">
        <v>98</v>
      </c>
      <c r="AH273" s="12" t="s">
        <v>98</v>
      </c>
      <c r="AI273" s="12" t="s">
        <v>357</v>
      </c>
      <c r="AJ273" s="10"/>
      <c r="AK273" s="10"/>
      <c r="AL273" s="10" t="s">
        <v>1870</v>
      </c>
      <c r="AM273" s="11" t="s">
        <v>1869</v>
      </c>
      <c r="AN273" s="11" t="s">
        <v>1386</v>
      </c>
      <c r="AO273" s="5" t="s">
        <v>361</v>
      </c>
      <c r="AP273" s="11" t="s">
        <v>1894</v>
      </c>
      <c r="AQ273" s="11" t="s">
        <v>1895</v>
      </c>
      <c r="AR273" s="11" t="s">
        <v>1916</v>
      </c>
      <c r="AS273" s="36" t="s">
        <v>1921</v>
      </c>
      <c r="AT273" s="11" t="s">
        <v>70</v>
      </c>
      <c r="AU273" s="11" t="s">
        <v>370</v>
      </c>
      <c r="AV273" s="13" t="s">
        <v>1871</v>
      </c>
      <c r="AW273" s="14"/>
      <c r="AX273" s="44"/>
    </row>
    <row r="274" spans="1:50" ht="25.5">
      <c r="A274" s="38" t="str">
        <f>VLOOKUP(Tableau1[[#This Row],[N° Département]],Feuil1!$C$6:$E$106,3)</f>
        <v>Pays de la Loire</v>
      </c>
      <c r="B274" s="38" t="str">
        <f>VLOOKUP(Tableau1[[#This Row],[N° Département]],Feuil1!$C$6:$E$106,2)</f>
        <v>Maine-et-Loire</v>
      </c>
      <c r="C274" s="38">
        <f>LEFT(Tableau1[[#This Row],[Code Postal]],2)*1</f>
        <v>49</v>
      </c>
      <c r="D274" s="10" t="s">
        <v>1853</v>
      </c>
      <c r="E274" s="26">
        <v>49000</v>
      </c>
      <c r="F274" s="10" t="s">
        <v>1852</v>
      </c>
      <c r="G274" s="39" t="str">
        <f>Tableau1[[#This Row],[Rue]]&amp;CHAR(10)&amp;Tableau1[[#This Row],[Code Postal]]&amp;" - "&amp;Tableau1[[#This Row],[Ville]]</f>
        <v>10 Rue du Grand Launay
49000 - Angers</v>
      </c>
      <c r="H274" s="15" t="s">
        <v>1854</v>
      </c>
      <c r="I274" s="12" t="s">
        <v>47</v>
      </c>
      <c r="J274" s="12" t="s">
        <v>49</v>
      </c>
      <c r="K274" s="10" t="s">
        <v>98</v>
      </c>
      <c r="L274" s="12" t="s">
        <v>98</v>
      </c>
      <c r="M274" s="12" t="s">
        <v>98</v>
      </c>
      <c r="N274" s="36" t="s">
        <v>1865</v>
      </c>
      <c r="O274" s="34">
        <v>47</v>
      </c>
      <c r="P274" s="6" t="s">
        <v>98</v>
      </c>
      <c r="Q274" s="34">
        <v>144</v>
      </c>
      <c r="R274" s="34" t="s">
        <v>98</v>
      </c>
      <c r="S274" s="6" t="s">
        <v>98</v>
      </c>
      <c r="T274" s="12">
        <f>Tableau1[[#This Row],[Loyer €/m²]]*Tableau1[[#This Row],[Surface GLA]]</f>
        <v>23500</v>
      </c>
      <c r="U274" s="12">
        <f>IFERROR(Tableau1[[#This Row],[Loyer annuel]]/12,"")</f>
        <v>1958.3333333333333</v>
      </c>
      <c r="V274" s="12">
        <v>500</v>
      </c>
      <c r="W274" s="34" t="s">
        <v>98</v>
      </c>
      <c r="X274" s="6">
        <f>Tableau1[[#This Row],[Charges €/m²]]*Tableau1[[#This Row],[Surface GLA]]</f>
        <v>3525</v>
      </c>
      <c r="Y274" s="12">
        <f>Tableau1[[#This Row],[Charges annuelles]]/12</f>
        <v>293.75</v>
      </c>
      <c r="Z274" s="12">
        <v>75</v>
      </c>
      <c r="AA274" s="12">
        <f>IFERROR(Tableau1[[#This Row],[Taxe foncière €/m²]]*Tableau1[[#This Row],[Surface GLA]],)</f>
        <v>1363</v>
      </c>
      <c r="AB274" s="12">
        <v>29</v>
      </c>
      <c r="AC274" s="12">
        <f>IFERROR(Tableau1[[#This Row],[Marketing €/m²]]*Tableau1[[#This Row],[Surface GLA]],)</f>
        <v>1645</v>
      </c>
      <c r="AD274" s="12">
        <v>35</v>
      </c>
      <c r="AE274" s="12">
        <f>IFERROR(Tableau1[[#This Row],[Loyer annuel]]+Tableau1[[#This Row],[Charges annuelles]]+Tableau1[[#This Row],[Taxe foncière]]+Tableau1[[#This Row],[Marketing]],"")</f>
        <v>30033</v>
      </c>
      <c r="AF274" s="12" t="str">
        <f t="shared" si="15"/>
        <v>3 mois = 5 875 €</v>
      </c>
      <c r="AG274" s="12" t="s">
        <v>98</v>
      </c>
      <c r="AH274" s="12" t="s">
        <v>98</v>
      </c>
      <c r="AI274" s="12" t="s">
        <v>357</v>
      </c>
      <c r="AJ274" s="10"/>
      <c r="AK274" s="10"/>
      <c r="AL274" s="10" t="s">
        <v>1870</v>
      </c>
      <c r="AM274" s="11" t="s">
        <v>1869</v>
      </c>
      <c r="AN274" s="11" t="s">
        <v>1386</v>
      </c>
      <c r="AO274" s="5" t="s">
        <v>361</v>
      </c>
      <c r="AP274" s="11" t="s">
        <v>1896</v>
      </c>
      <c r="AQ274" s="11" t="s">
        <v>1897</v>
      </c>
      <c r="AR274" s="11" t="s">
        <v>1917</v>
      </c>
      <c r="AS274" s="36" t="s">
        <v>1921</v>
      </c>
      <c r="AT274" s="11" t="s">
        <v>70</v>
      </c>
      <c r="AU274" s="11" t="s">
        <v>370</v>
      </c>
      <c r="AV274" s="13" t="s">
        <v>1871</v>
      </c>
      <c r="AW274" s="14"/>
      <c r="AX274" s="44"/>
    </row>
    <row r="275" spans="1:50" ht="25.5">
      <c r="A275" s="38" t="str">
        <f>VLOOKUP(Tableau1[[#This Row],[N° Département]],Feuil1!$C$6:$E$106,3)</f>
        <v>Pays de la Loire</v>
      </c>
      <c r="B275" s="38" t="str">
        <f>VLOOKUP(Tableau1[[#This Row],[N° Département]],Feuil1!$C$6:$E$106,2)</f>
        <v>Maine-et-Loire</v>
      </c>
      <c r="C275" s="38">
        <f>LEFT(Tableau1[[#This Row],[Code Postal]],2)*1</f>
        <v>49</v>
      </c>
      <c r="D275" s="10" t="s">
        <v>1853</v>
      </c>
      <c r="E275" s="26">
        <v>49000</v>
      </c>
      <c r="F275" s="10" t="s">
        <v>1852</v>
      </c>
      <c r="G275" s="39" t="str">
        <f>Tableau1[[#This Row],[Rue]]&amp;CHAR(10)&amp;Tableau1[[#This Row],[Code Postal]]&amp;" - "&amp;Tableau1[[#This Row],[Ville]]</f>
        <v>10 Rue du Grand Launay
49000 - Angers</v>
      </c>
      <c r="H275" s="15" t="s">
        <v>1854</v>
      </c>
      <c r="I275" s="12" t="s">
        <v>47</v>
      </c>
      <c r="J275" s="12" t="s">
        <v>49</v>
      </c>
      <c r="K275" s="10" t="s">
        <v>98</v>
      </c>
      <c r="L275" s="12" t="s">
        <v>98</v>
      </c>
      <c r="M275" s="12" t="s">
        <v>98</v>
      </c>
      <c r="N275" s="36" t="s">
        <v>1866</v>
      </c>
      <c r="O275" s="34">
        <v>171</v>
      </c>
      <c r="P275" s="6" t="s">
        <v>98</v>
      </c>
      <c r="Q275" s="34" t="s">
        <v>98</v>
      </c>
      <c r="R275" s="34" t="s">
        <v>98</v>
      </c>
      <c r="S275" s="6" t="s">
        <v>98</v>
      </c>
      <c r="T275" s="12">
        <f>Tableau1[[#This Row],[Loyer €/m²]]*Tableau1[[#This Row],[Surface GLA]]</f>
        <v>51300</v>
      </c>
      <c r="U275" s="12">
        <f>IFERROR(Tableau1[[#This Row],[Loyer annuel]]/12,"")</f>
        <v>4275</v>
      </c>
      <c r="V275" s="12">
        <v>300</v>
      </c>
      <c r="W275" s="34" t="s">
        <v>98</v>
      </c>
      <c r="X275" s="6">
        <f>Tableau1[[#This Row],[Charges €/m²]]*Tableau1[[#This Row],[Surface GLA]]</f>
        <v>12825</v>
      </c>
      <c r="Y275" s="12">
        <f>Tableau1[[#This Row],[Charges annuelles]]/12</f>
        <v>1068.75</v>
      </c>
      <c r="Z275" s="12">
        <v>75</v>
      </c>
      <c r="AA275" s="12">
        <f>IFERROR(Tableau1[[#This Row],[Taxe foncière €/m²]]*Tableau1[[#This Row],[Surface GLA]],)</f>
        <v>4959</v>
      </c>
      <c r="AB275" s="12">
        <v>29</v>
      </c>
      <c r="AC275" s="12">
        <f>IFERROR(Tableau1[[#This Row],[Marketing €/m²]]*Tableau1[[#This Row],[Surface GLA]],)</f>
        <v>5985</v>
      </c>
      <c r="AD275" s="12">
        <v>35</v>
      </c>
      <c r="AE275" s="12">
        <f>IFERROR(Tableau1[[#This Row],[Loyer annuel]]+Tableau1[[#This Row],[Charges annuelles]]+Tableau1[[#This Row],[Taxe foncière]]+Tableau1[[#This Row],[Marketing]],"")</f>
        <v>75069</v>
      </c>
      <c r="AF275" s="12" t="str">
        <f t="shared" si="15"/>
        <v>3 mois = 12 825 €</v>
      </c>
      <c r="AG275" s="12" t="s">
        <v>98</v>
      </c>
      <c r="AH275" s="12" t="s">
        <v>98</v>
      </c>
      <c r="AI275" s="12" t="s">
        <v>357</v>
      </c>
      <c r="AJ275" s="10"/>
      <c r="AK275" s="10"/>
      <c r="AL275" s="10" t="s">
        <v>1870</v>
      </c>
      <c r="AM275" s="11" t="s">
        <v>1869</v>
      </c>
      <c r="AN275" s="11" t="s">
        <v>1386</v>
      </c>
      <c r="AO275" s="5" t="s">
        <v>361</v>
      </c>
      <c r="AP275" s="11" t="s">
        <v>1899</v>
      </c>
      <c r="AQ275" s="11" t="s">
        <v>1900</v>
      </c>
      <c r="AR275" s="11" t="s">
        <v>1918</v>
      </c>
      <c r="AS275" s="36" t="s">
        <v>1921</v>
      </c>
      <c r="AT275" s="11" t="s">
        <v>70</v>
      </c>
      <c r="AU275" s="11" t="s">
        <v>370</v>
      </c>
      <c r="AV275" s="13" t="s">
        <v>1871</v>
      </c>
      <c r="AW275" s="14"/>
      <c r="AX275" s="44"/>
    </row>
    <row r="276" spans="1:50" ht="25.5">
      <c r="A276" s="38" t="str">
        <f>VLOOKUP(Tableau1[[#This Row],[N° Département]],Feuil1!$C$6:$E$106,3)</f>
        <v>Pays de la Loire</v>
      </c>
      <c r="B276" s="38" t="str">
        <f>VLOOKUP(Tableau1[[#This Row],[N° Département]],Feuil1!$C$6:$E$106,2)</f>
        <v>Maine-et-Loire</v>
      </c>
      <c r="C276" s="38">
        <f>LEFT(Tableau1[[#This Row],[Code Postal]],2)*1</f>
        <v>49</v>
      </c>
      <c r="D276" s="10" t="s">
        <v>1853</v>
      </c>
      <c r="E276" s="26">
        <v>49000</v>
      </c>
      <c r="F276" s="10" t="s">
        <v>1852</v>
      </c>
      <c r="G276" s="39" t="str">
        <f>Tableau1[[#This Row],[Rue]]&amp;CHAR(10)&amp;Tableau1[[#This Row],[Code Postal]]&amp;" - "&amp;Tableau1[[#This Row],[Ville]]</f>
        <v>10 Rue du Grand Launay
49000 - Angers</v>
      </c>
      <c r="H276" s="15" t="s">
        <v>1854</v>
      </c>
      <c r="I276" s="12" t="s">
        <v>47</v>
      </c>
      <c r="J276" s="12" t="s">
        <v>49</v>
      </c>
      <c r="K276" s="10" t="s">
        <v>98</v>
      </c>
      <c r="L276" s="12" t="s">
        <v>98</v>
      </c>
      <c r="M276" s="12" t="s">
        <v>98</v>
      </c>
      <c r="N276" s="36" t="s">
        <v>1867</v>
      </c>
      <c r="O276" s="34">
        <v>192</v>
      </c>
      <c r="P276" s="6" t="s">
        <v>98</v>
      </c>
      <c r="Q276" s="34" t="s">
        <v>98</v>
      </c>
      <c r="R276" s="34" t="s">
        <v>98</v>
      </c>
      <c r="S276" s="6" t="s">
        <v>98</v>
      </c>
      <c r="T276" s="12">
        <f>Tableau1[[#This Row],[Loyer €/m²]]*Tableau1[[#This Row],[Surface GLA]]</f>
        <v>57600</v>
      </c>
      <c r="U276" s="12">
        <f>IFERROR(Tableau1[[#This Row],[Loyer annuel]]/12,"")</f>
        <v>4800</v>
      </c>
      <c r="V276" s="12">
        <v>300</v>
      </c>
      <c r="W276" s="34" t="s">
        <v>98</v>
      </c>
      <c r="X276" s="6">
        <f>Tableau1[[#This Row],[Charges €/m²]]*Tableau1[[#This Row],[Surface GLA]]</f>
        <v>14400</v>
      </c>
      <c r="Y276" s="12">
        <f>Tableau1[[#This Row],[Charges annuelles]]/12</f>
        <v>1200</v>
      </c>
      <c r="Z276" s="12">
        <v>75</v>
      </c>
      <c r="AA276" s="12">
        <f>IFERROR(Tableau1[[#This Row],[Taxe foncière €/m²]]*Tableau1[[#This Row],[Surface GLA]],)</f>
        <v>5568</v>
      </c>
      <c r="AB276" s="12">
        <v>29</v>
      </c>
      <c r="AC276" s="12">
        <f>IFERROR(Tableau1[[#This Row],[Marketing €/m²]]*Tableau1[[#This Row],[Surface GLA]],)</f>
        <v>6720</v>
      </c>
      <c r="AD276" s="12">
        <v>35</v>
      </c>
      <c r="AE276" s="12">
        <f>IFERROR(Tableau1[[#This Row],[Loyer annuel]]+Tableau1[[#This Row],[Charges annuelles]]+Tableau1[[#This Row],[Taxe foncière]]+Tableau1[[#This Row],[Marketing]],"")</f>
        <v>84288</v>
      </c>
      <c r="AF276" s="12" t="str">
        <f t="shared" si="15"/>
        <v>3 mois = 14 400 €</v>
      </c>
      <c r="AG276" s="12" t="s">
        <v>98</v>
      </c>
      <c r="AH276" s="12" t="s">
        <v>98</v>
      </c>
      <c r="AI276" s="12" t="s">
        <v>357</v>
      </c>
      <c r="AJ276" s="10"/>
      <c r="AK276" s="10"/>
      <c r="AL276" s="10" t="s">
        <v>1870</v>
      </c>
      <c r="AM276" s="11" t="s">
        <v>1869</v>
      </c>
      <c r="AN276" s="11" t="s">
        <v>1386</v>
      </c>
      <c r="AO276" s="5" t="s">
        <v>361</v>
      </c>
      <c r="AP276" s="11" t="s">
        <v>1901</v>
      </c>
      <c r="AQ276" s="11" t="s">
        <v>1902</v>
      </c>
      <c r="AR276" s="11" t="s">
        <v>1919</v>
      </c>
      <c r="AS276" s="36" t="s">
        <v>1921</v>
      </c>
      <c r="AT276" s="11" t="s">
        <v>70</v>
      </c>
      <c r="AU276" s="11" t="s">
        <v>370</v>
      </c>
      <c r="AV276" s="13" t="s">
        <v>1871</v>
      </c>
      <c r="AW276" s="14"/>
      <c r="AX276" s="44"/>
    </row>
    <row r="277" spans="1:50" ht="25.5">
      <c r="A277" s="38" t="str">
        <f>VLOOKUP(Tableau1[[#This Row],[N° Département]],Feuil1!$C$6:$E$106,3)</f>
        <v>Pays de la Loire</v>
      </c>
      <c r="B277" s="38" t="str">
        <f>VLOOKUP(Tableau1[[#This Row],[N° Département]],Feuil1!$C$6:$E$106,2)</f>
        <v>Maine-et-Loire</v>
      </c>
      <c r="C277" s="38">
        <f>LEFT(Tableau1[[#This Row],[Code Postal]],2)*1</f>
        <v>49</v>
      </c>
      <c r="D277" s="10" t="s">
        <v>1853</v>
      </c>
      <c r="E277" s="26">
        <v>49000</v>
      </c>
      <c r="F277" s="10" t="s">
        <v>1852</v>
      </c>
      <c r="G277" s="39" t="str">
        <f>Tableau1[[#This Row],[Rue]]&amp;CHAR(10)&amp;Tableau1[[#This Row],[Code Postal]]&amp;" - "&amp;Tableau1[[#This Row],[Ville]]</f>
        <v>10 Rue du Grand Launay
49000 - Angers</v>
      </c>
      <c r="H277" s="15" t="s">
        <v>1854</v>
      </c>
      <c r="I277" s="12" t="s">
        <v>47</v>
      </c>
      <c r="J277" s="12" t="s">
        <v>49</v>
      </c>
      <c r="K277" s="10" t="s">
        <v>98</v>
      </c>
      <c r="L277" s="12" t="s">
        <v>98</v>
      </c>
      <c r="M277" s="12" t="s">
        <v>98</v>
      </c>
      <c r="N277" s="36" t="s">
        <v>1868</v>
      </c>
      <c r="O277" s="34">
        <v>148</v>
      </c>
      <c r="P277" s="6" t="s">
        <v>98</v>
      </c>
      <c r="Q277" s="34" t="s">
        <v>98</v>
      </c>
      <c r="R277" s="34" t="s">
        <v>98</v>
      </c>
      <c r="S277" s="6" t="s">
        <v>98</v>
      </c>
      <c r="T277" s="12">
        <f>Tableau1[[#This Row],[Loyer €/m²]]*Tableau1[[#This Row],[Surface GLA]]</f>
        <v>51800</v>
      </c>
      <c r="U277" s="12">
        <f>IFERROR(Tableau1[[#This Row],[Loyer annuel]]/12,"")</f>
        <v>4316.666666666667</v>
      </c>
      <c r="V277" s="12">
        <v>350</v>
      </c>
      <c r="W277" s="34" t="s">
        <v>98</v>
      </c>
      <c r="X277" s="6">
        <f>Tableau1[[#This Row],[Charges €/m²]]*Tableau1[[#This Row],[Surface GLA]]</f>
        <v>11100</v>
      </c>
      <c r="Y277" s="12">
        <f>Tableau1[[#This Row],[Charges annuelles]]/12</f>
        <v>925</v>
      </c>
      <c r="Z277" s="12">
        <v>75</v>
      </c>
      <c r="AA277" s="12">
        <f>IFERROR(Tableau1[[#This Row],[Taxe foncière €/m²]]*Tableau1[[#This Row],[Surface GLA]],)</f>
        <v>4292</v>
      </c>
      <c r="AB277" s="12">
        <v>29</v>
      </c>
      <c r="AC277" s="12">
        <f>IFERROR(Tableau1[[#This Row],[Marketing €/m²]]*Tableau1[[#This Row],[Surface GLA]],)</f>
        <v>5180</v>
      </c>
      <c r="AD277" s="12">
        <v>35</v>
      </c>
      <c r="AE277" s="12">
        <f>IFERROR(Tableau1[[#This Row],[Loyer annuel]]+Tableau1[[#This Row],[Charges annuelles]]+Tableau1[[#This Row],[Taxe foncière]]+Tableau1[[#This Row],[Marketing]],"")</f>
        <v>72372</v>
      </c>
      <c r="AF277" s="12" t="str">
        <f t="shared" si="15"/>
        <v>3 mois = 12 950 €</v>
      </c>
      <c r="AG277" s="12" t="s">
        <v>98</v>
      </c>
      <c r="AH277" s="12" t="s">
        <v>98</v>
      </c>
      <c r="AI277" s="12" t="s">
        <v>357</v>
      </c>
      <c r="AJ277" s="10"/>
      <c r="AK277" s="10"/>
      <c r="AL277" s="10" t="s">
        <v>1870</v>
      </c>
      <c r="AM277" s="11" t="s">
        <v>1904</v>
      </c>
      <c r="AN277" s="11" t="s">
        <v>1386</v>
      </c>
      <c r="AO277" s="5" t="s">
        <v>361</v>
      </c>
      <c r="AP277" s="11" t="s">
        <v>1898</v>
      </c>
      <c r="AQ277" s="11" t="s">
        <v>1903</v>
      </c>
      <c r="AR277" s="11" t="s">
        <v>1920</v>
      </c>
      <c r="AS277" s="36" t="s">
        <v>1921</v>
      </c>
      <c r="AT277" s="11" t="s">
        <v>70</v>
      </c>
      <c r="AU277" s="11" t="s">
        <v>370</v>
      </c>
      <c r="AV277" s="13" t="s">
        <v>1871</v>
      </c>
      <c r="AW277" s="14"/>
      <c r="AX277" s="44"/>
    </row>
    <row r="278" spans="1:50" ht="25.5">
      <c r="A278" s="38" t="str">
        <f>VLOOKUP(Tableau1[[#This Row],[N° Département]],Feuil1!$C$6:$E$106,3)</f>
        <v>Provence-Alpes-Côte d'Azur</v>
      </c>
      <c r="B278" s="38" t="str">
        <f>VLOOKUP(Tableau1[[#This Row],[N° Département]],Feuil1!$C$6:$E$106,2)</f>
        <v>Vaucluse</v>
      </c>
      <c r="C278" s="38">
        <f>LEFT(Tableau1[[#This Row],[Code Postal]],2)*1</f>
        <v>84</v>
      </c>
      <c r="D278" s="10" t="s">
        <v>1923</v>
      </c>
      <c r="E278" s="26">
        <v>84000</v>
      </c>
      <c r="F278" s="10" t="s">
        <v>1061</v>
      </c>
      <c r="G278" s="39" t="str">
        <f>Tableau1[[#This Row],[Rue]]&amp;CHAR(10)&amp;Tableau1[[#This Row],[Code Postal]]&amp;" - "&amp;Tableau1[[#This Row],[Ville]]</f>
        <v>390 Rue Jean Marie Tjibaou
84000 - Avignon</v>
      </c>
      <c r="H278" s="15" t="s">
        <v>1922</v>
      </c>
      <c r="I278" s="12" t="s">
        <v>47</v>
      </c>
      <c r="J278" s="12" t="s">
        <v>51</v>
      </c>
      <c r="K278" s="10" t="s">
        <v>98</v>
      </c>
      <c r="L278" s="10" t="s">
        <v>98</v>
      </c>
      <c r="M278" s="12" t="s">
        <v>98</v>
      </c>
      <c r="N278" s="36" t="s">
        <v>330</v>
      </c>
      <c r="O278" s="34">
        <v>76</v>
      </c>
      <c r="P278" s="6" t="s">
        <v>98</v>
      </c>
      <c r="Q278" s="34" t="s">
        <v>98</v>
      </c>
      <c r="R278" s="34" t="s">
        <v>98</v>
      </c>
      <c r="S278" s="6" t="s">
        <v>98</v>
      </c>
      <c r="T278" s="12">
        <f>Tableau1[[#This Row],[Loyer €/m²]]*Tableau1[[#This Row],[Surface GLA]]</f>
        <v>15200</v>
      </c>
      <c r="U278" s="12">
        <f>IFERROR(Tableau1[[#This Row],[Loyer annuel]]/12,"")</f>
        <v>1266.6666666666667</v>
      </c>
      <c r="V278" s="12">
        <v>200</v>
      </c>
      <c r="W278" s="34" t="s">
        <v>98</v>
      </c>
      <c r="X278" s="6">
        <f>Tableau1[[#This Row],[Charges €/m²]]*Tableau1[[#This Row],[Surface GLA]]</f>
        <v>3040</v>
      </c>
      <c r="Y278" s="12">
        <f>Tableau1[[#This Row],[Charges annuelles]]/12</f>
        <v>253.33333333333334</v>
      </c>
      <c r="Z278" s="12">
        <v>40</v>
      </c>
      <c r="AA278" s="12">
        <f>IFERROR(Tableau1[[#This Row],[Taxe foncière €/m²]]*Tableau1[[#This Row],[Surface GLA]],)</f>
        <v>1596</v>
      </c>
      <c r="AB278" s="12">
        <v>21</v>
      </c>
      <c r="AC278" s="12">
        <f>IFERROR(Tableau1[[#This Row],[Marketing €/m²]]*Tableau1[[#This Row],[Surface GLA]],)</f>
        <v>0</v>
      </c>
      <c r="AD278" s="12"/>
      <c r="AE278" s="12">
        <f>IFERROR(Tableau1[[#This Row],[Loyer annuel]]+Tableau1[[#This Row],[Charges annuelles]]+Tableau1[[#This Row],[Taxe foncière]]+Tableau1[[#This Row],[Marketing]],"")</f>
        <v>19836</v>
      </c>
      <c r="AF278" s="12" t="str">
        <f t="shared" si="15"/>
        <v>3 mois = 3 800 €</v>
      </c>
      <c r="AG278" s="12" t="s">
        <v>98</v>
      </c>
      <c r="AH278" s="12" t="s">
        <v>98</v>
      </c>
      <c r="AI278" s="12" t="s">
        <v>357</v>
      </c>
      <c r="AJ278" s="10"/>
      <c r="AK278" s="10"/>
      <c r="AL278" s="10" t="s">
        <v>1934</v>
      </c>
      <c r="AM278" s="11"/>
      <c r="AN278" s="11" t="s">
        <v>1386</v>
      </c>
      <c r="AO278" s="5" t="s">
        <v>361</v>
      </c>
      <c r="AP278" s="11" t="s">
        <v>1952</v>
      </c>
      <c r="AQ278" s="11" t="s">
        <v>1953</v>
      </c>
      <c r="AR278" s="11" t="s">
        <v>1935</v>
      </c>
      <c r="AS278" s="36" t="s">
        <v>1951</v>
      </c>
      <c r="AT278" s="11" t="s">
        <v>70</v>
      </c>
      <c r="AU278" s="11" t="s">
        <v>370</v>
      </c>
      <c r="AV278" s="13" t="s">
        <v>1871</v>
      </c>
      <c r="AW278" s="14"/>
      <c r="AX278" s="44"/>
    </row>
    <row r="279" spans="1:50" ht="25.5">
      <c r="A279" s="38" t="str">
        <f>VLOOKUP(Tableau1[[#This Row],[N° Département]],Feuil1!$C$6:$E$106,3)</f>
        <v>Provence-Alpes-Côte d'Azur</v>
      </c>
      <c r="B279" s="38" t="str">
        <f>VLOOKUP(Tableau1[[#This Row],[N° Département]],Feuil1!$C$6:$E$106,2)</f>
        <v>Vaucluse</v>
      </c>
      <c r="C279" s="38">
        <f>LEFT(Tableau1[[#This Row],[Code Postal]],2)*1</f>
        <v>84</v>
      </c>
      <c r="D279" s="10" t="s">
        <v>1923</v>
      </c>
      <c r="E279" s="26">
        <v>84000</v>
      </c>
      <c r="F279" s="10" t="s">
        <v>1061</v>
      </c>
      <c r="G279" s="39" t="str">
        <f>Tableau1[[#This Row],[Rue]]&amp;CHAR(10)&amp;Tableau1[[#This Row],[Code Postal]]&amp;" - "&amp;Tableau1[[#This Row],[Ville]]</f>
        <v>390 Rue Jean Marie Tjibaou
84000 - Avignon</v>
      </c>
      <c r="H279" s="15" t="s">
        <v>1922</v>
      </c>
      <c r="I279" s="12" t="s">
        <v>47</v>
      </c>
      <c r="J279" s="12" t="s">
        <v>51</v>
      </c>
      <c r="K279" s="10" t="s">
        <v>98</v>
      </c>
      <c r="L279" s="10" t="s">
        <v>98</v>
      </c>
      <c r="M279" s="12" t="s">
        <v>98</v>
      </c>
      <c r="N279" s="36" t="s">
        <v>895</v>
      </c>
      <c r="O279" s="34">
        <v>223</v>
      </c>
      <c r="P279" s="6" t="s">
        <v>98</v>
      </c>
      <c r="Q279" s="34">
        <v>307</v>
      </c>
      <c r="R279" s="34" t="s">
        <v>98</v>
      </c>
      <c r="S279" s="6" t="s">
        <v>98</v>
      </c>
      <c r="T279" s="12">
        <f>Tableau1[[#This Row],[Loyer €/m²]]*Tableau1[[#This Row],[Surface GLA]]</f>
        <v>44600</v>
      </c>
      <c r="U279" s="12">
        <f>IFERROR(Tableau1[[#This Row],[Loyer annuel]]/12,"")</f>
        <v>3716.6666666666665</v>
      </c>
      <c r="V279" s="12">
        <v>200</v>
      </c>
      <c r="W279" s="34" t="s">
        <v>98</v>
      </c>
      <c r="X279" s="6">
        <f>Tableau1[[#This Row],[Charges €/m²]]*Tableau1[[#This Row],[Surface GLA]]</f>
        <v>8920</v>
      </c>
      <c r="Y279" s="12">
        <f>Tableau1[[#This Row],[Charges annuelles]]/12</f>
        <v>743.33333333333337</v>
      </c>
      <c r="Z279" s="12">
        <v>40</v>
      </c>
      <c r="AA279" s="12">
        <f>IFERROR(Tableau1[[#This Row],[Taxe foncière €/m²]]*Tableau1[[#This Row],[Surface GLA]],)</f>
        <v>4683</v>
      </c>
      <c r="AB279" s="12">
        <v>21</v>
      </c>
      <c r="AC279" s="12">
        <f>IFERROR(Tableau1[[#This Row],[Marketing €/m²]]*Tableau1[[#This Row],[Surface GLA]],)</f>
        <v>0</v>
      </c>
      <c r="AD279" s="12"/>
      <c r="AE279" s="12">
        <f>IFERROR(Tableau1[[#This Row],[Loyer annuel]]+Tableau1[[#This Row],[Charges annuelles]]+Tableau1[[#This Row],[Taxe foncière]]+Tableau1[[#This Row],[Marketing]],"")</f>
        <v>58203</v>
      </c>
      <c r="AF279" s="12" t="str">
        <f t="shared" si="15"/>
        <v>3 mois = 11 150 €</v>
      </c>
      <c r="AG279" s="12" t="s">
        <v>98</v>
      </c>
      <c r="AH279" s="12" t="s">
        <v>98</v>
      </c>
      <c r="AI279" s="12" t="s">
        <v>357</v>
      </c>
      <c r="AJ279" s="10"/>
      <c r="AK279" s="10"/>
      <c r="AL279" s="10" t="s">
        <v>1934</v>
      </c>
      <c r="AM279" s="11"/>
      <c r="AN279" s="11" t="s">
        <v>1386</v>
      </c>
      <c r="AO279" s="5" t="s">
        <v>361</v>
      </c>
      <c r="AP279" s="11" t="s">
        <v>1954</v>
      </c>
      <c r="AQ279" s="11" t="s">
        <v>1955</v>
      </c>
      <c r="AR279" s="11" t="s">
        <v>1939</v>
      </c>
      <c r="AS279" s="36" t="s">
        <v>1951</v>
      </c>
      <c r="AT279" s="11" t="s">
        <v>70</v>
      </c>
      <c r="AU279" s="11" t="s">
        <v>370</v>
      </c>
      <c r="AV279" s="13" t="s">
        <v>1871</v>
      </c>
      <c r="AW279" s="14"/>
      <c r="AX279" s="44"/>
    </row>
    <row r="280" spans="1:50" ht="25.5">
      <c r="A280" s="38" t="str">
        <f>VLOOKUP(Tableau1[[#This Row],[N° Département]],Feuil1!$C$6:$E$106,3)</f>
        <v>Provence-Alpes-Côte d'Azur</v>
      </c>
      <c r="B280" s="38" t="str">
        <f>VLOOKUP(Tableau1[[#This Row],[N° Département]],Feuil1!$C$6:$E$106,2)</f>
        <v>Vaucluse</v>
      </c>
      <c r="C280" s="38">
        <f>LEFT(Tableau1[[#This Row],[Code Postal]],2)*1</f>
        <v>84</v>
      </c>
      <c r="D280" s="10" t="s">
        <v>1923</v>
      </c>
      <c r="E280" s="26">
        <v>84000</v>
      </c>
      <c r="F280" s="10" t="s">
        <v>1061</v>
      </c>
      <c r="G280" s="39" t="str">
        <f>Tableau1[[#This Row],[Rue]]&amp;CHAR(10)&amp;Tableau1[[#This Row],[Code Postal]]&amp;" - "&amp;Tableau1[[#This Row],[Ville]]</f>
        <v>390 Rue Jean Marie Tjibaou
84000 - Avignon</v>
      </c>
      <c r="H280" s="15" t="s">
        <v>1922</v>
      </c>
      <c r="I280" s="12" t="s">
        <v>47</v>
      </c>
      <c r="J280" s="12" t="s">
        <v>51</v>
      </c>
      <c r="K280" s="10" t="s">
        <v>98</v>
      </c>
      <c r="L280" s="10" t="s">
        <v>98</v>
      </c>
      <c r="M280" s="12" t="s">
        <v>98</v>
      </c>
      <c r="N280" s="36" t="s">
        <v>354</v>
      </c>
      <c r="O280" s="34">
        <v>84</v>
      </c>
      <c r="P280" s="6" t="s">
        <v>98</v>
      </c>
      <c r="Q280" s="34">
        <v>307</v>
      </c>
      <c r="R280" s="34" t="s">
        <v>98</v>
      </c>
      <c r="S280" s="6" t="s">
        <v>98</v>
      </c>
      <c r="T280" s="12">
        <f>Tableau1[[#This Row],[Loyer €/m²]]*Tableau1[[#This Row],[Surface GLA]]</f>
        <v>16800</v>
      </c>
      <c r="U280" s="12">
        <f>IFERROR(Tableau1[[#This Row],[Loyer annuel]]/12,"")</f>
        <v>1400</v>
      </c>
      <c r="V280" s="12">
        <v>200</v>
      </c>
      <c r="W280" s="34" t="s">
        <v>98</v>
      </c>
      <c r="X280" s="6">
        <f>Tableau1[[#This Row],[Charges €/m²]]*Tableau1[[#This Row],[Surface GLA]]</f>
        <v>3360</v>
      </c>
      <c r="Y280" s="12">
        <f>Tableau1[[#This Row],[Charges annuelles]]/12</f>
        <v>280</v>
      </c>
      <c r="Z280" s="12">
        <v>40</v>
      </c>
      <c r="AA280" s="12">
        <f>IFERROR(Tableau1[[#This Row],[Taxe foncière €/m²]]*Tableau1[[#This Row],[Surface GLA]],)</f>
        <v>1764</v>
      </c>
      <c r="AB280" s="12">
        <v>21</v>
      </c>
      <c r="AC280" s="12">
        <f>IFERROR(Tableau1[[#This Row],[Marketing €/m²]]*Tableau1[[#This Row],[Surface GLA]],)</f>
        <v>0</v>
      </c>
      <c r="AD280" s="12"/>
      <c r="AE280" s="12">
        <f>IFERROR(Tableau1[[#This Row],[Loyer annuel]]+Tableau1[[#This Row],[Charges annuelles]]+Tableau1[[#This Row],[Taxe foncière]]+Tableau1[[#This Row],[Marketing]],"")</f>
        <v>21924</v>
      </c>
      <c r="AF280" s="12" t="str">
        <f t="shared" si="15"/>
        <v>3 mois = 4 200 €</v>
      </c>
      <c r="AG280" s="12" t="s">
        <v>98</v>
      </c>
      <c r="AH280" s="12" t="s">
        <v>98</v>
      </c>
      <c r="AI280" s="12" t="s">
        <v>357</v>
      </c>
      <c r="AJ280" s="10"/>
      <c r="AK280" s="10"/>
      <c r="AL280" s="10" t="s">
        <v>1934</v>
      </c>
      <c r="AM280" s="11"/>
      <c r="AN280" s="11" t="s">
        <v>1386</v>
      </c>
      <c r="AO280" s="5" t="s">
        <v>361</v>
      </c>
      <c r="AP280" s="11" t="s">
        <v>1956</v>
      </c>
      <c r="AQ280" s="11" t="s">
        <v>1957</v>
      </c>
      <c r="AR280" s="11" t="s">
        <v>1938</v>
      </c>
      <c r="AS280" s="36" t="s">
        <v>1951</v>
      </c>
      <c r="AT280" s="11" t="s">
        <v>70</v>
      </c>
      <c r="AU280" s="11" t="s">
        <v>370</v>
      </c>
      <c r="AV280" s="13" t="s">
        <v>1871</v>
      </c>
      <c r="AW280" s="14"/>
      <c r="AX280" s="44"/>
    </row>
    <row r="281" spans="1:50" ht="25.5">
      <c r="A281" s="38" t="str">
        <f>VLOOKUP(Tableau1[[#This Row],[N° Département]],Feuil1!$C$6:$E$106,3)</f>
        <v>Provence-Alpes-Côte d'Azur</v>
      </c>
      <c r="B281" s="38" t="str">
        <f>VLOOKUP(Tableau1[[#This Row],[N° Département]],Feuil1!$C$6:$E$106,2)</f>
        <v>Vaucluse</v>
      </c>
      <c r="C281" s="38">
        <f>LEFT(Tableau1[[#This Row],[Code Postal]],2)*1</f>
        <v>84</v>
      </c>
      <c r="D281" s="10" t="s">
        <v>1923</v>
      </c>
      <c r="E281" s="26">
        <v>84000</v>
      </c>
      <c r="F281" s="10" t="s">
        <v>1061</v>
      </c>
      <c r="G281" s="39" t="str">
        <f>Tableau1[[#This Row],[Rue]]&amp;CHAR(10)&amp;Tableau1[[#This Row],[Code Postal]]&amp;" - "&amp;Tableau1[[#This Row],[Ville]]</f>
        <v>390 Rue Jean Marie Tjibaou
84000 - Avignon</v>
      </c>
      <c r="H281" s="15" t="s">
        <v>1922</v>
      </c>
      <c r="I281" s="12" t="s">
        <v>47</v>
      </c>
      <c r="J281" s="12" t="s">
        <v>51</v>
      </c>
      <c r="K281" s="10" t="s">
        <v>98</v>
      </c>
      <c r="L281" s="10" t="s">
        <v>98</v>
      </c>
      <c r="M281" s="12" t="s">
        <v>98</v>
      </c>
      <c r="N281" s="36" t="s">
        <v>1924</v>
      </c>
      <c r="O281" s="34">
        <v>279</v>
      </c>
      <c r="P281" s="6" t="s">
        <v>98</v>
      </c>
      <c r="Q281" s="34">
        <v>429</v>
      </c>
      <c r="R281" s="34" t="s">
        <v>98</v>
      </c>
      <c r="S281" s="6" t="s">
        <v>98</v>
      </c>
      <c r="T281" s="12">
        <f>Tableau1[[#This Row],[Loyer €/m²]]*Tableau1[[#This Row],[Surface GLA]]</f>
        <v>55800</v>
      </c>
      <c r="U281" s="12">
        <f>IFERROR(Tableau1[[#This Row],[Loyer annuel]]/12,"")</f>
        <v>4650</v>
      </c>
      <c r="V281" s="12">
        <v>200</v>
      </c>
      <c r="W281" s="34" t="s">
        <v>98</v>
      </c>
      <c r="X281" s="6">
        <f>Tableau1[[#This Row],[Charges €/m²]]*Tableau1[[#This Row],[Surface GLA]]</f>
        <v>11160</v>
      </c>
      <c r="Y281" s="12">
        <f>Tableau1[[#This Row],[Charges annuelles]]/12</f>
        <v>930</v>
      </c>
      <c r="Z281" s="12">
        <v>40</v>
      </c>
      <c r="AA281" s="12">
        <f>IFERROR(Tableau1[[#This Row],[Taxe foncière €/m²]]*Tableau1[[#This Row],[Surface GLA]],)</f>
        <v>5859</v>
      </c>
      <c r="AB281" s="12">
        <v>21</v>
      </c>
      <c r="AC281" s="12">
        <f>IFERROR(Tableau1[[#This Row],[Marketing €/m²]]*Tableau1[[#This Row],[Surface GLA]],)</f>
        <v>0</v>
      </c>
      <c r="AD281" s="12"/>
      <c r="AE281" s="12">
        <f>IFERROR(Tableau1[[#This Row],[Loyer annuel]]+Tableau1[[#This Row],[Charges annuelles]]+Tableau1[[#This Row],[Taxe foncière]]+Tableau1[[#This Row],[Marketing]],"")</f>
        <v>72819</v>
      </c>
      <c r="AF281" s="12" t="str">
        <f t="shared" si="15"/>
        <v>3 mois = 13 950 €</v>
      </c>
      <c r="AG281" s="12" t="s">
        <v>98</v>
      </c>
      <c r="AH281" s="12" t="s">
        <v>98</v>
      </c>
      <c r="AI281" s="12" t="s">
        <v>357</v>
      </c>
      <c r="AJ281" s="10" t="s">
        <v>70</v>
      </c>
      <c r="AK281" s="10" t="s">
        <v>363</v>
      </c>
      <c r="AL281" s="10" t="s">
        <v>1934</v>
      </c>
      <c r="AM281" s="11"/>
      <c r="AN281" s="11" t="s">
        <v>1386</v>
      </c>
      <c r="AO281" s="5" t="s">
        <v>361</v>
      </c>
      <c r="AP281" s="11" t="s">
        <v>1958</v>
      </c>
      <c r="AQ281" s="11" t="s">
        <v>1959</v>
      </c>
      <c r="AR281" s="11" t="s">
        <v>1936</v>
      </c>
      <c r="AS281" s="36" t="s">
        <v>1951</v>
      </c>
      <c r="AT281" s="11" t="s">
        <v>70</v>
      </c>
      <c r="AU281" s="11" t="s">
        <v>370</v>
      </c>
      <c r="AV281" s="13" t="s">
        <v>1871</v>
      </c>
      <c r="AW281" s="14"/>
      <c r="AX281" s="44"/>
    </row>
    <row r="282" spans="1:50" ht="25.5">
      <c r="A282" s="38" t="str">
        <f>VLOOKUP(Tableau1[[#This Row],[N° Département]],Feuil1!$C$6:$E$106,3)</f>
        <v>Provence-Alpes-Côte d'Azur</v>
      </c>
      <c r="B282" s="38" t="str">
        <f>VLOOKUP(Tableau1[[#This Row],[N° Département]],Feuil1!$C$6:$E$106,2)</f>
        <v>Vaucluse</v>
      </c>
      <c r="C282" s="38">
        <f>LEFT(Tableau1[[#This Row],[Code Postal]],2)*1</f>
        <v>84</v>
      </c>
      <c r="D282" s="10" t="s">
        <v>1923</v>
      </c>
      <c r="E282" s="26">
        <v>84000</v>
      </c>
      <c r="F282" s="10" t="s">
        <v>1061</v>
      </c>
      <c r="G282" s="39" t="str">
        <f>Tableau1[[#This Row],[Rue]]&amp;CHAR(10)&amp;Tableau1[[#This Row],[Code Postal]]&amp;" - "&amp;Tableau1[[#This Row],[Ville]]</f>
        <v>390 Rue Jean Marie Tjibaou
84000 - Avignon</v>
      </c>
      <c r="H282" s="15" t="s">
        <v>1922</v>
      </c>
      <c r="I282" s="12" t="s">
        <v>47</v>
      </c>
      <c r="J282" s="12" t="s">
        <v>51</v>
      </c>
      <c r="K282" s="10" t="s">
        <v>98</v>
      </c>
      <c r="L282" s="10" t="s">
        <v>98</v>
      </c>
      <c r="M282" s="12" t="s">
        <v>98</v>
      </c>
      <c r="N282" s="36" t="s">
        <v>1925</v>
      </c>
      <c r="O282" s="34">
        <v>150</v>
      </c>
      <c r="P282" s="6" t="s">
        <v>98</v>
      </c>
      <c r="Q282" s="34">
        <v>429</v>
      </c>
      <c r="R282" s="34" t="s">
        <v>98</v>
      </c>
      <c r="S282" s="6" t="s">
        <v>98</v>
      </c>
      <c r="T282" s="12">
        <f>Tableau1[[#This Row],[Loyer €/m²]]*Tableau1[[#This Row],[Surface GLA]]</f>
        <v>30000</v>
      </c>
      <c r="U282" s="12">
        <f>IFERROR(Tableau1[[#This Row],[Loyer annuel]]/12,"")</f>
        <v>2500</v>
      </c>
      <c r="V282" s="12">
        <v>200</v>
      </c>
      <c r="W282" s="34" t="s">
        <v>98</v>
      </c>
      <c r="X282" s="6">
        <f>Tableau1[[#This Row],[Charges €/m²]]*Tableau1[[#This Row],[Surface GLA]]</f>
        <v>6000</v>
      </c>
      <c r="Y282" s="12">
        <f>Tableau1[[#This Row],[Charges annuelles]]/12</f>
        <v>500</v>
      </c>
      <c r="Z282" s="12">
        <v>40</v>
      </c>
      <c r="AA282" s="12">
        <f>IFERROR(Tableau1[[#This Row],[Taxe foncière €/m²]]*Tableau1[[#This Row],[Surface GLA]],)</f>
        <v>3150</v>
      </c>
      <c r="AB282" s="12">
        <v>21</v>
      </c>
      <c r="AC282" s="12">
        <f>IFERROR(Tableau1[[#This Row],[Marketing €/m²]]*Tableau1[[#This Row],[Surface GLA]],)</f>
        <v>0</v>
      </c>
      <c r="AD282" s="12"/>
      <c r="AE282" s="12">
        <f>IFERROR(Tableau1[[#This Row],[Loyer annuel]]+Tableau1[[#This Row],[Charges annuelles]]+Tableau1[[#This Row],[Taxe foncière]]+Tableau1[[#This Row],[Marketing]],"")</f>
        <v>39150</v>
      </c>
      <c r="AF282" s="12" t="str">
        <f t="shared" si="15"/>
        <v>3 mois = 7 500 €</v>
      </c>
      <c r="AG282" s="12" t="s">
        <v>98</v>
      </c>
      <c r="AH282" s="12" t="s">
        <v>98</v>
      </c>
      <c r="AI282" s="12" t="s">
        <v>357</v>
      </c>
      <c r="AJ282" s="10"/>
      <c r="AK282" s="10"/>
      <c r="AL282" s="10" t="s">
        <v>1934</v>
      </c>
      <c r="AM282" s="11"/>
      <c r="AN282" s="11" t="s">
        <v>1386</v>
      </c>
      <c r="AO282" s="5" t="s">
        <v>361</v>
      </c>
      <c r="AP282" s="11" t="s">
        <v>1960</v>
      </c>
      <c r="AQ282" s="11" t="s">
        <v>1961</v>
      </c>
      <c r="AR282" s="11" t="s">
        <v>1937</v>
      </c>
      <c r="AS282" s="36" t="s">
        <v>1951</v>
      </c>
      <c r="AT282" s="11" t="s">
        <v>70</v>
      </c>
      <c r="AU282" s="11" t="s">
        <v>370</v>
      </c>
      <c r="AV282" s="13" t="s">
        <v>1871</v>
      </c>
      <c r="AW282" s="14"/>
      <c r="AX282" s="44"/>
    </row>
    <row r="283" spans="1:50" ht="25.5">
      <c r="A283" s="38" t="str">
        <f>VLOOKUP(Tableau1[[#This Row],[N° Département]],Feuil1!$C$6:$E$106,3)</f>
        <v>Provence-Alpes-Côte d'Azur</v>
      </c>
      <c r="B283" s="38" t="str">
        <f>VLOOKUP(Tableau1[[#This Row],[N° Département]],Feuil1!$C$6:$E$106,2)</f>
        <v>Vaucluse</v>
      </c>
      <c r="C283" s="38">
        <f>LEFT(Tableau1[[#This Row],[Code Postal]],2)*1</f>
        <v>84</v>
      </c>
      <c r="D283" s="10" t="s">
        <v>1923</v>
      </c>
      <c r="E283" s="26">
        <v>84000</v>
      </c>
      <c r="F283" s="10" t="s">
        <v>1061</v>
      </c>
      <c r="G283" s="39" t="str">
        <f>Tableau1[[#This Row],[Rue]]&amp;CHAR(10)&amp;Tableau1[[#This Row],[Code Postal]]&amp;" - "&amp;Tableau1[[#This Row],[Ville]]</f>
        <v>390 Rue Jean Marie Tjibaou
84000 - Avignon</v>
      </c>
      <c r="H283" s="15" t="s">
        <v>1922</v>
      </c>
      <c r="I283" s="12" t="s">
        <v>47</v>
      </c>
      <c r="J283" s="12" t="s">
        <v>51</v>
      </c>
      <c r="K283" s="10" t="s">
        <v>98</v>
      </c>
      <c r="L283" s="10" t="s">
        <v>98</v>
      </c>
      <c r="M283" s="12" t="s">
        <v>98</v>
      </c>
      <c r="N283" s="36" t="s">
        <v>587</v>
      </c>
      <c r="O283" s="34">
        <v>58</v>
      </c>
      <c r="P283" s="6" t="s">
        <v>98</v>
      </c>
      <c r="Q283" s="34">
        <v>610</v>
      </c>
      <c r="R283" s="34" t="s">
        <v>98</v>
      </c>
      <c r="S283" s="6" t="s">
        <v>98</v>
      </c>
      <c r="T283" s="12">
        <f>Tableau1[[#This Row],[Loyer €/m²]]*Tableau1[[#This Row],[Surface GLA]]</f>
        <v>11600</v>
      </c>
      <c r="U283" s="12">
        <f>IFERROR(Tableau1[[#This Row],[Loyer annuel]]/12,"")</f>
        <v>966.66666666666663</v>
      </c>
      <c r="V283" s="12">
        <v>200</v>
      </c>
      <c r="W283" s="34" t="s">
        <v>98</v>
      </c>
      <c r="X283" s="6">
        <f>Tableau1[[#This Row],[Charges €/m²]]*Tableau1[[#This Row],[Surface GLA]]</f>
        <v>2320</v>
      </c>
      <c r="Y283" s="12">
        <f>Tableau1[[#This Row],[Charges annuelles]]/12</f>
        <v>193.33333333333334</v>
      </c>
      <c r="Z283" s="12">
        <v>40</v>
      </c>
      <c r="AA283" s="12">
        <f>IFERROR(Tableau1[[#This Row],[Taxe foncière €/m²]]*Tableau1[[#This Row],[Surface GLA]],)</f>
        <v>1218</v>
      </c>
      <c r="AB283" s="12">
        <v>21</v>
      </c>
      <c r="AC283" s="12">
        <f>IFERROR(Tableau1[[#This Row],[Marketing €/m²]]*Tableau1[[#This Row],[Surface GLA]],)</f>
        <v>0</v>
      </c>
      <c r="AD283" s="12"/>
      <c r="AE283" s="12">
        <f>IFERROR(Tableau1[[#This Row],[Loyer annuel]]+Tableau1[[#This Row],[Charges annuelles]]+Tableau1[[#This Row],[Taxe foncière]]+Tableau1[[#This Row],[Marketing]],"")</f>
        <v>15138</v>
      </c>
      <c r="AF283" s="12" t="str">
        <f t="shared" si="15"/>
        <v>3 mois = 2 900 €</v>
      </c>
      <c r="AG283" s="12" t="s">
        <v>98</v>
      </c>
      <c r="AH283" s="12" t="s">
        <v>98</v>
      </c>
      <c r="AI283" s="12" t="s">
        <v>357</v>
      </c>
      <c r="AJ283" s="10"/>
      <c r="AK283" s="10"/>
      <c r="AL283" s="10" t="s">
        <v>1934</v>
      </c>
      <c r="AM283" s="11"/>
      <c r="AN283" s="11" t="s">
        <v>1386</v>
      </c>
      <c r="AO283" s="5" t="s">
        <v>361</v>
      </c>
      <c r="AP283" s="11" t="s">
        <v>1962</v>
      </c>
      <c r="AQ283" s="11" t="s">
        <v>1963</v>
      </c>
      <c r="AR283" s="11" t="s">
        <v>1940</v>
      </c>
      <c r="AS283" s="36" t="s">
        <v>1951</v>
      </c>
      <c r="AT283" s="11" t="s">
        <v>70</v>
      </c>
      <c r="AU283" s="11" t="s">
        <v>370</v>
      </c>
      <c r="AV283" s="13" t="s">
        <v>1871</v>
      </c>
      <c r="AW283" s="14"/>
      <c r="AX283" s="44"/>
    </row>
    <row r="284" spans="1:50" ht="25.5">
      <c r="A284" s="38" t="str">
        <f>VLOOKUP(Tableau1[[#This Row],[N° Département]],Feuil1!$C$6:$E$106,3)</f>
        <v>Provence-Alpes-Côte d'Azur</v>
      </c>
      <c r="B284" s="38" t="str">
        <f>VLOOKUP(Tableau1[[#This Row],[N° Département]],Feuil1!$C$6:$E$106,2)</f>
        <v>Vaucluse</v>
      </c>
      <c r="C284" s="38">
        <f>LEFT(Tableau1[[#This Row],[Code Postal]],2)*1</f>
        <v>84</v>
      </c>
      <c r="D284" s="10" t="s">
        <v>1923</v>
      </c>
      <c r="E284" s="26">
        <v>84000</v>
      </c>
      <c r="F284" s="10" t="s">
        <v>1061</v>
      </c>
      <c r="G284" s="39" t="str">
        <f>Tableau1[[#This Row],[Rue]]&amp;CHAR(10)&amp;Tableau1[[#This Row],[Code Postal]]&amp;" - "&amp;Tableau1[[#This Row],[Ville]]</f>
        <v>390 Rue Jean Marie Tjibaou
84000 - Avignon</v>
      </c>
      <c r="H284" s="15" t="s">
        <v>1922</v>
      </c>
      <c r="I284" s="12" t="s">
        <v>47</v>
      </c>
      <c r="J284" s="12" t="s">
        <v>51</v>
      </c>
      <c r="K284" s="10" t="s">
        <v>98</v>
      </c>
      <c r="L284" s="10" t="s">
        <v>98</v>
      </c>
      <c r="M284" s="12" t="s">
        <v>98</v>
      </c>
      <c r="N284" s="36" t="s">
        <v>1926</v>
      </c>
      <c r="O284" s="34">
        <v>164</v>
      </c>
      <c r="P284" s="6" t="s">
        <v>98</v>
      </c>
      <c r="Q284" s="34">
        <v>610</v>
      </c>
      <c r="R284" s="34" t="s">
        <v>98</v>
      </c>
      <c r="S284" s="6" t="s">
        <v>98</v>
      </c>
      <c r="T284" s="12">
        <f>Tableau1[[#This Row],[Loyer €/m²]]*Tableau1[[#This Row],[Surface GLA]]</f>
        <v>32800</v>
      </c>
      <c r="U284" s="12">
        <f>IFERROR(Tableau1[[#This Row],[Loyer annuel]]/12,"")</f>
        <v>2733.3333333333335</v>
      </c>
      <c r="V284" s="12">
        <v>200</v>
      </c>
      <c r="W284" s="34" t="s">
        <v>98</v>
      </c>
      <c r="X284" s="6">
        <f>Tableau1[[#This Row],[Charges €/m²]]*Tableau1[[#This Row],[Surface GLA]]</f>
        <v>6560</v>
      </c>
      <c r="Y284" s="12">
        <f>Tableau1[[#This Row],[Charges annuelles]]/12</f>
        <v>546.66666666666663</v>
      </c>
      <c r="Z284" s="12">
        <v>40</v>
      </c>
      <c r="AA284" s="12">
        <f>IFERROR(Tableau1[[#This Row],[Taxe foncière €/m²]]*Tableau1[[#This Row],[Surface GLA]],)</f>
        <v>3444</v>
      </c>
      <c r="AB284" s="12">
        <v>21</v>
      </c>
      <c r="AC284" s="12">
        <f>IFERROR(Tableau1[[#This Row],[Marketing €/m²]]*Tableau1[[#This Row],[Surface GLA]],)</f>
        <v>0</v>
      </c>
      <c r="AD284" s="12"/>
      <c r="AE284" s="12">
        <f>IFERROR(Tableau1[[#This Row],[Loyer annuel]]+Tableau1[[#This Row],[Charges annuelles]]+Tableau1[[#This Row],[Taxe foncière]]+Tableau1[[#This Row],[Marketing]],"")</f>
        <v>42804</v>
      </c>
      <c r="AF284" s="12" t="str">
        <f t="shared" si="15"/>
        <v>3 mois = 8 200 €</v>
      </c>
      <c r="AG284" s="12" t="s">
        <v>98</v>
      </c>
      <c r="AH284" s="12" t="s">
        <v>98</v>
      </c>
      <c r="AI284" s="12" t="s">
        <v>357</v>
      </c>
      <c r="AJ284" s="10"/>
      <c r="AK284" s="10"/>
      <c r="AL284" s="10" t="s">
        <v>1934</v>
      </c>
      <c r="AM284" s="11"/>
      <c r="AN284" s="11" t="s">
        <v>1386</v>
      </c>
      <c r="AO284" s="5" t="s">
        <v>361</v>
      </c>
      <c r="AP284" s="11" t="s">
        <v>1964</v>
      </c>
      <c r="AQ284" s="11" t="s">
        <v>1965</v>
      </c>
      <c r="AR284" s="11" t="s">
        <v>1941</v>
      </c>
      <c r="AS284" s="36" t="s">
        <v>1951</v>
      </c>
      <c r="AT284" s="11" t="s">
        <v>70</v>
      </c>
      <c r="AU284" s="11" t="s">
        <v>370</v>
      </c>
      <c r="AV284" s="13" t="s">
        <v>1871</v>
      </c>
      <c r="AW284" s="14"/>
      <c r="AX284" s="44"/>
    </row>
    <row r="285" spans="1:50" ht="25.5">
      <c r="A285" s="38" t="str">
        <f>VLOOKUP(Tableau1[[#This Row],[N° Département]],Feuil1!$C$6:$E$106,3)</f>
        <v>Provence-Alpes-Côte d'Azur</v>
      </c>
      <c r="B285" s="38" t="str">
        <f>VLOOKUP(Tableau1[[#This Row],[N° Département]],Feuil1!$C$6:$E$106,2)</f>
        <v>Vaucluse</v>
      </c>
      <c r="C285" s="38">
        <f>LEFT(Tableau1[[#This Row],[Code Postal]],2)*1</f>
        <v>84</v>
      </c>
      <c r="D285" s="10" t="s">
        <v>1923</v>
      </c>
      <c r="E285" s="26">
        <v>84000</v>
      </c>
      <c r="F285" s="10" t="s">
        <v>1061</v>
      </c>
      <c r="G285" s="39" t="str">
        <f>Tableau1[[#This Row],[Rue]]&amp;CHAR(10)&amp;Tableau1[[#This Row],[Code Postal]]&amp;" - "&amp;Tableau1[[#This Row],[Ville]]</f>
        <v>390 Rue Jean Marie Tjibaou
84000 - Avignon</v>
      </c>
      <c r="H285" s="15" t="s">
        <v>1922</v>
      </c>
      <c r="I285" s="12" t="s">
        <v>47</v>
      </c>
      <c r="J285" s="12" t="s">
        <v>51</v>
      </c>
      <c r="K285" s="10" t="s">
        <v>98</v>
      </c>
      <c r="L285" s="10" t="s">
        <v>98</v>
      </c>
      <c r="M285" s="12" t="s">
        <v>98</v>
      </c>
      <c r="N285" s="36" t="s">
        <v>1927</v>
      </c>
      <c r="O285" s="34">
        <v>278</v>
      </c>
      <c r="P285" s="6" t="s">
        <v>98</v>
      </c>
      <c r="Q285" s="34">
        <v>610</v>
      </c>
      <c r="R285" s="34" t="s">
        <v>98</v>
      </c>
      <c r="S285" s="6" t="s">
        <v>98</v>
      </c>
      <c r="T285" s="12">
        <f>Tableau1[[#This Row],[Loyer €/m²]]*Tableau1[[#This Row],[Surface GLA]]</f>
        <v>55600</v>
      </c>
      <c r="U285" s="12">
        <f>IFERROR(Tableau1[[#This Row],[Loyer annuel]]/12,"")</f>
        <v>4633.333333333333</v>
      </c>
      <c r="V285" s="12">
        <v>200</v>
      </c>
      <c r="W285" s="34" t="s">
        <v>98</v>
      </c>
      <c r="X285" s="6">
        <f>Tableau1[[#This Row],[Charges €/m²]]*Tableau1[[#This Row],[Surface GLA]]</f>
        <v>11120</v>
      </c>
      <c r="Y285" s="12">
        <f>Tableau1[[#This Row],[Charges annuelles]]/12</f>
        <v>926.66666666666663</v>
      </c>
      <c r="Z285" s="12">
        <v>40</v>
      </c>
      <c r="AA285" s="12">
        <f>IFERROR(Tableau1[[#This Row],[Taxe foncière €/m²]]*Tableau1[[#This Row],[Surface GLA]],)</f>
        <v>5838</v>
      </c>
      <c r="AB285" s="12">
        <v>21</v>
      </c>
      <c r="AC285" s="12">
        <f>IFERROR(Tableau1[[#This Row],[Marketing €/m²]]*Tableau1[[#This Row],[Surface GLA]],)</f>
        <v>0</v>
      </c>
      <c r="AD285" s="12"/>
      <c r="AE285" s="12">
        <f>IFERROR(Tableau1[[#This Row],[Loyer annuel]]+Tableau1[[#This Row],[Charges annuelles]]+Tableau1[[#This Row],[Taxe foncière]]+Tableau1[[#This Row],[Marketing]],"")</f>
        <v>72558</v>
      </c>
      <c r="AF285" s="12" t="str">
        <f t="shared" si="15"/>
        <v>3 mois = 13 900 €</v>
      </c>
      <c r="AG285" s="12" t="s">
        <v>98</v>
      </c>
      <c r="AH285" s="12" t="s">
        <v>98</v>
      </c>
      <c r="AI285" s="12" t="s">
        <v>357</v>
      </c>
      <c r="AJ285" s="10"/>
      <c r="AK285" s="10"/>
      <c r="AL285" s="10" t="s">
        <v>1934</v>
      </c>
      <c r="AM285" s="11"/>
      <c r="AN285" s="11" t="s">
        <v>1386</v>
      </c>
      <c r="AO285" s="5" t="s">
        <v>361</v>
      </c>
      <c r="AP285" s="11" t="s">
        <v>1966</v>
      </c>
      <c r="AQ285" s="11" t="s">
        <v>1967</v>
      </c>
      <c r="AR285" s="11" t="s">
        <v>1942</v>
      </c>
      <c r="AS285" s="36" t="s">
        <v>1951</v>
      </c>
      <c r="AT285" s="11" t="s">
        <v>70</v>
      </c>
      <c r="AU285" s="11" t="s">
        <v>370</v>
      </c>
      <c r="AV285" s="13" t="s">
        <v>1871</v>
      </c>
      <c r="AW285" s="14"/>
      <c r="AX285" s="44"/>
    </row>
    <row r="286" spans="1:50" ht="25.5">
      <c r="A286" s="38" t="str">
        <f>VLOOKUP(Tableau1[[#This Row],[N° Département]],Feuil1!$C$6:$E$106,3)</f>
        <v>Provence-Alpes-Côte d'Azur</v>
      </c>
      <c r="B286" s="38" t="str">
        <f>VLOOKUP(Tableau1[[#This Row],[N° Département]],Feuil1!$C$6:$E$106,2)</f>
        <v>Vaucluse</v>
      </c>
      <c r="C286" s="38">
        <f>LEFT(Tableau1[[#This Row],[Code Postal]],2)*1</f>
        <v>84</v>
      </c>
      <c r="D286" s="10" t="s">
        <v>1923</v>
      </c>
      <c r="E286" s="26">
        <v>84000</v>
      </c>
      <c r="F286" s="10" t="s">
        <v>1061</v>
      </c>
      <c r="G286" s="39" t="str">
        <f>Tableau1[[#This Row],[Rue]]&amp;CHAR(10)&amp;Tableau1[[#This Row],[Code Postal]]&amp;" - "&amp;Tableau1[[#This Row],[Ville]]</f>
        <v>390 Rue Jean Marie Tjibaou
84000 - Avignon</v>
      </c>
      <c r="H286" s="15" t="s">
        <v>1922</v>
      </c>
      <c r="I286" s="12" t="s">
        <v>47</v>
      </c>
      <c r="J286" s="12" t="s">
        <v>51</v>
      </c>
      <c r="K286" s="10" t="s">
        <v>98</v>
      </c>
      <c r="L286" s="10" t="s">
        <v>98</v>
      </c>
      <c r="M286" s="12" t="s">
        <v>98</v>
      </c>
      <c r="N286" s="36" t="s">
        <v>1928</v>
      </c>
      <c r="O286" s="34">
        <v>54</v>
      </c>
      <c r="P286" s="6" t="s">
        <v>98</v>
      </c>
      <c r="Q286" s="34">
        <v>610</v>
      </c>
      <c r="R286" s="34" t="s">
        <v>98</v>
      </c>
      <c r="S286" s="6" t="s">
        <v>98</v>
      </c>
      <c r="T286" s="12">
        <f>Tableau1[[#This Row],[Loyer €/m²]]*Tableau1[[#This Row],[Surface GLA]]</f>
        <v>10800</v>
      </c>
      <c r="U286" s="12">
        <f>IFERROR(Tableau1[[#This Row],[Loyer annuel]]/12,"")</f>
        <v>900</v>
      </c>
      <c r="V286" s="12">
        <v>200</v>
      </c>
      <c r="W286" s="34" t="s">
        <v>98</v>
      </c>
      <c r="X286" s="6">
        <f>Tableau1[[#This Row],[Charges €/m²]]*Tableau1[[#This Row],[Surface GLA]]</f>
        <v>2160</v>
      </c>
      <c r="Y286" s="12">
        <f>Tableau1[[#This Row],[Charges annuelles]]/12</f>
        <v>180</v>
      </c>
      <c r="Z286" s="12">
        <v>40</v>
      </c>
      <c r="AA286" s="12">
        <f>IFERROR(Tableau1[[#This Row],[Taxe foncière €/m²]]*Tableau1[[#This Row],[Surface GLA]],)</f>
        <v>1134</v>
      </c>
      <c r="AB286" s="12">
        <v>21</v>
      </c>
      <c r="AC286" s="12">
        <f>IFERROR(Tableau1[[#This Row],[Marketing €/m²]]*Tableau1[[#This Row],[Surface GLA]],)</f>
        <v>0</v>
      </c>
      <c r="AD286" s="12"/>
      <c r="AE286" s="12">
        <f>IFERROR(Tableau1[[#This Row],[Loyer annuel]]+Tableau1[[#This Row],[Charges annuelles]]+Tableau1[[#This Row],[Taxe foncière]]+Tableau1[[#This Row],[Marketing]],"")</f>
        <v>14094</v>
      </c>
      <c r="AF286" s="12" t="str">
        <f t="shared" si="15"/>
        <v>3 mois = 2 700 €</v>
      </c>
      <c r="AG286" s="12" t="s">
        <v>98</v>
      </c>
      <c r="AH286" s="12" t="s">
        <v>98</v>
      </c>
      <c r="AI286" s="12" t="s">
        <v>357</v>
      </c>
      <c r="AJ286" s="10"/>
      <c r="AK286" s="10"/>
      <c r="AL286" s="10" t="s">
        <v>1934</v>
      </c>
      <c r="AM286" s="11"/>
      <c r="AN286" s="11" t="s">
        <v>1386</v>
      </c>
      <c r="AO286" s="5" t="s">
        <v>361</v>
      </c>
      <c r="AP286" s="11" t="s">
        <v>1968</v>
      </c>
      <c r="AQ286" s="11" t="s">
        <v>1969</v>
      </c>
      <c r="AR286" s="11" t="s">
        <v>1943</v>
      </c>
      <c r="AS286" s="36" t="s">
        <v>1951</v>
      </c>
      <c r="AT286" s="11" t="s">
        <v>70</v>
      </c>
      <c r="AU286" s="11" t="s">
        <v>370</v>
      </c>
      <c r="AV286" s="13" t="s">
        <v>1871</v>
      </c>
      <c r="AW286" s="14"/>
      <c r="AX286" s="44"/>
    </row>
    <row r="287" spans="1:50" ht="25.5">
      <c r="A287" s="38" t="str">
        <f>VLOOKUP(Tableau1[[#This Row],[N° Département]],Feuil1!$C$6:$E$106,3)</f>
        <v>Provence-Alpes-Côte d'Azur</v>
      </c>
      <c r="B287" s="38" t="str">
        <f>VLOOKUP(Tableau1[[#This Row],[N° Département]],Feuil1!$C$6:$E$106,2)</f>
        <v>Vaucluse</v>
      </c>
      <c r="C287" s="38">
        <f>LEFT(Tableau1[[#This Row],[Code Postal]],2)*1</f>
        <v>84</v>
      </c>
      <c r="D287" s="10" t="s">
        <v>1923</v>
      </c>
      <c r="E287" s="26">
        <v>84000</v>
      </c>
      <c r="F287" s="10" t="s">
        <v>1061</v>
      </c>
      <c r="G287" s="39" t="str">
        <f>Tableau1[[#This Row],[Rue]]&amp;CHAR(10)&amp;Tableau1[[#This Row],[Code Postal]]&amp;" - "&amp;Tableau1[[#This Row],[Ville]]</f>
        <v>390 Rue Jean Marie Tjibaou
84000 - Avignon</v>
      </c>
      <c r="H287" s="15" t="s">
        <v>1922</v>
      </c>
      <c r="I287" s="12" t="s">
        <v>47</v>
      </c>
      <c r="J287" s="12" t="s">
        <v>51</v>
      </c>
      <c r="K287" s="10" t="s">
        <v>98</v>
      </c>
      <c r="L287" s="10" t="s">
        <v>98</v>
      </c>
      <c r="M287" s="12" t="s">
        <v>98</v>
      </c>
      <c r="N287" s="36" t="s">
        <v>303</v>
      </c>
      <c r="O287" s="34">
        <v>56</v>
      </c>
      <c r="P287" s="6" t="s">
        <v>98</v>
      </c>
      <c r="Q287" s="34">
        <v>610</v>
      </c>
      <c r="R287" s="34" t="s">
        <v>98</v>
      </c>
      <c r="S287" s="6" t="s">
        <v>98</v>
      </c>
      <c r="T287" s="12">
        <f>Tableau1[[#This Row],[Loyer €/m²]]*Tableau1[[#This Row],[Surface GLA]]</f>
        <v>11200</v>
      </c>
      <c r="U287" s="12">
        <f>IFERROR(Tableau1[[#This Row],[Loyer annuel]]/12,"")</f>
        <v>933.33333333333337</v>
      </c>
      <c r="V287" s="12">
        <v>200</v>
      </c>
      <c r="W287" s="34" t="s">
        <v>98</v>
      </c>
      <c r="X287" s="6">
        <f>Tableau1[[#This Row],[Charges €/m²]]*Tableau1[[#This Row],[Surface GLA]]</f>
        <v>2240</v>
      </c>
      <c r="Y287" s="12">
        <f>Tableau1[[#This Row],[Charges annuelles]]/12</f>
        <v>186.66666666666666</v>
      </c>
      <c r="Z287" s="12">
        <v>40</v>
      </c>
      <c r="AA287" s="12">
        <f>IFERROR(Tableau1[[#This Row],[Taxe foncière €/m²]]*Tableau1[[#This Row],[Surface GLA]],)</f>
        <v>1176</v>
      </c>
      <c r="AB287" s="12">
        <v>21</v>
      </c>
      <c r="AC287" s="12">
        <f>IFERROR(Tableau1[[#This Row],[Marketing €/m²]]*Tableau1[[#This Row],[Surface GLA]],)</f>
        <v>0</v>
      </c>
      <c r="AD287" s="12"/>
      <c r="AE287" s="12">
        <f>IFERROR(Tableau1[[#This Row],[Loyer annuel]]+Tableau1[[#This Row],[Charges annuelles]]+Tableau1[[#This Row],[Taxe foncière]]+Tableau1[[#This Row],[Marketing]],"")</f>
        <v>14616</v>
      </c>
      <c r="AF287" s="12" t="str">
        <f t="shared" si="15"/>
        <v>3 mois = 2 800 €</v>
      </c>
      <c r="AG287" s="12" t="s">
        <v>98</v>
      </c>
      <c r="AH287" s="12" t="s">
        <v>98</v>
      </c>
      <c r="AI287" s="12" t="s">
        <v>357</v>
      </c>
      <c r="AJ287" s="10"/>
      <c r="AK287" s="10"/>
      <c r="AL287" s="10" t="s">
        <v>1934</v>
      </c>
      <c r="AM287" s="11"/>
      <c r="AN287" s="11" t="s">
        <v>1386</v>
      </c>
      <c r="AO287" s="5" t="s">
        <v>361</v>
      </c>
      <c r="AP287" s="11" t="s">
        <v>1970</v>
      </c>
      <c r="AQ287" s="11" t="s">
        <v>1971</v>
      </c>
      <c r="AR287" s="11" t="s">
        <v>1944</v>
      </c>
      <c r="AS287" s="36" t="s">
        <v>1951</v>
      </c>
      <c r="AT287" s="11" t="s">
        <v>70</v>
      </c>
      <c r="AU287" s="11" t="s">
        <v>370</v>
      </c>
      <c r="AV287" s="13" t="s">
        <v>1871</v>
      </c>
      <c r="AW287" s="14"/>
      <c r="AX287" s="44"/>
    </row>
    <row r="288" spans="1:50" ht="25.5">
      <c r="A288" s="38" t="str">
        <f>VLOOKUP(Tableau1[[#This Row],[N° Département]],Feuil1!$C$6:$E$106,3)</f>
        <v>Provence-Alpes-Côte d'Azur</v>
      </c>
      <c r="B288" s="38" t="str">
        <f>VLOOKUP(Tableau1[[#This Row],[N° Département]],Feuil1!$C$6:$E$106,2)</f>
        <v>Vaucluse</v>
      </c>
      <c r="C288" s="38">
        <f>LEFT(Tableau1[[#This Row],[Code Postal]],2)*1</f>
        <v>84</v>
      </c>
      <c r="D288" s="10" t="s">
        <v>1923</v>
      </c>
      <c r="E288" s="26">
        <v>84000</v>
      </c>
      <c r="F288" s="10" t="s">
        <v>1061</v>
      </c>
      <c r="G288" s="39" t="str">
        <f>Tableau1[[#This Row],[Rue]]&amp;CHAR(10)&amp;Tableau1[[#This Row],[Code Postal]]&amp;" - "&amp;Tableau1[[#This Row],[Ville]]</f>
        <v>390 Rue Jean Marie Tjibaou
84000 - Avignon</v>
      </c>
      <c r="H288" s="15" t="s">
        <v>1922</v>
      </c>
      <c r="I288" s="12" t="s">
        <v>47</v>
      </c>
      <c r="J288" s="12" t="s">
        <v>51</v>
      </c>
      <c r="K288" s="10" t="s">
        <v>98</v>
      </c>
      <c r="L288" s="10" t="s">
        <v>98</v>
      </c>
      <c r="M288" s="12" t="s">
        <v>98</v>
      </c>
      <c r="N288" s="36" t="s">
        <v>1929</v>
      </c>
      <c r="O288" s="34">
        <v>107</v>
      </c>
      <c r="P288" s="6" t="s">
        <v>98</v>
      </c>
      <c r="Q288" s="34" t="s">
        <v>98</v>
      </c>
      <c r="R288" s="34" t="s">
        <v>98</v>
      </c>
      <c r="S288" s="6" t="s">
        <v>98</v>
      </c>
      <c r="T288" s="12">
        <f>Tableau1[[#This Row],[Loyer €/m²]]*Tableau1[[#This Row],[Surface GLA]]</f>
        <v>21400</v>
      </c>
      <c r="U288" s="12">
        <f>IFERROR(Tableau1[[#This Row],[Loyer annuel]]/12,"")</f>
        <v>1783.3333333333333</v>
      </c>
      <c r="V288" s="12">
        <v>200</v>
      </c>
      <c r="W288" s="34" t="s">
        <v>98</v>
      </c>
      <c r="X288" s="6">
        <f>Tableau1[[#This Row],[Charges €/m²]]*Tableau1[[#This Row],[Surface GLA]]</f>
        <v>4280</v>
      </c>
      <c r="Y288" s="12">
        <f>Tableau1[[#This Row],[Charges annuelles]]/12</f>
        <v>356.66666666666669</v>
      </c>
      <c r="Z288" s="12">
        <v>40</v>
      </c>
      <c r="AA288" s="12">
        <f>IFERROR(Tableau1[[#This Row],[Taxe foncière €/m²]]*Tableau1[[#This Row],[Surface GLA]],)</f>
        <v>2247</v>
      </c>
      <c r="AB288" s="12">
        <v>21</v>
      </c>
      <c r="AC288" s="12">
        <f>IFERROR(Tableau1[[#This Row],[Marketing €/m²]]*Tableau1[[#This Row],[Surface GLA]],)</f>
        <v>0</v>
      </c>
      <c r="AD288" s="12"/>
      <c r="AE288" s="12">
        <f>IFERROR(Tableau1[[#This Row],[Loyer annuel]]+Tableau1[[#This Row],[Charges annuelles]]+Tableau1[[#This Row],[Taxe foncière]]+Tableau1[[#This Row],[Marketing]],"")</f>
        <v>27927</v>
      </c>
      <c r="AF288" s="12" t="str">
        <f t="shared" si="15"/>
        <v>3 mois = 5 350 €</v>
      </c>
      <c r="AG288" s="12" t="s">
        <v>98</v>
      </c>
      <c r="AH288" s="12" t="s">
        <v>98</v>
      </c>
      <c r="AI288" s="12" t="s">
        <v>357</v>
      </c>
      <c r="AJ288" s="10"/>
      <c r="AK288" s="10"/>
      <c r="AL288" s="10" t="s">
        <v>1934</v>
      </c>
      <c r="AM288" s="11"/>
      <c r="AN288" s="11" t="s">
        <v>1386</v>
      </c>
      <c r="AO288" s="5" t="s">
        <v>361</v>
      </c>
      <c r="AP288" s="11" t="s">
        <v>1972</v>
      </c>
      <c r="AQ288" s="11" t="s">
        <v>1973</v>
      </c>
      <c r="AR288" s="11" t="s">
        <v>1945</v>
      </c>
      <c r="AS288" s="36" t="s">
        <v>1951</v>
      </c>
      <c r="AT288" s="11" t="s">
        <v>70</v>
      </c>
      <c r="AU288" s="11" t="s">
        <v>370</v>
      </c>
      <c r="AV288" s="13" t="s">
        <v>1871</v>
      </c>
      <c r="AW288" s="14"/>
      <c r="AX288" s="44"/>
    </row>
    <row r="289" spans="1:50" ht="25.5">
      <c r="A289" s="38" t="str">
        <f>VLOOKUP(Tableau1[[#This Row],[N° Département]],Feuil1!$C$6:$E$106,3)</f>
        <v>Provence-Alpes-Côte d'Azur</v>
      </c>
      <c r="B289" s="38" t="str">
        <f>VLOOKUP(Tableau1[[#This Row],[N° Département]],Feuil1!$C$6:$E$106,2)</f>
        <v>Vaucluse</v>
      </c>
      <c r="C289" s="38">
        <f>LEFT(Tableau1[[#This Row],[Code Postal]],2)*1</f>
        <v>84</v>
      </c>
      <c r="D289" s="10" t="s">
        <v>1923</v>
      </c>
      <c r="E289" s="26">
        <v>84000</v>
      </c>
      <c r="F289" s="10" t="s">
        <v>1061</v>
      </c>
      <c r="G289" s="39" t="str">
        <f>Tableau1[[#This Row],[Rue]]&amp;CHAR(10)&amp;Tableau1[[#This Row],[Code Postal]]&amp;" - "&amp;Tableau1[[#This Row],[Ville]]</f>
        <v>390 Rue Jean Marie Tjibaou
84000 - Avignon</v>
      </c>
      <c r="H289" s="15" t="s">
        <v>1922</v>
      </c>
      <c r="I289" s="12" t="s">
        <v>47</v>
      </c>
      <c r="J289" s="12" t="s">
        <v>51</v>
      </c>
      <c r="K289" s="10" t="s">
        <v>98</v>
      </c>
      <c r="L289" s="10" t="s">
        <v>98</v>
      </c>
      <c r="M289" s="12" t="s">
        <v>98</v>
      </c>
      <c r="N289" s="36" t="s">
        <v>1930</v>
      </c>
      <c r="O289" s="34">
        <v>63</v>
      </c>
      <c r="P289" s="6" t="s">
        <v>98</v>
      </c>
      <c r="Q289" s="34" t="s">
        <v>98</v>
      </c>
      <c r="R289" s="34" t="s">
        <v>98</v>
      </c>
      <c r="S289" s="6" t="s">
        <v>98</v>
      </c>
      <c r="T289" s="12">
        <f>Tableau1[[#This Row],[Loyer €/m²]]*Tableau1[[#This Row],[Surface GLA]]</f>
        <v>12600</v>
      </c>
      <c r="U289" s="12">
        <f>IFERROR(Tableau1[[#This Row],[Loyer annuel]]/12,"")</f>
        <v>1050</v>
      </c>
      <c r="V289" s="12">
        <v>200</v>
      </c>
      <c r="W289" s="34" t="s">
        <v>98</v>
      </c>
      <c r="X289" s="6">
        <f>Tableau1[[#This Row],[Charges €/m²]]*Tableau1[[#This Row],[Surface GLA]]</f>
        <v>2520</v>
      </c>
      <c r="Y289" s="12">
        <f>Tableau1[[#This Row],[Charges annuelles]]/12</f>
        <v>210</v>
      </c>
      <c r="Z289" s="12">
        <v>40</v>
      </c>
      <c r="AA289" s="12">
        <f>IFERROR(Tableau1[[#This Row],[Taxe foncière €/m²]]*Tableau1[[#This Row],[Surface GLA]],)</f>
        <v>1323</v>
      </c>
      <c r="AB289" s="12">
        <v>21</v>
      </c>
      <c r="AC289" s="12">
        <f>IFERROR(Tableau1[[#This Row],[Marketing €/m²]]*Tableau1[[#This Row],[Surface GLA]],)</f>
        <v>0</v>
      </c>
      <c r="AD289" s="12"/>
      <c r="AE289" s="12">
        <f>IFERROR(Tableau1[[#This Row],[Loyer annuel]]+Tableau1[[#This Row],[Charges annuelles]]+Tableau1[[#This Row],[Taxe foncière]]+Tableau1[[#This Row],[Marketing]],"")</f>
        <v>16443</v>
      </c>
      <c r="AF289" s="12" t="str">
        <f t="shared" si="15"/>
        <v>3 mois = 3 150 €</v>
      </c>
      <c r="AG289" s="12" t="s">
        <v>98</v>
      </c>
      <c r="AH289" s="12" t="s">
        <v>98</v>
      </c>
      <c r="AI289" s="12" t="s">
        <v>357</v>
      </c>
      <c r="AJ289" s="10"/>
      <c r="AK289" s="10"/>
      <c r="AL289" s="10" t="s">
        <v>1934</v>
      </c>
      <c r="AM289" s="11"/>
      <c r="AN289" s="11" t="s">
        <v>1386</v>
      </c>
      <c r="AO289" s="5" t="s">
        <v>361</v>
      </c>
      <c r="AP289" s="11" t="s">
        <v>1974</v>
      </c>
      <c r="AQ289" s="11" t="s">
        <v>1975</v>
      </c>
      <c r="AR289" s="11" t="s">
        <v>1946</v>
      </c>
      <c r="AS289" s="36" t="s">
        <v>1951</v>
      </c>
      <c r="AT289" s="11" t="s">
        <v>70</v>
      </c>
      <c r="AU289" s="11" t="s">
        <v>370</v>
      </c>
      <c r="AV289" s="13" t="s">
        <v>1871</v>
      </c>
      <c r="AW289" s="14"/>
      <c r="AX289" s="44"/>
    </row>
    <row r="290" spans="1:50" ht="25.5">
      <c r="A290" s="38" t="str">
        <f>VLOOKUP(Tableau1[[#This Row],[N° Département]],Feuil1!$C$6:$E$106,3)</f>
        <v>Provence-Alpes-Côte d'Azur</v>
      </c>
      <c r="B290" s="38" t="str">
        <f>VLOOKUP(Tableau1[[#This Row],[N° Département]],Feuil1!$C$6:$E$106,2)</f>
        <v>Vaucluse</v>
      </c>
      <c r="C290" s="38">
        <f>LEFT(Tableau1[[#This Row],[Code Postal]],2)*1</f>
        <v>84</v>
      </c>
      <c r="D290" s="10" t="s">
        <v>1923</v>
      </c>
      <c r="E290" s="26">
        <v>84000</v>
      </c>
      <c r="F290" s="10" t="s">
        <v>1061</v>
      </c>
      <c r="G290" s="39" t="str">
        <f>Tableau1[[#This Row],[Rue]]&amp;CHAR(10)&amp;Tableau1[[#This Row],[Code Postal]]&amp;" - "&amp;Tableau1[[#This Row],[Ville]]</f>
        <v>390 Rue Jean Marie Tjibaou
84000 - Avignon</v>
      </c>
      <c r="H290" s="15" t="s">
        <v>1922</v>
      </c>
      <c r="I290" s="12" t="s">
        <v>47</v>
      </c>
      <c r="J290" s="12" t="s">
        <v>51</v>
      </c>
      <c r="K290" s="10" t="s">
        <v>98</v>
      </c>
      <c r="L290" s="10" t="s">
        <v>98</v>
      </c>
      <c r="M290" s="12" t="s">
        <v>98</v>
      </c>
      <c r="N290" s="36" t="s">
        <v>1931</v>
      </c>
      <c r="O290" s="34">
        <v>282</v>
      </c>
      <c r="P290" s="6" t="s">
        <v>98</v>
      </c>
      <c r="Q290" s="34" t="s">
        <v>98</v>
      </c>
      <c r="R290" s="34" t="s">
        <v>98</v>
      </c>
      <c r="S290" s="6" t="s">
        <v>98</v>
      </c>
      <c r="T290" s="12">
        <f>Tableau1[[#This Row],[Loyer €/m²]]*Tableau1[[#This Row],[Surface GLA]]</f>
        <v>56400</v>
      </c>
      <c r="U290" s="12">
        <f>IFERROR(Tableau1[[#This Row],[Loyer annuel]]/12,"")</f>
        <v>4700</v>
      </c>
      <c r="V290" s="12">
        <v>200</v>
      </c>
      <c r="W290" s="34" t="s">
        <v>98</v>
      </c>
      <c r="X290" s="6">
        <f>Tableau1[[#This Row],[Charges €/m²]]*Tableau1[[#This Row],[Surface GLA]]</f>
        <v>11280</v>
      </c>
      <c r="Y290" s="12">
        <f>Tableau1[[#This Row],[Charges annuelles]]/12</f>
        <v>940</v>
      </c>
      <c r="Z290" s="12">
        <v>40</v>
      </c>
      <c r="AA290" s="12">
        <f>IFERROR(Tableau1[[#This Row],[Taxe foncière €/m²]]*Tableau1[[#This Row],[Surface GLA]],)</f>
        <v>5922</v>
      </c>
      <c r="AB290" s="12">
        <v>21</v>
      </c>
      <c r="AC290" s="12">
        <f>IFERROR(Tableau1[[#This Row],[Marketing €/m²]]*Tableau1[[#This Row],[Surface GLA]],)</f>
        <v>0</v>
      </c>
      <c r="AD290" s="12"/>
      <c r="AE290" s="12">
        <f>IFERROR(Tableau1[[#This Row],[Loyer annuel]]+Tableau1[[#This Row],[Charges annuelles]]+Tableau1[[#This Row],[Taxe foncière]]+Tableau1[[#This Row],[Marketing]],"")</f>
        <v>73602</v>
      </c>
      <c r="AF290" s="12" t="str">
        <f t="shared" si="15"/>
        <v>3 mois = 14 100 €</v>
      </c>
      <c r="AG290" s="12" t="s">
        <v>98</v>
      </c>
      <c r="AH290" s="12" t="s">
        <v>98</v>
      </c>
      <c r="AI290" s="12" t="s">
        <v>357</v>
      </c>
      <c r="AJ290" s="10"/>
      <c r="AK290" s="10"/>
      <c r="AL290" s="10" t="s">
        <v>1934</v>
      </c>
      <c r="AM290" s="11"/>
      <c r="AN290" s="11" t="s">
        <v>1386</v>
      </c>
      <c r="AO290" s="5" t="s">
        <v>361</v>
      </c>
      <c r="AP290" s="11" t="s">
        <v>1976</v>
      </c>
      <c r="AQ290" s="11" t="s">
        <v>1977</v>
      </c>
      <c r="AR290" s="11" t="s">
        <v>1947</v>
      </c>
      <c r="AS290" s="36" t="s">
        <v>1951</v>
      </c>
      <c r="AT290" s="11" t="s">
        <v>70</v>
      </c>
      <c r="AU290" s="11" t="s">
        <v>370</v>
      </c>
      <c r="AV290" s="13" t="s">
        <v>1871</v>
      </c>
      <c r="AW290" s="14"/>
      <c r="AX290" s="44"/>
    </row>
    <row r="291" spans="1:50" ht="25.5">
      <c r="A291" s="38" t="str">
        <f>VLOOKUP(Tableau1[[#This Row],[N° Département]],Feuil1!$C$6:$E$106,3)</f>
        <v>Provence-Alpes-Côte d'Azur</v>
      </c>
      <c r="B291" s="38" t="str">
        <f>VLOOKUP(Tableau1[[#This Row],[N° Département]],Feuil1!$C$6:$E$106,2)</f>
        <v>Vaucluse</v>
      </c>
      <c r="C291" s="38">
        <f>LEFT(Tableau1[[#This Row],[Code Postal]],2)*1</f>
        <v>84</v>
      </c>
      <c r="D291" s="10" t="s">
        <v>1923</v>
      </c>
      <c r="E291" s="26">
        <v>84000</v>
      </c>
      <c r="F291" s="10" t="s">
        <v>1061</v>
      </c>
      <c r="G291" s="39" t="str">
        <f>Tableau1[[#This Row],[Rue]]&amp;CHAR(10)&amp;Tableau1[[#This Row],[Code Postal]]&amp;" - "&amp;Tableau1[[#This Row],[Ville]]</f>
        <v>390 Rue Jean Marie Tjibaou
84000 - Avignon</v>
      </c>
      <c r="H291" s="15" t="s">
        <v>1922</v>
      </c>
      <c r="I291" s="12" t="s">
        <v>47</v>
      </c>
      <c r="J291" s="12" t="s">
        <v>51</v>
      </c>
      <c r="K291" s="10" t="s">
        <v>98</v>
      </c>
      <c r="L291" s="10" t="s">
        <v>98</v>
      </c>
      <c r="M291" s="12" t="s">
        <v>98</v>
      </c>
      <c r="N291" s="36" t="s">
        <v>1932</v>
      </c>
      <c r="O291" s="34">
        <v>104</v>
      </c>
      <c r="P291" s="6" t="s">
        <v>98</v>
      </c>
      <c r="Q291" s="34" t="s">
        <v>98</v>
      </c>
      <c r="R291" s="34" t="s">
        <v>98</v>
      </c>
      <c r="S291" s="6" t="s">
        <v>98</v>
      </c>
      <c r="T291" s="12">
        <f>Tableau1[[#This Row],[Loyer €/m²]]*Tableau1[[#This Row],[Surface GLA]]</f>
        <v>20800</v>
      </c>
      <c r="U291" s="12">
        <f>IFERROR(Tableau1[[#This Row],[Loyer annuel]]/12,"")</f>
        <v>1733.3333333333333</v>
      </c>
      <c r="V291" s="12">
        <v>200</v>
      </c>
      <c r="W291" s="34" t="s">
        <v>98</v>
      </c>
      <c r="X291" s="6">
        <f>Tableau1[[#This Row],[Charges €/m²]]*Tableau1[[#This Row],[Surface GLA]]</f>
        <v>4160</v>
      </c>
      <c r="Y291" s="12">
        <f>Tableau1[[#This Row],[Charges annuelles]]/12</f>
        <v>346.66666666666669</v>
      </c>
      <c r="Z291" s="12">
        <v>40</v>
      </c>
      <c r="AA291" s="12">
        <f>IFERROR(Tableau1[[#This Row],[Taxe foncière €/m²]]*Tableau1[[#This Row],[Surface GLA]],)</f>
        <v>2184</v>
      </c>
      <c r="AB291" s="12">
        <v>21</v>
      </c>
      <c r="AC291" s="12">
        <f>IFERROR(Tableau1[[#This Row],[Marketing €/m²]]*Tableau1[[#This Row],[Surface GLA]],)</f>
        <v>0</v>
      </c>
      <c r="AD291" s="12"/>
      <c r="AE291" s="12">
        <f>IFERROR(Tableau1[[#This Row],[Loyer annuel]]+Tableau1[[#This Row],[Charges annuelles]]+Tableau1[[#This Row],[Taxe foncière]]+Tableau1[[#This Row],[Marketing]],"")</f>
        <v>27144</v>
      </c>
      <c r="AF291" s="12" t="str">
        <f t="shared" si="15"/>
        <v>3 mois = 5 200 €</v>
      </c>
      <c r="AG291" s="12" t="s">
        <v>98</v>
      </c>
      <c r="AH291" s="12" t="s">
        <v>98</v>
      </c>
      <c r="AI291" s="12" t="s">
        <v>357</v>
      </c>
      <c r="AJ291" s="10"/>
      <c r="AK291" s="10"/>
      <c r="AL291" s="10" t="s">
        <v>1934</v>
      </c>
      <c r="AM291" s="11"/>
      <c r="AN291" s="11" t="s">
        <v>1386</v>
      </c>
      <c r="AO291" s="5" t="s">
        <v>361</v>
      </c>
      <c r="AP291" s="11" t="s">
        <v>1978</v>
      </c>
      <c r="AQ291" s="11" t="s">
        <v>1979</v>
      </c>
      <c r="AR291" s="11" t="s">
        <v>1948</v>
      </c>
      <c r="AS291" s="36" t="s">
        <v>1951</v>
      </c>
      <c r="AT291" s="11" t="s">
        <v>70</v>
      </c>
      <c r="AU291" s="11" t="s">
        <v>370</v>
      </c>
      <c r="AV291" s="13" t="s">
        <v>1871</v>
      </c>
      <c r="AW291" s="14"/>
      <c r="AX291" s="44"/>
    </row>
    <row r="292" spans="1:50" ht="25.5">
      <c r="A292" s="38" t="str">
        <f>VLOOKUP(Tableau1[[#This Row],[N° Département]],Feuil1!$C$6:$E$106,3)</f>
        <v>Provence-Alpes-Côte d'Azur</v>
      </c>
      <c r="B292" s="38" t="str">
        <f>VLOOKUP(Tableau1[[#This Row],[N° Département]],Feuil1!$C$6:$E$106,2)</f>
        <v>Vaucluse</v>
      </c>
      <c r="C292" s="38">
        <f>LEFT(Tableau1[[#This Row],[Code Postal]],2)*1</f>
        <v>84</v>
      </c>
      <c r="D292" s="10" t="s">
        <v>1923</v>
      </c>
      <c r="E292" s="26">
        <v>84000</v>
      </c>
      <c r="F292" s="10" t="s">
        <v>1061</v>
      </c>
      <c r="G292" s="39" t="str">
        <f>Tableau1[[#This Row],[Rue]]&amp;CHAR(10)&amp;Tableau1[[#This Row],[Code Postal]]&amp;" - "&amp;Tableau1[[#This Row],[Ville]]</f>
        <v>390 Rue Jean Marie Tjibaou
84000 - Avignon</v>
      </c>
      <c r="H292" s="15" t="s">
        <v>1922</v>
      </c>
      <c r="I292" s="12" t="s">
        <v>47</v>
      </c>
      <c r="J292" s="12" t="s">
        <v>51</v>
      </c>
      <c r="K292" s="10" t="s">
        <v>98</v>
      </c>
      <c r="L292" s="10" t="s">
        <v>98</v>
      </c>
      <c r="M292" s="12" t="s">
        <v>98</v>
      </c>
      <c r="N292" s="36" t="s">
        <v>305</v>
      </c>
      <c r="O292" s="34">
        <v>142</v>
      </c>
      <c r="P292" s="6" t="s">
        <v>98</v>
      </c>
      <c r="Q292" s="34">
        <v>184</v>
      </c>
      <c r="R292" s="34" t="s">
        <v>98</v>
      </c>
      <c r="S292" s="6" t="s">
        <v>98</v>
      </c>
      <c r="T292" s="12">
        <f>Tableau1[[#This Row],[Loyer €/m²]]*Tableau1[[#This Row],[Surface GLA]]</f>
        <v>28400</v>
      </c>
      <c r="U292" s="12">
        <f>IFERROR(Tableau1[[#This Row],[Loyer annuel]]/12,"")</f>
        <v>2366.6666666666665</v>
      </c>
      <c r="V292" s="12">
        <v>200</v>
      </c>
      <c r="W292" s="34" t="s">
        <v>98</v>
      </c>
      <c r="X292" s="6">
        <f>Tableau1[[#This Row],[Charges €/m²]]*Tableau1[[#This Row],[Surface GLA]]</f>
        <v>5680</v>
      </c>
      <c r="Y292" s="12">
        <f>Tableau1[[#This Row],[Charges annuelles]]/12</f>
        <v>473.33333333333331</v>
      </c>
      <c r="Z292" s="12">
        <v>40</v>
      </c>
      <c r="AA292" s="12">
        <f>IFERROR(Tableau1[[#This Row],[Taxe foncière €/m²]]*Tableau1[[#This Row],[Surface GLA]],)</f>
        <v>2982</v>
      </c>
      <c r="AB292" s="12">
        <v>21</v>
      </c>
      <c r="AC292" s="12">
        <f>IFERROR(Tableau1[[#This Row],[Marketing €/m²]]*Tableau1[[#This Row],[Surface GLA]],)</f>
        <v>0</v>
      </c>
      <c r="AD292" s="12"/>
      <c r="AE292" s="12">
        <f>IFERROR(Tableau1[[#This Row],[Loyer annuel]]+Tableau1[[#This Row],[Charges annuelles]]+Tableau1[[#This Row],[Taxe foncière]]+Tableau1[[#This Row],[Marketing]],"")</f>
        <v>37062</v>
      </c>
      <c r="AF292" s="12" t="str">
        <f t="shared" si="15"/>
        <v>3 mois = 7 100 €</v>
      </c>
      <c r="AG292" s="12" t="s">
        <v>98</v>
      </c>
      <c r="AH292" s="12" t="s">
        <v>98</v>
      </c>
      <c r="AI292" s="12" t="s">
        <v>357</v>
      </c>
      <c r="AJ292" s="10" t="s">
        <v>70</v>
      </c>
      <c r="AK292" s="10" t="s">
        <v>363</v>
      </c>
      <c r="AL292" s="10" t="s">
        <v>1934</v>
      </c>
      <c r="AM292" s="11"/>
      <c r="AN292" s="11" t="s">
        <v>1386</v>
      </c>
      <c r="AO292" s="5" t="s">
        <v>361</v>
      </c>
      <c r="AP292" s="11" t="s">
        <v>1980</v>
      </c>
      <c r="AQ292" s="11" t="s">
        <v>1981</v>
      </c>
      <c r="AR292" s="11" t="s">
        <v>1949</v>
      </c>
      <c r="AS292" s="36" t="s">
        <v>1951</v>
      </c>
      <c r="AT292" s="11" t="s">
        <v>70</v>
      </c>
      <c r="AU292" s="11" t="s">
        <v>370</v>
      </c>
      <c r="AV292" s="13" t="s">
        <v>1871</v>
      </c>
      <c r="AW292" s="14"/>
      <c r="AX292" s="44"/>
    </row>
    <row r="293" spans="1:50" ht="25.5">
      <c r="A293" s="38" t="str">
        <f>VLOOKUP(Tableau1[[#This Row],[N° Département]],Feuil1!$C$6:$E$106,3)</f>
        <v>Provence-Alpes-Côte d'Azur</v>
      </c>
      <c r="B293" s="38" t="str">
        <f>VLOOKUP(Tableau1[[#This Row],[N° Département]],Feuil1!$C$6:$E$106,2)</f>
        <v>Vaucluse</v>
      </c>
      <c r="C293" s="38">
        <f>LEFT(Tableau1[[#This Row],[Code Postal]],2)*1</f>
        <v>84</v>
      </c>
      <c r="D293" s="10" t="s">
        <v>1923</v>
      </c>
      <c r="E293" s="26">
        <v>84000</v>
      </c>
      <c r="F293" s="10" t="s">
        <v>1061</v>
      </c>
      <c r="G293" s="39" t="str">
        <f>Tableau1[[#This Row],[Rue]]&amp;CHAR(10)&amp;Tableau1[[#This Row],[Code Postal]]&amp;" - "&amp;Tableau1[[#This Row],[Ville]]</f>
        <v>390 Rue Jean Marie Tjibaou
84000 - Avignon</v>
      </c>
      <c r="H293" s="15" t="s">
        <v>1922</v>
      </c>
      <c r="I293" s="12" t="s">
        <v>47</v>
      </c>
      <c r="J293" s="12" t="s">
        <v>51</v>
      </c>
      <c r="K293" s="10" t="s">
        <v>98</v>
      </c>
      <c r="L293" s="10" t="s">
        <v>98</v>
      </c>
      <c r="M293" s="12" t="s">
        <v>98</v>
      </c>
      <c r="N293" s="36" t="s">
        <v>1933</v>
      </c>
      <c r="O293" s="34">
        <v>172</v>
      </c>
      <c r="P293" s="6" t="s">
        <v>98</v>
      </c>
      <c r="Q293" s="34">
        <v>184</v>
      </c>
      <c r="R293" s="34" t="s">
        <v>98</v>
      </c>
      <c r="S293" s="6" t="s">
        <v>98</v>
      </c>
      <c r="T293" s="12">
        <f>Tableau1[[#This Row],[Loyer €/m²]]*Tableau1[[#This Row],[Surface GLA]]</f>
        <v>34400</v>
      </c>
      <c r="U293" s="12">
        <f>IFERROR(Tableau1[[#This Row],[Loyer annuel]]/12,"")</f>
        <v>2866.6666666666665</v>
      </c>
      <c r="V293" s="12">
        <v>200</v>
      </c>
      <c r="W293" s="34" t="s">
        <v>98</v>
      </c>
      <c r="X293" s="6">
        <f>Tableau1[[#This Row],[Charges €/m²]]*Tableau1[[#This Row],[Surface GLA]]</f>
        <v>6880</v>
      </c>
      <c r="Y293" s="12">
        <f>Tableau1[[#This Row],[Charges annuelles]]/12</f>
        <v>573.33333333333337</v>
      </c>
      <c r="Z293" s="12">
        <v>40</v>
      </c>
      <c r="AA293" s="12">
        <f>IFERROR(Tableau1[[#This Row],[Taxe foncière €/m²]]*Tableau1[[#This Row],[Surface GLA]],)</f>
        <v>3612</v>
      </c>
      <c r="AB293" s="12">
        <v>21</v>
      </c>
      <c r="AC293" s="12">
        <f>IFERROR(Tableau1[[#This Row],[Marketing €/m²]]*Tableau1[[#This Row],[Surface GLA]],)</f>
        <v>0</v>
      </c>
      <c r="AD293" s="12"/>
      <c r="AE293" s="12">
        <f>IFERROR(Tableau1[[#This Row],[Loyer annuel]]+Tableau1[[#This Row],[Charges annuelles]]+Tableau1[[#This Row],[Taxe foncière]]+Tableau1[[#This Row],[Marketing]],"")</f>
        <v>44892</v>
      </c>
      <c r="AF293" s="12" t="str">
        <f t="shared" si="15"/>
        <v>3 mois = 8 600 €</v>
      </c>
      <c r="AG293" s="12" t="s">
        <v>98</v>
      </c>
      <c r="AH293" s="12" t="s">
        <v>98</v>
      </c>
      <c r="AI293" s="12" t="s">
        <v>357</v>
      </c>
      <c r="AJ293" s="10"/>
      <c r="AK293" s="10"/>
      <c r="AL293" s="10" t="s">
        <v>1934</v>
      </c>
      <c r="AM293" s="11"/>
      <c r="AN293" s="11" t="s">
        <v>1386</v>
      </c>
      <c r="AO293" s="5" t="s">
        <v>361</v>
      </c>
      <c r="AP293" s="11" t="s">
        <v>1982</v>
      </c>
      <c r="AQ293" s="11" t="s">
        <v>1983</v>
      </c>
      <c r="AR293" s="11" t="s">
        <v>1950</v>
      </c>
      <c r="AS293" s="36" t="s">
        <v>1951</v>
      </c>
      <c r="AT293" s="11" t="s">
        <v>70</v>
      </c>
      <c r="AU293" s="11" t="s">
        <v>370</v>
      </c>
      <c r="AV293" s="13" t="s">
        <v>1871</v>
      </c>
      <c r="AW293" s="14"/>
      <c r="AX293" s="44"/>
    </row>
    <row r="294" spans="1:50" ht="25.5">
      <c r="A294" s="38" t="str">
        <f>VLOOKUP(Tableau1[[#This Row],[N° Département]],Feuil1!$C$6:$E$106,3)</f>
        <v>Grand Est</v>
      </c>
      <c r="B294" s="38" t="str">
        <f>VLOOKUP(Tableau1[[#This Row],[N° Département]],Feuil1!$C$6:$E$106,2)</f>
        <v>Meuse</v>
      </c>
      <c r="C294" s="38">
        <f>LEFT(Tableau1[[#This Row],[Code Postal]],2)*1</f>
        <v>55</v>
      </c>
      <c r="D294" s="10" t="s">
        <v>2014</v>
      </c>
      <c r="E294" s="26">
        <v>55000</v>
      </c>
      <c r="F294" s="10" t="s">
        <v>1985</v>
      </c>
      <c r="G294" s="39" t="str">
        <f>Tableau1[[#This Row],[Rue]]&amp;CHAR(10)&amp;Tableau1[[#This Row],[Code Postal]]&amp;" - "&amp;Tableau1[[#This Row],[Ville]]</f>
        <v>Auchan, 1 Rue de Longeville
55000 - Savonnières-devant-Bar</v>
      </c>
      <c r="H294" s="15" t="s">
        <v>1984</v>
      </c>
      <c r="I294" s="12" t="s">
        <v>47</v>
      </c>
      <c r="J294" s="12" t="s">
        <v>51</v>
      </c>
      <c r="K294" s="10" t="s">
        <v>98</v>
      </c>
      <c r="L294" s="10" t="s">
        <v>98</v>
      </c>
      <c r="M294" s="12" t="s">
        <v>98</v>
      </c>
      <c r="N294" s="36" t="s">
        <v>1560</v>
      </c>
      <c r="O294" s="34">
        <v>51</v>
      </c>
      <c r="P294" s="6" t="s">
        <v>98</v>
      </c>
      <c r="Q294" s="34">
        <v>162</v>
      </c>
      <c r="R294" s="34" t="s">
        <v>98</v>
      </c>
      <c r="S294" s="6" t="s">
        <v>98</v>
      </c>
      <c r="T294" s="12">
        <f>Tableau1[[#This Row],[Loyer €/m²]]*Tableau1[[#This Row],[Surface GLA]]</f>
        <v>10200</v>
      </c>
      <c r="U294" s="12">
        <f>IFERROR(Tableau1[[#This Row],[Loyer annuel]]/12,"")</f>
        <v>850</v>
      </c>
      <c r="V294" s="12">
        <v>200</v>
      </c>
      <c r="W294" s="34" t="s">
        <v>98</v>
      </c>
      <c r="X294" s="6">
        <f>Tableau1[[#This Row],[Charges €/m²]]*Tableau1[[#This Row],[Surface GLA]]</f>
        <v>2805</v>
      </c>
      <c r="Y294" s="12">
        <f>Tableau1[[#This Row],[Charges annuelles]]/12</f>
        <v>233.75</v>
      </c>
      <c r="Z294" s="12">
        <v>55</v>
      </c>
      <c r="AA294" s="12">
        <f>IFERROR(Tableau1[[#This Row],[Taxe foncière €/m²]]*Tableau1[[#This Row],[Surface GLA]],)</f>
        <v>714</v>
      </c>
      <c r="AB294" s="12">
        <v>14</v>
      </c>
      <c r="AC294" s="12">
        <f>IFERROR(Tableau1[[#This Row],[Marketing €/m²]]*Tableau1[[#This Row],[Surface GLA]],)</f>
        <v>0</v>
      </c>
      <c r="AD294" s="12"/>
      <c r="AE294" s="12">
        <f>IFERROR(Tableau1[[#This Row],[Loyer annuel]]+Tableau1[[#This Row],[Charges annuelles]]+Tableau1[[#This Row],[Taxe foncière]]+Tableau1[[#This Row],[Marketing]],"")</f>
        <v>13719</v>
      </c>
      <c r="AF294" s="12" t="str">
        <f t="shared" si="15"/>
        <v>3 mois = 2 550 €</v>
      </c>
      <c r="AG294" s="12" t="s">
        <v>98</v>
      </c>
      <c r="AH294" s="12" t="s">
        <v>98</v>
      </c>
      <c r="AI294" s="12" t="s">
        <v>357</v>
      </c>
      <c r="AJ294" s="10"/>
      <c r="AK294" s="10"/>
      <c r="AL294" s="10"/>
      <c r="AM294" s="11"/>
      <c r="AN294" s="11" t="s">
        <v>1386</v>
      </c>
      <c r="AO294" s="5" t="s">
        <v>361</v>
      </c>
      <c r="AP294" s="11" t="s">
        <v>2001</v>
      </c>
      <c r="AQ294" s="11" t="s">
        <v>2002</v>
      </c>
      <c r="AR294" s="11" t="s">
        <v>1987</v>
      </c>
      <c r="AS294" s="36" t="s">
        <v>2011</v>
      </c>
      <c r="AT294" s="11" t="s">
        <v>70</v>
      </c>
      <c r="AU294" s="11" t="s">
        <v>370</v>
      </c>
      <c r="AV294" s="13" t="s">
        <v>1871</v>
      </c>
      <c r="AW294" s="14"/>
      <c r="AX294" s="44"/>
    </row>
    <row r="295" spans="1:50" ht="25.5">
      <c r="A295" s="38" t="str">
        <f>VLOOKUP(Tableau1[[#This Row],[N° Département]],Feuil1!$C$6:$E$106,3)</f>
        <v>Grand Est</v>
      </c>
      <c r="B295" s="38" t="str">
        <f>VLOOKUP(Tableau1[[#This Row],[N° Département]],Feuil1!$C$6:$E$106,2)</f>
        <v>Meuse</v>
      </c>
      <c r="C295" s="38">
        <f>LEFT(Tableau1[[#This Row],[Code Postal]],2)*1</f>
        <v>55</v>
      </c>
      <c r="D295" s="10" t="s">
        <v>2014</v>
      </c>
      <c r="E295" s="26">
        <v>55000</v>
      </c>
      <c r="F295" s="10" t="s">
        <v>1985</v>
      </c>
      <c r="G295" s="39" t="str">
        <f>Tableau1[[#This Row],[Rue]]&amp;CHAR(10)&amp;Tableau1[[#This Row],[Code Postal]]&amp;" - "&amp;Tableau1[[#This Row],[Ville]]</f>
        <v>Auchan, 1 Rue de Longeville
55000 - Savonnières-devant-Bar</v>
      </c>
      <c r="H295" s="15" t="s">
        <v>1984</v>
      </c>
      <c r="I295" s="12" t="s">
        <v>47</v>
      </c>
      <c r="J295" s="12" t="s">
        <v>51</v>
      </c>
      <c r="K295" s="10" t="s">
        <v>98</v>
      </c>
      <c r="L295" s="10" t="s">
        <v>98</v>
      </c>
      <c r="M295" s="12" t="s">
        <v>98</v>
      </c>
      <c r="N295" s="36" t="s">
        <v>330</v>
      </c>
      <c r="O295" s="34">
        <v>111</v>
      </c>
      <c r="P295" s="6" t="s">
        <v>98</v>
      </c>
      <c r="Q295" s="34">
        <v>162</v>
      </c>
      <c r="R295" s="34" t="s">
        <v>98</v>
      </c>
      <c r="S295" s="6" t="s">
        <v>98</v>
      </c>
      <c r="T295" s="12">
        <f>Tableau1[[#This Row],[Loyer €/m²]]*Tableau1[[#This Row],[Surface GLA]]</f>
        <v>22200</v>
      </c>
      <c r="U295" s="12">
        <f>IFERROR(Tableau1[[#This Row],[Loyer annuel]]/12,"")</f>
        <v>1850</v>
      </c>
      <c r="V295" s="12">
        <v>200</v>
      </c>
      <c r="W295" s="34" t="s">
        <v>98</v>
      </c>
      <c r="X295" s="6">
        <f>Tableau1[[#This Row],[Charges €/m²]]*Tableau1[[#This Row],[Surface GLA]]</f>
        <v>6105</v>
      </c>
      <c r="Y295" s="12">
        <f>Tableau1[[#This Row],[Charges annuelles]]/12</f>
        <v>508.75</v>
      </c>
      <c r="Z295" s="12">
        <v>55</v>
      </c>
      <c r="AA295" s="12">
        <f>IFERROR(Tableau1[[#This Row],[Taxe foncière €/m²]]*Tableau1[[#This Row],[Surface GLA]],)</f>
        <v>1554</v>
      </c>
      <c r="AB295" s="12">
        <v>14</v>
      </c>
      <c r="AC295" s="12">
        <f>IFERROR(Tableau1[[#This Row],[Marketing €/m²]]*Tableau1[[#This Row],[Surface GLA]],)</f>
        <v>0</v>
      </c>
      <c r="AD295" s="12"/>
      <c r="AE295" s="12">
        <f>IFERROR(Tableau1[[#This Row],[Loyer annuel]]+Tableau1[[#This Row],[Charges annuelles]]+Tableau1[[#This Row],[Taxe foncière]]+Tableau1[[#This Row],[Marketing]],"")</f>
        <v>29859</v>
      </c>
      <c r="AF295" s="12" t="str">
        <f t="shared" si="15"/>
        <v>3 mois = 5 550 €</v>
      </c>
      <c r="AG295" s="12" t="s">
        <v>98</v>
      </c>
      <c r="AH295" s="12" t="s">
        <v>98</v>
      </c>
      <c r="AI295" s="12" t="s">
        <v>357</v>
      </c>
      <c r="AJ295" s="10"/>
      <c r="AK295" s="10"/>
      <c r="AL295" s="10"/>
      <c r="AM295" s="11"/>
      <c r="AN295" s="11" t="s">
        <v>1386</v>
      </c>
      <c r="AO295" s="5" t="s">
        <v>361</v>
      </c>
      <c r="AP295" s="11" t="s">
        <v>1999</v>
      </c>
      <c r="AQ295" s="11" t="s">
        <v>2000</v>
      </c>
      <c r="AR295" s="11" t="s">
        <v>1988</v>
      </c>
      <c r="AS295" s="36" t="s">
        <v>2011</v>
      </c>
      <c r="AT295" s="11" t="s">
        <v>70</v>
      </c>
      <c r="AU295" s="11" t="s">
        <v>370</v>
      </c>
      <c r="AV295" s="13" t="s">
        <v>1871</v>
      </c>
      <c r="AW295" s="14"/>
      <c r="AX295" s="44"/>
    </row>
    <row r="296" spans="1:50" ht="25.5">
      <c r="A296" s="38" t="str">
        <f>VLOOKUP(Tableau1[[#This Row],[N° Département]],Feuil1!$C$6:$E$106,3)</f>
        <v>Grand Est</v>
      </c>
      <c r="B296" s="38" t="str">
        <f>VLOOKUP(Tableau1[[#This Row],[N° Département]],Feuil1!$C$6:$E$106,2)</f>
        <v>Meuse</v>
      </c>
      <c r="C296" s="38">
        <f>LEFT(Tableau1[[#This Row],[Code Postal]],2)*1</f>
        <v>55</v>
      </c>
      <c r="D296" s="10" t="s">
        <v>2014</v>
      </c>
      <c r="E296" s="26">
        <v>55000</v>
      </c>
      <c r="F296" s="10" t="s">
        <v>1985</v>
      </c>
      <c r="G296" s="39" t="str">
        <f>Tableau1[[#This Row],[Rue]]&amp;CHAR(10)&amp;Tableau1[[#This Row],[Code Postal]]&amp;" - "&amp;Tableau1[[#This Row],[Ville]]</f>
        <v>Auchan, 1 Rue de Longeville
55000 - Savonnières-devant-Bar</v>
      </c>
      <c r="H296" s="15" t="s">
        <v>1984</v>
      </c>
      <c r="I296" s="12" t="s">
        <v>47</v>
      </c>
      <c r="J296" s="12" t="s">
        <v>51</v>
      </c>
      <c r="K296" s="10" t="s">
        <v>98</v>
      </c>
      <c r="L296" s="10" t="s">
        <v>98</v>
      </c>
      <c r="M296" s="12" t="s">
        <v>98</v>
      </c>
      <c r="N296" s="36" t="s">
        <v>352</v>
      </c>
      <c r="O296" s="34">
        <v>68</v>
      </c>
      <c r="P296" s="6" t="s">
        <v>98</v>
      </c>
      <c r="Q296" s="34" t="s">
        <v>98</v>
      </c>
      <c r="R296" s="34" t="s">
        <v>98</v>
      </c>
      <c r="S296" s="6" t="s">
        <v>98</v>
      </c>
      <c r="T296" s="12">
        <f>Tableau1[[#This Row],[Loyer €/m²]]*Tableau1[[#This Row],[Surface GLA]]</f>
        <v>13600</v>
      </c>
      <c r="U296" s="12">
        <f>IFERROR(Tableau1[[#This Row],[Loyer annuel]]/12,"")</f>
        <v>1133.3333333333333</v>
      </c>
      <c r="V296" s="12">
        <v>200</v>
      </c>
      <c r="W296" s="34" t="s">
        <v>98</v>
      </c>
      <c r="X296" s="6">
        <f>Tableau1[[#This Row],[Charges €/m²]]*Tableau1[[#This Row],[Surface GLA]]</f>
        <v>3740</v>
      </c>
      <c r="Y296" s="12">
        <f>Tableau1[[#This Row],[Charges annuelles]]/12</f>
        <v>311.66666666666669</v>
      </c>
      <c r="Z296" s="12">
        <v>55</v>
      </c>
      <c r="AA296" s="12">
        <f>IFERROR(Tableau1[[#This Row],[Taxe foncière €/m²]]*Tableau1[[#This Row],[Surface GLA]],)</f>
        <v>952</v>
      </c>
      <c r="AB296" s="12">
        <v>14</v>
      </c>
      <c r="AC296" s="12">
        <f>IFERROR(Tableau1[[#This Row],[Marketing €/m²]]*Tableau1[[#This Row],[Surface GLA]],)</f>
        <v>0</v>
      </c>
      <c r="AD296" s="12"/>
      <c r="AE296" s="12">
        <f>IFERROR(Tableau1[[#This Row],[Loyer annuel]]+Tableau1[[#This Row],[Charges annuelles]]+Tableau1[[#This Row],[Taxe foncière]]+Tableau1[[#This Row],[Marketing]],"")</f>
        <v>18292</v>
      </c>
      <c r="AF296" s="12" t="str">
        <f t="shared" si="15"/>
        <v>3 mois = 3 400 €</v>
      </c>
      <c r="AG296" s="12" t="s">
        <v>98</v>
      </c>
      <c r="AH296" s="12" t="s">
        <v>98</v>
      </c>
      <c r="AI296" s="12" t="s">
        <v>357</v>
      </c>
      <c r="AJ296" s="10"/>
      <c r="AK296" s="10"/>
      <c r="AL296" s="10"/>
      <c r="AM296" s="11"/>
      <c r="AN296" s="11" t="s">
        <v>1386</v>
      </c>
      <c r="AO296" s="5" t="s">
        <v>361</v>
      </c>
      <c r="AP296" s="11" t="s">
        <v>1997</v>
      </c>
      <c r="AQ296" s="11" t="s">
        <v>1998</v>
      </c>
      <c r="AR296" s="11" t="s">
        <v>1989</v>
      </c>
      <c r="AS296" s="36" t="s">
        <v>2011</v>
      </c>
      <c r="AT296" s="11" t="s">
        <v>70</v>
      </c>
      <c r="AU296" s="11" t="s">
        <v>370</v>
      </c>
      <c r="AV296" s="13" t="s">
        <v>1871</v>
      </c>
      <c r="AW296" s="14"/>
      <c r="AX296" s="44"/>
    </row>
    <row r="297" spans="1:50" ht="25.5">
      <c r="A297" s="38" t="str">
        <f>VLOOKUP(Tableau1[[#This Row],[N° Département]],Feuil1!$C$6:$E$106,3)</f>
        <v>Grand Est</v>
      </c>
      <c r="B297" s="38" t="str">
        <f>VLOOKUP(Tableau1[[#This Row],[N° Département]],Feuil1!$C$6:$E$106,2)</f>
        <v>Meuse</v>
      </c>
      <c r="C297" s="38">
        <f>LEFT(Tableau1[[#This Row],[Code Postal]],2)*1</f>
        <v>55</v>
      </c>
      <c r="D297" s="10" t="s">
        <v>2014</v>
      </c>
      <c r="E297" s="26">
        <v>55000</v>
      </c>
      <c r="F297" s="10" t="s">
        <v>1985</v>
      </c>
      <c r="G297" s="39" t="str">
        <f>Tableau1[[#This Row],[Rue]]&amp;CHAR(10)&amp;Tableau1[[#This Row],[Code Postal]]&amp;" - "&amp;Tableau1[[#This Row],[Ville]]</f>
        <v>Auchan, 1 Rue de Longeville
55000 - Savonnières-devant-Bar</v>
      </c>
      <c r="H297" s="15" t="s">
        <v>1984</v>
      </c>
      <c r="I297" s="12" t="s">
        <v>47</v>
      </c>
      <c r="J297" s="12" t="s">
        <v>51</v>
      </c>
      <c r="K297" s="10" t="s">
        <v>98</v>
      </c>
      <c r="L297" s="10" t="s">
        <v>98</v>
      </c>
      <c r="M297" s="12" t="s">
        <v>98</v>
      </c>
      <c r="N297" s="36" t="s">
        <v>353</v>
      </c>
      <c r="O297" s="34">
        <v>794</v>
      </c>
      <c r="P297" s="6" t="s">
        <v>98</v>
      </c>
      <c r="Q297" s="34" t="s">
        <v>98</v>
      </c>
      <c r="R297" s="34" t="s">
        <v>98</v>
      </c>
      <c r="S297" s="6" t="s">
        <v>98</v>
      </c>
      <c r="T297" s="12">
        <f>Tableau1[[#This Row],[Loyer €/m²]]*Tableau1[[#This Row],[Surface GLA]]</f>
        <v>158800</v>
      </c>
      <c r="U297" s="12">
        <f>IFERROR(Tableau1[[#This Row],[Loyer annuel]]/12,"")</f>
        <v>13233.333333333334</v>
      </c>
      <c r="V297" s="12">
        <v>200</v>
      </c>
      <c r="W297" s="34" t="s">
        <v>98</v>
      </c>
      <c r="X297" s="6">
        <f>Tableau1[[#This Row],[Charges €/m²]]*Tableau1[[#This Row],[Surface GLA]]</f>
        <v>43670</v>
      </c>
      <c r="Y297" s="12">
        <f>Tableau1[[#This Row],[Charges annuelles]]/12</f>
        <v>3639.1666666666665</v>
      </c>
      <c r="Z297" s="12">
        <v>55</v>
      </c>
      <c r="AA297" s="12">
        <f>IFERROR(Tableau1[[#This Row],[Taxe foncière €/m²]]*Tableau1[[#This Row],[Surface GLA]],)</f>
        <v>11116</v>
      </c>
      <c r="AB297" s="12">
        <v>14</v>
      </c>
      <c r="AC297" s="12">
        <f>IFERROR(Tableau1[[#This Row],[Marketing €/m²]]*Tableau1[[#This Row],[Surface GLA]],)</f>
        <v>0</v>
      </c>
      <c r="AD297" s="12"/>
      <c r="AE297" s="12">
        <f>IFERROR(Tableau1[[#This Row],[Loyer annuel]]+Tableau1[[#This Row],[Charges annuelles]]+Tableau1[[#This Row],[Taxe foncière]]+Tableau1[[#This Row],[Marketing]],"")</f>
        <v>213586</v>
      </c>
      <c r="AF297" s="12" t="str">
        <f t="shared" si="15"/>
        <v>3 mois = 39 700 €</v>
      </c>
      <c r="AG297" s="12" t="s">
        <v>98</v>
      </c>
      <c r="AH297" s="12" t="s">
        <v>98</v>
      </c>
      <c r="AI297" s="12" t="s">
        <v>357</v>
      </c>
      <c r="AJ297" s="10"/>
      <c r="AK297" s="10"/>
      <c r="AL297" s="10"/>
      <c r="AM297" s="11"/>
      <c r="AN297" s="11" t="s">
        <v>1386</v>
      </c>
      <c r="AO297" s="5" t="s">
        <v>361</v>
      </c>
      <c r="AP297" s="11" t="s">
        <v>1995</v>
      </c>
      <c r="AQ297" s="11" t="s">
        <v>1996</v>
      </c>
      <c r="AR297" s="11" t="s">
        <v>1990</v>
      </c>
      <c r="AS297" s="36" t="s">
        <v>2011</v>
      </c>
      <c r="AT297" s="11" t="s">
        <v>70</v>
      </c>
      <c r="AU297" s="11" t="s">
        <v>370</v>
      </c>
      <c r="AV297" s="13" t="s">
        <v>1871</v>
      </c>
      <c r="AW297" s="14"/>
      <c r="AX297" s="44"/>
    </row>
    <row r="298" spans="1:50" ht="25.5">
      <c r="A298" s="38" t="str">
        <f>VLOOKUP(Tableau1[[#This Row],[N° Département]],Feuil1!$C$6:$E$106,3)</f>
        <v>Grand Est</v>
      </c>
      <c r="B298" s="38" t="str">
        <f>VLOOKUP(Tableau1[[#This Row],[N° Département]],Feuil1!$C$6:$E$106,2)</f>
        <v>Meuse</v>
      </c>
      <c r="C298" s="38">
        <f>LEFT(Tableau1[[#This Row],[Code Postal]],2)*1</f>
        <v>55</v>
      </c>
      <c r="D298" s="10" t="s">
        <v>2014</v>
      </c>
      <c r="E298" s="26">
        <v>55000</v>
      </c>
      <c r="F298" s="10" t="s">
        <v>1985</v>
      </c>
      <c r="G298" s="39" t="str">
        <f>Tableau1[[#This Row],[Rue]]&amp;CHAR(10)&amp;Tableau1[[#This Row],[Code Postal]]&amp;" - "&amp;Tableau1[[#This Row],[Ville]]</f>
        <v>Auchan, 1 Rue de Longeville
55000 - Savonnières-devant-Bar</v>
      </c>
      <c r="H298" s="15" t="s">
        <v>1984</v>
      </c>
      <c r="I298" s="12" t="s">
        <v>47</v>
      </c>
      <c r="J298" s="12" t="s">
        <v>51</v>
      </c>
      <c r="K298" s="10" t="s">
        <v>98</v>
      </c>
      <c r="L298" s="10" t="s">
        <v>98</v>
      </c>
      <c r="M298" s="12" t="s">
        <v>98</v>
      </c>
      <c r="N298" s="36" t="s">
        <v>1986</v>
      </c>
      <c r="O298" s="34">
        <v>100</v>
      </c>
      <c r="P298" s="6" t="s">
        <v>98</v>
      </c>
      <c r="Q298" s="34">
        <v>221</v>
      </c>
      <c r="R298" s="34" t="s">
        <v>98</v>
      </c>
      <c r="S298" s="6" t="s">
        <v>98</v>
      </c>
      <c r="T298" s="12">
        <f>Tableau1[[#This Row],[Loyer €/m²]]*Tableau1[[#This Row],[Surface GLA]]</f>
        <v>20000</v>
      </c>
      <c r="U298" s="12">
        <f>IFERROR(Tableau1[[#This Row],[Loyer annuel]]/12,"")</f>
        <v>1666.6666666666667</v>
      </c>
      <c r="V298" s="12">
        <v>200</v>
      </c>
      <c r="W298" s="34" t="s">
        <v>98</v>
      </c>
      <c r="X298" s="6">
        <f>Tableau1[[#This Row],[Charges €/m²]]*Tableau1[[#This Row],[Surface GLA]]</f>
        <v>5500</v>
      </c>
      <c r="Y298" s="12">
        <f>Tableau1[[#This Row],[Charges annuelles]]/12</f>
        <v>458.33333333333331</v>
      </c>
      <c r="Z298" s="12">
        <v>55</v>
      </c>
      <c r="AA298" s="12">
        <f>IFERROR(Tableau1[[#This Row],[Taxe foncière €/m²]]*Tableau1[[#This Row],[Surface GLA]],)</f>
        <v>1400</v>
      </c>
      <c r="AB298" s="12">
        <v>14</v>
      </c>
      <c r="AC298" s="12">
        <f>IFERROR(Tableau1[[#This Row],[Marketing €/m²]]*Tableau1[[#This Row],[Surface GLA]],)</f>
        <v>0</v>
      </c>
      <c r="AD298" s="12"/>
      <c r="AE298" s="12">
        <f>IFERROR(Tableau1[[#This Row],[Loyer annuel]]+Tableau1[[#This Row],[Charges annuelles]]+Tableau1[[#This Row],[Taxe foncière]]+Tableau1[[#This Row],[Marketing]],"")</f>
        <v>26900</v>
      </c>
      <c r="AF298" s="12" t="str">
        <f t="shared" si="15"/>
        <v>3 mois = 5 000 €</v>
      </c>
      <c r="AG298" s="12" t="s">
        <v>98</v>
      </c>
      <c r="AH298" s="12" t="s">
        <v>98</v>
      </c>
      <c r="AI298" s="12" t="s">
        <v>357</v>
      </c>
      <c r="AJ298" s="10"/>
      <c r="AK298" s="10"/>
      <c r="AL298" s="10"/>
      <c r="AM298" s="11"/>
      <c r="AN298" s="11" t="s">
        <v>1386</v>
      </c>
      <c r="AO298" s="5" t="s">
        <v>361</v>
      </c>
      <c r="AP298" s="11" t="s">
        <v>2007</v>
      </c>
      <c r="AQ298" s="11" t="s">
        <v>2008</v>
      </c>
      <c r="AR298" s="11" t="s">
        <v>1991</v>
      </c>
      <c r="AS298" s="36" t="s">
        <v>2011</v>
      </c>
      <c r="AT298" s="11" t="s">
        <v>70</v>
      </c>
      <c r="AU298" s="11" t="s">
        <v>370</v>
      </c>
      <c r="AV298" s="13" t="s">
        <v>1871</v>
      </c>
      <c r="AW298" s="14"/>
      <c r="AX298" s="44"/>
    </row>
    <row r="299" spans="1:50" ht="25.5">
      <c r="A299" s="38" t="str">
        <f>VLOOKUP(Tableau1[[#This Row],[N° Département]],Feuil1!$C$6:$E$106,3)</f>
        <v>Grand Est</v>
      </c>
      <c r="B299" s="38" t="str">
        <f>VLOOKUP(Tableau1[[#This Row],[N° Département]],Feuil1!$C$6:$E$106,2)</f>
        <v>Meuse</v>
      </c>
      <c r="C299" s="38">
        <f>LEFT(Tableau1[[#This Row],[Code Postal]],2)*1</f>
        <v>55</v>
      </c>
      <c r="D299" s="10" t="s">
        <v>2014</v>
      </c>
      <c r="E299" s="26">
        <v>55000</v>
      </c>
      <c r="F299" s="10" t="s">
        <v>1985</v>
      </c>
      <c r="G299" s="39" t="str">
        <f>Tableau1[[#This Row],[Rue]]&amp;CHAR(10)&amp;Tableau1[[#This Row],[Code Postal]]&amp;" - "&amp;Tableau1[[#This Row],[Ville]]</f>
        <v>Auchan, 1 Rue de Longeville
55000 - Savonnières-devant-Bar</v>
      </c>
      <c r="H299" s="15" t="s">
        <v>1984</v>
      </c>
      <c r="I299" s="12" t="s">
        <v>47</v>
      </c>
      <c r="J299" s="12" t="s">
        <v>51</v>
      </c>
      <c r="K299" s="10" t="s">
        <v>98</v>
      </c>
      <c r="L299" s="10" t="s">
        <v>98</v>
      </c>
      <c r="M299" s="12" t="s">
        <v>98</v>
      </c>
      <c r="N299" s="36" t="s">
        <v>355</v>
      </c>
      <c r="O299" s="34">
        <v>100</v>
      </c>
      <c r="P299" s="6" t="s">
        <v>98</v>
      </c>
      <c r="Q299" s="34">
        <v>221</v>
      </c>
      <c r="R299" s="34" t="s">
        <v>98</v>
      </c>
      <c r="S299" s="6" t="s">
        <v>98</v>
      </c>
      <c r="T299" s="12">
        <f>Tableau1[[#This Row],[Loyer €/m²]]*Tableau1[[#This Row],[Surface GLA]]</f>
        <v>20000</v>
      </c>
      <c r="U299" s="12">
        <f>IFERROR(Tableau1[[#This Row],[Loyer annuel]]/12,"")</f>
        <v>1666.6666666666667</v>
      </c>
      <c r="V299" s="12">
        <v>200</v>
      </c>
      <c r="W299" s="34" t="s">
        <v>98</v>
      </c>
      <c r="X299" s="6">
        <f>Tableau1[[#This Row],[Charges €/m²]]*Tableau1[[#This Row],[Surface GLA]]</f>
        <v>5500</v>
      </c>
      <c r="Y299" s="12">
        <f>Tableau1[[#This Row],[Charges annuelles]]/12</f>
        <v>458.33333333333331</v>
      </c>
      <c r="Z299" s="12">
        <v>55</v>
      </c>
      <c r="AA299" s="12">
        <f>IFERROR(Tableau1[[#This Row],[Taxe foncière €/m²]]*Tableau1[[#This Row],[Surface GLA]],)</f>
        <v>1400</v>
      </c>
      <c r="AB299" s="12">
        <v>14</v>
      </c>
      <c r="AC299" s="12">
        <f>IFERROR(Tableau1[[#This Row],[Marketing €/m²]]*Tableau1[[#This Row],[Surface GLA]],)</f>
        <v>0</v>
      </c>
      <c r="AD299" s="12"/>
      <c r="AE299" s="12">
        <f>IFERROR(Tableau1[[#This Row],[Loyer annuel]]+Tableau1[[#This Row],[Charges annuelles]]+Tableau1[[#This Row],[Taxe foncière]]+Tableau1[[#This Row],[Marketing]],"")</f>
        <v>26900</v>
      </c>
      <c r="AF299" s="12" t="str">
        <f t="shared" si="15"/>
        <v>3 mois = 5 000 €</v>
      </c>
      <c r="AG299" s="12" t="s">
        <v>98</v>
      </c>
      <c r="AH299" s="12" t="s">
        <v>98</v>
      </c>
      <c r="AI299" s="12" t="s">
        <v>357</v>
      </c>
      <c r="AJ299" s="10"/>
      <c r="AK299" s="10"/>
      <c r="AL299" s="10"/>
      <c r="AM299" s="11"/>
      <c r="AN299" s="11" t="s">
        <v>1386</v>
      </c>
      <c r="AO299" s="5" t="s">
        <v>361</v>
      </c>
      <c r="AP299" s="11" t="s">
        <v>2006</v>
      </c>
      <c r="AQ299" s="11" t="s">
        <v>2005</v>
      </c>
      <c r="AR299" s="11" t="s">
        <v>1992</v>
      </c>
      <c r="AS299" s="36" t="s">
        <v>2011</v>
      </c>
      <c r="AT299" s="11" t="s">
        <v>70</v>
      </c>
      <c r="AU299" s="11" t="s">
        <v>370</v>
      </c>
      <c r="AV299" s="13" t="s">
        <v>1871</v>
      </c>
      <c r="AW299" s="14"/>
      <c r="AX299" s="44"/>
    </row>
    <row r="300" spans="1:50" ht="25.5">
      <c r="A300" s="38" t="str">
        <f>VLOOKUP(Tableau1[[#This Row],[N° Département]],Feuil1!$C$6:$E$106,3)</f>
        <v>Grand Est</v>
      </c>
      <c r="B300" s="38" t="str">
        <f>VLOOKUP(Tableau1[[#This Row],[N° Département]],Feuil1!$C$6:$E$106,2)</f>
        <v>Meuse</v>
      </c>
      <c r="C300" s="38">
        <f>LEFT(Tableau1[[#This Row],[Code Postal]],2)*1</f>
        <v>55</v>
      </c>
      <c r="D300" s="10" t="s">
        <v>2014</v>
      </c>
      <c r="E300" s="26">
        <v>55000</v>
      </c>
      <c r="F300" s="10" t="s">
        <v>1985</v>
      </c>
      <c r="G300" s="39" t="str">
        <f>Tableau1[[#This Row],[Rue]]&amp;CHAR(10)&amp;Tableau1[[#This Row],[Code Postal]]&amp;" - "&amp;Tableau1[[#This Row],[Ville]]</f>
        <v>Auchan, 1 Rue de Longeville
55000 - Savonnières-devant-Bar</v>
      </c>
      <c r="H300" s="15" t="s">
        <v>1984</v>
      </c>
      <c r="I300" s="12" t="s">
        <v>47</v>
      </c>
      <c r="J300" s="12" t="s">
        <v>51</v>
      </c>
      <c r="K300" s="10" t="s">
        <v>98</v>
      </c>
      <c r="L300" s="10" t="s">
        <v>98</v>
      </c>
      <c r="M300" s="12" t="s">
        <v>98</v>
      </c>
      <c r="N300" s="36" t="s">
        <v>302</v>
      </c>
      <c r="O300" s="34">
        <v>37</v>
      </c>
      <c r="P300" s="6" t="s">
        <v>98</v>
      </c>
      <c r="Q300" s="34" t="s">
        <v>98</v>
      </c>
      <c r="R300" s="34" t="s">
        <v>98</v>
      </c>
      <c r="S300" s="6" t="s">
        <v>98</v>
      </c>
      <c r="T300" s="12">
        <f>Tableau1[[#This Row],[Loyer €/m²]]*Tableau1[[#This Row],[Surface GLA]]</f>
        <v>7400</v>
      </c>
      <c r="U300" s="12">
        <f>IFERROR(Tableau1[[#This Row],[Loyer annuel]]/12,"")</f>
        <v>616.66666666666663</v>
      </c>
      <c r="V300" s="12">
        <v>200</v>
      </c>
      <c r="W300" s="34" t="s">
        <v>98</v>
      </c>
      <c r="X300" s="6">
        <f>Tableau1[[#This Row],[Charges €/m²]]*Tableau1[[#This Row],[Surface GLA]]</f>
        <v>2035</v>
      </c>
      <c r="Y300" s="12">
        <f>Tableau1[[#This Row],[Charges annuelles]]/12</f>
        <v>169.58333333333334</v>
      </c>
      <c r="Z300" s="12">
        <v>55</v>
      </c>
      <c r="AA300" s="12">
        <f>IFERROR(Tableau1[[#This Row],[Taxe foncière €/m²]]*Tableau1[[#This Row],[Surface GLA]],)</f>
        <v>518</v>
      </c>
      <c r="AB300" s="12">
        <v>14</v>
      </c>
      <c r="AC300" s="12">
        <f>IFERROR(Tableau1[[#This Row],[Marketing €/m²]]*Tableau1[[#This Row],[Surface GLA]],)</f>
        <v>0</v>
      </c>
      <c r="AD300" s="12"/>
      <c r="AE300" s="12">
        <f>IFERROR(Tableau1[[#This Row],[Loyer annuel]]+Tableau1[[#This Row],[Charges annuelles]]+Tableau1[[#This Row],[Taxe foncière]]+Tableau1[[#This Row],[Marketing]],"")</f>
        <v>9953</v>
      </c>
      <c r="AF300" s="12" t="str">
        <f t="shared" si="15"/>
        <v>3 mois = 1 850 €</v>
      </c>
      <c r="AG300" s="12" t="s">
        <v>98</v>
      </c>
      <c r="AH300" s="12" t="s">
        <v>98</v>
      </c>
      <c r="AI300" s="12" t="s">
        <v>357</v>
      </c>
      <c r="AJ300" s="10"/>
      <c r="AK300" s="10"/>
      <c r="AL300" s="10"/>
      <c r="AM300" s="11"/>
      <c r="AN300" s="11" t="s">
        <v>1386</v>
      </c>
      <c r="AO300" s="5" t="s">
        <v>361</v>
      </c>
      <c r="AP300" s="11" t="s">
        <v>2003</v>
      </c>
      <c r="AQ300" s="11" t="s">
        <v>2004</v>
      </c>
      <c r="AR300" s="11" t="s">
        <v>1993</v>
      </c>
      <c r="AS300" s="36" t="s">
        <v>2011</v>
      </c>
      <c r="AT300" s="11" t="s">
        <v>70</v>
      </c>
      <c r="AU300" s="11" t="s">
        <v>370</v>
      </c>
      <c r="AV300" s="13" t="s">
        <v>1871</v>
      </c>
      <c r="AW300" s="14"/>
      <c r="AX300" s="44"/>
    </row>
    <row r="301" spans="1:50" ht="25.5">
      <c r="A301" s="38" t="str">
        <f>VLOOKUP(Tableau1[[#This Row],[N° Département]],Feuil1!$C$6:$E$106,3)</f>
        <v>Grand Est</v>
      </c>
      <c r="B301" s="38" t="str">
        <f>VLOOKUP(Tableau1[[#This Row],[N° Département]],Feuil1!$C$6:$E$106,2)</f>
        <v>Meuse</v>
      </c>
      <c r="C301" s="38">
        <f>LEFT(Tableau1[[#This Row],[Code Postal]],2)*1</f>
        <v>55</v>
      </c>
      <c r="D301" s="10" t="s">
        <v>2014</v>
      </c>
      <c r="E301" s="26">
        <v>55000</v>
      </c>
      <c r="F301" s="10" t="s">
        <v>1985</v>
      </c>
      <c r="G301" s="39" t="str">
        <f>Tableau1[[#This Row],[Rue]]&amp;CHAR(10)&amp;Tableau1[[#This Row],[Code Postal]]&amp;" - "&amp;Tableau1[[#This Row],[Ville]]</f>
        <v>Auchan, 1 Rue de Longeville
55000 - Savonnières-devant-Bar</v>
      </c>
      <c r="H301" s="15" t="s">
        <v>1984</v>
      </c>
      <c r="I301" s="12" t="s">
        <v>47</v>
      </c>
      <c r="J301" s="12" t="s">
        <v>51</v>
      </c>
      <c r="K301" s="10" t="s">
        <v>98</v>
      </c>
      <c r="L301" s="10" t="s">
        <v>98</v>
      </c>
      <c r="M301" s="12" t="s">
        <v>98</v>
      </c>
      <c r="N301" s="36" t="s">
        <v>462</v>
      </c>
      <c r="O301" s="34">
        <v>21</v>
      </c>
      <c r="P301" s="6" t="s">
        <v>98</v>
      </c>
      <c r="Q301" s="34">
        <v>221</v>
      </c>
      <c r="R301" s="34" t="s">
        <v>98</v>
      </c>
      <c r="S301" s="6" t="s">
        <v>98</v>
      </c>
      <c r="T301" s="12">
        <f>Tableau1[[#This Row],[Loyer €/m²]]*Tableau1[[#This Row],[Surface GLA]]</f>
        <v>4200</v>
      </c>
      <c r="U301" s="12">
        <f>IFERROR(Tableau1[[#This Row],[Loyer annuel]]/12,"")</f>
        <v>350</v>
      </c>
      <c r="V301" s="12">
        <v>200</v>
      </c>
      <c r="W301" s="34" t="s">
        <v>98</v>
      </c>
      <c r="X301" s="6">
        <f>Tableau1[[#This Row],[Charges €/m²]]*Tableau1[[#This Row],[Surface GLA]]</f>
        <v>1155</v>
      </c>
      <c r="Y301" s="12">
        <f>Tableau1[[#This Row],[Charges annuelles]]/12</f>
        <v>96.25</v>
      </c>
      <c r="Z301" s="12">
        <v>55</v>
      </c>
      <c r="AA301" s="12">
        <f>IFERROR(Tableau1[[#This Row],[Taxe foncière €/m²]]*Tableau1[[#This Row],[Surface GLA]],)</f>
        <v>294</v>
      </c>
      <c r="AB301" s="12">
        <v>14</v>
      </c>
      <c r="AC301" s="12">
        <f>IFERROR(Tableau1[[#This Row],[Marketing €/m²]]*Tableau1[[#This Row],[Surface GLA]],)</f>
        <v>0</v>
      </c>
      <c r="AD301" s="12"/>
      <c r="AE301" s="12">
        <f>IFERROR(Tableau1[[#This Row],[Loyer annuel]]+Tableau1[[#This Row],[Charges annuelles]]+Tableau1[[#This Row],[Taxe foncière]]+Tableau1[[#This Row],[Marketing]],"")</f>
        <v>5649</v>
      </c>
      <c r="AF301" s="12" t="str">
        <f t="shared" si="15"/>
        <v>3 mois = 1 050 €</v>
      </c>
      <c r="AG301" s="12" t="s">
        <v>98</v>
      </c>
      <c r="AH301" s="12" t="s">
        <v>98</v>
      </c>
      <c r="AI301" s="12" t="s">
        <v>357</v>
      </c>
      <c r="AJ301" s="10"/>
      <c r="AK301" s="10"/>
      <c r="AL301" s="10"/>
      <c r="AM301" s="11"/>
      <c r="AN301" s="11" t="s">
        <v>1386</v>
      </c>
      <c r="AO301" s="5" t="s">
        <v>361</v>
      </c>
      <c r="AP301" s="11" t="s">
        <v>2009</v>
      </c>
      <c r="AQ301" s="11" t="s">
        <v>2010</v>
      </c>
      <c r="AR301" s="11" t="s">
        <v>1994</v>
      </c>
      <c r="AS301" s="36" t="s">
        <v>2011</v>
      </c>
      <c r="AT301" s="11" t="s">
        <v>70</v>
      </c>
      <c r="AU301" s="11" t="s">
        <v>370</v>
      </c>
      <c r="AV301" s="13" t="s">
        <v>1871</v>
      </c>
      <c r="AW301" s="14"/>
      <c r="AX301" s="44"/>
    </row>
    <row r="302" spans="1:50" ht="38.25">
      <c r="A302" s="38" t="str">
        <f>VLOOKUP(Tableau1[[#This Row],[N° Département]],Feuil1!$C$6:$E$106,3)</f>
        <v>Bourgogne-Franche-Comté</v>
      </c>
      <c r="B302" s="38" t="str">
        <f>VLOOKUP(Tableau1[[#This Row],[N° Département]],Feuil1!$C$6:$E$106,2)</f>
        <v>Côte-d'Or</v>
      </c>
      <c r="C302" s="38">
        <f>LEFT(Tableau1[[#This Row],[Code Postal]],2)*1</f>
        <v>21</v>
      </c>
      <c r="D302" s="10" t="s">
        <v>2027</v>
      </c>
      <c r="E302" s="26">
        <v>21200</v>
      </c>
      <c r="F302" s="10" t="s">
        <v>2013</v>
      </c>
      <c r="G302" s="39" t="str">
        <f>Tableau1[[#This Row],[Rue]]&amp;CHAR(10)&amp;Tableau1[[#This Row],[Code Postal]]&amp;" - "&amp;Tableau1[[#This Row],[Ville]]</f>
        <v>Beaune St-Jacques, 9 Av. du Général de Gaulle
21200 - Beaune</v>
      </c>
      <c r="H302" s="15" t="s">
        <v>2012</v>
      </c>
      <c r="I302" s="12" t="s">
        <v>47</v>
      </c>
      <c r="J302" s="12" t="s">
        <v>51</v>
      </c>
      <c r="K302" s="10" t="s">
        <v>98</v>
      </c>
      <c r="L302" s="10" t="s">
        <v>98</v>
      </c>
      <c r="M302" s="12" t="s">
        <v>98</v>
      </c>
      <c r="N302" s="36" t="s">
        <v>351</v>
      </c>
      <c r="O302" s="34">
        <v>176</v>
      </c>
      <c r="P302" s="6" t="s">
        <v>98</v>
      </c>
      <c r="Q302" s="34">
        <v>593</v>
      </c>
      <c r="R302" s="34" t="s">
        <v>98</v>
      </c>
      <c r="S302" s="6" t="s">
        <v>98</v>
      </c>
      <c r="T302" s="12">
        <f>Tableau1[[#This Row],[Loyer €/m²]]*Tableau1[[#This Row],[Surface GLA]]</f>
        <v>35200</v>
      </c>
      <c r="U302" s="12">
        <f>IFERROR(Tableau1[[#This Row],[Loyer annuel]]/12,"")</f>
        <v>2933.3333333333335</v>
      </c>
      <c r="V302" s="12">
        <v>200</v>
      </c>
      <c r="W302" s="34" t="s">
        <v>98</v>
      </c>
      <c r="X302" s="6">
        <f>Tableau1[[#This Row],[Charges €/m²]]*Tableau1[[#This Row],[Surface GLA]]</f>
        <v>7920</v>
      </c>
      <c r="Y302" s="12">
        <f>Tableau1[[#This Row],[Charges annuelles]]/12</f>
        <v>660</v>
      </c>
      <c r="Z302" s="12">
        <v>45</v>
      </c>
      <c r="AA302" s="12">
        <f>IFERROR(Tableau1[[#This Row],[Taxe foncière €/m²]]*Tableau1[[#This Row],[Surface GLA]],)</f>
        <v>3520</v>
      </c>
      <c r="AB302" s="12">
        <v>20</v>
      </c>
      <c r="AC302" s="12">
        <f>IFERROR(Tableau1[[#This Row],[Marketing €/m²]]*Tableau1[[#This Row],[Surface GLA]],)</f>
        <v>0</v>
      </c>
      <c r="AD302" s="12"/>
      <c r="AE302" s="12">
        <f>IFERROR(Tableau1[[#This Row],[Loyer annuel]]+Tableau1[[#This Row],[Charges annuelles]]+Tableau1[[#This Row],[Taxe foncière]]+Tableau1[[#This Row],[Marketing]],"")</f>
        <v>46640</v>
      </c>
      <c r="AF302" s="12" t="str">
        <f t="shared" si="15"/>
        <v>3 mois = 8 800 €</v>
      </c>
      <c r="AG302" s="12" t="s">
        <v>98</v>
      </c>
      <c r="AH302" s="12" t="s">
        <v>98</v>
      </c>
      <c r="AI302" s="12" t="s">
        <v>357</v>
      </c>
      <c r="AJ302" s="10"/>
      <c r="AK302" s="10"/>
      <c r="AL302" s="10"/>
      <c r="AM302" s="11"/>
      <c r="AN302" s="11" t="s">
        <v>1386</v>
      </c>
      <c r="AO302" s="5" t="s">
        <v>361</v>
      </c>
      <c r="AP302" s="11" t="s">
        <v>2019</v>
      </c>
      <c r="AQ302" s="11" t="s">
        <v>2020</v>
      </c>
      <c r="AR302" s="11" t="s">
        <v>2015</v>
      </c>
      <c r="AS302" s="36" t="s">
        <v>2028</v>
      </c>
      <c r="AT302" s="11" t="s">
        <v>70</v>
      </c>
      <c r="AU302" s="11" t="s">
        <v>370</v>
      </c>
      <c r="AV302" s="13" t="s">
        <v>1871</v>
      </c>
      <c r="AW302" s="14"/>
      <c r="AX302" s="44"/>
    </row>
    <row r="303" spans="1:50" ht="38.25">
      <c r="A303" s="38" t="str">
        <f>VLOOKUP(Tableau1[[#This Row],[N° Département]],Feuil1!$C$6:$E$106,3)</f>
        <v>Bourgogne-Franche-Comté</v>
      </c>
      <c r="B303" s="38" t="str">
        <f>VLOOKUP(Tableau1[[#This Row],[N° Département]],Feuil1!$C$6:$E$106,2)</f>
        <v>Côte-d'Or</v>
      </c>
      <c r="C303" s="38">
        <f>LEFT(Tableau1[[#This Row],[Code Postal]],2)*1</f>
        <v>21</v>
      </c>
      <c r="D303" s="10" t="s">
        <v>2027</v>
      </c>
      <c r="E303" s="26">
        <v>21200</v>
      </c>
      <c r="F303" s="10" t="s">
        <v>2013</v>
      </c>
      <c r="G303" s="39" t="str">
        <f>Tableau1[[#This Row],[Rue]]&amp;CHAR(10)&amp;Tableau1[[#This Row],[Code Postal]]&amp;" - "&amp;Tableau1[[#This Row],[Ville]]</f>
        <v>Beaune St-Jacques, 9 Av. du Général de Gaulle
21200 - Beaune</v>
      </c>
      <c r="H303" s="15" t="s">
        <v>2012</v>
      </c>
      <c r="I303" s="12" t="s">
        <v>47</v>
      </c>
      <c r="J303" s="12" t="s">
        <v>51</v>
      </c>
      <c r="K303" s="10" t="s">
        <v>98</v>
      </c>
      <c r="L303" s="10" t="s">
        <v>98</v>
      </c>
      <c r="M303" s="12" t="s">
        <v>98</v>
      </c>
      <c r="N303" s="36" t="s">
        <v>352</v>
      </c>
      <c r="O303" s="34">
        <v>417</v>
      </c>
      <c r="P303" s="6" t="s">
        <v>98</v>
      </c>
      <c r="Q303" s="34">
        <v>593</v>
      </c>
      <c r="R303" s="34" t="s">
        <v>98</v>
      </c>
      <c r="S303" s="6" t="s">
        <v>98</v>
      </c>
      <c r="T303" s="12">
        <f>Tableau1[[#This Row],[Loyer €/m²]]*Tableau1[[#This Row],[Surface GLA]]</f>
        <v>83400</v>
      </c>
      <c r="U303" s="12">
        <f>IFERROR(Tableau1[[#This Row],[Loyer annuel]]/12,"")</f>
        <v>6950</v>
      </c>
      <c r="V303" s="12">
        <v>200</v>
      </c>
      <c r="W303" s="34" t="s">
        <v>98</v>
      </c>
      <c r="X303" s="6">
        <f>Tableau1[[#This Row],[Charges €/m²]]*Tableau1[[#This Row],[Surface GLA]]</f>
        <v>18765</v>
      </c>
      <c r="Y303" s="12">
        <f>Tableau1[[#This Row],[Charges annuelles]]/12</f>
        <v>1563.75</v>
      </c>
      <c r="Z303" s="12">
        <v>45</v>
      </c>
      <c r="AA303" s="12">
        <f>IFERROR(Tableau1[[#This Row],[Taxe foncière €/m²]]*Tableau1[[#This Row],[Surface GLA]],)</f>
        <v>8340</v>
      </c>
      <c r="AB303" s="12">
        <v>20</v>
      </c>
      <c r="AC303" s="12">
        <f>IFERROR(Tableau1[[#This Row],[Marketing €/m²]]*Tableau1[[#This Row],[Surface GLA]],)</f>
        <v>0</v>
      </c>
      <c r="AD303" s="12"/>
      <c r="AE303" s="12">
        <f>IFERROR(Tableau1[[#This Row],[Loyer annuel]]+Tableau1[[#This Row],[Charges annuelles]]+Tableau1[[#This Row],[Taxe foncière]]+Tableau1[[#This Row],[Marketing]],"")</f>
        <v>110505</v>
      </c>
      <c r="AF303" s="12" t="str">
        <f t="shared" si="15"/>
        <v>3 mois = 20 850 €</v>
      </c>
      <c r="AG303" s="12" t="s">
        <v>98</v>
      </c>
      <c r="AH303" s="12" t="s">
        <v>98</v>
      </c>
      <c r="AI303" s="12" t="s">
        <v>357</v>
      </c>
      <c r="AJ303" s="10"/>
      <c r="AK303" s="10"/>
      <c r="AL303" s="10"/>
      <c r="AM303" s="11"/>
      <c r="AN303" s="11" t="s">
        <v>1386</v>
      </c>
      <c r="AO303" s="5" t="s">
        <v>361</v>
      </c>
      <c r="AP303" s="11" t="s">
        <v>2021</v>
      </c>
      <c r="AQ303" s="11" t="s">
        <v>2022</v>
      </c>
      <c r="AR303" s="11" t="s">
        <v>2016</v>
      </c>
      <c r="AS303" s="36" t="s">
        <v>2028</v>
      </c>
      <c r="AT303" s="11" t="s">
        <v>70</v>
      </c>
      <c r="AU303" s="11" t="s">
        <v>370</v>
      </c>
      <c r="AV303" s="13" t="s">
        <v>1871</v>
      </c>
      <c r="AW303" s="14"/>
      <c r="AX303" s="44"/>
    </row>
    <row r="304" spans="1:50" ht="38.25">
      <c r="A304" s="38" t="str">
        <f>VLOOKUP(Tableau1[[#This Row],[N° Département]],Feuil1!$C$6:$E$106,3)</f>
        <v>Bourgogne-Franche-Comté</v>
      </c>
      <c r="B304" s="38" t="str">
        <f>VLOOKUP(Tableau1[[#This Row],[N° Département]],Feuil1!$C$6:$E$106,2)</f>
        <v>Côte-d'Or</v>
      </c>
      <c r="C304" s="38">
        <f>LEFT(Tableau1[[#This Row],[Code Postal]],2)*1</f>
        <v>21</v>
      </c>
      <c r="D304" s="10" t="s">
        <v>2027</v>
      </c>
      <c r="E304" s="26">
        <v>21200</v>
      </c>
      <c r="F304" s="10" t="s">
        <v>2013</v>
      </c>
      <c r="G304" s="39" t="str">
        <f>Tableau1[[#This Row],[Rue]]&amp;CHAR(10)&amp;Tableau1[[#This Row],[Code Postal]]&amp;" - "&amp;Tableau1[[#This Row],[Ville]]</f>
        <v>Beaune St-Jacques, 9 Av. du Général de Gaulle
21200 - Beaune</v>
      </c>
      <c r="H304" s="15" t="s">
        <v>2012</v>
      </c>
      <c r="I304" s="12" t="s">
        <v>47</v>
      </c>
      <c r="J304" s="12" t="s">
        <v>51</v>
      </c>
      <c r="K304" s="10" t="s">
        <v>98</v>
      </c>
      <c r="L304" s="10" t="s">
        <v>98</v>
      </c>
      <c r="M304" s="12" t="s">
        <v>98</v>
      </c>
      <c r="N304" s="36" t="s">
        <v>465</v>
      </c>
      <c r="O304" s="34">
        <v>145</v>
      </c>
      <c r="P304" s="6" t="s">
        <v>98</v>
      </c>
      <c r="Q304" s="34" t="s">
        <v>98</v>
      </c>
      <c r="R304" s="34" t="s">
        <v>98</v>
      </c>
      <c r="S304" s="6" t="s">
        <v>98</v>
      </c>
      <c r="T304" s="12">
        <f>Tableau1[[#This Row],[Loyer €/m²]]*Tableau1[[#This Row],[Surface GLA]]</f>
        <v>29000</v>
      </c>
      <c r="U304" s="12">
        <f>IFERROR(Tableau1[[#This Row],[Loyer annuel]]/12,"")</f>
        <v>2416.6666666666665</v>
      </c>
      <c r="V304" s="12">
        <v>200</v>
      </c>
      <c r="W304" s="34" t="s">
        <v>98</v>
      </c>
      <c r="X304" s="6">
        <f>Tableau1[[#This Row],[Charges €/m²]]*Tableau1[[#This Row],[Surface GLA]]</f>
        <v>6525</v>
      </c>
      <c r="Y304" s="12">
        <f>Tableau1[[#This Row],[Charges annuelles]]/12</f>
        <v>543.75</v>
      </c>
      <c r="Z304" s="12">
        <v>45</v>
      </c>
      <c r="AA304" s="12">
        <f>IFERROR(Tableau1[[#This Row],[Taxe foncière €/m²]]*Tableau1[[#This Row],[Surface GLA]],)</f>
        <v>2900</v>
      </c>
      <c r="AB304" s="12">
        <v>20</v>
      </c>
      <c r="AC304" s="12">
        <f>IFERROR(Tableau1[[#This Row],[Marketing €/m²]]*Tableau1[[#This Row],[Surface GLA]],)</f>
        <v>0</v>
      </c>
      <c r="AD304" s="12"/>
      <c r="AE304" s="12">
        <f>IFERROR(Tableau1[[#This Row],[Loyer annuel]]+Tableau1[[#This Row],[Charges annuelles]]+Tableau1[[#This Row],[Taxe foncière]]+Tableau1[[#This Row],[Marketing]],"")</f>
        <v>38425</v>
      </c>
      <c r="AF304" s="12" t="str">
        <f t="shared" si="15"/>
        <v>3 mois = 7 250 €</v>
      </c>
      <c r="AG304" s="12" t="s">
        <v>98</v>
      </c>
      <c r="AH304" s="12" t="s">
        <v>98</v>
      </c>
      <c r="AI304" s="12" t="s">
        <v>357</v>
      </c>
      <c r="AJ304" s="10"/>
      <c r="AK304" s="10"/>
      <c r="AL304" s="10"/>
      <c r="AM304" s="11"/>
      <c r="AN304" s="11" t="s">
        <v>1386</v>
      </c>
      <c r="AO304" s="5" t="s">
        <v>361</v>
      </c>
      <c r="AP304" s="11" t="s">
        <v>2023</v>
      </c>
      <c r="AQ304" s="11" t="s">
        <v>2024</v>
      </c>
      <c r="AR304" s="11" t="s">
        <v>2017</v>
      </c>
      <c r="AS304" s="36" t="s">
        <v>2028</v>
      </c>
      <c r="AT304" s="11" t="s">
        <v>70</v>
      </c>
      <c r="AU304" s="11" t="s">
        <v>370</v>
      </c>
      <c r="AV304" s="13" t="s">
        <v>1871</v>
      </c>
      <c r="AW304" s="14"/>
      <c r="AX304" s="44"/>
    </row>
    <row r="305" spans="1:50" ht="38.25">
      <c r="A305" s="38" t="str">
        <f>VLOOKUP(Tableau1[[#This Row],[N° Département]],Feuil1!$C$6:$E$106,3)</f>
        <v>Bourgogne-Franche-Comté</v>
      </c>
      <c r="B305" s="38" t="str">
        <f>VLOOKUP(Tableau1[[#This Row],[N° Département]],Feuil1!$C$6:$E$106,2)</f>
        <v>Côte-d'Or</v>
      </c>
      <c r="C305" s="38">
        <f>LEFT(Tableau1[[#This Row],[Code Postal]],2)*1</f>
        <v>21</v>
      </c>
      <c r="D305" s="10" t="s">
        <v>2027</v>
      </c>
      <c r="E305" s="26">
        <v>21200</v>
      </c>
      <c r="F305" s="10" t="s">
        <v>2013</v>
      </c>
      <c r="G305" s="39" t="str">
        <f>Tableau1[[#This Row],[Rue]]&amp;CHAR(10)&amp;Tableau1[[#This Row],[Code Postal]]&amp;" - "&amp;Tableau1[[#This Row],[Ville]]</f>
        <v>Beaune St-Jacques, 9 Av. du Général de Gaulle
21200 - Beaune</v>
      </c>
      <c r="H305" s="15" t="s">
        <v>2012</v>
      </c>
      <c r="I305" s="12" t="s">
        <v>47</v>
      </c>
      <c r="J305" s="12" t="s">
        <v>51</v>
      </c>
      <c r="K305" s="10" t="s">
        <v>98</v>
      </c>
      <c r="L305" s="10" t="s">
        <v>98</v>
      </c>
      <c r="M305" s="12" t="s">
        <v>98</v>
      </c>
      <c r="N305" s="36" t="s">
        <v>466</v>
      </c>
      <c r="O305" s="34">
        <v>91</v>
      </c>
      <c r="P305" s="6" t="s">
        <v>98</v>
      </c>
      <c r="Q305" s="34" t="s">
        <v>98</v>
      </c>
      <c r="R305" s="34" t="s">
        <v>98</v>
      </c>
      <c r="S305" s="6" t="s">
        <v>98</v>
      </c>
      <c r="T305" s="12">
        <f>Tableau1[[#This Row],[Loyer €/m²]]*Tableau1[[#This Row],[Surface GLA]]</f>
        <v>18200</v>
      </c>
      <c r="U305" s="12">
        <f>IFERROR(Tableau1[[#This Row],[Loyer annuel]]/12,"")</f>
        <v>1516.6666666666667</v>
      </c>
      <c r="V305" s="12">
        <v>200</v>
      </c>
      <c r="W305" s="34" t="s">
        <v>98</v>
      </c>
      <c r="X305" s="6">
        <f>Tableau1[[#This Row],[Charges €/m²]]*Tableau1[[#This Row],[Surface GLA]]</f>
        <v>4095</v>
      </c>
      <c r="Y305" s="12">
        <f>Tableau1[[#This Row],[Charges annuelles]]/12</f>
        <v>341.25</v>
      </c>
      <c r="Z305" s="12">
        <v>45</v>
      </c>
      <c r="AA305" s="12">
        <f>IFERROR(Tableau1[[#This Row],[Taxe foncière €/m²]]*Tableau1[[#This Row],[Surface GLA]],)</f>
        <v>1820</v>
      </c>
      <c r="AB305" s="12">
        <v>20</v>
      </c>
      <c r="AC305" s="12">
        <f>IFERROR(Tableau1[[#This Row],[Marketing €/m²]]*Tableau1[[#This Row],[Surface GLA]],)</f>
        <v>0</v>
      </c>
      <c r="AD305" s="12"/>
      <c r="AE305" s="12">
        <f>IFERROR(Tableau1[[#This Row],[Loyer annuel]]+Tableau1[[#This Row],[Charges annuelles]]+Tableau1[[#This Row],[Taxe foncière]]+Tableau1[[#This Row],[Marketing]],"")</f>
        <v>24115</v>
      </c>
      <c r="AF305" s="12" t="str">
        <f t="shared" si="15"/>
        <v>3 mois = 4 550 €</v>
      </c>
      <c r="AG305" s="12" t="s">
        <v>98</v>
      </c>
      <c r="AH305" s="12" t="s">
        <v>98</v>
      </c>
      <c r="AI305" s="12" t="s">
        <v>357</v>
      </c>
      <c r="AJ305" s="10"/>
      <c r="AK305" s="10"/>
      <c r="AL305" s="10"/>
      <c r="AM305" s="11"/>
      <c r="AN305" s="11" t="s">
        <v>1386</v>
      </c>
      <c r="AO305" s="5" t="s">
        <v>361</v>
      </c>
      <c r="AP305" s="11" t="s">
        <v>2025</v>
      </c>
      <c r="AQ305" s="11" t="s">
        <v>2026</v>
      </c>
      <c r="AR305" s="11" t="s">
        <v>2018</v>
      </c>
      <c r="AS305" s="36" t="s">
        <v>2028</v>
      </c>
      <c r="AT305" s="11" t="s">
        <v>70</v>
      </c>
      <c r="AU305" s="11" t="s">
        <v>370</v>
      </c>
      <c r="AV305" s="13" t="s">
        <v>1871</v>
      </c>
      <c r="AW305" s="14"/>
      <c r="AX305" s="44"/>
    </row>
    <row r="306" spans="1:50" ht="25.5">
      <c r="A306" s="38" t="str">
        <f>VLOOKUP(Tableau1[[#This Row],[N° Département]],Feuil1!$C$6:$E$106,3)</f>
        <v>Hauts-de-France</v>
      </c>
      <c r="B306" s="38" t="str">
        <f>VLOOKUP(Tableau1[[#This Row],[N° Département]],Feuil1!$C$6:$E$106,2)</f>
        <v>Pas-de-Calais</v>
      </c>
      <c r="C306" s="38">
        <f>LEFT(Tableau1[[#This Row],[Code Postal]],2)*1</f>
        <v>62</v>
      </c>
      <c r="D306" s="10" t="s">
        <v>2031</v>
      </c>
      <c r="E306" s="26">
        <v>62100</v>
      </c>
      <c r="F306" s="10" t="s">
        <v>2030</v>
      </c>
      <c r="G306" s="39" t="str">
        <f>Tableau1[[#This Row],[Rue]]&amp;CHAR(10)&amp;Tableau1[[#This Row],[Code Postal]]&amp;" - "&amp;Tableau1[[#This Row],[Ville]]</f>
        <v>Auchan 1 Av. Roger Salengro
62100 - Calais</v>
      </c>
      <c r="H306" s="15" t="s">
        <v>2029</v>
      </c>
      <c r="I306" s="12" t="s">
        <v>47</v>
      </c>
      <c r="J306" s="12" t="s">
        <v>51</v>
      </c>
      <c r="K306" s="10" t="s">
        <v>98</v>
      </c>
      <c r="L306" s="10" t="s">
        <v>98</v>
      </c>
      <c r="M306" s="12" t="s">
        <v>98</v>
      </c>
      <c r="N306" s="36" t="s">
        <v>329</v>
      </c>
      <c r="O306" s="34">
        <v>202</v>
      </c>
      <c r="P306" s="6" t="s">
        <v>98</v>
      </c>
      <c r="Q306" s="34" t="s">
        <v>98</v>
      </c>
      <c r="R306" s="34" t="s">
        <v>98</v>
      </c>
      <c r="S306" s="6" t="s">
        <v>98</v>
      </c>
      <c r="T306" s="12">
        <f>Tableau1[[#This Row],[Loyer €/m²]]*Tableau1[[#This Row],[Surface GLA]]</f>
        <v>60600</v>
      </c>
      <c r="U306" s="12">
        <f>IFERROR(Tableau1[[#This Row],[Loyer annuel]]/12,"")</f>
        <v>5050</v>
      </c>
      <c r="V306" s="12">
        <v>300</v>
      </c>
      <c r="W306" s="34" t="s">
        <v>98</v>
      </c>
      <c r="X306" s="6">
        <f>Tableau1[[#This Row],[Charges €/m²]]*Tableau1[[#This Row],[Surface GLA]]</f>
        <v>9090</v>
      </c>
      <c r="Y306" s="12">
        <f>Tableau1[[#This Row],[Charges annuelles]]/12</f>
        <v>757.5</v>
      </c>
      <c r="Z306" s="12">
        <v>45</v>
      </c>
      <c r="AA306" s="12">
        <f>IFERROR(Tableau1[[#This Row],[Taxe foncière €/m²]]*Tableau1[[#This Row],[Surface GLA]],)</f>
        <v>5454</v>
      </c>
      <c r="AB306" s="12">
        <v>27</v>
      </c>
      <c r="AC306" s="12">
        <f>IFERROR(Tableau1[[#This Row],[Marketing €/m²]]*Tableau1[[#This Row],[Surface GLA]],)</f>
        <v>0</v>
      </c>
      <c r="AD306" s="12"/>
      <c r="AE306" s="12">
        <f>IFERROR(Tableau1[[#This Row],[Loyer annuel]]+Tableau1[[#This Row],[Charges annuelles]]+Tableau1[[#This Row],[Taxe foncière]]+Tableau1[[#This Row],[Marketing]],"")</f>
        <v>75144</v>
      </c>
      <c r="AF306" s="12" t="str">
        <f t="shared" si="15"/>
        <v>3 mois = 15 150 €</v>
      </c>
      <c r="AG306" s="12" t="s">
        <v>98</v>
      </c>
      <c r="AH306" s="12" t="s">
        <v>98</v>
      </c>
      <c r="AI306" s="12" t="s">
        <v>357</v>
      </c>
      <c r="AJ306" s="10"/>
      <c r="AK306" s="10"/>
      <c r="AL306" s="10"/>
      <c r="AM306" s="11" t="s">
        <v>2047</v>
      </c>
      <c r="AN306" s="11" t="s">
        <v>1386</v>
      </c>
      <c r="AO306" s="5" t="s">
        <v>361</v>
      </c>
      <c r="AP306" s="11" t="s">
        <v>2037</v>
      </c>
      <c r="AQ306" s="11" t="s">
        <v>2038</v>
      </c>
      <c r="AR306" s="11" t="s">
        <v>2032</v>
      </c>
      <c r="AS306" s="36" t="s">
        <v>2048</v>
      </c>
      <c r="AT306" s="11" t="s">
        <v>70</v>
      </c>
      <c r="AU306" s="11" t="s">
        <v>370</v>
      </c>
      <c r="AV306" s="13" t="s">
        <v>1871</v>
      </c>
      <c r="AW306" s="14"/>
      <c r="AX306" s="44"/>
    </row>
    <row r="307" spans="1:50" ht="25.5">
      <c r="A307" s="38" t="str">
        <f>VLOOKUP(Tableau1[[#This Row],[N° Département]],Feuil1!$C$6:$E$106,3)</f>
        <v>Hauts-de-France</v>
      </c>
      <c r="B307" s="38" t="str">
        <f>VLOOKUP(Tableau1[[#This Row],[N° Département]],Feuil1!$C$6:$E$106,2)</f>
        <v>Pas-de-Calais</v>
      </c>
      <c r="C307" s="38">
        <f>LEFT(Tableau1[[#This Row],[Code Postal]],2)*1</f>
        <v>62</v>
      </c>
      <c r="D307" s="10" t="s">
        <v>2031</v>
      </c>
      <c r="E307" s="26">
        <v>62101</v>
      </c>
      <c r="F307" s="10" t="s">
        <v>2030</v>
      </c>
      <c r="G307" s="39" t="str">
        <f>Tableau1[[#This Row],[Rue]]&amp;CHAR(10)&amp;Tableau1[[#This Row],[Code Postal]]&amp;" - "&amp;Tableau1[[#This Row],[Ville]]</f>
        <v>Auchan 1 Av. Roger Salengro
62101 - Calais</v>
      </c>
      <c r="H307" s="15" t="s">
        <v>2029</v>
      </c>
      <c r="I307" s="12" t="s">
        <v>47</v>
      </c>
      <c r="J307" s="12" t="s">
        <v>51</v>
      </c>
      <c r="K307" s="10" t="s">
        <v>98</v>
      </c>
      <c r="L307" s="10" t="s">
        <v>98</v>
      </c>
      <c r="M307" s="12" t="s">
        <v>98</v>
      </c>
      <c r="N307" s="36" t="s">
        <v>307</v>
      </c>
      <c r="O307" s="34">
        <v>152</v>
      </c>
      <c r="P307" s="6" t="s">
        <v>98</v>
      </c>
      <c r="Q307" s="34" t="s">
        <v>98</v>
      </c>
      <c r="R307" s="34" t="s">
        <v>98</v>
      </c>
      <c r="S307" s="6" t="s">
        <v>98</v>
      </c>
      <c r="T307" s="12">
        <f>Tableau1[[#This Row],[Loyer €/m²]]*Tableau1[[#This Row],[Surface GLA]]</f>
        <v>45600</v>
      </c>
      <c r="U307" s="12">
        <f>IFERROR(Tableau1[[#This Row],[Loyer annuel]]/12,"")</f>
        <v>3800</v>
      </c>
      <c r="V307" s="12">
        <v>300</v>
      </c>
      <c r="W307" s="34" t="s">
        <v>98</v>
      </c>
      <c r="X307" s="6">
        <f>Tableau1[[#This Row],[Charges €/m²]]*Tableau1[[#This Row],[Surface GLA]]</f>
        <v>6840</v>
      </c>
      <c r="Y307" s="12">
        <f>Tableau1[[#This Row],[Charges annuelles]]/12</f>
        <v>570</v>
      </c>
      <c r="Z307" s="12">
        <v>45</v>
      </c>
      <c r="AA307" s="12">
        <f>IFERROR(Tableau1[[#This Row],[Taxe foncière €/m²]]*Tableau1[[#This Row],[Surface GLA]],)</f>
        <v>4104</v>
      </c>
      <c r="AB307" s="12">
        <v>27</v>
      </c>
      <c r="AC307" s="12">
        <f>IFERROR(Tableau1[[#This Row],[Marketing €/m²]]*Tableau1[[#This Row],[Surface GLA]],)</f>
        <v>0</v>
      </c>
      <c r="AD307" s="12"/>
      <c r="AE307" s="12">
        <f>IFERROR(Tableau1[[#This Row],[Loyer annuel]]+Tableau1[[#This Row],[Charges annuelles]]+Tableau1[[#This Row],[Taxe foncière]]+Tableau1[[#This Row],[Marketing]],"")</f>
        <v>56544</v>
      </c>
      <c r="AF307" s="12" t="str">
        <f t="shared" si="15"/>
        <v>3 mois = 11 400 €</v>
      </c>
      <c r="AG307" s="12" t="s">
        <v>98</v>
      </c>
      <c r="AH307" s="12" t="s">
        <v>98</v>
      </c>
      <c r="AI307" s="12" t="s">
        <v>357</v>
      </c>
      <c r="AJ307" s="10"/>
      <c r="AK307" s="10"/>
      <c r="AL307" s="10"/>
      <c r="AM307" s="11" t="s">
        <v>2047</v>
      </c>
      <c r="AN307" s="11" t="s">
        <v>1386</v>
      </c>
      <c r="AO307" s="5" t="s">
        <v>361</v>
      </c>
      <c r="AP307" s="11" t="s">
        <v>2039</v>
      </c>
      <c r="AQ307" s="11" t="s">
        <v>2040</v>
      </c>
      <c r="AR307" s="11" t="s">
        <v>2033</v>
      </c>
      <c r="AS307" s="36" t="s">
        <v>2048</v>
      </c>
      <c r="AT307" s="11" t="s">
        <v>70</v>
      </c>
      <c r="AU307" s="11" t="s">
        <v>370</v>
      </c>
      <c r="AV307" s="13" t="s">
        <v>1871</v>
      </c>
      <c r="AW307" s="14"/>
      <c r="AX307" s="44"/>
    </row>
    <row r="308" spans="1:50" ht="25.5">
      <c r="A308" s="38" t="str">
        <f>VLOOKUP(Tableau1[[#This Row],[N° Département]],Feuil1!$C$6:$E$106,3)</f>
        <v>Hauts-de-France</v>
      </c>
      <c r="B308" s="38" t="str">
        <f>VLOOKUP(Tableau1[[#This Row],[N° Département]],Feuil1!$C$6:$E$106,2)</f>
        <v>Pas-de-Calais</v>
      </c>
      <c r="C308" s="38">
        <f>LEFT(Tableau1[[#This Row],[Code Postal]],2)*1</f>
        <v>62</v>
      </c>
      <c r="D308" s="10" t="s">
        <v>2031</v>
      </c>
      <c r="E308" s="26">
        <v>62102</v>
      </c>
      <c r="F308" s="10" t="s">
        <v>2030</v>
      </c>
      <c r="G308" s="39" t="str">
        <f>Tableau1[[#This Row],[Rue]]&amp;CHAR(10)&amp;Tableau1[[#This Row],[Code Postal]]&amp;" - "&amp;Tableau1[[#This Row],[Ville]]</f>
        <v>Auchan 1 Av. Roger Salengro
62102 - Calais</v>
      </c>
      <c r="H308" s="15" t="s">
        <v>2029</v>
      </c>
      <c r="I308" s="12" t="s">
        <v>47</v>
      </c>
      <c r="J308" s="12" t="s">
        <v>51</v>
      </c>
      <c r="K308" s="10" t="s">
        <v>98</v>
      </c>
      <c r="L308" s="10" t="s">
        <v>98</v>
      </c>
      <c r="M308" s="12" t="s">
        <v>98</v>
      </c>
      <c r="N308" s="36" t="s">
        <v>464</v>
      </c>
      <c r="O308" s="34">
        <v>80</v>
      </c>
      <c r="P308" s="6" t="s">
        <v>98</v>
      </c>
      <c r="Q308" s="34">
        <v>186</v>
      </c>
      <c r="R308" s="6" t="s">
        <v>98</v>
      </c>
      <c r="S308" s="6" t="s">
        <v>98</v>
      </c>
      <c r="T308" s="12">
        <f>Tableau1[[#This Row],[Loyer €/m²]]*Tableau1[[#This Row],[Surface GLA]]</f>
        <v>32000</v>
      </c>
      <c r="U308" s="12">
        <f>IFERROR(Tableau1[[#This Row],[Loyer annuel]]/12,"")</f>
        <v>2666.6666666666665</v>
      </c>
      <c r="V308" s="12">
        <v>400</v>
      </c>
      <c r="W308" s="34" t="s">
        <v>98</v>
      </c>
      <c r="X308" s="6">
        <f>Tableau1[[#This Row],[Charges €/m²]]*Tableau1[[#This Row],[Surface GLA]]</f>
        <v>3600</v>
      </c>
      <c r="Y308" s="12">
        <f>Tableau1[[#This Row],[Charges annuelles]]/12</f>
        <v>300</v>
      </c>
      <c r="Z308" s="12">
        <v>45</v>
      </c>
      <c r="AA308" s="12">
        <f>IFERROR(Tableau1[[#This Row],[Taxe foncière €/m²]]*Tableau1[[#This Row],[Surface GLA]],)</f>
        <v>2160</v>
      </c>
      <c r="AB308" s="12">
        <v>27</v>
      </c>
      <c r="AC308" s="12">
        <f>IFERROR(Tableau1[[#This Row],[Marketing €/m²]]*Tableau1[[#This Row],[Surface GLA]],)</f>
        <v>0</v>
      </c>
      <c r="AD308" s="12"/>
      <c r="AE308" s="12">
        <f>IFERROR(Tableau1[[#This Row],[Loyer annuel]]+Tableau1[[#This Row],[Charges annuelles]]+Tableau1[[#This Row],[Taxe foncière]]+Tableau1[[#This Row],[Marketing]],"")</f>
        <v>37760</v>
      </c>
      <c r="AF308" s="12" t="str">
        <f t="shared" si="15"/>
        <v>3 mois = 8 000 €</v>
      </c>
      <c r="AG308" s="12" t="s">
        <v>98</v>
      </c>
      <c r="AH308" s="12" t="s">
        <v>98</v>
      </c>
      <c r="AI308" s="12" t="s">
        <v>357</v>
      </c>
      <c r="AJ308" s="10"/>
      <c r="AK308" s="10"/>
      <c r="AL308" s="10"/>
      <c r="AM308" s="11" t="s">
        <v>2047</v>
      </c>
      <c r="AN308" s="11" t="s">
        <v>1386</v>
      </c>
      <c r="AO308" s="5" t="s">
        <v>361</v>
      </c>
      <c r="AP308" s="11" t="s">
        <v>2041</v>
      </c>
      <c r="AQ308" s="11" t="s">
        <v>2042</v>
      </c>
      <c r="AR308" s="11" t="s">
        <v>2034</v>
      </c>
      <c r="AS308" s="36" t="s">
        <v>2048</v>
      </c>
      <c r="AT308" s="11" t="s">
        <v>70</v>
      </c>
      <c r="AU308" s="11" t="s">
        <v>370</v>
      </c>
      <c r="AV308" s="13" t="s">
        <v>1871</v>
      </c>
      <c r="AW308" s="14"/>
      <c r="AX308" s="44"/>
    </row>
    <row r="309" spans="1:50" ht="25.5">
      <c r="A309" s="38" t="str">
        <f>VLOOKUP(Tableau1[[#This Row],[N° Département]],Feuil1!$C$6:$E$106,3)</f>
        <v>Hauts-de-France</v>
      </c>
      <c r="B309" s="38" t="str">
        <f>VLOOKUP(Tableau1[[#This Row],[N° Département]],Feuil1!$C$6:$E$106,2)</f>
        <v>Pas-de-Calais</v>
      </c>
      <c r="C309" s="38">
        <f>LEFT(Tableau1[[#This Row],[Code Postal]],2)*1</f>
        <v>62</v>
      </c>
      <c r="D309" s="10" t="s">
        <v>2031</v>
      </c>
      <c r="E309" s="26">
        <v>62103</v>
      </c>
      <c r="F309" s="10" t="s">
        <v>2030</v>
      </c>
      <c r="G309" s="39" t="str">
        <f>Tableau1[[#This Row],[Rue]]&amp;CHAR(10)&amp;Tableau1[[#This Row],[Code Postal]]&amp;" - "&amp;Tableau1[[#This Row],[Ville]]</f>
        <v>Auchan 1 Av. Roger Salengro
62103 - Calais</v>
      </c>
      <c r="H309" s="15" t="s">
        <v>2029</v>
      </c>
      <c r="I309" s="12" t="s">
        <v>47</v>
      </c>
      <c r="J309" s="12" t="s">
        <v>51</v>
      </c>
      <c r="K309" s="10" t="s">
        <v>98</v>
      </c>
      <c r="L309" s="10" t="s">
        <v>98</v>
      </c>
      <c r="M309" s="12" t="s">
        <v>98</v>
      </c>
      <c r="N309" s="36" t="s">
        <v>409</v>
      </c>
      <c r="O309" s="34">
        <v>106</v>
      </c>
      <c r="P309" s="6" t="s">
        <v>98</v>
      </c>
      <c r="Q309" s="34">
        <v>186</v>
      </c>
      <c r="R309" s="6" t="s">
        <v>98</v>
      </c>
      <c r="S309" s="6" t="s">
        <v>98</v>
      </c>
      <c r="T309" s="12">
        <f>Tableau1[[#This Row],[Loyer €/m²]]*Tableau1[[#This Row],[Surface GLA]]</f>
        <v>37100</v>
      </c>
      <c r="U309" s="12">
        <f>IFERROR(Tableau1[[#This Row],[Loyer annuel]]/12,"")</f>
        <v>3091.6666666666665</v>
      </c>
      <c r="V309" s="12">
        <v>350</v>
      </c>
      <c r="W309" s="34" t="s">
        <v>98</v>
      </c>
      <c r="X309" s="6">
        <f>Tableau1[[#This Row],[Charges €/m²]]*Tableau1[[#This Row],[Surface GLA]]</f>
        <v>4770</v>
      </c>
      <c r="Y309" s="12">
        <f>Tableau1[[#This Row],[Charges annuelles]]/12</f>
        <v>397.5</v>
      </c>
      <c r="Z309" s="12">
        <v>45</v>
      </c>
      <c r="AA309" s="12">
        <f>IFERROR(Tableau1[[#This Row],[Taxe foncière €/m²]]*Tableau1[[#This Row],[Surface GLA]],)</f>
        <v>2862</v>
      </c>
      <c r="AB309" s="12">
        <v>27</v>
      </c>
      <c r="AC309" s="12">
        <f>IFERROR(Tableau1[[#This Row],[Marketing €/m²]]*Tableau1[[#This Row],[Surface GLA]],)</f>
        <v>0</v>
      </c>
      <c r="AD309" s="12"/>
      <c r="AE309" s="12">
        <f>IFERROR(Tableau1[[#This Row],[Loyer annuel]]+Tableau1[[#This Row],[Charges annuelles]]+Tableau1[[#This Row],[Taxe foncière]]+Tableau1[[#This Row],[Marketing]],"")</f>
        <v>44732</v>
      </c>
      <c r="AF309" s="12" t="str">
        <f t="shared" si="15"/>
        <v>3 mois = 9 275 €</v>
      </c>
      <c r="AG309" s="12" t="s">
        <v>98</v>
      </c>
      <c r="AH309" s="12" t="s">
        <v>98</v>
      </c>
      <c r="AI309" s="12" t="s">
        <v>357</v>
      </c>
      <c r="AJ309" s="10"/>
      <c r="AK309" s="10"/>
      <c r="AL309" s="10"/>
      <c r="AM309" s="11" t="s">
        <v>2047</v>
      </c>
      <c r="AN309" s="11" t="s">
        <v>1386</v>
      </c>
      <c r="AO309" s="5" t="s">
        <v>361</v>
      </c>
      <c r="AP309" s="11" t="s">
        <v>2043</v>
      </c>
      <c r="AQ309" s="11" t="s">
        <v>2044</v>
      </c>
      <c r="AR309" s="11" t="s">
        <v>2035</v>
      </c>
      <c r="AS309" s="36" t="s">
        <v>2048</v>
      </c>
      <c r="AT309" s="11" t="s">
        <v>70</v>
      </c>
      <c r="AU309" s="11" t="s">
        <v>370</v>
      </c>
      <c r="AV309" s="13" t="s">
        <v>1871</v>
      </c>
      <c r="AW309" s="14"/>
      <c r="AX309" s="44"/>
    </row>
    <row r="310" spans="1:50" ht="25.5">
      <c r="A310" s="38" t="str">
        <f>VLOOKUP(Tableau1[[#This Row],[N° Département]],Feuil1!$C$6:$E$106,3)</f>
        <v>Hauts-de-France</v>
      </c>
      <c r="B310" s="38" t="str">
        <f>VLOOKUP(Tableau1[[#This Row],[N° Département]],Feuil1!$C$6:$E$106,2)</f>
        <v>Pas-de-Calais</v>
      </c>
      <c r="C310" s="38">
        <f>LEFT(Tableau1[[#This Row],[Code Postal]],2)*1</f>
        <v>62</v>
      </c>
      <c r="D310" s="10" t="s">
        <v>2031</v>
      </c>
      <c r="E310" s="26">
        <v>62104</v>
      </c>
      <c r="F310" s="10" t="s">
        <v>2030</v>
      </c>
      <c r="G310" s="39" t="str">
        <f>Tableau1[[#This Row],[Rue]]&amp;CHAR(10)&amp;Tableau1[[#This Row],[Code Postal]]&amp;" - "&amp;Tableau1[[#This Row],[Ville]]</f>
        <v>Auchan 1 Av. Roger Salengro
62104 - Calais</v>
      </c>
      <c r="H310" s="15" t="s">
        <v>2029</v>
      </c>
      <c r="I310" s="12" t="s">
        <v>47</v>
      </c>
      <c r="J310" s="12" t="s">
        <v>51</v>
      </c>
      <c r="K310" s="10" t="s">
        <v>98</v>
      </c>
      <c r="L310" s="10" t="s">
        <v>98</v>
      </c>
      <c r="M310" s="12" t="s">
        <v>98</v>
      </c>
      <c r="N310" s="36" t="s">
        <v>1932</v>
      </c>
      <c r="O310" s="34">
        <v>20</v>
      </c>
      <c r="P310" s="6" t="s">
        <v>98</v>
      </c>
      <c r="Q310" s="34" t="s">
        <v>98</v>
      </c>
      <c r="R310" s="34" t="s">
        <v>98</v>
      </c>
      <c r="S310" s="6" t="s">
        <v>98</v>
      </c>
      <c r="T310" s="12">
        <f>Tableau1[[#This Row],[Loyer €/m²]]*Tableau1[[#This Row],[Surface GLA]]</f>
        <v>10000</v>
      </c>
      <c r="U310" s="12">
        <f>IFERROR(Tableau1[[#This Row],[Loyer annuel]]/12,"")</f>
        <v>833.33333333333337</v>
      </c>
      <c r="V310" s="12">
        <v>500</v>
      </c>
      <c r="W310" s="34" t="s">
        <v>98</v>
      </c>
      <c r="X310" s="6">
        <f>Tableau1[[#This Row],[Charges €/m²]]*Tableau1[[#This Row],[Surface GLA]]</f>
        <v>900</v>
      </c>
      <c r="Y310" s="12">
        <f>Tableau1[[#This Row],[Charges annuelles]]/12</f>
        <v>75</v>
      </c>
      <c r="Z310" s="12">
        <v>45</v>
      </c>
      <c r="AA310" s="12">
        <f>IFERROR(Tableau1[[#This Row],[Taxe foncière €/m²]]*Tableau1[[#This Row],[Surface GLA]],)</f>
        <v>540</v>
      </c>
      <c r="AB310" s="12">
        <v>27</v>
      </c>
      <c r="AC310" s="12">
        <f>IFERROR(Tableau1[[#This Row],[Marketing €/m²]]*Tableau1[[#This Row],[Surface GLA]],)</f>
        <v>0</v>
      </c>
      <c r="AD310" s="12"/>
      <c r="AE310" s="12">
        <f>IFERROR(Tableau1[[#This Row],[Loyer annuel]]+Tableau1[[#This Row],[Charges annuelles]]+Tableau1[[#This Row],[Taxe foncière]]+Tableau1[[#This Row],[Marketing]],"")</f>
        <v>11440</v>
      </c>
      <c r="AF310" s="12" t="str">
        <f t="shared" si="15"/>
        <v>3 mois = 2 500 €</v>
      </c>
      <c r="AG310" s="12" t="s">
        <v>98</v>
      </c>
      <c r="AH310" s="12" t="s">
        <v>98</v>
      </c>
      <c r="AI310" s="12" t="s">
        <v>357</v>
      </c>
      <c r="AJ310" s="10"/>
      <c r="AK310" s="10"/>
      <c r="AL310" s="10"/>
      <c r="AM310" s="11" t="s">
        <v>2047</v>
      </c>
      <c r="AN310" s="11" t="s">
        <v>1386</v>
      </c>
      <c r="AO310" s="5" t="s">
        <v>361</v>
      </c>
      <c r="AP310" s="11" t="s">
        <v>2045</v>
      </c>
      <c r="AQ310" s="11" t="s">
        <v>2046</v>
      </c>
      <c r="AR310" s="11" t="s">
        <v>2036</v>
      </c>
      <c r="AS310" s="36" t="s">
        <v>2048</v>
      </c>
      <c r="AT310" s="11" t="s">
        <v>70</v>
      </c>
      <c r="AU310" s="11" t="s">
        <v>370</v>
      </c>
      <c r="AV310" s="13" t="s">
        <v>1871</v>
      </c>
      <c r="AW310" s="14"/>
      <c r="AX310" s="44"/>
    </row>
    <row r="311" spans="1:50" ht="25.5">
      <c r="A311" s="38" t="str">
        <f>VLOOKUP(Tableau1[[#This Row],[N° Département]],Feuil1!$C$6:$E$106,3)</f>
        <v>Hauts-de-France</v>
      </c>
      <c r="B311" s="38" t="str">
        <f>VLOOKUP(Tableau1[[#This Row],[N° Département]],Feuil1!$C$6:$E$106,2)</f>
        <v>Pas-de-Calais</v>
      </c>
      <c r="C311" s="38">
        <f>LEFT(Tableau1[[#This Row],[Code Postal]],2)*1</f>
        <v>62</v>
      </c>
      <c r="D311" s="10" t="s">
        <v>2031</v>
      </c>
      <c r="E311" s="26">
        <v>62105</v>
      </c>
      <c r="F311" s="10" t="s">
        <v>2030</v>
      </c>
      <c r="G311" s="39" t="str">
        <f>Tableau1[[#This Row],[Rue]]&amp;CHAR(10)&amp;Tableau1[[#This Row],[Code Postal]]&amp;" - "&amp;Tableau1[[#This Row],[Ville]]</f>
        <v>Auchan 1 Av. Roger Salengro
62105 - Calais</v>
      </c>
      <c r="H311" s="15" t="s">
        <v>2029</v>
      </c>
      <c r="I311" s="12" t="s">
        <v>47</v>
      </c>
      <c r="J311" s="12" t="s">
        <v>51</v>
      </c>
      <c r="K311" s="10" t="s">
        <v>98</v>
      </c>
      <c r="L311" s="10" t="s">
        <v>98</v>
      </c>
      <c r="M311" s="12" t="s">
        <v>98</v>
      </c>
      <c r="N311" s="36"/>
      <c r="O311" s="34"/>
      <c r="P311" s="12"/>
      <c r="Q311" s="34"/>
      <c r="R311" s="10"/>
      <c r="S311" s="12"/>
      <c r="T311" s="12"/>
      <c r="U311" s="12">
        <f>IFERROR(Tableau1[[#This Row],[Loyer annuel]]/12,"")</f>
        <v>0</v>
      </c>
      <c r="V311" s="12"/>
      <c r="W311" s="12"/>
      <c r="X311" s="12"/>
      <c r="Y311" s="12">
        <f>Tableau1[[#This Row],[Charges annuelles]]/12</f>
        <v>0</v>
      </c>
      <c r="Z311" s="12"/>
      <c r="AA311" s="12">
        <f>IFERROR(Tableau1[[#This Row],[Taxe foncière €/m²]]*Tableau1[[#This Row],[Surface GLA]],)</f>
        <v>0</v>
      </c>
      <c r="AB311" s="12"/>
      <c r="AC311" s="12">
        <f>IFERROR(Tableau1[[#This Row],[Marketing €/m²]]*Tableau1[[#This Row],[Surface GLA]],)</f>
        <v>0</v>
      </c>
      <c r="AD311" s="12"/>
      <c r="AE311" s="12">
        <f>IFERROR(Tableau1[[#This Row],[Loyer annuel]]+Tableau1[[#This Row],[Charges annuelles]]+Tableau1[[#This Row],[Taxe foncière]]+Tableau1[[#This Row],[Marketing]],"")</f>
        <v>0</v>
      </c>
      <c r="AF311" s="12"/>
      <c r="AG311" s="12"/>
      <c r="AH311" s="12"/>
      <c r="AI311" s="12"/>
      <c r="AJ311" s="10"/>
      <c r="AK311" s="10"/>
      <c r="AL311" s="10"/>
      <c r="AM311" s="11"/>
      <c r="AN311" s="11"/>
      <c r="AO311" s="11"/>
      <c r="AP311" s="11"/>
      <c r="AQ311" s="11"/>
      <c r="AR311" s="11"/>
      <c r="AS311" s="36"/>
      <c r="AT311" s="11"/>
      <c r="AU311" s="11"/>
      <c r="AV311" s="13"/>
      <c r="AW311" s="14"/>
      <c r="AX311" s="44"/>
    </row>
    <row r="312" spans="1:50" ht="25.5">
      <c r="A312" s="38" t="str">
        <f>VLOOKUP(Tableau1[[#This Row],[N° Département]],Feuil1!$C$6:$E$106,3)</f>
        <v>Hauts-de-France</v>
      </c>
      <c r="B312" s="38" t="str">
        <f>VLOOKUP(Tableau1[[#This Row],[N° Département]],Feuil1!$C$6:$E$106,2)</f>
        <v>Pas-de-Calais</v>
      </c>
      <c r="C312" s="38">
        <f>LEFT(Tableau1[[#This Row],[Code Postal]],2)*1</f>
        <v>62</v>
      </c>
      <c r="D312" s="10" t="s">
        <v>2031</v>
      </c>
      <c r="E312" s="26">
        <v>62106</v>
      </c>
      <c r="F312" s="10" t="s">
        <v>2030</v>
      </c>
      <c r="G312" s="39" t="str">
        <f>Tableau1[[#This Row],[Rue]]&amp;CHAR(10)&amp;Tableau1[[#This Row],[Code Postal]]&amp;" - "&amp;Tableau1[[#This Row],[Ville]]</f>
        <v>Auchan 1 Av. Roger Salengro
62106 - Calais</v>
      </c>
      <c r="H312" s="15" t="s">
        <v>2029</v>
      </c>
      <c r="I312" s="12" t="s">
        <v>47</v>
      </c>
      <c r="J312" s="12" t="s">
        <v>51</v>
      </c>
      <c r="K312" s="10" t="s">
        <v>98</v>
      </c>
      <c r="L312" s="10" t="s">
        <v>98</v>
      </c>
      <c r="M312" s="12" t="s">
        <v>98</v>
      </c>
      <c r="N312" s="36"/>
      <c r="O312" s="34"/>
      <c r="P312" s="12"/>
      <c r="Q312" s="34"/>
      <c r="R312" s="10"/>
      <c r="S312" s="12"/>
      <c r="T312" s="12"/>
      <c r="U312" s="12">
        <f>IFERROR(Tableau1[[#This Row],[Loyer annuel]]/12,"")</f>
        <v>0</v>
      </c>
      <c r="V312" s="12"/>
      <c r="W312" s="12"/>
      <c r="X312" s="12"/>
      <c r="Y312" s="12">
        <f>Tableau1[[#This Row],[Charges annuelles]]/12</f>
        <v>0</v>
      </c>
      <c r="Z312" s="12"/>
      <c r="AA312" s="12">
        <f>IFERROR(Tableau1[[#This Row],[Taxe foncière €/m²]]*Tableau1[[#This Row],[Surface GLA]],)</f>
        <v>0</v>
      </c>
      <c r="AB312" s="12"/>
      <c r="AC312" s="12">
        <f>IFERROR(Tableau1[[#This Row],[Marketing €/m²]]*Tableau1[[#This Row],[Surface GLA]],)</f>
        <v>0</v>
      </c>
      <c r="AD312" s="12"/>
      <c r="AE312" s="12">
        <f>IFERROR(Tableau1[[#This Row],[Loyer annuel]]+Tableau1[[#This Row],[Charges annuelles]]+Tableau1[[#This Row],[Taxe foncière]]+Tableau1[[#This Row],[Marketing]],"")</f>
        <v>0</v>
      </c>
      <c r="AF312" s="12"/>
      <c r="AG312" s="12"/>
      <c r="AH312" s="12"/>
      <c r="AI312" s="12"/>
      <c r="AJ312" s="10"/>
      <c r="AK312" s="10"/>
      <c r="AL312" s="10"/>
      <c r="AM312" s="11"/>
      <c r="AN312" s="11"/>
      <c r="AO312" s="11"/>
      <c r="AP312" s="11"/>
      <c r="AQ312" s="11"/>
      <c r="AR312" s="11"/>
      <c r="AS312" s="36"/>
      <c r="AT312" s="11"/>
      <c r="AU312" s="11"/>
      <c r="AV312" s="13"/>
      <c r="AW312" s="14"/>
      <c r="AX312" s="44"/>
    </row>
    <row r="313" spans="1:50" ht="25.5">
      <c r="A313" s="38" t="str">
        <f>VLOOKUP(Tableau1[[#This Row],[N° Département]],Feuil1!$C$6:$E$106,3)</f>
        <v>Hauts-de-France</v>
      </c>
      <c r="B313" s="38" t="str">
        <f>VLOOKUP(Tableau1[[#This Row],[N° Département]],Feuil1!$C$6:$E$106,2)</f>
        <v>Pas-de-Calais</v>
      </c>
      <c r="C313" s="38">
        <f>LEFT(Tableau1[[#This Row],[Code Postal]],2)*1</f>
        <v>62</v>
      </c>
      <c r="D313" s="10" t="s">
        <v>2031</v>
      </c>
      <c r="E313" s="26">
        <v>62107</v>
      </c>
      <c r="F313" s="10" t="s">
        <v>2030</v>
      </c>
      <c r="G313" s="39" t="str">
        <f>Tableau1[[#This Row],[Rue]]&amp;CHAR(10)&amp;Tableau1[[#This Row],[Code Postal]]&amp;" - "&amp;Tableau1[[#This Row],[Ville]]</f>
        <v>Auchan 1 Av. Roger Salengro
62107 - Calais</v>
      </c>
      <c r="H313" s="15" t="s">
        <v>2029</v>
      </c>
      <c r="I313" s="12" t="s">
        <v>47</v>
      </c>
      <c r="J313" s="12" t="s">
        <v>51</v>
      </c>
      <c r="K313" s="10" t="s">
        <v>98</v>
      </c>
      <c r="L313" s="10" t="s">
        <v>98</v>
      </c>
      <c r="M313" s="12" t="s">
        <v>98</v>
      </c>
      <c r="N313" s="36"/>
      <c r="O313" s="34"/>
      <c r="P313" s="12"/>
      <c r="Q313" s="34"/>
      <c r="R313" s="10"/>
      <c r="S313" s="12"/>
      <c r="T313" s="12"/>
      <c r="U313" s="12">
        <f>IFERROR(Tableau1[[#This Row],[Loyer annuel]]/12,"")</f>
        <v>0</v>
      </c>
      <c r="V313" s="12"/>
      <c r="W313" s="12"/>
      <c r="X313" s="12"/>
      <c r="Y313" s="12">
        <f>Tableau1[[#This Row],[Charges annuelles]]/12</f>
        <v>0</v>
      </c>
      <c r="Z313" s="12"/>
      <c r="AA313" s="12">
        <f>IFERROR(Tableau1[[#This Row],[Taxe foncière €/m²]]*Tableau1[[#This Row],[Surface GLA]],)</f>
        <v>0</v>
      </c>
      <c r="AB313" s="12"/>
      <c r="AC313" s="12">
        <f>IFERROR(Tableau1[[#This Row],[Marketing €/m²]]*Tableau1[[#This Row],[Surface GLA]],)</f>
        <v>0</v>
      </c>
      <c r="AD313" s="12"/>
      <c r="AE313" s="12">
        <f>IFERROR(Tableau1[[#This Row],[Loyer annuel]]+Tableau1[[#This Row],[Charges annuelles]]+Tableau1[[#This Row],[Taxe foncière]]+Tableau1[[#This Row],[Marketing]],"")</f>
        <v>0</v>
      </c>
      <c r="AF313" s="12"/>
      <c r="AG313" s="12"/>
      <c r="AH313" s="12"/>
      <c r="AI313" s="12"/>
      <c r="AJ313" s="10"/>
      <c r="AK313" s="10"/>
      <c r="AL313" s="10"/>
      <c r="AM313" s="11"/>
      <c r="AN313" s="11"/>
      <c r="AO313" s="11"/>
      <c r="AP313" s="11"/>
      <c r="AQ313" s="11"/>
      <c r="AR313" s="11"/>
      <c r="AS313" s="36"/>
      <c r="AT313" s="11"/>
      <c r="AU313" s="11"/>
      <c r="AV313" s="13"/>
      <c r="AW313" s="14"/>
      <c r="AX313" s="44"/>
    </row>
    <row r="314" spans="1:50" ht="25.5">
      <c r="A314" s="38" t="str">
        <f>VLOOKUP(Tableau1[[#This Row],[N° Département]],Feuil1!$C$6:$E$106,3)</f>
        <v>Hauts-de-France</v>
      </c>
      <c r="B314" s="38" t="str">
        <f>VLOOKUP(Tableau1[[#This Row],[N° Département]],Feuil1!$C$6:$E$106,2)</f>
        <v>Pas-de-Calais</v>
      </c>
      <c r="C314" s="38">
        <f>LEFT(Tableau1[[#This Row],[Code Postal]],2)*1</f>
        <v>62</v>
      </c>
      <c r="D314" s="10" t="s">
        <v>2031</v>
      </c>
      <c r="E314" s="26">
        <v>62108</v>
      </c>
      <c r="F314" s="10" t="s">
        <v>2030</v>
      </c>
      <c r="G314" s="39" t="str">
        <f>Tableau1[[#This Row],[Rue]]&amp;CHAR(10)&amp;Tableau1[[#This Row],[Code Postal]]&amp;" - "&amp;Tableau1[[#This Row],[Ville]]</f>
        <v>Auchan 1 Av. Roger Salengro
62108 - Calais</v>
      </c>
      <c r="H314" s="15" t="s">
        <v>2029</v>
      </c>
      <c r="I314" s="12" t="s">
        <v>47</v>
      </c>
      <c r="J314" s="12" t="s">
        <v>51</v>
      </c>
      <c r="K314" s="10" t="s">
        <v>98</v>
      </c>
      <c r="L314" s="10" t="s">
        <v>98</v>
      </c>
      <c r="M314" s="12" t="s">
        <v>98</v>
      </c>
      <c r="N314" s="36"/>
      <c r="O314" s="34"/>
      <c r="P314" s="12"/>
      <c r="Q314" s="34"/>
      <c r="R314" s="10"/>
      <c r="S314" s="12"/>
      <c r="T314" s="12"/>
      <c r="U314" s="12">
        <f>IFERROR(Tableau1[[#This Row],[Loyer annuel]]/12,"")</f>
        <v>0</v>
      </c>
      <c r="V314" s="12"/>
      <c r="W314" s="12"/>
      <c r="X314" s="12"/>
      <c r="Y314" s="12">
        <f>Tableau1[[#This Row],[Charges annuelles]]/12</f>
        <v>0</v>
      </c>
      <c r="Z314" s="12"/>
      <c r="AA314" s="12">
        <f>IFERROR(Tableau1[[#This Row],[Taxe foncière €/m²]]*Tableau1[[#This Row],[Surface GLA]],)</f>
        <v>0</v>
      </c>
      <c r="AB314" s="12"/>
      <c r="AC314" s="12">
        <f>IFERROR(Tableau1[[#This Row],[Marketing €/m²]]*Tableau1[[#This Row],[Surface GLA]],)</f>
        <v>0</v>
      </c>
      <c r="AD314" s="12"/>
      <c r="AE314" s="12">
        <f>IFERROR(Tableau1[[#This Row],[Loyer annuel]]+Tableau1[[#This Row],[Charges annuelles]]+Tableau1[[#This Row],[Taxe foncière]]+Tableau1[[#This Row],[Marketing]],"")</f>
        <v>0</v>
      </c>
      <c r="AF314" s="12"/>
      <c r="AG314" s="12"/>
      <c r="AH314" s="12"/>
      <c r="AI314" s="12"/>
      <c r="AJ314" s="10"/>
      <c r="AK314" s="10"/>
      <c r="AL314" s="10"/>
      <c r="AM314" s="11"/>
      <c r="AN314" s="11"/>
      <c r="AO314" s="11"/>
      <c r="AP314" s="11"/>
      <c r="AQ314" s="11"/>
      <c r="AR314" s="11"/>
      <c r="AS314" s="36"/>
      <c r="AT314" s="11"/>
      <c r="AU314" s="11"/>
      <c r="AV314" s="13"/>
      <c r="AW314" s="14"/>
      <c r="AX314" s="44"/>
    </row>
    <row r="315" spans="1:50" ht="25.5">
      <c r="A315" s="38" t="str">
        <f>VLOOKUP(Tableau1[[#This Row],[N° Département]],Feuil1!$C$6:$E$106,3)</f>
        <v>Hauts-de-France</v>
      </c>
      <c r="B315" s="38" t="str">
        <f>VLOOKUP(Tableau1[[#This Row],[N° Département]],Feuil1!$C$6:$E$106,2)</f>
        <v>Pas-de-Calais</v>
      </c>
      <c r="C315" s="38">
        <f>LEFT(Tableau1[[#This Row],[Code Postal]],2)*1</f>
        <v>62</v>
      </c>
      <c r="D315" s="10" t="s">
        <v>2031</v>
      </c>
      <c r="E315" s="26">
        <v>62109</v>
      </c>
      <c r="F315" s="10" t="s">
        <v>2030</v>
      </c>
      <c r="G315" s="39" t="str">
        <f>Tableau1[[#This Row],[Rue]]&amp;CHAR(10)&amp;Tableau1[[#This Row],[Code Postal]]&amp;" - "&amp;Tableau1[[#This Row],[Ville]]</f>
        <v>Auchan 1 Av. Roger Salengro
62109 - Calais</v>
      </c>
      <c r="H315" s="15" t="s">
        <v>2029</v>
      </c>
      <c r="I315" s="12" t="s">
        <v>47</v>
      </c>
      <c r="J315" s="12" t="s">
        <v>51</v>
      </c>
      <c r="K315" s="10" t="s">
        <v>98</v>
      </c>
      <c r="L315" s="10" t="s">
        <v>98</v>
      </c>
      <c r="M315" s="12" t="s">
        <v>98</v>
      </c>
      <c r="N315" s="36"/>
      <c r="O315" s="34"/>
      <c r="P315" s="12"/>
      <c r="Q315" s="34"/>
      <c r="R315" s="10"/>
      <c r="S315" s="12"/>
      <c r="T315" s="12"/>
      <c r="U315" s="12">
        <f>IFERROR(Tableau1[[#This Row],[Loyer annuel]]/12,"")</f>
        <v>0</v>
      </c>
      <c r="V315" s="12"/>
      <c r="W315" s="12"/>
      <c r="X315" s="12"/>
      <c r="Y315" s="12">
        <f>Tableau1[[#This Row],[Charges annuelles]]/12</f>
        <v>0</v>
      </c>
      <c r="Z315" s="12"/>
      <c r="AA315" s="12">
        <f>IFERROR(Tableau1[[#This Row],[Taxe foncière €/m²]]*Tableau1[[#This Row],[Surface GLA]],)</f>
        <v>0</v>
      </c>
      <c r="AB315" s="12"/>
      <c r="AC315" s="12">
        <f>IFERROR(Tableau1[[#This Row],[Marketing €/m²]]*Tableau1[[#This Row],[Surface GLA]],)</f>
        <v>0</v>
      </c>
      <c r="AD315" s="12"/>
      <c r="AE315" s="12">
        <f>IFERROR(Tableau1[[#This Row],[Loyer annuel]]+Tableau1[[#This Row],[Charges annuelles]]+Tableau1[[#This Row],[Taxe foncière]]+Tableau1[[#This Row],[Marketing]],"")</f>
        <v>0</v>
      </c>
      <c r="AF315" s="12"/>
      <c r="AG315" s="12"/>
      <c r="AH315" s="12"/>
      <c r="AI315" s="12"/>
      <c r="AJ315" s="10"/>
      <c r="AK315" s="10"/>
      <c r="AL315" s="10"/>
      <c r="AM315" s="11"/>
      <c r="AN315" s="11"/>
      <c r="AO315" s="11"/>
      <c r="AP315" s="11"/>
      <c r="AQ315" s="11"/>
      <c r="AR315" s="11"/>
      <c r="AS315" s="36"/>
      <c r="AT315" s="11"/>
      <c r="AU315" s="11"/>
      <c r="AV315" s="13"/>
      <c r="AW315" s="14"/>
      <c r="AX315" s="44"/>
    </row>
    <row r="316" spans="1:50" ht="25.5">
      <c r="A316" s="38" t="str">
        <f>VLOOKUP(Tableau1[[#This Row],[N° Département]],Feuil1!$C$6:$E$106,3)</f>
        <v>Hauts-de-France</v>
      </c>
      <c r="B316" s="38" t="str">
        <f>VLOOKUP(Tableau1[[#This Row],[N° Département]],Feuil1!$C$6:$E$106,2)</f>
        <v>Pas-de-Calais</v>
      </c>
      <c r="C316" s="38">
        <f>LEFT(Tableau1[[#This Row],[Code Postal]],2)*1</f>
        <v>62</v>
      </c>
      <c r="D316" s="10" t="s">
        <v>2031</v>
      </c>
      <c r="E316" s="26">
        <v>62110</v>
      </c>
      <c r="F316" s="10" t="s">
        <v>2030</v>
      </c>
      <c r="G316" s="39" t="str">
        <f>Tableau1[[#This Row],[Rue]]&amp;CHAR(10)&amp;Tableau1[[#This Row],[Code Postal]]&amp;" - "&amp;Tableau1[[#This Row],[Ville]]</f>
        <v>Auchan 1 Av. Roger Salengro
62110 - Calais</v>
      </c>
      <c r="H316" s="15" t="s">
        <v>2029</v>
      </c>
      <c r="I316" s="12" t="s">
        <v>47</v>
      </c>
      <c r="J316" s="12" t="s">
        <v>51</v>
      </c>
      <c r="K316" s="10" t="s">
        <v>98</v>
      </c>
      <c r="L316" s="10" t="s">
        <v>98</v>
      </c>
      <c r="M316" s="12" t="s">
        <v>98</v>
      </c>
      <c r="N316" s="36"/>
      <c r="O316" s="34"/>
      <c r="P316" s="12"/>
      <c r="Q316" s="34"/>
      <c r="R316" s="10"/>
      <c r="S316" s="12"/>
      <c r="T316" s="12"/>
      <c r="U316" s="12">
        <f>IFERROR(Tableau1[[#This Row],[Loyer annuel]]/12,"")</f>
        <v>0</v>
      </c>
      <c r="V316" s="12"/>
      <c r="W316" s="12"/>
      <c r="X316" s="12"/>
      <c r="Y316" s="12">
        <f>Tableau1[[#This Row],[Charges annuelles]]/12</f>
        <v>0</v>
      </c>
      <c r="Z316" s="12"/>
      <c r="AA316" s="12">
        <f>IFERROR(Tableau1[[#This Row],[Taxe foncière €/m²]]*Tableau1[[#This Row],[Surface GLA]],)</f>
        <v>0</v>
      </c>
      <c r="AB316" s="12"/>
      <c r="AC316" s="12">
        <f>IFERROR(Tableau1[[#This Row],[Marketing €/m²]]*Tableau1[[#This Row],[Surface GLA]],)</f>
        <v>0</v>
      </c>
      <c r="AD316" s="12"/>
      <c r="AE316" s="12">
        <f>IFERROR(Tableau1[[#This Row],[Loyer annuel]]+Tableau1[[#This Row],[Charges annuelles]]+Tableau1[[#This Row],[Taxe foncière]]+Tableau1[[#This Row],[Marketing]],"")</f>
        <v>0</v>
      </c>
      <c r="AF316" s="12"/>
      <c r="AG316" s="12"/>
      <c r="AH316" s="12"/>
      <c r="AI316" s="12"/>
      <c r="AJ316" s="10"/>
      <c r="AK316" s="10"/>
      <c r="AL316" s="10"/>
      <c r="AM316" s="11"/>
      <c r="AN316" s="11"/>
      <c r="AO316" s="11"/>
      <c r="AP316" s="11"/>
      <c r="AQ316" s="11"/>
      <c r="AR316" s="11"/>
      <c r="AS316" s="36"/>
      <c r="AT316" s="11"/>
      <c r="AU316" s="11"/>
      <c r="AV316" s="13"/>
      <c r="AW316" s="14"/>
      <c r="AX316" s="44"/>
    </row>
    <row r="317" spans="1:50" ht="25.5">
      <c r="A317" s="38" t="str">
        <f>VLOOKUP(Tableau1[[#This Row],[N° Département]],Feuil1!$C$6:$E$106,3)</f>
        <v>Hauts-de-France</v>
      </c>
      <c r="B317" s="38" t="str">
        <f>VLOOKUP(Tableau1[[#This Row],[N° Département]],Feuil1!$C$6:$E$106,2)</f>
        <v>Pas-de-Calais</v>
      </c>
      <c r="C317" s="38">
        <f>LEFT(Tableau1[[#This Row],[Code Postal]],2)*1</f>
        <v>62</v>
      </c>
      <c r="D317" s="10" t="s">
        <v>2031</v>
      </c>
      <c r="E317" s="26">
        <v>62111</v>
      </c>
      <c r="F317" s="10" t="s">
        <v>2030</v>
      </c>
      <c r="G317" s="39" t="str">
        <f>Tableau1[[#This Row],[Rue]]&amp;CHAR(10)&amp;Tableau1[[#This Row],[Code Postal]]&amp;" - "&amp;Tableau1[[#This Row],[Ville]]</f>
        <v>Auchan 1 Av. Roger Salengro
62111 - Calais</v>
      </c>
      <c r="H317" s="15" t="s">
        <v>2029</v>
      </c>
      <c r="I317" s="12" t="s">
        <v>47</v>
      </c>
      <c r="J317" s="12" t="s">
        <v>51</v>
      </c>
      <c r="K317" s="10" t="s">
        <v>98</v>
      </c>
      <c r="L317" s="10" t="s">
        <v>98</v>
      </c>
      <c r="M317" s="12" t="s">
        <v>98</v>
      </c>
      <c r="N317" s="36"/>
      <c r="O317" s="34"/>
      <c r="P317" s="12"/>
      <c r="Q317" s="34"/>
      <c r="R317" s="10"/>
      <c r="S317" s="12"/>
      <c r="T317" s="12"/>
      <c r="U317" s="12">
        <f>IFERROR(Tableau1[[#This Row],[Loyer annuel]]/12,"")</f>
        <v>0</v>
      </c>
      <c r="V317" s="12"/>
      <c r="W317" s="12"/>
      <c r="X317" s="12"/>
      <c r="Y317" s="12">
        <f>Tableau1[[#This Row],[Charges annuelles]]/12</f>
        <v>0</v>
      </c>
      <c r="Z317" s="12"/>
      <c r="AA317" s="12">
        <f>IFERROR(Tableau1[[#This Row],[Taxe foncière €/m²]]*Tableau1[[#This Row],[Surface GLA]],)</f>
        <v>0</v>
      </c>
      <c r="AB317" s="12"/>
      <c r="AC317" s="12">
        <f>IFERROR(Tableau1[[#This Row],[Marketing €/m²]]*Tableau1[[#This Row],[Surface GLA]],)</f>
        <v>0</v>
      </c>
      <c r="AD317" s="12"/>
      <c r="AE317" s="12">
        <f>IFERROR(Tableau1[[#This Row],[Loyer annuel]]+Tableau1[[#This Row],[Charges annuelles]]+Tableau1[[#This Row],[Taxe foncière]]+Tableau1[[#This Row],[Marketing]],"")</f>
        <v>0</v>
      </c>
      <c r="AF317" s="12"/>
      <c r="AG317" s="12"/>
      <c r="AH317" s="12"/>
      <c r="AI317" s="12"/>
      <c r="AJ317" s="10"/>
      <c r="AK317" s="10"/>
      <c r="AL317" s="10"/>
      <c r="AM317" s="11"/>
      <c r="AN317" s="11"/>
      <c r="AO317" s="11"/>
      <c r="AP317" s="11"/>
      <c r="AQ317" s="11"/>
      <c r="AR317" s="11"/>
      <c r="AS317" s="36"/>
      <c r="AT317" s="11"/>
      <c r="AU317" s="11"/>
      <c r="AV317" s="13"/>
      <c r="AW317" s="14"/>
      <c r="AX317" s="44"/>
    </row>
    <row r="318" spans="1:50" ht="25.5">
      <c r="A318" s="38" t="e">
        <f>VLOOKUP(Tableau1[[#This Row],[N° Département]],Feuil1!$C$6:$E$106,3)</f>
        <v>#VALUE!</v>
      </c>
      <c r="B318" s="38" t="e">
        <f>VLOOKUP(Tableau1[[#This Row],[N° Département]],Feuil1!$C$6:$E$106,2)</f>
        <v>#VALUE!</v>
      </c>
      <c r="C318" s="38" t="e">
        <f>LEFT(Tableau1[[#This Row],[Code Postal]],2)*1</f>
        <v>#VALUE!</v>
      </c>
      <c r="D318" s="10"/>
      <c r="E318" s="10"/>
      <c r="F318" s="10"/>
      <c r="G318" s="39" t="str">
        <f>Tableau1[[#This Row],[Rue]]&amp;CHAR(10)&amp;Tableau1[[#This Row],[Code Postal]]&amp;" - "&amp;Tableau1[[#This Row],[Ville]]</f>
        <v xml:space="preserve">
 - </v>
      </c>
      <c r="H318" s="52" t="e" cm="1">
        <f t="array" aca="1" ref="H318" ca="1">Extrait_hyperlien(#REF!)</f>
        <v>#NAME?</v>
      </c>
      <c r="I318" s="12"/>
      <c r="J318" s="12"/>
      <c r="K318" s="10"/>
      <c r="L318" s="10"/>
      <c r="M318" s="12"/>
      <c r="N318" s="36"/>
      <c r="O318" s="34"/>
      <c r="P318" s="12"/>
      <c r="Q318" s="34"/>
      <c r="R318" s="10"/>
      <c r="S318" s="12"/>
      <c r="T318" s="12"/>
      <c r="U318" s="12">
        <f>IFERROR(Tableau1[[#This Row],[Loyer annuel]]/12,"")</f>
        <v>0</v>
      </c>
      <c r="V318" s="12"/>
      <c r="W318" s="12"/>
      <c r="X318" s="12"/>
      <c r="Y318" s="12">
        <f>Tableau1[[#This Row],[Charges annuelles]]/12</f>
        <v>0</v>
      </c>
      <c r="Z318" s="12"/>
      <c r="AA318" s="12">
        <f>IFERROR(Tableau1[[#This Row],[Taxe foncière €/m²]]*Tableau1[[#This Row],[Surface GLA]],)</f>
        <v>0</v>
      </c>
      <c r="AB318" s="12"/>
      <c r="AC318" s="12">
        <f>IFERROR(Tableau1[[#This Row],[Marketing €/m²]]*Tableau1[[#This Row],[Surface GLA]],)</f>
        <v>0</v>
      </c>
      <c r="AD318" s="12"/>
      <c r="AE318" s="12">
        <f>IFERROR(Tableau1[[#This Row],[Loyer annuel]]+Tableau1[[#This Row],[Charges annuelles]]+Tableau1[[#This Row],[Taxe foncière]]+Tableau1[[#This Row],[Marketing]],"")</f>
        <v>0</v>
      </c>
      <c r="AF318" s="12"/>
      <c r="AG318" s="12"/>
      <c r="AH318" s="12"/>
      <c r="AI318" s="12"/>
      <c r="AJ318" s="10"/>
      <c r="AK318" s="10"/>
      <c r="AL318" s="10"/>
      <c r="AM318" s="11"/>
      <c r="AN318" s="11"/>
      <c r="AO318" s="11"/>
      <c r="AP318" s="11"/>
      <c r="AQ318" s="11"/>
      <c r="AR318" s="11"/>
      <c r="AS318" s="36"/>
      <c r="AT318" s="11"/>
      <c r="AU318" s="11"/>
      <c r="AV318" s="13"/>
      <c r="AW318" s="14"/>
      <c r="AX318" s="44"/>
    </row>
    <row r="326" spans="6:6">
      <c r="F326" s="1" t="s">
        <v>995</v>
      </c>
    </row>
    <row r="327" spans="6:6">
      <c r="F327" s="1" t="s">
        <v>996</v>
      </c>
    </row>
  </sheetData>
  <phoneticPr fontId="8" type="noConversion"/>
  <hyperlinks>
    <hyperlink ref="H2" r:id="rId1" xr:uid="{CD85D032-5820-46AF-9FFC-79747F62EED8}"/>
    <hyperlink ref="H3" r:id="rId2" xr:uid="{C016E116-6CEA-4B59-BEB4-1A53C2267FFF}"/>
    <hyperlink ref="H4" r:id="rId3" xr:uid="{EFA3AA7B-21CA-4B0C-B5A4-131C5F8F61EC}"/>
    <hyperlink ref="H41" r:id="rId4" xr:uid="{29C67202-ED42-417B-BB3C-178F881968AE}"/>
    <hyperlink ref="H47" r:id="rId5" xr:uid="{7907AC58-6548-4B09-B6E9-3C0E9FAD730F}"/>
    <hyperlink ref="H5" r:id="rId6" xr:uid="{C63DEED2-C78C-4977-963D-FE5233E145E3}"/>
    <hyperlink ref="H48" r:id="rId7" xr:uid="{681AECBA-0F83-4E1D-A1D3-9E317A033B0C}"/>
    <hyperlink ref="H54" r:id="rId8" xr:uid="{1522CEC9-B716-43D1-B4D2-7EDC7B29FAA2}"/>
    <hyperlink ref="H65" r:id="rId9" xr:uid="{B4658778-E2B8-4746-AFF9-C6D475BF7B3C}"/>
    <hyperlink ref="H90" r:id="rId10" xr:uid="{84F53B3E-0269-4221-937E-809B7FFF5921}"/>
    <hyperlink ref="H40" r:id="rId11" xr:uid="{A30387D9-03F1-42B0-9A63-51582677874F}"/>
    <hyperlink ref="H57" r:id="rId12" xr:uid="{F286610A-13F7-4549-B1BB-C9277FAC09DA}"/>
    <hyperlink ref="H103" r:id="rId13" xr:uid="{824D5FB0-BFE1-4BA8-97C3-CDB2631ADD8E}"/>
    <hyperlink ref="H31" r:id="rId14" xr:uid="{82681F26-76E5-47ED-BE60-56D53DBAB160}"/>
    <hyperlink ref="H49" r:id="rId15" xr:uid="{85341D4C-8FE9-4F0D-BD3D-CD952268444D}"/>
    <hyperlink ref="H51" r:id="rId16" xr:uid="{B7F2B0BA-1DF5-499B-ADDF-A27F6468EBB3}"/>
    <hyperlink ref="H52" r:id="rId17" xr:uid="{7CB92180-45AB-4B57-BDBB-7AC67F29B668}"/>
    <hyperlink ref="H53" r:id="rId18" xr:uid="{8304414E-0B5C-4D5A-8539-E67F32B13039}"/>
    <hyperlink ref="H50" r:id="rId19" xr:uid="{890573CC-8625-42AA-9B54-79AE3F466D56}"/>
    <hyperlink ref="H6" r:id="rId20" xr:uid="{42F5695A-0B34-4F82-8607-286FB54CDEFF}"/>
    <hyperlink ref="H19" r:id="rId21" xr:uid="{D03EB5C5-D4CD-426E-960B-50DCDC5A7DA5}"/>
    <hyperlink ref="H7" r:id="rId22" display="https://maps.app.goo.gl/yRNFdK1p6sWPThzm7" xr:uid="{ECC8966A-52E9-45E9-A408-8E7BF90F30D8}"/>
    <hyperlink ref="H8" r:id="rId23" display="https://maps.app.goo.gl/yRNFdK1p6sWPThzm7" xr:uid="{C28528FE-D60F-452C-A360-7B3EEEAB7D0E}"/>
    <hyperlink ref="H9" r:id="rId24" display="https://maps.app.goo.gl/yRNFdK1p6sWPThzm7" xr:uid="{B95C36B0-2B3B-4CFD-8C7F-6C3F5F5C3CA0}"/>
    <hyperlink ref="H10" r:id="rId25" display="https://maps.app.goo.gl/yRNFdK1p6sWPThzm7" xr:uid="{4E50E9DF-73A0-4F5D-B50C-2181A7A45129}"/>
    <hyperlink ref="H11" r:id="rId26" display="https://maps.app.goo.gl/yRNFdK1p6sWPThzm7" xr:uid="{01A21FA4-BA15-431F-8DF9-613A8F8F6A63}"/>
    <hyperlink ref="H12" r:id="rId27" display="https://maps.app.goo.gl/yRNFdK1p6sWPThzm7" xr:uid="{412707B0-14B7-421B-B814-41A8D4EEF7CB}"/>
    <hyperlink ref="H13" r:id="rId28" display="https://maps.app.goo.gl/yRNFdK1p6sWPThzm7" xr:uid="{CDEF46C4-9AE2-4DA4-92FB-FE4CA91CBE49}"/>
    <hyperlink ref="H14" r:id="rId29" display="https://maps.app.goo.gl/yRNFdK1p6sWPThzm7" xr:uid="{33BA5EDE-2485-472A-A4F6-7CC295F1314D}"/>
    <hyperlink ref="H15" r:id="rId30" display="https://maps.app.goo.gl/yRNFdK1p6sWPThzm7" xr:uid="{5D955F80-678B-4FDE-9330-A85B43E075FF}"/>
    <hyperlink ref="H16" r:id="rId31" display="https://maps.app.goo.gl/yRNFdK1p6sWPThzm7" xr:uid="{4255EA11-9B93-49AB-BFEF-4BC55C1B4B86}"/>
    <hyperlink ref="H17" r:id="rId32" display="https://maps.app.goo.gl/yRNFdK1p6sWPThzm7" xr:uid="{A2907146-F8E3-4BAC-9B37-D3407971AB19}"/>
    <hyperlink ref="H18" r:id="rId33" display="https://maps.app.goo.gl/yRNFdK1p6sWPThzm7" xr:uid="{C36353CB-1BEF-4360-9A84-694F3CD8286A}"/>
    <hyperlink ref="H20" r:id="rId34" xr:uid="{3C65EEFB-30EA-43E0-8844-627F6A3A8BE1}"/>
    <hyperlink ref="H21" r:id="rId35" xr:uid="{F16AEAC9-4C3F-4428-9608-74224DB3FC6C}"/>
    <hyperlink ref="H22" r:id="rId36" xr:uid="{77671DCE-5A0D-4336-B81C-A77B8DE908F9}"/>
    <hyperlink ref="H23" r:id="rId37" xr:uid="{FE86FCC7-50A3-4612-B1AB-9001F6C17875}"/>
    <hyperlink ref="H24" r:id="rId38" xr:uid="{274588F6-03ED-4EDB-9D10-ABD5D84E5747}"/>
    <hyperlink ref="H25" r:id="rId39" xr:uid="{CCD25EC4-C816-4E6D-986E-EFE584FE2B27}"/>
    <hyperlink ref="H26" r:id="rId40" xr:uid="{CEF20BC0-0901-4DCC-B44A-5C986E4222F5}"/>
    <hyperlink ref="H27" r:id="rId41" xr:uid="{B469AFBD-8FB4-46A4-9F7E-2456BB90012E}"/>
    <hyperlink ref="H28" r:id="rId42" xr:uid="{158C5304-B985-44C3-8C76-5D663CEE68DD}"/>
    <hyperlink ref="H29" r:id="rId43" xr:uid="{A67FD7D7-3E6A-4307-91CB-71AD0301FC16}"/>
    <hyperlink ref="H30" r:id="rId44" xr:uid="{7C1B45BB-B131-4B3B-BB0F-60FE27093549}"/>
    <hyperlink ref="H33" r:id="rId45" xr:uid="{82250E71-A89D-43E9-9C31-05DF3ACC0140}"/>
    <hyperlink ref="H34" r:id="rId46" xr:uid="{EB417570-7288-4848-ACAA-C6AD3AD14EA8}"/>
    <hyperlink ref="H35" r:id="rId47" xr:uid="{6AFF0330-3C7D-4B35-A95C-20C19DDDEBD1}"/>
    <hyperlink ref="H36" r:id="rId48" xr:uid="{06A967BC-6091-4015-BC55-92BB58B153F4}"/>
    <hyperlink ref="H37" r:id="rId49" xr:uid="{41C2498A-FB43-4B65-BD81-2C5D75E50581}"/>
    <hyperlink ref="H38" r:id="rId50" xr:uid="{A832C356-D78E-4ED7-96FC-DD5F799FAC17}"/>
    <hyperlink ref="H39" r:id="rId51" xr:uid="{ABBB35B4-B177-43B5-95FC-9B01E81DAD25}"/>
    <hyperlink ref="H42" r:id="rId52" xr:uid="{0B06EA8A-6A40-4707-BFBE-F2819E8E8960}"/>
    <hyperlink ref="H43" r:id="rId53" xr:uid="{55736F9E-86E6-4C28-9CBC-7CAA0A1A6D5D}"/>
    <hyperlink ref="H44" r:id="rId54" xr:uid="{3B65D258-37D0-44BA-9F88-39F4248AC586}"/>
    <hyperlink ref="H45" r:id="rId55" xr:uid="{B82388A1-9FAC-4567-8150-32501444D9B9}"/>
    <hyperlink ref="H46" r:id="rId56" xr:uid="{386F3AEB-394F-4F21-88D5-7D22D4B69340}"/>
    <hyperlink ref="H58" r:id="rId57" xr:uid="{494E2701-2339-47CF-8EB5-D93C85C38F68}"/>
    <hyperlink ref="H59" r:id="rId58" xr:uid="{56A23CE2-06BE-426E-A7AC-791B4FCBF447}"/>
    <hyperlink ref="H60" r:id="rId59" xr:uid="{0DD08474-37DF-467F-9F3F-8C8300F601A2}"/>
    <hyperlink ref="H61" r:id="rId60" xr:uid="{65EA1E42-720F-4B48-8519-123AD718D39C}"/>
    <hyperlink ref="H62" r:id="rId61" xr:uid="{28EA12BE-1DF7-4C7E-8090-88CF1D8FBBDC}"/>
    <hyperlink ref="H63" r:id="rId62" xr:uid="{1F80D65D-3532-4854-BD44-E501F72D2163}"/>
    <hyperlink ref="H64" r:id="rId63" xr:uid="{D535FC11-C176-497E-BF60-73255DB13894}"/>
    <hyperlink ref="H66" r:id="rId64" xr:uid="{FF990D47-C98D-4294-A3A3-7FEE790B1BEB}"/>
    <hyperlink ref="H91" r:id="rId65" xr:uid="{7897FDF7-1515-446E-8647-187D2457287B}"/>
    <hyperlink ref="H92" r:id="rId66" xr:uid="{5F72DA5B-DCF4-4374-BE50-D36AB51A2086}"/>
    <hyperlink ref="H93" r:id="rId67" xr:uid="{411472FA-50B1-46F0-B9EA-D8EB086BA592}"/>
    <hyperlink ref="H94" r:id="rId68" xr:uid="{35731495-A8E0-4875-BB28-0CE84D224616}"/>
    <hyperlink ref="H95" r:id="rId69" xr:uid="{5D5AC90C-4EC9-4DE2-85F0-09D58FCC814C}"/>
    <hyperlink ref="H96" r:id="rId70" xr:uid="{B06ADFE1-6942-47FF-ADF0-13152FD8AE4F}"/>
    <hyperlink ref="H55" r:id="rId71" xr:uid="{D83C2E59-5E2B-4D99-B462-98B177A604B1}"/>
    <hyperlink ref="H56" r:id="rId72" xr:uid="{BEA173B9-604F-4C68-80C1-9A5A05F2EF41}"/>
    <hyperlink ref="H100" r:id="rId73" xr:uid="{5C44C030-D88E-4D20-86CB-02DE2D7B044D}"/>
    <hyperlink ref="H101" r:id="rId74" xr:uid="{B269D60E-52F3-4843-A72D-61EA63B4CDF5}"/>
    <hyperlink ref="H99" r:id="rId75" xr:uid="{A2D9AC59-64B4-4E9C-A9E7-CC95DE12A932}"/>
    <hyperlink ref="H102" r:id="rId76" xr:uid="{BEC6281A-F62A-45AB-A11D-47F0453F7267}"/>
    <hyperlink ref="H98" r:id="rId77" xr:uid="{686A0569-32A2-4F8A-972F-AB095BBA02CF}"/>
    <hyperlink ref="H104:H116" r:id="rId78" display="https://maps.app.goo.gl/jcUuEcShVcUDuB7A6" xr:uid="{D73C8CDA-4191-4A7A-B741-F9A08ED644C3}"/>
    <hyperlink ref="H32" r:id="rId79" display="https://maps.app.goo.gl/ngVAd1ZcuWEZcS5U8" xr:uid="{5610D621-CDF7-4A3E-BFE2-6901194FE258}"/>
    <hyperlink ref="H97" r:id="rId80" xr:uid="{608E3307-F4E0-41E9-95DE-85AE35C837FC}"/>
    <hyperlink ref="H76" r:id="rId81" xr:uid="{65996DFE-EF47-42E6-A405-939F5CC6A400}"/>
    <hyperlink ref="H78" r:id="rId82" xr:uid="{8734A703-8C05-4899-90F5-C170BBE917A1}"/>
    <hyperlink ref="H117" r:id="rId83" xr:uid="{5DE54FB8-DC9A-436B-9C05-CB8BFC31109A}"/>
    <hyperlink ref="H118" r:id="rId84" xr:uid="{B3A063D8-5760-4F63-9186-0E3E9CB6CFC3}"/>
    <hyperlink ref="H119" r:id="rId85" xr:uid="{E9E04CFF-CDF5-48AA-B94D-6DA0AD9D2BA5}"/>
    <hyperlink ref="H120" r:id="rId86" xr:uid="{B7CDE0FD-8A09-4174-932D-FE6101C452B5}"/>
    <hyperlink ref="H121" r:id="rId87" xr:uid="{6971848A-A988-4DBF-9D23-FFFD48C1E6CD}"/>
    <hyperlink ref="H138" r:id="rId88" xr:uid="{080B1A9F-E5F0-49E3-97CD-6FCCA68308F4}"/>
    <hyperlink ref="H142" r:id="rId89" xr:uid="{60277B5C-FF5B-46B3-BBF6-66AFD5E516D1}"/>
    <hyperlink ref="H122" r:id="rId90" xr:uid="{62405CFE-5DA9-4596-886C-3ACF426D9309}"/>
    <hyperlink ref="H123" r:id="rId91" xr:uid="{B587046D-852F-4EB8-948D-F8411549618B}"/>
    <hyperlink ref="H125" r:id="rId92" xr:uid="{399D402E-7B20-4D08-860B-714F86DCE34E}"/>
    <hyperlink ref="H127" r:id="rId93" xr:uid="{CD670C98-2375-4F18-8B63-AF74138521E2}"/>
    <hyperlink ref="H129" r:id="rId94" xr:uid="{A7F7D7EA-169E-4B8A-8DED-291B7521F6F3}"/>
    <hyperlink ref="H131" r:id="rId95" xr:uid="{98F88FD2-383A-4139-A7C5-40E54E0859F2}"/>
    <hyperlink ref="H133" r:id="rId96" xr:uid="{939111DF-00E5-4CD9-877C-3E829B22A01A}"/>
    <hyperlink ref="H135" r:id="rId97" xr:uid="{10CC2294-8549-42BC-A814-C5F6C4548A64}"/>
    <hyperlink ref="H137" r:id="rId98" xr:uid="{E7B223E3-8313-4C2F-8F51-1B96502CE206}"/>
    <hyperlink ref="H124" r:id="rId99" xr:uid="{92E083BD-C893-485B-97AF-85307610A42F}"/>
    <hyperlink ref="H126" r:id="rId100" xr:uid="{5E642C7F-73C6-47A9-8F05-40EA30F1E4CB}"/>
    <hyperlink ref="H128" r:id="rId101" xr:uid="{CC865E32-87C8-46B6-9B7C-7C5CE55CC5C6}"/>
    <hyperlink ref="H130" r:id="rId102" xr:uid="{54BBC918-33F4-4455-BB76-5E897445C5C8}"/>
    <hyperlink ref="H132" r:id="rId103" xr:uid="{DBAA1B38-C94A-4F88-A4D2-2B9015202629}"/>
    <hyperlink ref="H134" r:id="rId104" xr:uid="{CAD15A8F-0FDF-468F-841D-5DB3005468A0}"/>
    <hyperlink ref="H136" r:id="rId105" xr:uid="{56259A3A-CABA-4CC7-8994-C525611F5A2A}"/>
    <hyperlink ref="H143" r:id="rId106" xr:uid="{54D9C84A-9E79-4E6C-94AD-0B1E658B9727}"/>
    <hyperlink ref="H144" r:id="rId107" xr:uid="{03D798D2-CCD2-4F77-BE5B-6E2A2FE47845}"/>
    <hyperlink ref="H146" r:id="rId108" xr:uid="{0816FF13-6441-462C-A055-21680CDF255C}"/>
    <hyperlink ref="H145" r:id="rId109" xr:uid="{01C599EF-C1DF-4C31-ADC2-E79CCD9D3420}"/>
    <hyperlink ref="H147" r:id="rId110" xr:uid="{48DF072A-5724-4516-9EB9-B2B092F9ECBF}"/>
    <hyperlink ref="H148" r:id="rId111" xr:uid="{2D52890D-990D-499F-92B9-790A6B56B2C1}"/>
    <hyperlink ref="H150" r:id="rId112" xr:uid="{83F81C45-2D7B-4019-9457-DB12A08DE525}"/>
    <hyperlink ref="H151" r:id="rId113" xr:uid="{5DD490B2-A51A-488D-BCDE-B83932141509}"/>
    <hyperlink ref="H152" r:id="rId114" xr:uid="{8FDF2590-E1B8-4CE8-9753-7BFB747102D3}"/>
    <hyperlink ref="H153" r:id="rId115" xr:uid="{F9E1A7BC-0810-451D-AAC4-F0BE420D1B9F}"/>
    <hyperlink ref="H154" r:id="rId116" xr:uid="{6B38E304-7485-42E7-9EFC-3CDA0B79C692}"/>
    <hyperlink ref="H155" r:id="rId117" xr:uid="{9BAD643D-2774-4811-AF7F-3253EB54E8FC}"/>
    <hyperlink ref="H156" r:id="rId118" xr:uid="{8C4EE05C-7B50-4EF6-B2F7-FACAB92DA663}"/>
    <hyperlink ref="H160" r:id="rId119" xr:uid="{0D1E98E9-4BCF-4406-AFDA-600010FB176B}"/>
    <hyperlink ref="H161" r:id="rId120" xr:uid="{580F9DBE-E800-4F84-BEDC-E8B38FD61F7A}"/>
    <hyperlink ref="H162" r:id="rId121" xr:uid="{372123E9-8C5B-4111-8443-C1645E86AD4D}"/>
    <hyperlink ref="H163" r:id="rId122" xr:uid="{CC20D8BA-62C0-4205-8CD5-E236C90A7669}"/>
    <hyperlink ref="H170" r:id="rId123" xr:uid="{D9CEB66C-2A2B-4C50-90E4-25DDB2866B82}"/>
    <hyperlink ref="H171" r:id="rId124" xr:uid="{77194CDF-321B-4F1D-8892-C65AB2918B74}"/>
    <hyperlink ref="H172" r:id="rId125" xr:uid="{A510C509-E61B-4228-AC93-D0093532C7D2}"/>
    <hyperlink ref="H173" r:id="rId126" xr:uid="{13D66F57-470F-41F4-93A6-03D5A2A4CCDB}"/>
    <hyperlink ref="H174" r:id="rId127" xr:uid="{5B7EA501-9646-45C8-A6A4-6075F4FADE70}"/>
    <hyperlink ref="H175" r:id="rId128" xr:uid="{6D822EC9-F492-4D93-A1BA-8FA65E1327B7}"/>
    <hyperlink ref="H177" r:id="rId129" xr:uid="{3C8BCE0A-AAD1-4E3F-915C-B7BFA9B07703}"/>
    <hyperlink ref="H178" r:id="rId130" xr:uid="{EB1761D0-DA2C-4FCB-8A87-DC3BF56A199A}"/>
    <hyperlink ref="H176" r:id="rId131" xr:uid="{AC7B9731-155A-409D-B7DE-6A2C81027D18}"/>
    <hyperlink ref="H179" r:id="rId132" xr:uid="{ED7C6A33-7CA0-4B59-BFC3-713467DF5837}"/>
    <hyperlink ref="H157" r:id="rId133" xr:uid="{84DBA056-5C11-4ECE-9D32-78D0DE5AACCA}"/>
    <hyperlink ref="H158" r:id="rId134" xr:uid="{3F6F7192-2423-4CFD-AC54-5D69482DCDAA}"/>
    <hyperlink ref="H159" r:id="rId135" xr:uid="{34F05E83-B67A-4D2E-97A2-715EF4DB16F0}"/>
    <hyperlink ref="H180" r:id="rId136" xr:uid="{0DCDD234-61DD-4535-96A0-1CB0ED1C39E2}"/>
    <hyperlink ref="H164" r:id="rId137" xr:uid="{69AC0ECC-2E2A-4A8B-BC81-EF4428A37640}"/>
    <hyperlink ref="H165:H169" r:id="rId138" display="https://maps.app.goo.gl/jjHUN2H4tKUGyBEQ7" xr:uid="{2DDA41A9-46D6-46F1-BFA4-95D30FE59882}"/>
    <hyperlink ref="H181" r:id="rId139" xr:uid="{F6366A42-B67C-40CD-AFBC-6C8424BEB013}"/>
    <hyperlink ref="H183" r:id="rId140" xr:uid="{AC4BD242-08DC-4A93-AF73-32CF15E14420}"/>
    <hyperlink ref="H184" r:id="rId141" xr:uid="{3FEF2131-529B-4B74-9649-3B4B1CFC2613}"/>
    <hyperlink ref="H185" r:id="rId142" xr:uid="{3F02EB48-A165-461F-8BAF-AC050FE23690}"/>
    <hyperlink ref="H186" r:id="rId143" xr:uid="{145A22A7-33A1-43C0-A440-9E0FD9BB1AD1}"/>
    <hyperlink ref="H187" r:id="rId144" xr:uid="{A5000FCA-4DF3-47B7-97D9-DAAC213C360B}"/>
    <hyperlink ref="H188" r:id="rId145" xr:uid="{9FF463BE-AA91-4BC5-AE7D-4936D1C6D265}"/>
    <hyperlink ref="H189" r:id="rId146" xr:uid="{EED7450E-F5F5-483A-B269-54C932486E0F}"/>
    <hyperlink ref="H190" r:id="rId147" xr:uid="{B52E97C0-A3E5-471B-BD01-7BEB96586BB6}"/>
    <hyperlink ref="H191" r:id="rId148" xr:uid="{6D139DEB-1BCB-45F1-9FA5-40A114985687}"/>
    <hyperlink ref="H139" r:id="rId149" xr:uid="{069CCB02-48CE-4D86-8BBE-DFAEAC941704}"/>
    <hyperlink ref="H182" r:id="rId150" xr:uid="{3FF7903C-E5BA-4ED9-88DD-9F4AF755FB57}"/>
    <hyperlink ref="H193" r:id="rId151" xr:uid="{B58FC76B-D0FB-47D2-9309-07FBB7AE8F26}"/>
    <hyperlink ref="H194" r:id="rId152" xr:uid="{5ACAB395-A666-4978-812B-9B6039F53703}"/>
    <hyperlink ref="H195" r:id="rId153" xr:uid="{21A42A74-18EE-46BA-BF13-26B8D1F6FB47}"/>
    <hyperlink ref="H196" r:id="rId154" xr:uid="{979A4771-81FC-497B-97EF-32C019953489}"/>
    <hyperlink ref="H197" r:id="rId155" xr:uid="{234D72AD-6212-4E7C-8477-5EE09B54842C}"/>
    <hyperlink ref="H198" r:id="rId156" xr:uid="{00FC64E2-B2F8-4262-AD93-67A69A51A2AE}"/>
    <hyperlink ref="H201" r:id="rId157" xr:uid="{37D46FE9-659B-4E71-B1B0-2BAE5EB3E001}"/>
    <hyperlink ref="H203" r:id="rId158" xr:uid="{C1FEA757-567F-46DB-8BE8-C181F4790348}"/>
    <hyperlink ref="H205" r:id="rId159" xr:uid="{E5DA9A5D-81D1-4927-A98E-48C8E1B7F848}"/>
    <hyperlink ref="H207" r:id="rId160" xr:uid="{BF1AC4BD-BCB3-41AE-BB4E-A4D7D4B9CA30}"/>
    <hyperlink ref="H209" r:id="rId161" xr:uid="{F331605E-78A2-41C4-A9DE-125F32D6DA17}"/>
    <hyperlink ref="H211" r:id="rId162" xr:uid="{CD04C61F-F4DD-4619-8D0C-B117149DDD16}"/>
    <hyperlink ref="H214" r:id="rId163" xr:uid="{126CAEE5-AFE9-4D78-8299-0693794DBF35}"/>
    <hyperlink ref="H216" r:id="rId164" xr:uid="{99CC6C3B-99A9-43A2-98C5-FB3C0CDBB22E}"/>
    <hyperlink ref="H218" r:id="rId165" xr:uid="{5ACB8786-94C9-4AC5-891E-06289DFF8043}"/>
    <hyperlink ref="H199" r:id="rId166" xr:uid="{2FDB9825-2079-4C7E-B037-8188CA0176F5}"/>
    <hyperlink ref="H202" r:id="rId167" xr:uid="{A69F4B4C-FA3C-439D-BC44-569193F38E47}"/>
    <hyperlink ref="H204" r:id="rId168" xr:uid="{46585970-332F-4A0A-9FB9-F74633BF4F42}"/>
    <hyperlink ref="H206" r:id="rId169" xr:uid="{8D52DD5E-FD4A-4159-BFA0-B6EE5B956520}"/>
    <hyperlink ref="H208" r:id="rId170" xr:uid="{DDFB99AD-CCF9-4F9C-B530-960F480ECD4B}"/>
    <hyperlink ref="H210" r:id="rId171" xr:uid="{8C88AF55-D328-4D4E-ACE7-C01C70716F01}"/>
    <hyperlink ref="H213" r:id="rId172" xr:uid="{A2384EAF-1892-4C85-B4DB-D89DEED6A1DD}"/>
    <hyperlink ref="H215" r:id="rId173" xr:uid="{D6D56087-231C-4ABA-8429-E4BF41585FE5}"/>
    <hyperlink ref="H217" r:id="rId174" xr:uid="{D09EAEF8-49AC-4164-AAB1-5DDF19295801}"/>
    <hyperlink ref="H212" r:id="rId175" display="https://maps.app.goo.gl/RJ2QRVrW96tKL7ur6" xr:uid="{609C48FB-80B4-46B2-AA88-2F3D30BF6C33}"/>
    <hyperlink ref="H200" r:id="rId176" xr:uid="{2E729EBE-5AE8-4BE9-AA51-7933BA8C3C79}"/>
    <hyperlink ref="H224" r:id="rId177" xr:uid="{CCF25449-1659-4582-89F9-12D2B6EE3579}"/>
    <hyperlink ref="H225" r:id="rId178" display="https://maps.app.goo.gl/7dsMYhd2KW95ZzZs5" xr:uid="{EC1AD3C9-DDCC-4E6E-B2E9-DAF4ADC35D2C}"/>
    <hyperlink ref="H226" r:id="rId179" display="https://maps.app.goo.gl/7dsMYhd2KW95ZzZs5" xr:uid="{50958474-7E87-4C6E-8635-C114CA360BBD}"/>
    <hyperlink ref="H219" r:id="rId180" xr:uid="{9041352D-F93F-4B8D-B1AB-6E12264A34EA}"/>
    <hyperlink ref="H220" r:id="rId181" xr:uid="{FB6C0D8E-2AF1-40BC-BE6E-2992CB054D78}"/>
    <hyperlink ref="H221" r:id="rId182" xr:uid="{1F235C3F-C9DB-4C11-8CCF-0C97AB89EBD7}"/>
    <hyperlink ref="H223" r:id="rId183" xr:uid="{388632CD-FE0B-4C31-ACA8-6DA26C4D8ADF}"/>
    <hyperlink ref="H149" r:id="rId184" xr:uid="{D89787FE-D414-4ADC-AC02-C8B9D2520919}"/>
    <hyperlink ref="H227" r:id="rId185" xr:uid="{ACBC6070-DAD9-4FE2-8D5C-716E5B266865}"/>
    <hyperlink ref="H237" r:id="rId186" xr:uid="{CD3468AF-EFE4-4CA7-A470-92A73B92CFB8}"/>
    <hyperlink ref="H238" r:id="rId187" xr:uid="{346E6C25-BB0F-44A0-8892-BC68069BAA7A}"/>
    <hyperlink ref="H240" r:id="rId188" xr:uid="{C3673093-0EB3-431E-A819-C56087625C52}"/>
    <hyperlink ref="H241" r:id="rId189" xr:uid="{5FD41EE0-E32F-4B42-9354-0A62AD7E219E}"/>
    <hyperlink ref="H242" r:id="rId190" xr:uid="{FED85340-EAA2-4E7A-8432-7A3BE5D6AD3B}"/>
    <hyperlink ref="H244" r:id="rId191" xr:uid="{9C135695-9C00-4C5F-913A-8013B376DD95}"/>
    <hyperlink ref="H245" r:id="rId192" xr:uid="{7B5795EF-4703-4B84-8920-EE6B31A463D3}"/>
    <hyperlink ref="H246" r:id="rId193" xr:uid="{89FEC483-A001-4B45-B8FA-C0133C0159FE}"/>
    <hyperlink ref="H247" r:id="rId194" xr:uid="{3DFB2647-894B-43B0-92A3-00B341C0DA0D}"/>
    <hyperlink ref="H251" r:id="rId195" xr:uid="{408D462D-C0B8-47D0-B218-E428030F0641}"/>
    <hyperlink ref="H252" r:id="rId196" xr:uid="{6B91A769-147A-4650-A292-F429547DB920}"/>
    <hyperlink ref="H239" r:id="rId197" xr:uid="{2B7A13EC-A717-45C6-BC9D-F69C297E69E5}"/>
    <hyperlink ref="H243" r:id="rId198" xr:uid="{29AFFB8F-4CA4-4A3F-ADBC-A4550416732D}"/>
    <hyperlink ref="H140" r:id="rId199" xr:uid="{654E0E82-F5AB-4B65-B563-9D3E91BF83D4}"/>
    <hyperlink ref="H141" r:id="rId200" xr:uid="{C5A3DF91-92D1-4C68-91E5-2339E158AAC9}"/>
    <hyperlink ref="H256" r:id="rId201" xr:uid="{D488917C-1773-46C8-AE24-C0150C67D2BC}"/>
    <hyperlink ref="H257" r:id="rId202" xr:uid="{FA4BB291-4E0D-4A6E-9E43-DF05E067866A}"/>
    <hyperlink ref="H258" r:id="rId203" xr:uid="{8ED2A142-1C2D-4EEF-B2C9-8E7DBF014473}"/>
    <hyperlink ref="H259" r:id="rId204" xr:uid="{3EE40D55-CEE4-48CB-B1B7-513D68E9C6A6}"/>
    <hyperlink ref="H192" r:id="rId205" display="https://maps.app.goo.gl/e1ddei1i8yHZXuQi8" xr:uid="{75B930EA-6D01-4FF4-A61B-C6AEA8DAC1AA}"/>
    <hyperlink ref="H260" r:id="rId206" xr:uid="{B791AC49-8556-4BE6-8345-FA11843C584F}"/>
    <hyperlink ref="H261" r:id="rId207" xr:uid="{246CD591-7D7F-4917-83C9-04BFB04148F6}"/>
    <hyperlink ref="H262" r:id="rId208" xr:uid="{B26517D8-0B06-4B5F-B842-EAB04E0C00BB}"/>
    <hyperlink ref="H263" r:id="rId209" xr:uid="{AB9D97B5-51AA-4CC4-A666-D61BC8D70FBB}"/>
    <hyperlink ref="H264" r:id="rId210" xr:uid="{0D1D41B3-79C2-4EA1-935B-F582F71707BE}"/>
    <hyperlink ref="H266" r:id="rId211" xr:uid="{9FF5B64D-BF65-4345-B32E-48F9AB582FF7}"/>
    <hyperlink ref="H268" r:id="rId212" xr:uid="{C8E9D3B8-7109-4B6E-9DEE-7F875584CBED}"/>
    <hyperlink ref="H270" r:id="rId213" xr:uid="{B7DA6EE5-0053-4A88-B6DB-4339320B19A9}"/>
    <hyperlink ref="H272" r:id="rId214" xr:uid="{B80ADE9F-F4AD-4836-89E5-25774AE98B34}"/>
    <hyperlink ref="H274" r:id="rId215" xr:uid="{9252F765-54A8-4365-B655-1CEB35A665E2}"/>
    <hyperlink ref="H276" r:id="rId216" xr:uid="{5E682CD6-A1E9-4669-AB24-37B56F75E248}"/>
    <hyperlink ref="H278" r:id="rId217" xr:uid="{9910A7B1-BC6F-44B9-A1B5-CDE437CE8C67}"/>
    <hyperlink ref="H265" r:id="rId218" xr:uid="{3760C67A-B702-490D-B7BF-10D045F6DBCA}"/>
    <hyperlink ref="H267" r:id="rId219" xr:uid="{74366FF4-BD79-4A4E-95B6-ACBE8796C1CD}"/>
    <hyperlink ref="H269" r:id="rId220" xr:uid="{6387CEAD-2485-4AAD-A042-A804233A8F62}"/>
    <hyperlink ref="H271" r:id="rId221" xr:uid="{95B81931-1443-4FA3-B65D-1E58CD1E85CD}"/>
    <hyperlink ref="H273" r:id="rId222" xr:uid="{D3CFA2EC-4DC9-42C4-AA87-F31AA4632399}"/>
    <hyperlink ref="H275" r:id="rId223" xr:uid="{1026C532-9542-4C3D-807F-C730F1C6A6E0}"/>
    <hyperlink ref="H277" r:id="rId224" xr:uid="{575408C7-3CD2-4A9F-B53A-B6A883510B8A}"/>
    <hyperlink ref="H279" r:id="rId225" xr:uid="{2F10B6EB-65C5-478E-804D-CED8FF9BBA43}"/>
    <hyperlink ref="H280" r:id="rId226" xr:uid="{D990A4C0-561C-4371-B28E-A3B279B3B0C0}"/>
    <hyperlink ref="H282" r:id="rId227" xr:uid="{C77B3F00-9E90-48BB-84E8-7863535B54FF}"/>
    <hyperlink ref="H284" r:id="rId228" xr:uid="{34596A82-7C41-4201-B1A8-58B27D8893E8}"/>
    <hyperlink ref="H286" r:id="rId229" xr:uid="{5F674D0E-15A4-4560-8CFA-3848B94A746A}"/>
    <hyperlink ref="H288" r:id="rId230" xr:uid="{6701594D-30D8-430F-9B0B-A00148A37DD6}"/>
    <hyperlink ref="H290" r:id="rId231" xr:uid="{B07E8029-DD04-4347-B16E-77ED782FEE6F}"/>
    <hyperlink ref="H292" r:id="rId232" xr:uid="{2E39182C-3664-49F0-BAF5-CCB66A0EB117}"/>
    <hyperlink ref="H281" r:id="rId233" xr:uid="{D8FAB089-5DA1-4163-B592-08A788ECDB61}"/>
    <hyperlink ref="H283" r:id="rId234" xr:uid="{D0E96C71-0CA6-4430-B910-10DEC30CF5DC}"/>
    <hyperlink ref="H285" r:id="rId235" xr:uid="{1F988F3C-B5EB-4DE2-B6CC-343B8651A0FF}"/>
    <hyperlink ref="H287" r:id="rId236" xr:uid="{0ADBD325-5248-4D36-9BD2-13C41E83B9AA}"/>
    <hyperlink ref="H289" r:id="rId237" xr:uid="{91E6E8D9-6A78-4A1A-918F-959C07CFE9DF}"/>
    <hyperlink ref="H291" r:id="rId238" xr:uid="{6348A3C5-2EC8-492B-A5CD-4D326901BC6B}"/>
    <hyperlink ref="H293" r:id="rId239" xr:uid="{6D66F3E1-8804-4654-B4C9-6068638177DC}"/>
  </hyperlinks>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tableParts count="1">
    <tablePart r:id="rId24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5E11-A520-44B3-A5D4-B219183F341C}">
  <sheetPr codeName="Feuil3"/>
  <dimension ref="C5:G32"/>
  <sheetViews>
    <sheetView topLeftCell="A2" workbookViewId="0">
      <selection activeCell="B32" sqref="B31:B32"/>
    </sheetView>
  </sheetViews>
  <sheetFormatPr baseColWidth="10" defaultRowHeight="14.25"/>
  <cols>
    <col min="3" max="3" width="22" bestFit="1" customWidth="1"/>
    <col min="4" max="4" width="35.25" bestFit="1" customWidth="1"/>
  </cols>
  <sheetData>
    <row r="5" spans="3:7" ht="15">
      <c r="C5" s="18" t="s">
        <v>9</v>
      </c>
      <c r="D5" s="18" t="s">
        <v>41</v>
      </c>
    </row>
    <row r="6" spans="3:7" ht="15">
      <c r="C6" s="18"/>
      <c r="D6" s="18"/>
    </row>
    <row r="7" spans="3:7" ht="18.75">
      <c r="C7" s="19" t="s">
        <v>5</v>
      </c>
      <c r="D7" s="24" t="e">
        <f>HYPERLINK(VLOOKUP($D$5,Tableau,3,FALSE),VLOOKUP($D$5,Tableau,2,FALSE))</f>
        <v>#N/A</v>
      </c>
    </row>
    <row r="8" spans="3:7" ht="15">
      <c r="C8" s="19" t="s">
        <v>43</v>
      </c>
      <c r="D8" s="20" t="e">
        <f>VLOOKUP($D$5,Tableau1[],4,FALSE)</f>
        <v>#N/A</v>
      </c>
    </row>
    <row r="9" spans="3:7" ht="15">
      <c r="C9" s="19" t="s">
        <v>42</v>
      </c>
      <c r="D9" s="20" t="e">
        <f>VLOOKUP($D$5,Tableau1[],5,FALSE)</f>
        <v>#N/A</v>
      </c>
    </row>
    <row r="10" spans="3:7" ht="15">
      <c r="C10" s="19"/>
      <c r="D10" s="17"/>
    </row>
    <row r="11" spans="3:7" ht="15">
      <c r="C11" s="19" t="s">
        <v>19</v>
      </c>
      <c r="D11" s="20" t="e">
        <f>VLOOKUP($D$5,Tableau1[],14,FALSE)</f>
        <v>#N/A</v>
      </c>
    </row>
    <row r="12" spans="3:7" ht="15">
      <c r="C12" s="19" t="s">
        <v>20</v>
      </c>
      <c r="D12" s="20" t="e">
        <f>VLOOKUP($D$5,Tableau1[],15,FALSE)</f>
        <v>#N/A</v>
      </c>
    </row>
    <row r="13" spans="3:7" ht="15">
      <c r="C13" s="19" t="s">
        <v>6</v>
      </c>
      <c r="D13" s="20" t="e">
        <f>VLOOKUP($D$5,Tableau1[],6,FALSE)</f>
        <v>#N/A</v>
      </c>
      <c r="G13" s="2"/>
    </row>
    <row r="14" spans="3:7" ht="15">
      <c r="C14" s="19" t="s">
        <v>10</v>
      </c>
      <c r="D14" s="21" t="e">
        <f>VLOOKUP($D$5,Tableau1[],7,FALSE)</f>
        <v>#N/A</v>
      </c>
    </row>
    <row r="15" spans="3:7" ht="16.5">
      <c r="C15" s="19" t="s">
        <v>4</v>
      </c>
      <c r="D15" s="22" t="e">
        <f>VLOOKUP($D$5,Tableau1[],8,FALSE)</f>
        <v>#N/A</v>
      </c>
    </row>
    <row r="16" spans="3:7" ht="15">
      <c r="C16" s="19" t="s">
        <v>7</v>
      </c>
      <c r="D16" s="21" t="e">
        <f>VLOOKUP($D$5,Tableau1[],9,FALSE)</f>
        <v>#N/A</v>
      </c>
    </row>
    <row r="17" spans="3:6" ht="15">
      <c r="C17" s="19" t="s">
        <v>14</v>
      </c>
      <c r="D17" s="21" t="e">
        <f>VLOOKUP($D$5,Tableau1[],10,FALSE)</f>
        <v>#N/A</v>
      </c>
    </row>
    <row r="18" spans="3:6" ht="16.5">
      <c r="C18" s="19" t="s">
        <v>3</v>
      </c>
      <c r="D18" s="22" t="e">
        <f>VLOOKUP($D$5,Tableau1[],11,FALSE)</f>
        <v>#N/A</v>
      </c>
    </row>
    <row r="19" spans="3:6" ht="15">
      <c r="C19" s="19" t="s">
        <v>8</v>
      </c>
      <c r="D19" s="21" t="e">
        <f>VLOOKUP($D$5,Tableau1[],12,FALSE)</f>
        <v>#N/A</v>
      </c>
    </row>
    <row r="20" spans="3:6" ht="15">
      <c r="C20" s="19" t="s">
        <v>15</v>
      </c>
      <c r="D20" s="21" t="e">
        <f>VLOOKUP($D$5,Tableau1[],13,FALSE)</f>
        <v>#N/A</v>
      </c>
    </row>
    <row r="21" spans="3:6" ht="15">
      <c r="C21" s="19" t="s">
        <v>2</v>
      </c>
      <c r="D21" s="21" t="e">
        <f>VLOOKUP($D$5,Tableau1[],16,FALSE)</f>
        <v>#N/A</v>
      </c>
    </row>
    <row r="22" spans="3:6" ht="69.75" customHeight="1">
      <c r="C22" s="19" t="s">
        <v>1</v>
      </c>
      <c r="D22" s="23" t="e">
        <f>VLOOKUP($D$5,Tableau1[],17,FALSE)</f>
        <v>#N/A</v>
      </c>
    </row>
    <row r="23" spans="3:6" ht="15">
      <c r="C23" s="19"/>
      <c r="D23" s="20"/>
    </row>
    <row r="24" spans="3:6" ht="15">
      <c r="C24" s="19" t="s">
        <v>38</v>
      </c>
      <c r="D24" s="23" t="e">
        <f>VLOOKUP($D$5,Tableau1[],18,FALSE)</f>
        <v>#N/A</v>
      </c>
    </row>
    <row r="25" spans="3:6" ht="57" customHeight="1">
      <c r="C25" s="19" t="s">
        <v>46</v>
      </c>
      <c r="D25" s="17" t="e">
        <f>HYPERLINK(VLOOKUP($D$5,Tableau1[],19,FALSE),VLOOKUP($D$5,Tableau1[],19,FALSE))</f>
        <v>#N/A</v>
      </c>
    </row>
    <row r="32" spans="3:6">
      <c r="F32" s="2"/>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B83DAC5-DA31-4FC0-A4E3-68C28F9FEF98}">
          <x14:formula1>
            <xm:f>'Tableau recherche'!#REF!</xm:f>
          </x14:formula1>
          <xm:sqref>D5:D6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8568B-3EC6-468D-91B9-4ADDA7A3C567}">
  <sheetPr codeName="Feuil1"/>
  <dimension ref="C5:M106"/>
  <sheetViews>
    <sheetView workbookViewId="0">
      <selection activeCell="L15" sqref="L15"/>
    </sheetView>
  </sheetViews>
  <sheetFormatPr baseColWidth="10" defaultRowHeight="14.25"/>
  <cols>
    <col min="3" max="3" width="7.875" customWidth="1"/>
    <col min="4" max="4" width="22" bestFit="1" customWidth="1"/>
    <col min="5" max="5" width="24.125" bestFit="1" customWidth="1"/>
  </cols>
  <sheetData>
    <row r="5" spans="3:13" ht="15">
      <c r="C5" s="27" t="s">
        <v>132</v>
      </c>
      <c r="D5" s="27" t="s">
        <v>133</v>
      </c>
      <c r="E5" s="27" t="s">
        <v>134</v>
      </c>
    </row>
    <row r="6" spans="3:13" ht="15">
      <c r="C6" s="27">
        <v>1</v>
      </c>
      <c r="D6" s="28" t="s">
        <v>135</v>
      </c>
      <c r="E6" s="28" t="s">
        <v>136</v>
      </c>
    </row>
    <row r="7" spans="3:13" ht="15">
      <c r="C7" s="27">
        <v>2</v>
      </c>
      <c r="D7" s="28" t="s">
        <v>137</v>
      </c>
      <c r="E7" s="28" t="s">
        <v>138</v>
      </c>
    </row>
    <row r="8" spans="3:13" ht="15">
      <c r="C8" s="27">
        <v>3</v>
      </c>
      <c r="D8" s="28" t="s">
        <v>139</v>
      </c>
      <c r="E8" s="28" t="s">
        <v>136</v>
      </c>
    </row>
    <row r="9" spans="3:13" ht="15">
      <c r="C9" s="27">
        <v>4</v>
      </c>
      <c r="D9" s="28" t="s">
        <v>140</v>
      </c>
      <c r="E9" s="28" t="s">
        <v>141</v>
      </c>
    </row>
    <row r="10" spans="3:13" ht="15">
      <c r="C10" s="27">
        <v>5</v>
      </c>
      <c r="D10" s="28" t="s">
        <v>142</v>
      </c>
      <c r="E10" s="28" t="s">
        <v>141</v>
      </c>
    </row>
    <row r="11" spans="3:13" ht="15">
      <c r="C11" s="27">
        <v>6</v>
      </c>
      <c r="D11" s="28" t="s">
        <v>143</v>
      </c>
      <c r="E11" s="28" t="s">
        <v>141</v>
      </c>
    </row>
    <row r="12" spans="3:13" ht="15">
      <c r="C12" s="27">
        <v>7</v>
      </c>
      <c r="D12" s="28" t="s">
        <v>144</v>
      </c>
      <c r="E12" s="28" t="s">
        <v>136</v>
      </c>
    </row>
    <row r="13" spans="3:13" ht="15">
      <c r="C13" s="27">
        <v>8</v>
      </c>
      <c r="D13" s="28" t="s">
        <v>145</v>
      </c>
      <c r="E13" s="28" t="s">
        <v>146</v>
      </c>
      <c r="I13" t="str">
        <f>VLOOKUP(K13,$C$6:$E$106,2)</f>
        <v>Val-de-Marne</v>
      </c>
      <c r="J13" t="str">
        <f>VLOOKUP(L13,$C$6:$E$106,2)</f>
        <v>Haute-Corse</v>
      </c>
      <c r="K13">
        <v>94</v>
      </c>
      <c r="L13" t="str">
        <f>LEFT(M13,2)</f>
        <v>94</v>
      </c>
      <c r="M13" s="31">
        <v>94300</v>
      </c>
    </row>
    <row r="14" spans="3:13" ht="15">
      <c r="C14" s="27">
        <v>9</v>
      </c>
      <c r="D14" s="28" t="s">
        <v>147</v>
      </c>
      <c r="E14" s="28" t="s">
        <v>148</v>
      </c>
    </row>
    <row r="15" spans="3:13" ht="15">
      <c r="C15" s="27">
        <v>10</v>
      </c>
      <c r="D15" s="28" t="s">
        <v>149</v>
      </c>
      <c r="E15" s="28" t="s">
        <v>146</v>
      </c>
    </row>
    <row r="16" spans="3:13" ht="15">
      <c r="C16" s="27">
        <v>11</v>
      </c>
      <c r="D16" s="28" t="s">
        <v>150</v>
      </c>
      <c r="E16" s="28" t="s">
        <v>148</v>
      </c>
    </row>
    <row r="17" spans="3:5" ht="15">
      <c r="C17" s="27">
        <v>12</v>
      </c>
      <c r="D17" s="28" t="s">
        <v>151</v>
      </c>
      <c r="E17" s="28" t="s">
        <v>148</v>
      </c>
    </row>
    <row r="18" spans="3:5" ht="15">
      <c r="C18" s="27">
        <v>13</v>
      </c>
      <c r="D18" s="28" t="s">
        <v>152</v>
      </c>
      <c r="E18" s="28" t="s">
        <v>141</v>
      </c>
    </row>
    <row r="19" spans="3:5" ht="15">
      <c r="C19" s="27">
        <v>14</v>
      </c>
      <c r="D19" s="28" t="s">
        <v>153</v>
      </c>
      <c r="E19" s="28" t="s">
        <v>154</v>
      </c>
    </row>
    <row r="20" spans="3:5" ht="15">
      <c r="C20" s="27">
        <v>15</v>
      </c>
      <c r="D20" s="28" t="s">
        <v>155</v>
      </c>
      <c r="E20" s="28" t="s">
        <v>136</v>
      </c>
    </row>
    <row r="21" spans="3:5" ht="15">
      <c r="C21" s="27">
        <v>16</v>
      </c>
      <c r="D21" s="28" t="s">
        <v>156</v>
      </c>
      <c r="E21" s="28" t="s">
        <v>157</v>
      </c>
    </row>
    <row r="22" spans="3:5" ht="15">
      <c r="C22" s="27">
        <v>17</v>
      </c>
      <c r="D22" s="28" t="s">
        <v>158</v>
      </c>
      <c r="E22" s="28" t="s">
        <v>157</v>
      </c>
    </row>
    <row r="23" spans="3:5" ht="15">
      <c r="C23" s="27">
        <v>18</v>
      </c>
      <c r="D23" s="28" t="s">
        <v>159</v>
      </c>
      <c r="E23" s="28" t="s">
        <v>160</v>
      </c>
    </row>
    <row r="24" spans="3:5" ht="15">
      <c r="C24" s="27">
        <v>19</v>
      </c>
      <c r="D24" s="28" t="s">
        <v>161</v>
      </c>
      <c r="E24" s="28" t="s">
        <v>157</v>
      </c>
    </row>
    <row r="25" spans="3:5" ht="15">
      <c r="C25" s="29" t="s">
        <v>162</v>
      </c>
      <c r="D25" s="30" t="s">
        <v>163</v>
      </c>
      <c r="E25" s="30" t="s">
        <v>164</v>
      </c>
    </row>
    <row r="26" spans="3:5" ht="15">
      <c r="C26" s="29" t="s">
        <v>165</v>
      </c>
      <c r="D26" s="30" t="s">
        <v>166</v>
      </c>
      <c r="E26" s="30" t="s">
        <v>164</v>
      </c>
    </row>
    <row r="27" spans="3:5" ht="15">
      <c r="C27" s="27">
        <v>21</v>
      </c>
      <c r="D27" s="28" t="s">
        <v>167</v>
      </c>
      <c r="E27" s="28" t="s">
        <v>168</v>
      </c>
    </row>
    <row r="28" spans="3:5" ht="15">
      <c r="C28" s="27">
        <v>22</v>
      </c>
      <c r="D28" s="28" t="s">
        <v>169</v>
      </c>
      <c r="E28" s="28" t="s">
        <v>170</v>
      </c>
    </row>
    <row r="29" spans="3:5" ht="15">
      <c r="C29" s="27">
        <v>23</v>
      </c>
      <c r="D29" s="28" t="s">
        <v>171</v>
      </c>
      <c r="E29" s="28" t="s">
        <v>157</v>
      </c>
    </row>
    <row r="30" spans="3:5" ht="15">
      <c r="C30" s="27">
        <v>24</v>
      </c>
      <c r="D30" s="28" t="s">
        <v>172</v>
      </c>
      <c r="E30" s="28" t="s">
        <v>157</v>
      </c>
    </row>
    <row r="31" spans="3:5" ht="15">
      <c r="C31" s="27">
        <v>25</v>
      </c>
      <c r="D31" s="28" t="s">
        <v>173</v>
      </c>
      <c r="E31" s="28" t="s">
        <v>168</v>
      </c>
    </row>
    <row r="32" spans="3:5" ht="15">
      <c r="C32" s="27">
        <v>26</v>
      </c>
      <c r="D32" s="28" t="s">
        <v>174</v>
      </c>
      <c r="E32" s="28" t="s">
        <v>136</v>
      </c>
    </row>
    <row r="33" spans="3:5" ht="15">
      <c r="C33" s="27">
        <v>27</v>
      </c>
      <c r="D33" s="28" t="s">
        <v>175</v>
      </c>
      <c r="E33" s="28" t="s">
        <v>154</v>
      </c>
    </row>
    <row r="34" spans="3:5" ht="15">
      <c r="C34" s="27">
        <v>28</v>
      </c>
      <c r="D34" s="28" t="s">
        <v>176</v>
      </c>
      <c r="E34" s="28" t="s">
        <v>160</v>
      </c>
    </row>
    <row r="35" spans="3:5" ht="15">
      <c r="C35" s="27">
        <v>29</v>
      </c>
      <c r="D35" s="28" t="s">
        <v>177</v>
      </c>
      <c r="E35" s="28" t="s">
        <v>170</v>
      </c>
    </row>
    <row r="36" spans="3:5" ht="15">
      <c r="C36" s="27">
        <v>30</v>
      </c>
      <c r="D36" s="28" t="s">
        <v>178</v>
      </c>
      <c r="E36" s="28" t="s">
        <v>148</v>
      </c>
    </row>
    <row r="37" spans="3:5" ht="15">
      <c r="C37" s="27">
        <v>31</v>
      </c>
      <c r="D37" s="28" t="s">
        <v>179</v>
      </c>
      <c r="E37" s="28" t="s">
        <v>148</v>
      </c>
    </row>
    <row r="38" spans="3:5" ht="15">
      <c r="C38" s="27">
        <v>32</v>
      </c>
      <c r="D38" s="28" t="s">
        <v>180</v>
      </c>
      <c r="E38" s="28" t="s">
        <v>148</v>
      </c>
    </row>
    <row r="39" spans="3:5" ht="15">
      <c r="C39" s="27">
        <v>33</v>
      </c>
      <c r="D39" s="28" t="s">
        <v>181</v>
      </c>
      <c r="E39" s="28" t="s">
        <v>157</v>
      </c>
    </row>
    <row r="40" spans="3:5" ht="15">
      <c r="C40" s="27">
        <v>34</v>
      </c>
      <c r="D40" s="28" t="s">
        <v>182</v>
      </c>
      <c r="E40" s="28" t="s">
        <v>148</v>
      </c>
    </row>
    <row r="41" spans="3:5" ht="15">
      <c r="C41" s="27">
        <v>35</v>
      </c>
      <c r="D41" s="28" t="s">
        <v>183</v>
      </c>
      <c r="E41" s="28" t="s">
        <v>170</v>
      </c>
    </row>
    <row r="42" spans="3:5" ht="15">
      <c r="C42" s="27">
        <v>36</v>
      </c>
      <c r="D42" s="28" t="s">
        <v>184</v>
      </c>
      <c r="E42" s="28" t="s">
        <v>160</v>
      </c>
    </row>
    <row r="43" spans="3:5" ht="15">
      <c r="C43" s="27">
        <v>37</v>
      </c>
      <c r="D43" s="28" t="s">
        <v>185</v>
      </c>
      <c r="E43" s="28" t="s">
        <v>160</v>
      </c>
    </row>
    <row r="44" spans="3:5" ht="15">
      <c r="C44" s="27">
        <v>38</v>
      </c>
      <c r="D44" s="28" t="s">
        <v>186</v>
      </c>
      <c r="E44" s="28" t="s">
        <v>136</v>
      </c>
    </row>
    <row r="45" spans="3:5" ht="15">
      <c r="C45" s="27">
        <v>39</v>
      </c>
      <c r="D45" s="28" t="s">
        <v>187</v>
      </c>
      <c r="E45" s="28" t="s">
        <v>168</v>
      </c>
    </row>
    <row r="46" spans="3:5" ht="15">
      <c r="C46" s="27">
        <v>40</v>
      </c>
      <c r="D46" s="28" t="s">
        <v>188</v>
      </c>
      <c r="E46" s="28" t="s">
        <v>157</v>
      </c>
    </row>
    <row r="47" spans="3:5" ht="15">
      <c r="C47" s="27">
        <v>41</v>
      </c>
      <c r="D47" s="28" t="s">
        <v>189</v>
      </c>
      <c r="E47" s="28" t="s">
        <v>160</v>
      </c>
    </row>
    <row r="48" spans="3:5" ht="15">
      <c r="C48" s="27">
        <v>42</v>
      </c>
      <c r="D48" s="28" t="s">
        <v>190</v>
      </c>
      <c r="E48" s="28" t="s">
        <v>136</v>
      </c>
    </row>
    <row r="49" spans="3:5" ht="15">
      <c r="C49" s="27">
        <v>43</v>
      </c>
      <c r="D49" s="28" t="s">
        <v>191</v>
      </c>
      <c r="E49" s="28" t="s">
        <v>136</v>
      </c>
    </row>
    <row r="50" spans="3:5" ht="15">
      <c r="C50" s="27">
        <v>44</v>
      </c>
      <c r="D50" s="28" t="s">
        <v>192</v>
      </c>
      <c r="E50" s="28" t="s">
        <v>193</v>
      </c>
    </row>
    <row r="51" spans="3:5" ht="15">
      <c r="C51" s="27">
        <v>45</v>
      </c>
      <c r="D51" s="28" t="s">
        <v>194</v>
      </c>
      <c r="E51" s="28" t="s">
        <v>160</v>
      </c>
    </row>
    <row r="52" spans="3:5" ht="15">
      <c r="C52" s="27">
        <v>46</v>
      </c>
      <c r="D52" s="28" t="s">
        <v>195</v>
      </c>
      <c r="E52" s="28" t="s">
        <v>148</v>
      </c>
    </row>
    <row r="53" spans="3:5" ht="15">
      <c r="C53" s="27">
        <v>47</v>
      </c>
      <c r="D53" s="28" t="s">
        <v>196</v>
      </c>
      <c r="E53" s="28" t="s">
        <v>157</v>
      </c>
    </row>
    <row r="54" spans="3:5" ht="15">
      <c r="C54" s="27">
        <v>48</v>
      </c>
      <c r="D54" s="28" t="s">
        <v>197</v>
      </c>
      <c r="E54" s="28" t="s">
        <v>148</v>
      </c>
    </row>
    <row r="55" spans="3:5" ht="15">
      <c r="C55" s="27">
        <v>49</v>
      </c>
      <c r="D55" s="28" t="s">
        <v>198</v>
      </c>
      <c r="E55" s="28" t="s">
        <v>193</v>
      </c>
    </row>
    <row r="56" spans="3:5" ht="15">
      <c r="C56" s="27">
        <v>50</v>
      </c>
      <c r="D56" s="28" t="s">
        <v>199</v>
      </c>
      <c r="E56" s="28" t="s">
        <v>154</v>
      </c>
    </row>
    <row r="57" spans="3:5" ht="15">
      <c r="C57" s="27">
        <v>51</v>
      </c>
      <c r="D57" s="28" t="s">
        <v>200</v>
      </c>
      <c r="E57" s="28" t="s">
        <v>146</v>
      </c>
    </row>
    <row r="58" spans="3:5" ht="15">
      <c r="C58" s="27">
        <v>52</v>
      </c>
      <c r="D58" s="28" t="s">
        <v>201</v>
      </c>
      <c r="E58" s="28" t="s">
        <v>146</v>
      </c>
    </row>
    <row r="59" spans="3:5" ht="15">
      <c r="C59" s="27">
        <v>53</v>
      </c>
      <c r="D59" s="28" t="s">
        <v>202</v>
      </c>
      <c r="E59" s="28" t="s">
        <v>193</v>
      </c>
    </row>
    <row r="60" spans="3:5" ht="15">
      <c r="C60" s="27">
        <v>54</v>
      </c>
      <c r="D60" s="28" t="s">
        <v>203</v>
      </c>
      <c r="E60" s="28" t="s">
        <v>146</v>
      </c>
    </row>
    <row r="61" spans="3:5" ht="15">
      <c r="C61" s="27">
        <v>55</v>
      </c>
      <c r="D61" s="28" t="s">
        <v>204</v>
      </c>
      <c r="E61" s="28" t="s">
        <v>146</v>
      </c>
    </row>
    <row r="62" spans="3:5" ht="15">
      <c r="C62" s="27">
        <v>56</v>
      </c>
      <c r="D62" s="28" t="s">
        <v>205</v>
      </c>
      <c r="E62" s="28" t="s">
        <v>170</v>
      </c>
    </row>
    <row r="63" spans="3:5" ht="15">
      <c r="C63" s="27">
        <v>57</v>
      </c>
      <c r="D63" s="28" t="s">
        <v>206</v>
      </c>
      <c r="E63" s="28" t="s">
        <v>146</v>
      </c>
    </row>
    <row r="64" spans="3:5" ht="15">
      <c r="C64" s="27">
        <v>58</v>
      </c>
      <c r="D64" s="28" t="s">
        <v>207</v>
      </c>
      <c r="E64" s="28" t="s">
        <v>168</v>
      </c>
    </row>
    <row r="65" spans="3:5" ht="15">
      <c r="C65" s="27">
        <v>59</v>
      </c>
      <c r="D65" s="28" t="s">
        <v>208</v>
      </c>
      <c r="E65" s="28" t="s">
        <v>138</v>
      </c>
    </row>
    <row r="66" spans="3:5" ht="15">
      <c r="C66" s="27">
        <v>60</v>
      </c>
      <c r="D66" s="28" t="s">
        <v>209</v>
      </c>
      <c r="E66" s="28" t="s">
        <v>138</v>
      </c>
    </row>
    <row r="67" spans="3:5" ht="15">
      <c r="C67" s="27">
        <v>61</v>
      </c>
      <c r="D67" s="28" t="s">
        <v>210</v>
      </c>
      <c r="E67" s="28" t="s">
        <v>154</v>
      </c>
    </row>
    <row r="68" spans="3:5" ht="15">
      <c r="C68" s="27">
        <v>62</v>
      </c>
      <c r="D68" s="28" t="s">
        <v>211</v>
      </c>
      <c r="E68" s="28" t="s">
        <v>138</v>
      </c>
    </row>
    <row r="69" spans="3:5" ht="15">
      <c r="C69" s="27">
        <v>63</v>
      </c>
      <c r="D69" s="28" t="s">
        <v>212</v>
      </c>
      <c r="E69" s="28" t="s">
        <v>136</v>
      </c>
    </row>
    <row r="70" spans="3:5" ht="15">
      <c r="C70" s="27">
        <v>64</v>
      </c>
      <c r="D70" s="28" t="s">
        <v>213</v>
      </c>
      <c r="E70" s="28" t="s">
        <v>157</v>
      </c>
    </row>
    <row r="71" spans="3:5" ht="15">
      <c r="C71" s="27">
        <v>65</v>
      </c>
      <c r="D71" s="28" t="s">
        <v>214</v>
      </c>
      <c r="E71" s="28" t="s">
        <v>148</v>
      </c>
    </row>
    <row r="72" spans="3:5" ht="15">
      <c r="C72" s="27">
        <v>66</v>
      </c>
      <c r="D72" s="28" t="s">
        <v>215</v>
      </c>
      <c r="E72" s="28" t="s">
        <v>148</v>
      </c>
    </row>
    <row r="73" spans="3:5" ht="15">
      <c r="C73" s="27">
        <v>67</v>
      </c>
      <c r="D73" s="28" t="s">
        <v>216</v>
      </c>
      <c r="E73" s="28" t="s">
        <v>146</v>
      </c>
    </row>
    <row r="74" spans="3:5" ht="15">
      <c r="C74" s="27">
        <v>68</v>
      </c>
      <c r="D74" s="28" t="s">
        <v>217</v>
      </c>
      <c r="E74" s="28" t="s">
        <v>146</v>
      </c>
    </row>
    <row r="75" spans="3:5" ht="15">
      <c r="C75" s="27">
        <v>69</v>
      </c>
      <c r="D75" s="28" t="s">
        <v>218</v>
      </c>
      <c r="E75" s="28" t="s">
        <v>136</v>
      </c>
    </row>
    <row r="76" spans="3:5" ht="15">
      <c r="C76" s="27">
        <v>70</v>
      </c>
      <c r="D76" s="28" t="s">
        <v>219</v>
      </c>
      <c r="E76" s="28" t="s">
        <v>168</v>
      </c>
    </row>
    <row r="77" spans="3:5" ht="15">
      <c r="C77" s="27">
        <v>71</v>
      </c>
      <c r="D77" s="28" t="s">
        <v>220</v>
      </c>
      <c r="E77" s="28" t="s">
        <v>168</v>
      </c>
    </row>
    <row r="78" spans="3:5" ht="15">
      <c r="C78" s="27">
        <v>72</v>
      </c>
      <c r="D78" s="28" t="s">
        <v>221</v>
      </c>
      <c r="E78" s="28" t="s">
        <v>193</v>
      </c>
    </row>
    <row r="79" spans="3:5" ht="15">
      <c r="C79" s="27">
        <v>73</v>
      </c>
      <c r="D79" s="28" t="s">
        <v>222</v>
      </c>
      <c r="E79" s="28" t="s">
        <v>136</v>
      </c>
    </row>
    <row r="80" spans="3:5" ht="15">
      <c r="C80" s="27">
        <v>74</v>
      </c>
      <c r="D80" s="28" t="s">
        <v>223</v>
      </c>
      <c r="E80" s="28" t="s">
        <v>136</v>
      </c>
    </row>
    <row r="81" spans="3:5" ht="15">
      <c r="C81" s="27">
        <v>75</v>
      </c>
      <c r="D81" s="28" t="s">
        <v>87</v>
      </c>
      <c r="E81" s="28" t="s">
        <v>224</v>
      </c>
    </row>
    <row r="82" spans="3:5" ht="15">
      <c r="C82" s="27">
        <v>76</v>
      </c>
      <c r="D82" s="28" t="s">
        <v>225</v>
      </c>
      <c r="E82" s="28" t="s">
        <v>154</v>
      </c>
    </row>
    <row r="83" spans="3:5" ht="15">
      <c r="C83" s="27">
        <v>77</v>
      </c>
      <c r="D83" s="28" t="s">
        <v>226</v>
      </c>
      <c r="E83" s="28" t="s">
        <v>224</v>
      </c>
    </row>
    <row r="84" spans="3:5" ht="15">
      <c r="C84" s="27">
        <v>78</v>
      </c>
      <c r="D84" s="28" t="s">
        <v>227</v>
      </c>
      <c r="E84" s="28" t="s">
        <v>224</v>
      </c>
    </row>
    <row r="85" spans="3:5" ht="15">
      <c r="C85" s="27">
        <v>79</v>
      </c>
      <c r="D85" s="28" t="s">
        <v>228</v>
      </c>
      <c r="E85" s="28" t="s">
        <v>157</v>
      </c>
    </row>
    <row r="86" spans="3:5" ht="15">
      <c r="C86" s="27">
        <v>80</v>
      </c>
      <c r="D86" s="28" t="s">
        <v>229</v>
      </c>
      <c r="E86" s="28" t="s">
        <v>138</v>
      </c>
    </row>
    <row r="87" spans="3:5" ht="15">
      <c r="C87" s="27">
        <v>81</v>
      </c>
      <c r="D87" s="28" t="s">
        <v>230</v>
      </c>
      <c r="E87" s="28" t="s">
        <v>148</v>
      </c>
    </row>
    <row r="88" spans="3:5" ht="15">
      <c r="C88" s="27">
        <v>82</v>
      </c>
      <c r="D88" s="28" t="s">
        <v>231</v>
      </c>
      <c r="E88" s="28" t="s">
        <v>148</v>
      </c>
    </row>
    <row r="89" spans="3:5" ht="15">
      <c r="C89" s="27">
        <v>83</v>
      </c>
      <c r="D89" s="28" t="s">
        <v>232</v>
      </c>
      <c r="E89" s="28" t="s">
        <v>141</v>
      </c>
    </row>
    <row r="90" spans="3:5" ht="15">
      <c r="C90" s="27">
        <v>84</v>
      </c>
      <c r="D90" s="28" t="s">
        <v>233</v>
      </c>
      <c r="E90" s="28" t="s">
        <v>141</v>
      </c>
    </row>
    <row r="91" spans="3:5" ht="15">
      <c r="C91" s="27">
        <v>85</v>
      </c>
      <c r="D91" s="28" t="s">
        <v>234</v>
      </c>
      <c r="E91" s="28" t="s">
        <v>193</v>
      </c>
    </row>
    <row r="92" spans="3:5" ht="15">
      <c r="C92" s="27">
        <v>86</v>
      </c>
      <c r="D92" s="28" t="s">
        <v>235</v>
      </c>
      <c r="E92" s="28" t="s">
        <v>157</v>
      </c>
    </row>
    <row r="93" spans="3:5" ht="15">
      <c r="C93" s="27">
        <v>87</v>
      </c>
      <c r="D93" s="28" t="s">
        <v>236</v>
      </c>
      <c r="E93" s="28" t="s">
        <v>157</v>
      </c>
    </row>
    <row r="94" spans="3:5" ht="15">
      <c r="C94" s="27">
        <v>88</v>
      </c>
      <c r="D94" s="28" t="s">
        <v>237</v>
      </c>
      <c r="E94" s="28" t="s">
        <v>146</v>
      </c>
    </row>
    <row r="95" spans="3:5" ht="15">
      <c r="C95" s="27">
        <v>89</v>
      </c>
      <c r="D95" s="28" t="s">
        <v>238</v>
      </c>
      <c r="E95" s="28" t="s">
        <v>168</v>
      </c>
    </row>
    <row r="96" spans="3:5" ht="15">
      <c r="C96" s="27">
        <v>90</v>
      </c>
      <c r="D96" s="28" t="s">
        <v>239</v>
      </c>
      <c r="E96" s="28" t="s">
        <v>168</v>
      </c>
    </row>
    <row r="97" spans="3:5" ht="15">
      <c r="C97" s="27">
        <v>91</v>
      </c>
      <c r="D97" s="28" t="s">
        <v>240</v>
      </c>
      <c r="E97" s="28" t="s">
        <v>224</v>
      </c>
    </row>
    <row r="98" spans="3:5" ht="15">
      <c r="C98" s="27">
        <v>92</v>
      </c>
      <c r="D98" s="28" t="s">
        <v>241</v>
      </c>
      <c r="E98" s="28" t="s">
        <v>224</v>
      </c>
    </row>
    <row r="99" spans="3:5" ht="15">
      <c r="C99" s="27">
        <v>93</v>
      </c>
      <c r="D99" s="28" t="s">
        <v>242</v>
      </c>
      <c r="E99" s="28" t="s">
        <v>224</v>
      </c>
    </row>
    <row r="100" spans="3:5" ht="15">
      <c r="C100" s="27">
        <v>94</v>
      </c>
      <c r="D100" s="28" t="s">
        <v>243</v>
      </c>
      <c r="E100" s="28" t="s">
        <v>224</v>
      </c>
    </row>
    <row r="101" spans="3:5" ht="15">
      <c r="C101" s="27">
        <v>95</v>
      </c>
      <c r="D101" s="28" t="s">
        <v>244</v>
      </c>
      <c r="E101" s="28" t="s">
        <v>224</v>
      </c>
    </row>
    <row r="102" spans="3:5" ht="15">
      <c r="C102" s="27">
        <v>971</v>
      </c>
      <c r="D102" s="28" t="s">
        <v>245</v>
      </c>
      <c r="E102" s="28" t="s">
        <v>245</v>
      </c>
    </row>
    <row r="103" spans="3:5" ht="15">
      <c r="C103" s="27">
        <v>972</v>
      </c>
      <c r="D103" s="28" t="s">
        <v>246</v>
      </c>
      <c r="E103" s="28" t="s">
        <v>246</v>
      </c>
    </row>
    <row r="104" spans="3:5" ht="15">
      <c r="C104" s="27">
        <v>973</v>
      </c>
      <c r="D104" s="28" t="s">
        <v>247</v>
      </c>
      <c r="E104" s="28" t="s">
        <v>247</v>
      </c>
    </row>
    <row r="105" spans="3:5" ht="15">
      <c r="C105" s="27">
        <v>974</v>
      </c>
      <c r="D105" s="28" t="s">
        <v>248</v>
      </c>
      <c r="E105" s="28" t="s">
        <v>248</v>
      </c>
    </row>
    <row r="106" spans="3:5" ht="15">
      <c r="C106" s="27">
        <v>976</v>
      </c>
      <c r="D106" s="28" t="s">
        <v>249</v>
      </c>
      <c r="E106" s="28"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349D-A5C0-4F8F-A82B-809A118FF03F}">
  <sheetPr codeName="Feuil4"/>
  <dimension ref="A1"/>
  <sheetViews>
    <sheetView workbookViewId="0">
      <selection activeCell="E34" sqref="E34"/>
    </sheetView>
  </sheetViews>
  <sheetFormatPr baseColWidth="10"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Tableau recherche</vt:lpstr>
      <vt:lpstr>Présentation</vt:lpstr>
      <vt:lpstr>Feuil1</vt:lpstr>
      <vt:lpstr>Feuil2</vt:lpstr>
      <vt:lpstr>Tableau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Kettenmeyer</dc:creator>
  <cp:lastModifiedBy>Guillaume Kettenmeyer</cp:lastModifiedBy>
  <dcterms:created xsi:type="dcterms:W3CDTF">2025-06-30T16:55:03Z</dcterms:created>
  <dcterms:modified xsi:type="dcterms:W3CDTF">2026-06-08T17:40:00Z</dcterms:modified>
</cp:coreProperties>
</file>