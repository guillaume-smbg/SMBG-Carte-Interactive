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61866F2D-BED4-4123-BA3A-53A03673768D}" xr6:coauthVersionLast="47" xr6:coauthVersionMax="47" xr10:uidLastSave="{00000000-0000-0000-0000-000000000000}"/>
  <bookViews>
    <workbookView xWindow="-19310" yWindow="-110" windowWidth="19420" windowHeight="1030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53" i="2" l="1"/>
  <c r="AF354" i="2"/>
  <c r="AF355" i="2"/>
  <c r="AF356" i="2"/>
  <c r="AF357" i="2"/>
  <c r="AF358" i="2"/>
  <c r="AF359" i="2"/>
  <c r="AF360" i="2"/>
  <c r="AF361" i="2"/>
  <c r="X361" i="2"/>
  <c r="Y361" i="2" s="1"/>
  <c r="Y360" i="2"/>
  <c r="X360" i="2"/>
  <c r="X359" i="2"/>
  <c r="Y359" i="2" s="1"/>
  <c r="X358" i="2"/>
  <c r="Y358" i="2" s="1"/>
  <c r="X357" i="2"/>
  <c r="Y357" i="2" s="1"/>
  <c r="X356" i="2"/>
  <c r="Y356" i="2" s="1"/>
  <c r="X355" i="2"/>
  <c r="Y355" i="2" s="1"/>
  <c r="Y354" i="2"/>
  <c r="X354" i="2"/>
  <c r="X353" i="2"/>
  <c r="Y353" i="2" s="1"/>
  <c r="T353" i="2"/>
  <c r="U353" i="2" s="1"/>
  <c r="T354" i="2"/>
  <c r="U354" i="2" s="1"/>
  <c r="T355" i="2"/>
  <c r="U355" i="2" s="1"/>
  <c r="T356" i="2"/>
  <c r="U356" i="2"/>
  <c r="T357" i="2"/>
  <c r="U357" i="2"/>
  <c r="T358" i="2"/>
  <c r="U358" i="2"/>
  <c r="T359" i="2"/>
  <c r="U359" i="2"/>
  <c r="T360" i="2"/>
  <c r="U360" i="2" s="1"/>
  <c r="T361" i="2"/>
  <c r="U361" i="2"/>
  <c r="B357" i="2"/>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E360" i="2" s="1"/>
  <c r="AC361" i="2"/>
  <c r="AE361" i="2" s="1"/>
  <c r="G355" i="2"/>
  <c r="G356" i="2"/>
  <c r="G357" i="2"/>
  <c r="G358" i="2"/>
  <c r="G359" i="2"/>
  <c r="G360" i="2"/>
  <c r="G361" i="2"/>
  <c r="C354" i="2"/>
  <c r="A354" i="2" s="1"/>
  <c r="AA354" i="2"/>
  <c r="AC354" i="2"/>
  <c r="G354" i="2"/>
  <c r="G353" i="2"/>
  <c r="C353" i="2"/>
  <c r="A353" i="2" s="1"/>
  <c r="AA353" i="2"/>
  <c r="AC353" i="2"/>
  <c r="G348" i="2"/>
  <c r="G349" i="2"/>
  <c r="G350" i="2"/>
  <c r="G351" i="2"/>
  <c r="G352"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c r="AA341" i="2"/>
  <c r="T342" i="2"/>
  <c r="U342" i="2" s="1"/>
  <c r="X342" i="2"/>
  <c r="Y342" i="2" s="1"/>
  <c r="AA342" i="2"/>
  <c r="T343" i="2"/>
  <c r="AF343" i="2" s="1"/>
  <c r="X343" i="2"/>
  <c r="Y343" i="2" s="1"/>
  <c r="AA343" i="2"/>
  <c r="T344" i="2"/>
  <c r="AF344" i="2" s="1"/>
  <c r="U344" i="2"/>
  <c r="X344" i="2"/>
  <c r="Y344" i="2" s="1"/>
  <c r="AA344" i="2"/>
  <c r="T345" i="2"/>
  <c r="AF345" i="2" s="1"/>
  <c r="X345" i="2"/>
  <c r="Y345" i="2" s="1"/>
  <c r="AA345" i="2"/>
  <c r="T346" i="2"/>
  <c r="U346" i="2" s="1"/>
  <c r="X346" i="2"/>
  <c r="Y346" i="2" s="1"/>
  <c r="AA346" i="2"/>
  <c r="T347" i="2"/>
  <c r="AF347" i="2" s="1"/>
  <c r="X347" i="2"/>
  <c r="Y347" i="2" s="1"/>
  <c r="AA347" i="2"/>
  <c r="T348" i="2"/>
  <c r="AF348" i="2" s="1"/>
  <c r="U348" i="2"/>
  <c r="X348" i="2"/>
  <c r="Y348" i="2" s="1"/>
  <c r="AA348" i="2"/>
  <c r="T349" i="2"/>
  <c r="U349" i="2" s="1"/>
  <c r="X349" i="2"/>
  <c r="Y349" i="2"/>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B356" i="2" l="1"/>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G328" i="2"/>
  <c r="G329" i="2"/>
  <c r="G330" i="2"/>
  <c r="G331" i="2"/>
  <c r="G332" i="2"/>
  <c r="G333" i="2"/>
  <c r="G334" i="2"/>
  <c r="G335" i="2"/>
  <c r="G336" i="2"/>
  <c r="G337" i="2"/>
  <c r="G338" i="2"/>
  <c r="G339" i="2"/>
  <c r="G340" i="2"/>
  <c r="G341" i="2"/>
  <c r="G342" i="2"/>
  <c r="G343" i="2"/>
  <c r="G344" i="2"/>
  <c r="G345" i="2"/>
  <c r="G346" i="2"/>
  <c r="G347" i="2"/>
  <c r="C327" i="2"/>
  <c r="A327" i="2" s="1"/>
  <c r="AC327" i="2"/>
  <c r="G327" i="2"/>
  <c r="G326" i="2"/>
  <c r="C326" i="2"/>
  <c r="A326" i="2" s="1"/>
  <c r="AA326" i="2"/>
  <c r="AC326" i="2"/>
  <c r="X325" i="2"/>
  <c r="Y325" i="2" s="1"/>
  <c r="T325" i="2"/>
  <c r="G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G322" i="2"/>
  <c r="G323" i="2"/>
  <c r="G324"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<sst xmlns="http://schemas.openxmlformats.org/spreadsheetml/2006/main" count="10098" uniqueCount="2193">
  <si>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</si>
  <si>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</si>
  <si>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</si>
  <si>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</si>
  <si>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</si>
  <si>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</si>
  <si>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</si>
  <si>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</si>
  <si>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</si>
  <si>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</si>
  <si>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</si>
  <si>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</si>
  <si>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</si>
  <si>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</si>
  <si>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</si>
  <si>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</si>
  <si>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</si>
  <si>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</si>
  <si>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</si>
  <si>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</si>
  <si>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</si>
  <si>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</si>
  <si>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</si>
  <si>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</si>
  <si>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</si>
  <si>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</si>
  <si>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</si>
  <si>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</si>
  <si>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</si>
  <si>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</si>
  <si>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</si>
  <si>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</si>
  <si>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</si>
  <si>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</si>
  <si>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</si>
  <si>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</si>
  <si>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</si>
  <si>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</si>
  <si>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</si>
  <si>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</si>
  <si>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</si>
  <si>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</si>
  <si>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</si>
  <si>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</si>
  <si>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</si>
  <si>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</si>
  <si>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</si>
  <si>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</si>
  <si>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</si>
  <si>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</si>
  <si>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</si>
  <si>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</si>
  <si>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</si>
  <si>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</si>
  <si>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</si>
  <si>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</si>
  <si>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</si>
  <si>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</si>
  <si>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</si>
  <si>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</si>
  <si>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</si>
  <si>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</si>
  <si>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</si>
  <si>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</si>
  <si>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</si>
  <si>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</si>
  <si>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</si>
  <si>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</si>
  <si>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</si>
  <si>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</si>
  <si>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</si>
  <si>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</si>
  <si>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</si>
  <si>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</si>
  <si>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</si>
  <si>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</si>
  <si>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</si>
  <si>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</si>
  <si>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</si>
  <si>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</si>
  <si>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</si>
  <si>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</si>
  <si>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</si>
  <si>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</si>
  <si>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</si>
  <si>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</si>
  <si>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</si>
  <si>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</si>
  <si>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</si>
  <si>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</si>
  <si>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</si>
  <si>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</si>
  <si>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</si>
  <si>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</si>
  <si>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</si>
  <si>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</si>
  <si>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</si>
  <si>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</si>
  <si>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</si>
  <si>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</si>
  <si>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</si>
  <si>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</si>
  <si>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</si>
  <si>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</si>
  <si>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</si>
  <si>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</si>
  <si>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</si>
  <si>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</si>
  <si>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</si>
  <si>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</si>
  <si>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</si>
  <si>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</si>
  <si>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</si>
  <si>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</si>
  <si>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</si>
  <si>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</si>
  <si>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</si>
  <si>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</si>
  <si>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</si>
  <si>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</si>
  <si>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</si>
  <si>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</si>
  <si>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</si>
  <si>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</si>
  <si>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</si>
  <si>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</si>
  <si>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</si>
  <si>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</si>
  <si>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</si>
  <si>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</si>
  <si>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</si>
  <si>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</si>
  <si>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</si>
  <si>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</si>
  <si>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</si>
  <si>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</si>
  <si>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</si>
  <si>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</si>
  <si>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</si>
  <si>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</si>
  <si>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</si>
  <si>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</si>
  <si>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</si>
  <si>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</si>
  <si>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</si>
  <si>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</si>
  <si>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</si>
  <si>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</si>
  <si>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</si>
  <si>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</si>
  <si>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</si>
  <si>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</si>
  <si>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</si>
  <si>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</si>
  <si>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</si>
  <si>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</si>
  <si>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</si>
  <si>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</si>
  <si>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</si>
  <si>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</si>
  <si>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</si>
  <si>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</si>
  <si>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</si>
  <si>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</si>
  <si>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</si>
  <si>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</si>
  <si>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</si>
  <si>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</si>
  <si>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</si>
  <si>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</si>
  <si>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</si>
  <si>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</si>
  <si>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</si>
  <si>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</si>
  <si>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</si>
  <si>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</si>
  <si>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</si>
  <si>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</si>
  <si>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</si>
  <si>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</si>
  <si>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</si>
  <si>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</si>
  <si>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</si>
  <si>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</si>
  <si>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</si>
  <si>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</si>
  <si>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</si>
  <si>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</si>
  <si>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</si>
  <si>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</si>
  <si>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</si>
  <si>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</si>
  <si>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</si>
  <si>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</si>
  <si>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</si>
  <si>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</si>
  <si>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</si>
  <si>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</si>
  <si>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</si>
  <si>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</si>
  <si>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</si>
  <si>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</si>
  <si>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</si>
  <si>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</si>
  <si>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</si>
  <si>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</si>
  <si>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</si>
  <si>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</si>
  <si>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</si>
  <si>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</si>
  <si>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</si>
  <si>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</si>
  <si>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</si>
  <si>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</si>
  <si>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</si>
  <si>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</si>
  <si>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</si>
  <si>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</si>
  <si>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</si>
  <si>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</si>
  <si>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</si>
  <si>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</si>
  <si>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</si>
  <si>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</si>
  <si>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</si>
  <si>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</si>
  <si>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</si>
  <si>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</si>
  <si>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</si>
  <si>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</si>
  <si>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</si>
  <si>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</si>
  <si>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</si>
  <si>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</si>
  <si>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</si>
  <si>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</si>
  <si>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</si>
  <si>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</si>
  <si>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</si>
  <si>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</si>
  <si>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</si>
  <si>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</si>
  <si>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</si>
  <si>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</si>
  <si>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</si>
  <si>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</si>
  <si>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</si>
  <si>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</si>
  <si>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</si>
  <si>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</si>
  <si>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</si>
  <si>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</si>
  <si>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</si>
  <si>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</si>
  <si>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</si>
  <si>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</si>
  <si>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</si>
  <si>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</si>
  <si>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</si>
  <si>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</si>
  <si>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</si>
  <si>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</si>
  <si>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</si>
  <si>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</si>
  <si>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</si>
  <si>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</si>
  <si>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</si>
  <si>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</si>
  <si>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</si>
  <si>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</si>
  <si>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</si>
  <si>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</si>
  <si>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</si>
  <si>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</si>
  <si>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</si>
  <si>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</si>
  <si>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</si>
  <si>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</si>
  <si>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</si>
  <si>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</si>
  <si>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</si>
  <si>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</si>
  <si>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</si>
  <si>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</si>
  <si>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</si>
  <si>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</si>
  <si>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</si>
  <si>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</si>
  <si>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</si>
  <si>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</si>
  <si>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</si>
  <si>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</si>
  <si>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</si>
  <si>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</si>
  <si>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</si>
  <si>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</si>
  <si>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</si>
  <si>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</si>
  <si>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</si>
  <si>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</si>
  <si>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</si>
  <si>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</si>
  <si>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</si>
  <si>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</si>
  <si>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</si>
  <si>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</si>
  <si>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</si>
  <si>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</si>
  <si>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</si>
  <si>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</si>
  <si>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</si>
  <si>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</si>
  <si>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</si>
  <si>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</si>
  <si>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</si>
  <si>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</si>
  <si>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</si>
  <si>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</si>
  <si>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</si>
  <si>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</si>
  <si>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</si>
  <si>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</si>
  <si>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</si>
  <si>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</si>
  <si>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</si>
  <si>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</si>
  <si>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</si>
  <si>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</si>
  <si>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</si>
  <si>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</si>
  <si>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</si>
  <si>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</si>
  <si>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</si>
  <si>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</si>
  <si>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</si>
  <si>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</si>
  <si>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</si>
  <si>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</si>
  <si>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</si>
  <si>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</si>
  <si>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</si>
  <si>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</si>
  <si>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</si>
  <si>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</si>
  <si>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</si>
  <si>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</si>
  <si>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</si>
  <si>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</si>
  <si>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</si>
  <si>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</si>
  <si>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</si>
  <si>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</si>
  <si>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</si>
  <si>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</si>
  <si>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</si>
  <si>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</si>
  <si>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</si>
  <si>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</si>
  <si>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</si>
  <si>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</si>
  <si>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</si>
  <si>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</si>
  <si>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</si>
  <si>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</si>
  <si>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</si>
  <si>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</si>
  <si>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</si>
  <si>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</si>
  <si>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</si>
  <si>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</si>
  <si>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</si>
  <si>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</si>
  <si>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</si>
  <si>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</si>
  <si>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</si>
  <si>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</si>
  <si>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</si>
  <si>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</si>
  <si>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</si>
  <si>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</si>
  <si>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</si>
  <si>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</si>
  <si>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</si>
  <si>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</si>
  <si>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</si>
  <si>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</si>
  <si>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</si>
  <si>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</si>
  <si>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</si>
  <si>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</si>
  <si>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</si>
  <si>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</si>
  <si>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</si>
  <si>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</si>
  <si>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</si>
  <si>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</si>
  <si>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</si>
  <si>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</si>
  <si>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</si>
  <si>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</si>
  <si>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</si>
  <si>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</si>
  <si>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</si>
  <si>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</si>
  <si>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</si>
  <si>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</si>
  <si>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</si>
  <si>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</si>
  <si>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</si>
  <si>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</si>
  <si>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</si>
  <si>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</si>
  <si>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</si>
  <si>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</si>
  <si>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</si>
  <si>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</si>
  <si>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</si>
  <si>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</si>
  <si>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</si>
  <si>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</si>
  <si>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</si>
  <si>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</si>
  <si>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</si>
  <si>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</si>
  <si>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</si>
  <si>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</si>
  <si>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</si>
  <si>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</si>
  <si>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</si>
  <si>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</si>
  <si>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</si>
  <si>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</si>
  <si>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</si>
  <si>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</si>
  <si>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</si>
  <si>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</si>
  <si>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</si>
  <si>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</si>
  <si>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</si>
  <si>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</si>
  <si>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</si>
  <si>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</si>
  <si>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</si>
  <si>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</si>
  <si>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</si>
  <si>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</si>
  <si>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</si>
  <si>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</si>
  <si>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</si>
  <si>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</si>
  <si>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</si>
  <si>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</si>
  <si>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</si>
  <si>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</si>
  <si>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</si>
  <si>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</si>
  <si>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</si>
  <si>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</si>
  <si>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</si>
  <si>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</si>
  <si>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</si>
  <si>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</si>
  <si>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</si>
  <si>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</si>
  <si>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</si>
  <si>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</si>
  <si>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</si>
  <si>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</si>
  <si>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</si>
  <si>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</si>
  <si>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</si>
  <si>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</si>
  <si>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</si>
  <si>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</si>
  <si>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</si>
  <si>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</si>
  <si>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</si>
  <si>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</si>
  <si>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</si>
  <si>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</si>
  <si>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</si>
  <si>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</si>
  <si>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</si>
  <si>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</si>
  <si>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</si>
  <si>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</si>
  <si>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</si>
  <si>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</si>
  <si>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</si>
  <si>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</si>
  <si>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</si>
  <si>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</si>
  <si>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</si>
  <si>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</si>
  <si>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</si>
  <si>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</si>
  <si>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</si>
  <si>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</si>
  <si>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</si>
  <si>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</si>
  <si>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</si>
  <si>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</si>
  <si>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</si>
  <si>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</si>
  <si>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</si>
  <si>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</si>
  <si>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</si>
  <si>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</si>
  <si>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</si>
  <si>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</si>
  <si>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</si>
  <si>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</si>
  <si>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</si>
  <si>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</si>
  <si>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</si>
  <si>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</si>
  <si>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</si>
  <si>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</si>
  <si>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</si>
  <si>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</si>
  <si>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</si>
  <si>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</si>
  <si>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</si>
  <si>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</si>
  <si>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</si>
  <si>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</si>
  <si>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</si>
  <si>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</si>
  <si>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</si>
  <si>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</si>
  <si>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</si>
  <si>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</si>
  <si>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</si>
  <si>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</si>
  <si>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</si>
  <si>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</si>
  <si>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</si>
  <si>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</si>
  <si>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</si>
  <si>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</si>
  <si>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</si>
  <si>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</si>
  <si>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</si>
  <si>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</si>
  <si>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</si>
  <si>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</si>
  <si>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</si>
  <si>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</si>
  <si>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</si>
  <si>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</si>
  <si>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</si>
  <si>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</si>
  <si>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</si>
  <si>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</si>
  <si>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</si>
  <si>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</si>
  <si>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</si>
  <si>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</si>
  <si>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</si>
  <si>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</si>
  <si>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</si>
  <si>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</si>
  <si>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</si>
  <si>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</si>
  <si>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</si>
  <si>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</si>
  <si>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</si>
  <si>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</si>
  <si>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</si>
  <si>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</si>
  <si>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</si>
  <si>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</si>
  <si>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</si>
  <si>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</si>
  <si>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</si>
  <si>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</si>
  <si>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</si>
  <si>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</si>
  <si>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</si>
  <si>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</si>
  <si>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</si>
  <si>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</si>
  <si>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</si>
  <si>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</si>
  <si>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</si>
  <si>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</si>
  <si>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</si>
  <si>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</si>
  <si>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</si>
  <si>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</si>
  <si>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</si>
  <si>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</si>
  <si>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</si>
  <si>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</si>
  <si>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</si>
  <si>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</si>
  <si>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</si>
  <si>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</si>
  <si>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</si>
  <si>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</si>
  <si>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</si>
  <si>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</si>
  <si>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</si>
  <si>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</si>
  <si>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</si>
  <si>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</si>
  <si>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</si>
  <si>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</si>
  <si>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</si>
  <si>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</si>
  <si>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</si>
  <si>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</si>
  <si>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</si>
  <si>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</si>
  <si>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</si>
  <si>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</si>
  <si>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</si>
  <si>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</si>
  <si>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</si>
  <si>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</si>
  <si>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</si>
  <si>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</si>
  <si>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</si>
  <si>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</si>
  <si>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</si>
  <si>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</si>
  <si>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</si>
  <si>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</si>
  <si>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</si>
  <si>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</si>
  <si>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</si>
  <si>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</si>
  <si>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</si>
  <si>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</si>
  <si>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</si>
  <si>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</si>
  <si>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</si>
  <si>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</si>
  <si>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</si>
  <si>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</si>
  <si>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</si>
  <si>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</si>
  <si>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</si>
  <si>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</si>
  <si>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</si>
  <si>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</si>
  <si>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</si>
  <si>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</si>
  <si>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</si>
  <si>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</si>
  <si>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</si>
  <si>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</si>
  <si>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</si>
  <si>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</si>
  <si>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</si>
  <si>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</si>
  <si>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</si>
  <si>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</si>
  <si>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</si>
  <si>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</si>
  <si>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</si>
  <si>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</si>
  <si>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</si>
  <si>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</si>
  <si>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</si>
  <si>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</si>
  <si>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</si>
  <si>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</si>
  <si>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</si>
  <si>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</si>
  <si>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</si>
  <si>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</si>
  <si>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</si>
  <si>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</si>
  <si>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</si>
  <si>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</si>
  <si>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</si>
  <si>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</si>
  <si>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</si>
  <si>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</si>
  <si>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</si>
  <si>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</si>
  <si>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</si>
  <si>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</si>
  <si>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</si>
  <si>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</si>
  <si>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</si>
  <si>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</si>
  <si>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</si>
  <si>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</si>
  <si>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</si>
  <si>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</si>
  <si>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</si>
  <si>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</si>
  <si>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</si>
  <si>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</si>
  <si>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</si>
  <si>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</si>
  <si>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</si>
  <si>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</si>
  <si>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</si>
  <si>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</si>
  <si>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</si>
  <si>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</si>
  <si>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</si>
  <si>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</si>
  <si>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</si>
  <si>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</si>
  <si>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</si>
  <si>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</si>
  <si>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</si>
  <si>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</si>
  <si>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</si>
  <si>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</si>
  <si>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</si>
  <si>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</si>
  <si>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</si>
  <si>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</si>
  <si>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</si>
  <si>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</si>
  <si>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</si>
  <si>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</si>
  <si>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</si>
  <si>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</si>
  <si>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</si>
  <si>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</si>
  <si>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</si>
  <si>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</si>
  <si>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</si>
  <si>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</si>
  <si>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</si>
  <si>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</si>
  <si>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</si>
  <si>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</si>
  <si>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</si>
  <si>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</si>
  <si>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</si>
  <si>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</si>
  <si>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</si>
  <si>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</si>
  <si>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</si>
  <si>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</si>
  <si>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</si>
  <si>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</si>
  <si>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</si>
  <si>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</si>
  <si>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</si>
  <si>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</si>
  <si>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</si>
  <si>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</si>
  <si>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</si>
  <si>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</si>
  <si>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</si>
  <si>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</si>
  <si>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</si>
  <si>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</si>
  <si>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</si>
  <si>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</si>
  <si>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</si>
  <si>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</si>
  <si>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</si>
  <si>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</si>
  <si>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</si>
  <si>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</si>
  <si>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</si>
  <si>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</si>
  <si>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</si>
  <si>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</si>
  <si>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</si>
  <si>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</si>
  <si>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</si>
  <si>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</si>
  <si>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</si>
  <si>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</si>
  <si>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</si>
  <si>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</si>
  <si>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</si>
  <si>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</si>
  <si>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</si>
  <si>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</si>
  <si>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</si>
  <si>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</si>
  <si>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</si>
  <si>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</si>
  <si>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</si>
  <si>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</si>
  <si>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</si>
  <si>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</si>
  <si>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</si>
  <si>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</si>
  <si>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</si>
  <si>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</si>
  <si>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</si>
  <si>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</si>
  <si>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</si>
  <si>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</si>
  <si>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</si>
  <si>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</si>
  <si>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</si>
  <si>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</si>
  <si>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</si>
  <si>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</si>
  <si>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</si>
  <si>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</si>
  <si>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</si>
  <si>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</si>
  <si>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</si>
  <si>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</si>
  <si>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</si>
  <si>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</si>
  <si>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</si>
  <si>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</si>
  <si>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</si>
  <si>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</si>
  <si>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</si>
  <si>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</si>
  <si>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</si>
  <si>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</si>
  <si>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</si>
  <si>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</si>
  <si>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</si>
  <si>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</si>
  <si>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</si>
  <si>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</si>
  <si>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</si>
  <si>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</si>
  <si>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</si>
  <si>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</si>
  <si>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</si>
  <si>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</si>
  <si>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</si>
  <si>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</si>
  <si>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</si>
  <si>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</si>
  <si>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</si>
  <si>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</si>
  <si>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</si>
  <si>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</si>
  <si>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</si>
  <si>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</si>
  <si>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</si>
  <si>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</si>
  <si>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</si>
  <si>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</si>
  <si>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</si>
  <si>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</si>
  <si>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</si>
  <si>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</si>
  <si>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</si>
  <si>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</si>
  <si>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</si>
  <si>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</si>
  <si>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</si>
  <si>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</si>
  <si>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</si>
  <si>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</si>
  <si>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</si>
  <si>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</si>
  <si>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</si>
  <si>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</si>
  <si>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</si>
  <si>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</si>
  <si>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</si>
  <si>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</si>
  <si>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</si>
  <si>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</si>
  <si>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</si>
  <si>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</si>
  <si>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</si>
  <si>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</si>
  <si>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</si>
  <si>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</si>
  <si>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</si>
  <si>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</si>
  <si>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</si>
  <si>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</si>
  <si>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</si>
  <si>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</si>
  <si>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</si>
  <si>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</si>
  <si>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</si>
  <si>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</si>
  <si>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</si>
  <si>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</si>
  <si>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</si>
  <si>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</si>
  <si>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</si>
  <si>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</si>
  <si>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</si>
  <si>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</si>
  <si>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</si>
  <si>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</si>
  <si>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</si>
  <si>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</si>
  <si>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</si>
  <si>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</si>
  <si>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</si>
  <si>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</si>
  <si>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</si>
  <si>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</si>
  <si>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</si>
  <si>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</si>
  <si>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</si>
  <si>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</si>
  <si>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</si>
  <si>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</si>
  <si>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</si>
  <si>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</si>
  <si>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</si>
  <si>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</si>
  <si>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</si>
  <si>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</si>
  <si>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</si>
  <si>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</si>
  <si>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</si>
  <si>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</si>
  <si>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</si>
  <si>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</si>
  <si>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</si>
  <si>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</si>
  <si>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</si>
  <si>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</si>
  <si>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</si>
  <si>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</si>
  <si>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</si>
  <si>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</si>
  <si>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</si>
  <si>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</si>
  <si>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</si>
  <si>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</si>
  <si>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</si>
  <si>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</si>
  <si>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</si>
  <si>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</si>
  <si>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</si>
  <si>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</si>
  <si>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</si>
  <si>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</si>
  <si>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</si>
  <si>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</si>
  <si>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</si>
  <si>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</si>
  <si>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</si>
  <si>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</si>
  <si>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</si>
  <si>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</si>
  <si>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</si>
  <si>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</si>
  <si>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</si>
  <si>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</si>
  <si>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</si>
  <si>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</si>
  <si>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</si>
  <si>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</si>
  <si>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</si>
  <si>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</si>
  <si>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</si>
  <si>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</si>
  <si>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</si>
  <si>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</si>
  <si>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</si>
  <si>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</si>
  <si>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</si>
  <si>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</si>
  <si>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</si>
  <si>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</si>
  <si>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</si>
  <si>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</si>
  <si>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</si>
  <si>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</si>
  <si>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</si>
  <si>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</si>
  <si>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</si>
  <si>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</si>
  <si>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</si>
  <si>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</si>
  <si>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</si>
  <si>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</si>
  <si>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</si>
  <si>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</si>
  <si>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</si>
  <si>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</si>
  <si>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</si>
  <si>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</si>
  <si>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</si>
  <si>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</si>
  <si>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</si>
  <si>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</si>
  <si>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</si>
  <si>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</si>
  <si>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</si>
  <si>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</si>
  <si>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</si>
  <si>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</si>
  <si>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</si>
  <si>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</si>
  <si>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</si>
  <si>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</si>
  <si>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</si>
  <si>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</si>
  <si>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</si>
  <si>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</si>
  <si>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</si>
  <si>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</si>
  <si>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</si>
  <si>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</si>
  <si>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</si>
  <si>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</si>
  <si>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</si>
  <si>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</si>
  <si>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</si>
  <si>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</si>
  <si>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</si>
  <si>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</si>
  <si>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</si>
  <si>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</si>
  <si>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</si>
  <si>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</si>
  <si>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</si>
  <si>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</si>
  <si>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</si>
  <si>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</si>
  <si>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</si>
  <si>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</si>
  <si>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</si>
  <si>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</si>
  <si>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</si>
  <si>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</si>
  <si>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</si>
  <si>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</si>
  <si>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</si>
  <si>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</si>
  <si>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</si>
  <si>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</si>
  <si>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</si>
  <si>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</si>
  <si>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</si>
  <si>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</si>
  <si>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</si>
  <si>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</si>
  <si>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</si>
  <si>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</si>
  <si>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</si>
  <si>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</si>
  <si>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</si>
  <si>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</si>
  <si>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</si>
  <si>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</si>
  <si>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</si>
  <si>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</si>
  <si>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</si>
  <si>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</si>
  <si>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</si>
  <si>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</si>
  <si>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</si>
  <si>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</si>
  <si>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</si>
  <si>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</si>
  <si>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</si>
  <si>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</si>
  <si>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</si>
  <si>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</si>
  <si>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</si>
  <si>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</si>
  <si>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</si>
  <si>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</si>
  <si>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</si>
  <si>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</si>
  <si>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</si>
  <si>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</si>
  <si>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</si>
  <si>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</si>
  <si>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</si>
  <si>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</si>
  <si>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</si>
  <si>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</si>
  <si>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</si>
  <si>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</si>
  <si>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</si>
  <si>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</si>
  <si>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</si>
  <si>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</si>
  <si>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</si>
  <si>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</si>
  <si>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</si>
  <si>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</si>
  <si>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</si>
  <si>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</si>
  <si>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</si>
  <si>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</si>
  <si>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</si>
  <si>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</si>
  <si>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</si>
  <si>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</si>
  <si>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</si>
  <si>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</si>
  <si>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</si>
  <si>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</si>
  <si>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</si>
  <si>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</si>
  <si>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</si>
  <si>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</si>
  <si>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</si>
  <si>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</si>
  <si>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</si>
  <si>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</si>
  <si>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</si>
  <si>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</si>
  <si>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</si>
  <si>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</si>
  <si>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</si>
  <si>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</si>
  <si>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</si>
  <si>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</si>
  <si>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</si>
  <si>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</si>
  <si>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</si>
  <si>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</si>
  <si>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</si>
  <si>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</si>
  <si>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</si>
  <si>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</si>
  <si>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</si>
  <si>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</si>
  <si>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</si>
  <si>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</si>
  <si>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</si>
  <si>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</si>
  <si>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</si>
  <si>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</si>
  <si>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</si>
  <si>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</si>
  <si>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</si>
  <si>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</si>
  <si>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</si>
  <si>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</si>
  <si>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</si>
  <si>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</si>
  <si>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</si>
  <si>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</si>
  <si>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</si>
  <si>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</si>
  <si>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</si>
  <si>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</si>
  <si>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</si>
  <si>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</si>
  <si>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</si>
  <si>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</si>
  <si>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</si>
  <si>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</si>
  <si>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</si>
  <si>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</si>
  <si>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</si>
  <si>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</si>
  <si>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</si>
  <si>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</si>
  <si>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</si>
  <si>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</si>
  <si>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</si>
  <si>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</si>
  <si>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</si>
  <si>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</si>
  <si>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</si>
  <si>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</si>
  <si>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</si>
  <si>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</si>
  <si>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</si>
  <si>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</si>
  <si>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</si>
  <si>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</si>
  <si>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</si>
  <si>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</si>
  <si>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</si>
  <si>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</si>
  <si>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</si>
  <si>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</si>
  <si>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</si>
  <si>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</si>
  <si>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</si>
  <si>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</si>
  <si>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</si>
  <si>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</si>
  <si>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</si>
  <si>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</si>
  <si>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</si>
  <si>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</si>
  <si>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</si>
  <si>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</si>
  <si>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</si>
  <si>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</si>
  <si>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</si>
  <si>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</si>
  <si>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</si>
  <si>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</si>
  <si>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</si>
  <si>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</si>
  <si>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</si>
  <si>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</si>
  <si>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</si>
  <si>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</si>
  <si>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</si>
  <si>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</si>
  <si>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</si>
  <si>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</si>
  <si>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</si>
  <si>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</si>
  <si>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</si>
  <si>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</si>
  <si>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</si>
  <si>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</si>
  <si>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</si>
  <si>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</si>
  <si>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</si>
  <si>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</si>
  <si>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</si>
  <si>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</si>
  <si>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</si>
  <si>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</si>
  <si>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</si>
  <si>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</si>
  <si>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</si>
  <si>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</si>
  <si>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</si>
  <si>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</si>
  <si>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</si>
  <si>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</si>
  <si>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</si>
  <si>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</si>
  <si>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</si>
  <si>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</si>
  <si>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</si>
  <si>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</si>
  <si>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</si>
  <si>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</si>
  <si>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</si>
  <si>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</si>
  <si>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</si>
  <si>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</si>
  <si>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</si>
  <si>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</si>
  <si>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</si>
  <si>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</si>
  <si>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</si>
  <si>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</si>
  <si>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</si>
  <si>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</si>
  <si>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</si>
  <si>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</si>
  <si>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</si>
  <si>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</si>
  <si>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</si>
  <si>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</si>
  <si>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</si>
  <si>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</si>
  <si>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</si>
  <si>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</si>
  <si>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</si>
  <si>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</si>
  <si>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</si>
  <si>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</si>
  <si>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</si>
  <si>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</si>
  <si>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</si>
  <si>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</si>
  <si>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</si>
  <si>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</si>
  <si>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</si>
  <si>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</si>
  <si>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</si>
  <si>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</si>
  <si>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</si>
  <si>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</si>
  <si>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</si>
  <si>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</si>
  <si>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</si>
  <si>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</si>
  <si>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</si>
  <si>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</si>
  <si>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</si>
  <si>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</si>
  <si>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</si>
  <si>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</si>
  <si>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</si>
  <si>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</si>
  <si>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</si>
  <si>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</si>
  <si>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</si>
  <si>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</si>
  <si>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</si>
  <si>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</si>
  <si>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</si>
  <si>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</si>
  <si>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</si>
  <si>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</si>
  <si>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</si>
  <si>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</si>
  <si>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</si>
  <si>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</si>
  <si>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</si>
  <si>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</si>
  <si>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</si>
  <si>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</si>
  <si>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</si>
  <si>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</si>
  <si>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</si>
  <si>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</si>
  <si>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</si>
  <si>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</si>
  <si>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</si>
  <si>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</si>
  <si>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</si>
  <si>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</si>
  <si>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</si>
  <si>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</si>
  <si>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</si>
  <si>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</si>
  <si>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</si>
  <si>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</si>
  <si>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</si>
  <si>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</si>
  <si>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</si>
  <si>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</si>
  <si>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</si>
  <si>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</si>
  <si>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</si>
  <si>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</si>
  <si>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</si>
  <si>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</si>
  <si>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</si>
  <si>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</si>
  <si>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</si>
  <si>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</si>
  <si>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</si>
  <si>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</si>
  <si>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</si>
  <si>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</si>
  <si>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</si>
  <si>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</si>
  <si>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</si>
  <si>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</si>
  <si>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</si>
  <si>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</si>
  <si>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</si>
  <si>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</si>
  <si>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</si>
  <si>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</si>
  <si>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</si>
  <si>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</si>
  <si>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</si>
  <si>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</si>
  <si>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</si>
  <si>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</si>
  <si>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</si>
  <si>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</si>
  <si>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</si>
  <si>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</si>
  <si>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</si>
  <si>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</si>
  <si>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</si>
  <si>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</si>
  <si>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</si>
  <si>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</si>
  <si>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</si>
  <si>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</si>
  <si>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</si>
  <si>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</si>
  <si>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</si>
  <si>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</si>
  <si>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</si>
  <si>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</si>
  <si>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</si>
  <si>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</si>
  <si>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</si>
  <si>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</si>
  <si>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</si>
  <si>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</si>
  <si>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</si>
  <si>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</si>
  <si>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</si>
  <si>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</si>
  <si>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</si>
  <si>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</si>
  <si>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</si>
  <si>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</si>
  <si>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</si>
  <si>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</si>
  <si>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</si>
  <si>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</si>
  <si>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</si>
  <si>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</si>
  <si>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</si>
  <si>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</si>
  <si>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</si>
  <si>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</si>
  <si>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</si>
  <si>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</si>
  <si>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</si>
  <si>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</si>
  <si>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</si>
  <si>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</si>
  <si>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</si>
  <si>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</si>
  <si>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</si>
  <si>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</si>
  <si>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</si>
  <si>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</si>
  <si>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</si>
  <si>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</si>
  <si>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</si>
  <si>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</si>
  <si>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</si>
  <si>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</si>
  <si>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</si>
  <si>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</si>
  <si>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</si>
  <si>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</si>
  <si>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</si>
  <si>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</si>
  <si>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</si>
  <si>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</si>
  <si>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</si>
  <si>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</si>
  <si>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</si>
  <si>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</si>
  <si>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</si>
  <si>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</si>
  <si>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</si>
  <si>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</si>
  <si>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</si>
  <si>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</si>
  <si>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</si>
  <si>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</si>
  <si>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</si>
  <si>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</si>
  <si>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</si>
  <si>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</si>
  <si>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</si>
  <si>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</si>
  <si>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</si>
  <si>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</si>
  <si>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</si>
  <si>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</si>
  <si>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</si>
  <si>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</si>
  <si>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</si>
  <si>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</si>
  <si>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</si>
  <si>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</si>
  <si>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</si>
  <si>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</si>
  <si>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</si>
  <si>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</si>
  <si>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</si>
  <si>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</si>
  <si>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</si>
  <si>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</si>
  <si>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</si>
  <si>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</si>
  <si>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</si>
  <si>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</si>
  <si>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</si>
  <si>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</si>
  <si>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</si>
  <si>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</si>
  <si>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</si>
  <si>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</si>
  <si>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</si>
  <si>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</si>
  <si>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</si>
  <si>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</si>
  <si>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</si>
  <si>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</si>
  <si>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</si>
  <si>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</si>
  <si>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</si>
  <si>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</si>
  <si>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</si>
  <si>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</si>
  <si>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</si>
  <si>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</si>
  <si>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</si>
  <si>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</si>
  <si>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</si>
  <si>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</si>
  <si>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</si>
  <si>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</si>
  <si>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</si>
  <si>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</si>
  <si>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</si>
  <si>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</si>
  <si>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</si>
  <si>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</si>
  <si>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</si>
  <si>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</si>
  <si>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</si>
  <si>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</si>
  <si>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</si>
  <si>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</si>
  <si>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</si>
  <si>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</si>
  <si>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</si>
  <si>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</si>
  <si>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</si>
  <si>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</si>
  <si>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</si>
  <si>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</si>
  <si>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</si>
  <si>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</si>
  <si>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</si>
  <si>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</si>
  <si>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</si>
  <si>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</si>
  <si>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</si>
  <si>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</si>
  <si>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</si>
  <si>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</si>
  <si>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</si>
  <si>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</si>
  <si>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</si>
  <si>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</si>
  <si>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</si>
  <si>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</si>
  <si>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</si>
  <si>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</si>
  <si>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</si>
  <si>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</si>
  <si>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</si>
  <si>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</si>
  <si>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</si>
  <si>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</si>
  <si>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</si>
  <si>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</si>
  <si>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</si>
  <si>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</si>
  <si>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</si>
  <si>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</si>
  <si>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</si>
  <si>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</si>
  <si>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</si>
  <si>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</si>
  <si>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</si>
  <si>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</si>
  <si>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</si>
  <si>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</si>
  <si>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</si>
  <si>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</si>
  <si>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</si>
  <si>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</si>
  <si>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</si>
  <si>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</si>
  <si>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</si>
  <si>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</si>
  <si>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</si>
  <si>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</si>
  <si>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</si>
  <si>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</si>
  <si>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</si>
  <si>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</si>
  <si>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</si>
  <si>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</si>
  <si>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</si>
  <si>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</si>
  <si>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</si>
  <si>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</si>
  <si>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</si>
  <si>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</si>
  <si>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</si>
  <si>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</si>
  <si>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</si>
  <si>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</si>
  <si>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</si>
  <si>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</si>
  <si>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</si>
  <si>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</si>
  <si>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</si>
  <si>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</si>
  <si>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</si>
  <si>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</si>
  <si>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</si>
  <si>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</si>
  <si>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</si>
  <si>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</si>
  <si>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</si>
  <si>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</si>
  <si>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</si>
  <si>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</si>
  <si>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</si>
  <si>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</si>
  <si>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</si>
  <si>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</si>
  <si>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</si>
  <si>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</si>
  <si>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</si>
  <si>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</si>
  <si>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</si>
  <si>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</si>
  <si>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</si>
  <si>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</si>
  <si>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</si>
  <si>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</si>
  <si>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</si>
  <si>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</si>
  <si>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</si>
  <si>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</si>
  <si>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</si>
  <si>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</si>
  <si>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</si>
  <si>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</si>
  <si>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</si>
  <si>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</si>
  <si>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</si>
  <si>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</si>
  <si>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</si>
  <si>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</si>
  <si>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</si>
  <si>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</si>
  <si>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</si>
  <si>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</si>
  <si>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</si>
  <si>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</si>
  <si>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</si>
  <si>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</si>
  <si>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</si>
  <si>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</si>
  <si>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</si>
  <si>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</si>
  <si>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</si>
  <si>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</si>
  <si>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</si>
  <si>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</si>
  <si>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</si>
  <si>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</si>
  <si>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</si>
  <si>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</si>
  <si>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</si>
  <si>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</si>
  <si>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</si>
  <si>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</si>
  <si>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</si>
  <si>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</si>
  <si>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</si>
  <si>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</si>
  <si>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</si>
  <si>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</si>
  <si>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</si>
  <si>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</si>
  <si>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</si>
  <si>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</si>
  <si>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</si>
  <si>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</si>
  <si>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</si>
  <si>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</si>
  <si>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</si>
  <si>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</si>
  <si>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</si>
  <si>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</si>
  <si>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</si>
  <si>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</si>
  <si>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</si>
  <si>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</si>
  <si>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</si>
  <si>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</si>
  <si>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</si>
  <si>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</si>
  <si>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</si>
  <si>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</si>
  <si>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</si>
  <si>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</si>
  <si>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</si>
  <si>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</si>
  <si>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</si>
  <si>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</si>
  <si>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</si>
  <si>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</si>
  <si>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</si>
  <si>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</si>
  <si>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</si>
  <si>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</si>
  <si>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</si>
  <si>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</si>
  <si>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</si>
  <si>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</si>
  <si>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</si>
  <si>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</si>
  <si>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</si>
  <si>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</si>
  <si>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</si>
  <si>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</si>
  <si>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</si>
  <si>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</si>
  <si>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</si>
  <si>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</si>
  <si>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</si>
  <si>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</si>
  <si>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</si>
  <si>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</si>
  <si>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</si>
  <si>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</si>
  <si>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</si>
  <si>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</si>
  <si>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</si>
  <si>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</si>
  <si>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</si>
  <si>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</si>
  <si>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</si>
  <si>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</si>
  <si>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</si>
  <si>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</si>
  <si>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</si>
  <si>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</si>
  <si>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</si>
  <si>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</si>
  <si>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</si>
  <si>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</si>
  <si>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</si>
  <si>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</si>
  <si>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</si>
  <si>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</si>
  <si>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</si>
  <si>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</si>
  <si>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</si>
  <si>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</si>
  <si>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</si>
  <si>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</si>
  <si>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</si>
  <si>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</si>
  <si>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</si>
  <si>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</si>
  <si>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</si>
  <si>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</si>
  <si>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</si>
  <si>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</si>
  <si>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</si>
  <si>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</si>
  <si>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</si>
  <si>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</si>
  <si>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</si>
  <si>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</si>
  <si>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</si>
  <si>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</si>
  <si>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</si>
  <si>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</si>
  <si>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</si>
  <si>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</si>
  <si>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</si>
  <si>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</si>
  <si>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</si>
  <si>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</si>
  <si>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</si>
  <si>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</si>
  <si>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</si>
  <si>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</si>
  <si>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</si>
  <si>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</si>
  <si>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</si>
  <si>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</si>
  <si>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</si>
  <si>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</si>
  <si>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</si>
  <si>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</si>
  <si>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</si>
  <si>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</si>
  <si>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</si>
  <si>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</si>
  <si>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</si>
  <si>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</si>
  <si>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</si>
  <si>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</si>
  <si>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</si>
  <si>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</si>
  <si>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</si>
  <si>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</si>
  <si>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</si>
  <si>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</si>
  <si>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</si>
  <si>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</si>
  <si>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</si>
  <si>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</si>
  <si>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</si>
  <si>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</si>
  <si>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</si>
  <si>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</si>
  <si>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</si>
  <si>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</si>
  <si>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</si>
  <si>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</si>
  <si>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</si>
  <si>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</si>
  <si>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</si>
  <si>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</si>
  <si>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</si>
  <si>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</si>
  <si>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</si>
  <si>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</si>
  <si>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</si>
  <si>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</si>
  <si>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</si>
  <si>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</si>
  <si>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</si>
  <si>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</si>
  <si>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</si>
  <si>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</si>
  <si>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</si>
  <si>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</si>
  <si>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</si>
  <si>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</si>
  <si>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</si>
  <si>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</si>
  <si>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</si>
  <si>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</si>
  <si>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</si>
  <si>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</si>
  <si>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</si>
  <si>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</si>
  <si>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</si>
  <si>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</si>
  <si>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</si>
  <si>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</si>
  <si>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</si>
  <si>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</si>
  <si>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</si>
  <si>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</si>
  <si>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</si>
  <si>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</si>
  <si>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</si>
  <si>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</si>
  <si>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</si>
  <si>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</si>
  <si>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</si>
  <si>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</si>
  <si>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</si>
  <si>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</si>
  <si>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</si>
  <si>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</si>
  <si>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</si>
  <si>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</si>
  <si>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</si>
  <si>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</si>
  <si>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</si>
  <si>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</si>
  <si>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</si>
  <si>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</si>
  <si>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</si>
  <si>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</si>
  <si>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</si>
  <si>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</si>
  <si>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</si>
  <si>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</si>
  <si>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</si>
  <si>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</si>
  <si>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</si>
  <si>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</si>
  <si>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</si>
  <si>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</si>
  <si>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</si>
  <si>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</si>
  <si>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</si>
  <si>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</si>
  <si>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</si>
  <si>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</si>
  <si>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</si>
  <si>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</si>
  <si>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</si>
  <si>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</si>
  <si>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</si>
  <si>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</si>
  <si>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</si>
  <si>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</si>
  <si>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</si>
  <si>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</si>
  <si>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</si>
  <si>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</si>
  <si>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</si>
  <si>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</si>
  <si>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</si>
  <si>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</si>
  <si>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</si>
  <si>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</si>
  <si>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</si>
  <si>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</si>
  <si>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</si>
  <si>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</si>
  <si>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</si>
  <si>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</si>
  <si>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</si>
  <si>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</si>
  <si>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</si>
  <si>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</si>
  <si>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</si>
  <si>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</si>
  <si>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</si>
  <si>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</si>
  <si>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</si>
  <si>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</si>
  <si>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</si>
  <si>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</si>
  <si>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</si>
  <si>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</si>
  <si>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</si>
  <si>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</si>
  <si>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</si>
  <si>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</si>
  <si>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</si>
  <si>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</si>
  <si>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</si>
  <si>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</si>
  <si>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</si>
  <si>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</si>
  <si>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</si>
  <si>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</si>
  <si>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</si>
  <si>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</si>
  <si>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</si>
  <si>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</si>
  <si>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</si>
  <si>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</si>
  <si>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</si>
  <si>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</si>
  <si>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</si>
  <si>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</si>
  <si>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</si>
  <si>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</si>
  <si>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</si>
  <si>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</si>
  <si>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</si>
  <si>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</si>
  <si>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</si>
  <si>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</si>
  <si>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</si>
  <si>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</si>
  <si>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</si>
  <si>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</si>
  <si>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</si>
  <si>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</si>
  <si>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</si>
  <si>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</si>
  <si>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</si>
  <si>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</si>
  <si>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</si>
  <si>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</si>
  <si>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</si>
  <si>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</si>
  <si>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</si>
  <si>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</si>
  <si>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</si>
  <si>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</si>
  <si>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</si>
  <si>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</si>
  <si>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</si>
  <si>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</si>
  <si>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</si>
  <si>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</si>
  <si>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</si>
  <si>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</si>
  <si>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</si>
  <si>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</si>
  <si>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</si>
  <si>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</si>
  <si>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</si>
  <si>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</si>
  <si>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</si>
  <si>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</si>
  <si>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</si>
  <si>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</si>
  <si>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</si>
  <si>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</si>
  <si>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</si>
  <si>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</si>
  <si>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</si>
  <si>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</si>
  <si>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</si>
  <si>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</si>
  <si>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</si>
  <si>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</si>
  <si>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</si>
  <si>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</si>
  <si>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</si>
  <si>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</si>
  <si>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</si>
  <si>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</si>
  <si>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</si>
  <si>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</si>
  <si>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</si>
  <si>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</si>
  <si>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</si>
  <si>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</si>
  <si>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</si>
  <si>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</si>
  <si>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</si>
  <si>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</si>
  <si>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</si>
  <si>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</si>
  <si>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</si>
  <si>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</si>
  <si>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</si>
  <si>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</si>
  <si>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</si>
  <si>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</si>
  <si>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</si>
  <si>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</si>
  <si>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</si>
  <si>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</si>
  <si>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</si>
  <si>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</si>
  <si>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</si>
  <si>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</si>
  <si>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</si>
  <si>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</si>
  <si>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</si>
  <si>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</si>
  <si>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</si>
  <si>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</si>
  <si>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</si>
  <si>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</si>
  <si>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</si>
  <si>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</si>
  <si>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</si>
  <si>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</si>
  <si>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</si>
  <si>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</si>
  <si>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</si>
  <si>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</si>
  <si>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</si>
  <si>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</si>
  <si>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</si>
  <si>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</si>
  <si>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</si>
  <si>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Beaune St-Jacques, 9 Av. du Général de Gaulle</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</si>
  <si>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</si>
  <si>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</si>
  <si>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</si>
  <si>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</si>
  <si>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</si>
  <si>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</si>
  <si>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</si>
  <si>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</si>
  <si>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</si>
  <si>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</si>
  <si>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</si>
  <si>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</si>
  <si>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</si>
  <si>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</si>
  <si>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</si>
  <si>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</si>
  <si>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</si>
  <si>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</si>
  <si>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</si>
  <si>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</si>
  <si>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</si>
  <si>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</si>
  <si>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</si>
  <si>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</si>
  <si>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</si>
  <si>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</si>
  <si>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</si>
  <si>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</si>
  <si>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</si>
  <si>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</si>
  <si>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</si>
  <si>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</si>
  <si>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</si>
  <si>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</si>
  <si>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</si>
  <si>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</si>
  <si>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</si>
  <si>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</si>
  <si>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</si>
  <si>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</si>
  <si>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</si>
  <si>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</si>
  <si>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</si>
  <si>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</si>
  <si>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</si>
  <si>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</si>
  <si>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</si>
  <si>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</si>
  <si>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</si>
  <si>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</si>
  <si>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</si>
  <si>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</si>
  <si>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</si>
  <si>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</si>
  <si>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</si>
  <si>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</si>
  <si>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</si>
  <si>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</si>
  <si>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</si>
  <si>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</si>
  <si>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</si>
  <si>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</si>
  <si>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</si>
  <si>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</si>
  <si>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</si>
  <si>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</si>
  <si>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</si>
  <si>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</si>
  <si>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</si>
  <si>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https://pub-843c46afc4cb41489909bce00c9b143d.r2.dev/91.1%20-%20Ch%C3%A2tellerault/5%20Plan%20du%20Centre.jpg</t>
  </si>
  <si>
    <t>Auchan 26 Av. Jean Moulin</t>
  </si>
  <si>
    <t>46.797511</t>
  </si>
  <si>
    <t>0.531405</t>
  </si>
  <si>
    <t>91.15</t>
  </si>
  <si>
    <t>https://maps.app.goo.gl/fZZw5jPfwTLEadoe7</t>
  </si>
  <si>
    <t>Chelles</t>
  </si>
  <si>
    <t>Centre Terre Ciel (Chelles 2) Avenue du Gendarme Castermant</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</si>
  <si>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</si>
  <si>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</si>
  <si>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</si>
  <si>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</si>
  <si>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</si>
  <si>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</si>
  <si>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</si>
  <si>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</si>
  <si>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</si>
  <si>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</si>
  <si>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</si>
  <si>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</si>
  <si>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</si>
  <si>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</si>
  <si>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</si>
  <si>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</si>
  <si>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</si>
  <si>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</si>
  <si>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</si>
  <si>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</si>
  <si>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</si>
  <si>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</si>
  <si>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</si>
  <si>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</si>
  <si>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</si>
  <si>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</si>
  <si>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</si>
  <si>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</si>
  <si>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</si>
  <si>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</si>
  <si>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</si>
  <si>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</si>
  <si>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</si>
  <si>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</si>
  <si>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</si>
  <si>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</si>
  <si>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</si>
  <si>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</si>
  <si>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</si>
  <si>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</si>
  <si>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</si>
  <si>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</si>
  <si>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</si>
  <si>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</si>
  <si>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</si>
  <si>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</si>
  <si>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</si>
  <si>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</si>
  <si>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</si>
  <si>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</si>
  <si>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</si>
  <si>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</si>
  <si>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</si>
  <si>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</si>
  <si>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</si>
  <si>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</si>
  <si>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</si>
  <si>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</si>
  <si>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</si>
  <si>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</si>
  <si>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</si>
  <si>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</si>
  <si>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</si>
  <si>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</si>
  <si>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</si>
  <si>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</si>
  <si>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</si>
  <si>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</si>
  <si>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</si>
  <si>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</si>
  <si>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</si>
  <si>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46.339010</t>
  </si>
  <si>
    <t>2.567668</t>
  </si>
  <si>
    <t>46.338929</t>
  </si>
  <si>
    <t>2.567609</t>
  </si>
  <si>
    <t>46.338995</t>
  </si>
  <si>
    <t>2.567649</t>
  </si>
  <si>
    <t>46.339108</t>
  </si>
  <si>
    <t>46.339297</t>
  </si>
  <si>
    <t>2.568204</t>
  </si>
  <si>
    <t>46.339353</t>
  </si>
  <si>
    <t>2.568009</t>
  </si>
  <si>
    <t>46.339493</t>
  </si>
  <si>
    <t>2.568041</t>
  </si>
  <si>
    <t>46.340116</t>
  </si>
  <si>
    <t>2.568381</t>
  </si>
  <si>
    <t>46.340104</t>
  </si>
  <si>
    <t>2.568529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</si>
</sst>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61" totalsRowShown="0" headerRowCellStyle="Normal 2" dataCellStyle="Normal 2">
  <autoFilter ref="A1:AX3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table" Target="../tables/table1.xm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65" Type="http://schemas.openxmlformats.org/officeDocument/2006/relationships/hyperlink" Target="https://maps.app.goo.gl/fZZw5jPfwTLEadoe7"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86"/>
  <sheetViews>
    <sheetView showZeros="0" tabSelected="1" zoomScale="80" zoomScaleNormal="80" workbookViewId="0">
      <pane xSplit="6" ySplit="1" topLeftCell="AJ351" activePane="bottomRight" state="frozen"/>
      <selection pane="topRight" activeCell="G1" sqref="G1"/>
      <selection pane="bottomLeft" activeCell="A2" sqref="A2"/>
      <selection pane="bottomRight" activeCell="AJ360" sqref="AJ36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2027</v>
      </c>
      <c r="E302" s="26">
        <v>21200</v>
      </c>
      <c r="F302" s="10" t="s">
        <v>2013</v>
      </c>
      <c r="G302" s="39" t="str">
        <f>Tableau1[[#This Row],[Rue]]&amp;CHAR(10)&amp;Tableau1[[#This Row],[Code Postal]]&amp;" - "&amp;Tableau1[[#This Row],[Ville]]</f>
        <v>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2028</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2027</v>
      </c>
      <c r="E303" s="26">
        <v>21200</v>
      </c>
      <c r="F303" s="10" t="s">
        <v>2013</v>
      </c>
      <c r="G303" s="39" t="str">
        <f>Tableau1[[#This Row],[Rue]]&amp;CHAR(10)&amp;Tableau1[[#This Row],[Code Postal]]&amp;" - "&amp;Tableau1[[#This Row],[Ville]]</f>
        <v>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2028</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2027</v>
      </c>
      <c r="E304" s="26">
        <v>21200</v>
      </c>
      <c r="F304" s="10" t="s">
        <v>2013</v>
      </c>
      <c r="G304" s="39" t="str">
        <f>Tableau1[[#This Row],[Rue]]&amp;CHAR(10)&amp;Tableau1[[#This Row],[Code Postal]]&amp;" - "&amp;Tableau1[[#This Row],[Ville]]</f>
        <v>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2028</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2027</v>
      </c>
      <c r="E305" s="26">
        <v>21200</v>
      </c>
      <c r="F305" s="10" t="s">
        <v>2013</v>
      </c>
      <c r="G305" s="39" t="str">
        <f>Tableau1[[#This Row],[Rue]]&amp;CHAR(10)&amp;Tableau1[[#This Row],[Code Postal]]&amp;" - "&amp;Tableau1[[#This Row],[Ville]]</f>
        <v>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2028</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2031</v>
      </c>
      <c r="E306" s="26">
        <v>62100</v>
      </c>
      <c r="F306" s="10" t="s">
        <v>2030</v>
      </c>
      <c r="G306" s="39" t="str">
        <f>Tableau1[[#This Row],[Rue]]&amp;CHAR(10)&amp;Tableau1[[#This Row],[Code Postal]]&amp;" - "&amp;Tableau1[[#This Row],[Ville]]</f>
        <v>Auchan 1 Av. Roger Salengro
62100 - Calais</v>
      </c>
      <c r="H306" s="15" t="s">
        <v>2029</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2047</v>
      </c>
      <c r="AN306" s="11" t="s">
        <v>1386</v>
      </c>
      <c r="AO306" s="5" t="s">
        <v>361</v>
      </c>
      <c r="AP306" s="11" t="s">
        <v>2037</v>
      </c>
      <c r="AQ306" s="11" t="s">
        <v>2038</v>
      </c>
      <c r="AR306" s="11" t="s">
        <v>2032</v>
      </c>
      <c r="AS306" s="36" t="s">
        <v>2048</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2031</v>
      </c>
      <c r="E307" s="26">
        <v>62101</v>
      </c>
      <c r="F307" s="10" t="s">
        <v>2030</v>
      </c>
      <c r="G307" s="39" t="str">
        <f>Tableau1[[#This Row],[Rue]]&amp;CHAR(10)&amp;Tableau1[[#This Row],[Code Postal]]&amp;" - "&amp;Tableau1[[#This Row],[Ville]]</f>
        <v>Auchan 1 Av. Roger Salengro
62101 - Calais</v>
      </c>
      <c r="H307" s="15" t="s">
        <v>2029</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2047</v>
      </c>
      <c r="AN307" s="11" t="s">
        <v>1386</v>
      </c>
      <c r="AO307" s="5" t="s">
        <v>361</v>
      </c>
      <c r="AP307" s="11" t="s">
        <v>2039</v>
      </c>
      <c r="AQ307" s="11" t="s">
        <v>2040</v>
      </c>
      <c r="AR307" s="11" t="s">
        <v>2033</v>
      </c>
      <c r="AS307" s="36" t="s">
        <v>2048</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2031</v>
      </c>
      <c r="E308" s="26">
        <v>62102</v>
      </c>
      <c r="F308" s="10" t="s">
        <v>2030</v>
      </c>
      <c r="G308" s="39" t="str">
        <f>Tableau1[[#This Row],[Rue]]&amp;CHAR(10)&amp;Tableau1[[#This Row],[Code Postal]]&amp;" - "&amp;Tableau1[[#This Row],[Ville]]</f>
        <v>Auchan 1 Av. Roger Salengro
62102 - Calais</v>
      </c>
      <c r="H308" s="15" t="s">
        <v>2029</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2047</v>
      </c>
      <c r="AN308" s="11" t="s">
        <v>1386</v>
      </c>
      <c r="AO308" s="5" t="s">
        <v>361</v>
      </c>
      <c r="AP308" s="11" t="s">
        <v>2041</v>
      </c>
      <c r="AQ308" s="11" t="s">
        <v>2042</v>
      </c>
      <c r="AR308" s="11" t="s">
        <v>2034</v>
      </c>
      <c r="AS308" s="36" t="s">
        <v>2048</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2031</v>
      </c>
      <c r="E309" s="26">
        <v>62103</v>
      </c>
      <c r="F309" s="10" t="s">
        <v>2030</v>
      </c>
      <c r="G309" s="39" t="str">
        <f>Tableau1[[#This Row],[Rue]]&amp;CHAR(10)&amp;Tableau1[[#This Row],[Code Postal]]&amp;" - "&amp;Tableau1[[#This Row],[Ville]]</f>
        <v>Auchan 1 Av. Roger Salengro
62103 - Calais</v>
      </c>
      <c r="H309" s="15" t="s">
        <v>2029</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2047</v>
      </c>
      <c r="AN309" s="11" t="s">
        <v>1386</v>
      </c>
      <c r="AO309" s="5" t="s">
        <v>361</v>
      </c>
      <c r="AP309" s="11" t="s">
        <v>2043</v>
      </c>
      <c r="AQ309" s="11" t="s">
        <v>2044</v>
      </c>
      <c r="AR309" s="11" t="s">
        <v>2035</v>
      </c>
      <c r="AS309" s="36" t="s">
        <v>2048</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2031</v>
      </c>
      <c r="E310" s="26">
        <v>62104</v>
      </c>
      <c r="F310" s="10" t="s">
        <v>2030</v>
      </c>
      <c r="G310" s="39" t="str">
        <f>Tableau1[[#This Row],[Rue]]&amp;CHAR(10)&amp;Tableau1[[#This Row],[Code Postal]]&amp;" - "&amp;Tableau1[[#This Row],[Ville]]</f>
        <v>Auchan 1 Av. Roger Salengro
62104 - Calais</v>
      </c>
      <c r="H310" s="15" t="s">
        <v>2029</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2047</v>
      </c>
      <c r="AN310" s="11" t="s">
        <v>1386</v>
      </c>
      <c r="AO310" s="5" t="s">
        <v>361</v>
      </c>
      <c r="AP310" s="11" t="s">
        <v>2045</v>
      </c>
      <c r="AQ310" s="11" t="s">
        <v>2046</v>
      </c>
      <c r="AR310" s="11" t="s">
        <v>2036</v>
      </c>
      <c r="AS310" s="36" t="s">
        <v>2048</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2098</v>
      </c>
      <c r="E311" s="26">
        <v>86100</v>
      </c>
      <c r="F311" s="10" t="s">
        <v>2049</v>
      </c>
      <c r="G311" s="39" t="str">
        <f>Tableau1[[#This Row],[Rue]]&amp;CHAR(10)&amp;Tableau1[[#This Row],[Code Postal]]&amp;" - "&amp;Tableau1[[#This Row],[Ville]]</f>
        <v>Auchan 26 Av. Jean Moulin
86100 - Châtellerault</v>
      </c>
      <c r="H311" s="15" t="s">
        <v>2050</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2072</v>
      </c>
      <c r="AQ311" s="11" t="s">
        <v>2073</v>
      </c>
      <c r="AR311" s="11" t="s">
        <v>2057</v>
      </c>
      <c r="AS311" s="36" t="s">
        <v>2097</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2098</v>
      </c>
      <c r="E312" s="26">
        <v>86100</v>
      </c>
      <c r="F312" s="10" t="s">
        <v>2049</v>
      </c>
      <c r="G312" s="39" t="str">
        <f>Tableau1[[#This Row],[Rue]]&amp;CHAR(10)&amp;Tableau1[[#This Row],[Code Postal]]&amp;" - "&amp;Tableau1[[#This Row],[Ville]]</f>
        <v>Auchan 26 Av. Jean Moulin
86100 - Châtellerault</v>
      </c>
      <c r="H312" s="15" t="s">
        <v>2050</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2059</v>
      </c>
      <c r="AS312" s="36" t="s">
        <v>2097</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2098</v>
      </c>
      <c r="E313" s="26">
        <v>86100</v>
      </c>
      <c r="F313" s="10" t="s">
        <v>2049</v>
      </c>
      <c r="G313" s="39" t="str">
        <f>Tableau1[[#This Row],[Rue]]&amp;CHAR(10)&amp;Tableau1[[#This Row],[Code Postal]]&amp;" - "&amp;Tableau1[[#This Row],[Ville]]</f>
        <v>Auchan 26 Av. Jean Moulin
86100 - Châtellerault</v>
      </c>
      <c r="H313" s="15" t="s">
        <v>2050</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2074</v>
      </c>
      <c r="AQ313" s="11" t="s">
        <v>2075</v>
      </c>
      <c r="AR313" s="11" t="s">
        <v>2064</v>
      </c>
      <c r="AS313" s="36" t="s">
        <v>2097</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2098</v>
      </c>
      <c r="E314" s="26">
        <v>86100</v>
      </c>
      <c r="F314" s="10" t="s">
        <v>2049</v>
      </c>
      <c r="G314" s="39" t="str">
        <f>Tableau1[[#This Row],[Rue]]&amp;CHAR(10)&amp;Tableau1[[#This Row],[Code Postal]]&amp;" - "&amp;Tableau1[[#This Row],[Ville]]</f>
        <v>Auchan 26 Av. Jean Moulin
86100 - Châtellerault</v>
      </c>
      <c r="H314" s="15" t="s">
        <v>2050</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2076</v>
      </c>
      <c r="AQ314" s="11" t="s">
        <v>2077</v>
      </c>
      <c r="AR314" s="11" t="s">
        <v>2065</v>
      </c>
      <c r="AS314" s="36" t="s">
        <v>2097</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2098</v>
      </c>
      <c r="E315" s="26">
        <v>86100</v>
      </c>
      <c r="F315" s="10" t="s">
        <v>2049</v>
      </c>
      <c r="G315" s="39" t="str">
        <f>Tableau1[[#This Row],[Rue]]&amp;CHAR(10)&amp;Tableau1[[#This Row],[Code Postal]]&amp;" - "&amp;Tableau1[[#This Row],[Ville]]</f>
        <v>Auchan 26 Av. Jean Moulin
86100 - Châtellerault</v>
      </c>
      <c r="H315" s="15" t="s">
        <v>2050</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2078</v>
      </c>
      <c r="AQ315" s="11" t="s">
        <v>2079</v>
      </c>
      <c r="AR315" s="11" t="s">
        <v>2066</v>
      </c>
      <c r="AS315" s="36" t="s">
        <v>2097</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2098</v>
      </c>
      <c r="E316" s="26">
        <v>86100</v>
      </c>
      <c r="F316" s="10" t="s">
        <v>2049</v>
      </c>
      <c r="G316" s="39" t="str">
        <f>Tableau1[[#This Row],[Rue]]&amp;CHAR(10)&amp;Tableau1[[#This Row],[Code Postal]]&amp;" - "&amp;Tableau1[[#This Row],[Ville]]</f>
        <v>Auchan 26 Av. Jean Moulin
86100 - Châtellerault</v>
      </c>
      <c r="H316" s="15" t="s">
        <v>2050</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2080</v>
      </c>
      <c r="AQ316" s="11" t="s">
        <v>2081</v>
      </c>
      <c r="AR316" s="11" t="s">
        <v>2060</v>
      </c>
      <c r="AS316" s="36" t="s">
        <v>2097</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2098</v>
      </c>
      <c r="E317" s="26">
        <v>86100</v>
      </c>
      <c r="F317" s="10" t="s">
        <v>2049</v>
      </c>
      <c r="G317" s="39" t="str">
        <f>Tableau1[[#This Row],[Rue]]&amp;CHAR(10)&amp;Tableau1[[#This Row],[Code Postal]]&amp;" - "&amp;Tableau1[[#This Row],[Ville]]</f>
        <v>Auchan 26 Av. Jean Moulin
86100 - Châtellerault</v>
      </c>
      <c r="H317" s="15" t="s">
        <v>2050</v>
      </c>
      <c r="I317" s="12" t="s">
        <v>47</v>
      </c>
      <c r="J317" s="12" t="s">
        <v>51</v>
      </c>
      <c r="K317" s="10" t="s">
        <v>98</v>
      </c>
      <c r="L317" s="10" t="s">
        <v>98</v>
      </c>
      <c r="M317" s="12" t="s">
        <v>98</v>
      </c>
      <c r="N317" s="36" t="s">
        <v>2051</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2080</v>
      </c>
      <c r="AQ317" s="11" t="s">
        <v>2082</v>
      </c>
      <c r="AR317" s="11" t="s">
        <v>2061</v>
      </c>
      <c r="AS317" s="36" t="s">
        <v>2097</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2098</v>
      </c>
      <c r="E318" s="26">
        <v>86100</v>
      </c>
      <c r="F318" s="10" t="s">
        <v>2049</v>
      </c>
      <c r="G318" s="39" t="str">
        <f>Tableau1[[#This Row],[Rue]]&amp;CHAR(10)&amp;Tableau1[[#This Row],[Code Postal]]&amp;" - "&amp;Tableau1[[#This Row],[Ville]]</f>
        <v>Auchan 26 Av. Jean Moulin
86100 - Châtellerault</v>
      </c>
      <c r="H318" s="15" t="s">
        <v>2050</v>
      </c>
      <c r="I318" s="12" t="s">
        <v>47</v>
      </c>
      <c r="J318" s="12" t="s">
        <v>51</v>
      </c>
      <c r="K318" s="10" t="s">
        <v>98</v>
      </c>
      <c r="L318" s="10" t="s">
        <v>98</v>
      </c>
      <c r="M318" s="12" t="s">
        <v>98</v>
      </c>
      <c r="N318" s="36" t="s">
        <v>2052</v>
      </c>
      <c r="O318" s="34">
        <v>199</v>
      </c>
      <c r="P318" s="12" t="s">
        <v>2055</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2083</v>
      </c>
      <c r="AQ318" s="11" t="s">
        <v>2084</v>
      </c>
      <c r="AR318" s="11" t="s">
        <v>2062</v>
      </c>
      <c r="AS318" s="36" t="s">
        <v>2097</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2098</v>
      </c>
      <c r="E319" s="26">
        <v>86100</v>
      </c>
      <c r="F319" s="10" t="s">
        <v>2049</v>
      </c>
      <c r="G319" s="39" t="str">
        <f>Tableau1[[#This Row],[Rue]]&amp;CHAR(10)&amp;Tableau1[[#This Row],[Code Postal]]&amp;" - "&amp;Tableau1[[#This Row],[Ville]]</f>
        <v>Auchan 26 Av. Jean Moulin
86100 - Châtellerault</v>
      </c>
      <c r="H319" s="15" t="s">
        <v>2050</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2085</v>
      </c>
      <c r="AQ319" s="11" t="s">
        <v>2086</v>
      </c>
      <c r="AR319" s="11" t="s">
        <v>2067</v>
      </c>
      <c r="AS319" s="36" t="s">
        <v>2097</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2098</v>
      </c>
      <c r="E320" s="26">
        <v>86100</v>
      </c>
      <c r="F320" s="10" t="s">
        <v>2049</v>
      </c>
      <c r="G320" s="39" t="str">
        <f>Tableau1[[#This Row],[Rue]]&amp;CHAR(10)&amp;Tableau1[[#This Row],[Code Postal]]&amp;" - "&amp;Tableau1[[#This Row],[Ville]]</f>
        <v>Auchan 26 Av. Jean Moulin
86100 - Châtellerault</v>
      </c>
      <c r="H320" s="15" t="s">
        <v>2050</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2087</v>
      </c>
      <c r="AQ320" s="11" t="s">
        <v>2088</v>
      </c>
      <c r="AR320" s="11" t="s">
        <v>2068</v>
      </c>
      <c r="AS320" s="36" t="s">
        <v>2097</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2098</v>
      </c>
      <c r="E321" s="26">
        <v>86100</v>
      </c>
      <c r="F321" s="10" t="s">
        <v>2049</v>
      </c>
      <c r="G321" s="39" t="str">
        <f>Tableau1[[#This Row],[Rue]]&amp;CHAR(10)&amp;Tableau1[[#This Row],[Code Postal]]&amp;" - "&amp;Tableau1[[#This Row],[Ville]]</f>
        <v>Auchan 26 Av. Jean Moulin
86100 - Châtellerault</v>
      </c>
      <c r="H321" s="15" t="s">
        <v>2050</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2089</v>
      </c>
      <c r="AQ321" s="11" t="s">
        <v>2090</v>
      </c>
      <c r="AR321" s="11" t="s">
        <v>2069</v>
      </c>
      <c r="AS321" s="36" t="s">
        <v>2097</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2098</v>
      </c>
      <c r="E322" s="26">
        <v>86100</v>
      </c>
      <c r="F322" s="10" t="s">
        <v>2049</v>
      </c>
      <c r="G322" s="39" t="str">
        <f>Tableau1[[#This Row],[Rue]]&amp;CHAR(10)&amp;Tableau1[[#This Row],[Code Postal]]&amp;" - "&amp;Tableau1[[#This Row],[Ville]]</f>
        <v>Auchan 26 Av. Jean Moulin
86100 - Châtellerault</v>
      </c>
      <c r="H322" s="15" t="s">
        <v>2050</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2091</v>
      </c>
      <c r="AQ322" s="11" t="s">
        <v>2092</v>
      </c>
      <c r="AR322" s="11" t="s">
        <v>2063</v>
      </c>
      <c r="AS322" s="36" t="s">
        <v>2097</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2098</v>
      </c>
      <c r="E323" s="26">
        <v>86100</v>
      </c>
      <c r="F323" s="10" t="s">
        <v>2049</v>
      </c>
      <c r="G323" s="39" t="str">
        <f>Tableau1[[#This Row],[Rue]]&amp;CHAR(10)&amp;Tableau1[[#This Row],[Code Postal]]&amp;" - "&amp;Tableau1[[#This Row],[Ville]]</f>
        <v>Auchan 26 Av. Jean Moulin
86100 - Châtellerault</v>
      </c>
      <c r="H323" s="15" t="s">
        <v>2050</v>
      </c>
      <c r="I323" s="12" t="s">
        <v>47</v>
      </c>
      <c r="J323" s="12" t="s">
        <v>51</v>
      </c>
      <c r="K323" s="10" t="s">
        <v>98</v>
      </c>
      <c r="L323" s="10" t="s">
        <v>98</v>
      </c>
      <c r="M323" s="12" t="s">
        <v>98</v>
      </c>
      <c r="N323" s="36" t="s">
        <v>2053</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2093</v>
      </c>
      <c r="AQ323" s="11" t="s">
        <v>2094</v>
      </c>
      <c r="AR323" s="11" t="s">
        <v>2070</v>
      </c>
      <c r="AS323" s="36" t="s">
        <v>2097</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2098</v>
      </c>
      <c r="E324" s="26">
        <v>86100</v>
      </c>
      <c r="F324" s="10" t="s">
        <v>2049</v>
      </c>
      <c r="G324" s="39" t="str">
        <f>Tableau1[[#This Row],[Rue]]&amp;CHAR(10)&amp;Tableau1[[#This Row],[Code Postal]]&amp;" - "&amp;Tableau1[[#This Row],[Ville]]</f>
        <v>Auchan 26 Av. Jean Moulin
86100 - Châtellerault</v>
      </c>
      <c r="H324" s="15" t="s">
        <v>2050</v>
      </c>
      <c r="I324" s="12" t="s">
        <v>47</v>
      </c>
      <c r="J324" s="12" t="s">
        <v>51</v>
      </c>
      <c r="K324" s="10" t="s">
        <v>98</v>
      </c>
      <c r="L324" s="10" t="s">
        <v>98</v>
      </c>
      <c r="M324" s="12" t="s">
        <v>98</v>
      </c>
      <c r="N324" s="36" t="s">
        <v>2054</v>
      </c>
      <c r="O324" s="34">
        <v>125</v>
      </c>
      <c r="P324" s="12" t="s">
        <v>2056</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2095</v>
      </c>
      <c r="AQ324" s="11" t="s">
        <v>2096</v>
      </c>
      <c r="AR324" s="11" t="s">
        <v>2071</v>
      </c>
      <c r="AS324" s="36" t="s">
        <v>2097</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2098</v>
      </c>
      <c r="E325" s="26">
        <v>86100</v>
      </c>
      <c r="F325" s="10" t="s">
        <v>2049</v>
      </c>
      <c r="G325" s="39" t="str">
        <f>Tableau1[[#This Row],[Rue]]&amp;CHAR(10)&amp;Tableau1[[#This Row],[Code Postal]]&amp;" - "&amp;Tableau1[[#This Row],[Ville]]</f>
        <v>Auchan 26 Av. Jean Moulin
86100 - Châtellerault</v>
      </c>
      <c r="H325" s="15" t="s">
        <v>2050</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2099</v>
      </c>
      <c r="AQ325" s="11" t="s">
        <v>2100</v>
      </c>
      <c r="AR325" s="11" t="s">
        <v>2101</v>
      </c>
      <c r="AS325" s="36" t="s">
        <v>2097</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2104</v>
      </c>
      <c r="E326" s="26">
        <v>77500</v>
      </c>
      <c r="F326" s="10" t="s">
        <v>2103</v>
      </c>
      <c r="G326" s="39" t="str">
        <f>Tableau1[[#This Row],[Rue]]&amp;CHAR(10)&amp;Tableau1[[#This Row],[Code Postal]]&amp;" - "&amp;Tableau1[[#This Row],[Ville]]</f>
        <v>Centre Terre Ciel (Chelles 2) Avenue du Gendarme Castermant
77500 - Chelles</v>
      </c>
      <c r="H326" s="15" t="s">
        <v>2102</v>
      </c>
      <c r="I326" s="12" t="s">
        <v>47</v>
      </c>
      <c r="J326" s="12" t="s">
        <v>49</v>
      </c>
      <c r="K326" s="10" t="s">
        <v>98</v>
      </c>
      <c r="L326" s="10" t="s">
        <v>98</v>
      </c>
      <c r="M326" s="12" t="s">
        <v>98</v>
      </c>
      <c r="N326" s="36" t="s">
        <v>2105</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c r="AQ326" s="11"/>
      <c r="AR326" s="11" t="s">
        <v>2128</v>
      </c>
      <c r="AS326" s="36"/>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2104</v>
      </c>
      <c r="E327" s="10">
        <v>77500</v>
      </c>
      <c r="F327" s="10" t="s">
        <v>2103</v>
      </c>
      <c r="G327" s="39" t="str">
        <f>Tableau1[[#This Row],[Rue]]&amp;CHAR(10)&amp;Tableau1[[#This Row],[Code Postal]]&amp;" - "&amp;Tableau1[[#This Row],[Ville]]</f>
        <v>Centre Terre Ciel (Chelles 2) Avenue du Gendarme Castermant
77500 - Chelles</v>
      </c>
      <c r="H327" s="15" t="s">
        <v>2102</v>
      </c>
      <c r="I327" s="12" t="s">
        <v>47</v>
      </c>
      <c r="J327" s="12" t="s">
        <v>49</v>
      </c>
      <c r="K327" s="10" t="s">
        <v>98</v>
      </c>
      <c r="L327" s="10" t="s">
        <v>98</v>
      </c>
      <c r="M327" s="12" t="s">
        <v>98</v>
      </c>
      <c r="N327" s="36" t="s">
        <v>2106</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c r="AQ327" s="11"/>
      <c r="AR327" s="11" t="s">
        <v>2058</v>
      </c>
      <c r="AS327" s="36"/>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2104</v>
      </c>
      <c r="E328" s="26">
        <v>77500</v>
      </c>
      <c r="F328" s="10" t="s">
        <v>2103</v>
      </c>
      <c r="G328" s="39" t="str">
        <f>Tableau1[[#This Row],[Rue]]&amp;CHAR(10)&amp;Tableau1[[#This Row],[Code Postal]]&amp;" - "&amp;Tableau1[[#This Row],[Ville]]</f>
        <v>Centre Terre Ciel (Chelles 2) Avenue du Gendarme Castermant
77500 - Chelles</v>
      </c>
      <c r="H328" s="15" t="s">
        <v>2102</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1" si="16">"3 mois = "&amp;TEXT(ROUND(3/12*T328,0),"### ### ##0 €")</f>
        <v>3 mois = 5 800 €</v>
      </c>
      <c r="AG328" s="6" t="s">
        <v>98</v>
      </c>
      <c r="AH328" s="6" t="s">
        <v>98</v>
      </c>
      <c r="AI328" s="12" t="s">
        <v>357</v>
      </c>
      <c r="AJ328" s="10"/>
      <c r="AK328" s="10"/>
      <c r="AL328" s="10"/>
      <c r="AM328" s="11"/>
      <c r="AN328" s="11" t="s">
        <v>1386</v>
      </c>
      <c r="AO328" s="5" t="s">
        <v>361</v>
      </c>
      <c r="AP328" s="11"/>
      <c r="AQ328" s="11"/>
      <c r="AR328" s="11" t="s">
        <v>2129</v>
      </c>
      <c r="AS328" s="36"/>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2104</v>
      </c>
      <c r="E329" s="10">
        <v>77500</v>
      </c>
      <c r="F329" s="10" t="s">
        <v>2103</v>
      </c>
      <c r="G329" s="39" t="str">
        <f>Tableau1[[#This Row],[Rue]]&amp;CHAR(10)&amp;Tableau1[[#This Row],[Code Postal]]&amp;" - "&amp;Tableau1[[#This Row],[Ville]]</f>
        <v>Centre Terre Ciel (Chelles 2) Avenue du Gendarme Castermant
77500 - Chelles</v>
      </c>
      <c r="H329" s="15" t="s">
        <v>2102</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c r="AQ329" s="11"/>
      <c r="AR329" s="11" t="s">
        <v>2131</v>
      </c>
      <c r="AS329" s="36"/>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2104</v>
      </c>
      <c r="E330" s="26">
        <v>77500</v>
      </c>
      <c r="F330" s="10" t="s">
        <v>2103</v>
      </c>
      <c r="G330" s="39" t="str">
        <f>Tableau1[[#This Row],[Rue]]&amp;CHAR(10)&amp;Tableau1[[#This Row],[Code Postal]]&amp;" - "&amp;Tableau1[[#This Row],[Ville]]</f>
        <v>Centre Terre Ciel (Chelles 2) Avenue du Gendarme Castermant
77500 - Chelles</v>
      </c>
      <c r="H330" s="15" t="s">
        <v>2102</v>
      </c>
      <c r="I330" s="12" t="s">
        <v>47</v>
      </c>
      <c r="J330" s="12" t="s">
        <v>49</v>
      </c>
      <c r="K330" s="10" t="s">
        <v>98</v>
      </c>
      <c r="L330" s="10" t="s">
        <v>98</v>
      </c>
      <c r="M330" s="12" t="s">
        <v>98</v>
      </c>
      <c r="N330" s="36" t="s">
        <v>2112</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c r="AQ330" s="11"/>
      <c r="AR330" s="11" t="s">
        <v>2133</v>
      </c>
      <c r="AS330" s="36"/>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2104</v>
      </c>
      <c r="E331" s="10">
        <v>77500</v>
      </c>
      <c r="F331" s="10" t="s">
        <v>2103</v>
      </c>
      <c r="G331" s="39" t="str">
        <f>Tableau1[[#This Row],[Rue]]&amp;CHAR(10)&amp;Tableau1[[#This Row],[Code Postal]]&amp;" - "&amp;Tableau1[[#This Row],[Ville]]</f>
        <v>Centre Terre Ciel (Chelles 2) Avenue du Gendarme Castermant
77500 - Chelles</v>
      </c>
      <c r="H331" s="15" t="s">
        <v>2102</v>
      </c>
      <c r="I331" s="12" t="s">
        <v>47</v>
      </c>
      <c r="J331" s="12" t="s">
        <v>49</v>
      </c>
      <c r="K331" s="10" t="s">
        <v>98</v>
      </c>
      <c r="L331" s="10" t="s">
        <v>98</v>
      </c>
      <c r="M331" s="12" t="s">
        <v>98</v>
      </c>
      <c r="N331" s="36" t="s">
        <v>2111</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c r="AQ331" s="11"/>
      <c r="AR331" s="11" t="s">
        <v>2130</v>
      </c>
      <c r="AS331" s="36"/>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2104</v>
      </c>
      <c r="E332" s="26">
        <v>77500</v>
      </c>
      <c r="F332" s="10" t="s">
        <v>2103</v>
      </c>
      <c r="G332" s="39" t="str">
        <f>Tableau1[[#This Row],[Rue]]&amp;CHAR(10)&amp;Tableau1[[#This Row],[Code Postal]]&amp;" - "&amp;Tableau1[[#This Row],[Ville]]</f>
        <v>Centre Terre Ciel (Chelles 2) Avenue du Gendarme Castermant
77500 - Chelles</v>
      </c>
      <c r="H332" s="15" t="s">
        <v>2102</v>
      </c>
      <c r="I332" s="12" t="s">
        <v>47</v>
      </c>
      <c r="J332" s="12" t="s">
        <v>49</v>
      </c>
      <c r="K332" s="10" t="s">
        <v>98</v>
      </c>
      <c r="L332" s="10" t="s">
        <v>98</v>
      </c>
      <c r="M332" s="12" t="s">
        <v>98</v>
      </c>
      <c r="N332" s="36" t="s">
        <v>2110</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c r="AQ332" s="11"/>
      <c r="AR332" s="11" t="s">
        <v>2132</v>
      </c>
      <c r="AS332" s="36"/>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2104</v>
      </c>
      <c r="E333" s="10">
        <v>77500</v>
      </c>
      <c r="F333" s="10" t="s">
        <v>2103</v>
      </c>
      <c r="G333" s="39" t="str">
        <f>Tableau1[[#This Row],[Rue]]&amp;CHAR(10)&amp;Tableau1[[#This Row],[Code Postal]]&amp;" - "&amp;Tableau1[[#This Row],[Ville]]</f>
        <v>Centre Terre Ciel (Chelles 2) Avenue du Gendarme Castermant
77500 - Chelles</v>
      </c>
      <c r="H333" s="15" t="s">
        <v>2102</v>
      </c>
      <c r="I333" s="12" t="s">
        <v>47</v>
      </c>
      <c r="J333" s="12" t="s">
        <v>49</v>
      </c>
      <c r="K333" s="10" t="s">
        <v>98</v>
      </c>
      <c r="L333" s="10" t="s">
        <v>98</v>
      </c>
      <c r="M333" s="12" t="s">
        <v>98</v>
      </c>
      <c r="N333" s="36" t="s">
        <v>2109</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c r="AQ333" s="11"/>
      <c r="AR333" s="11" t="s">
        <v>2134</v>
      </c>
      <c r="AS333" s="36"/>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2104</v>
      </c>
      <c r="E334" s="26">
        <v>77500</v>
      </c>
      <c r="F334" s="10" t="s">
        <v>2103</v>
      </c>
      <c r="G334" s="39" t="str">
        <f>Tableau1[[#This Row],[Rue]]&amp;CHAR(10)&amp;Tableau1[[#This Row],[Code Postal]]&amp;" - "&amp;Tableau1[[#This Row],[Ville]]</f>
        <v>Centre Terre Ciel (Chelles 2) Avenue du Gendarme Castermant
77500 - Chelles</v>
      </c>
      <c r="H334" s="15" t="s">
        <v>2102</v>
      </c>
      <c r="I334" s="12" t="s">
        <v>47</v>
      </c>
      <c r="J334" s="12" t="s">
        <v>49</v>
      </c>
      <c r="K334" s="10" t="s">
        <v>98</v>
      </c>
      <c r="L334" s="10" t="s">
        <v>98</v>
      </c>
      <c r="M334" s="12" t="s">
        <v>98</v>
      </c>
      <c r="N334" s="36" t="s">
        <v>2108</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c r="AQ334" s="11"/>
      <c r="AR334" s="11" t="s">
        <v>2135</v>
      </c>
      <c r="AS334" s="36"/>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2104</v>
      </c>
      <c r="E335" s="10">
        <v>77500</v>
      </c>
      <c r="F335" s="10" t="s">
        <v>2103</v>
      </c>
      <c r="G335" s="39" t="str">
        <f>Tableau1[[#This Row],[Rue]]&amp;CHAR(10)&amp;Tableau1[[#This Row],[Code Postal]]&amp;" - "&amp;Tableau1[[#This Row],[Ville]]</f>
        <v>Centre Terre Ciel (Chelles 2) Avenue du Gendarme Castermant
77500 - Chelles</v>
      </c>
      <c r="H335" s="15" t="s">
        <v>2102</v>
      </c>
      <c r="I335" s="12" t="s">
        <v>47</v>
      </c>
      <c r="J335" s="12" t="s">
        <v>49</v>
      </c>
      <c r="K335" s="10" t="s">
        <v>98</v>
      </c>
      <c r="L335" s="10" t="s">
        <v>98</v>
      </c>
      <c r="M335" s="12" t="s">
        <v>98</v>
      </c>
      <c r="N335" s="36" t="s">
        <v>2107</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c r="AQ335" s="11"/>
      <c r="AR335" s="11" t="s">
        <v>2136</v>
      </c>
      <c r="AS335" s="36"/>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2104</v>
      </c>
      <c r="E336" s="26">
        <v>77500</v>
      </c>
      <c r="F336" s="10" t="s">
        <v>2103</v>
      </c>
      <c r="G336" s="39" t="str">
        <f>Tableau1[[#This Row],[Rue]]&amp;CHAR(10)&amp;Tableau1[[#This Row],[Code Postal]]&amp;" - "&amp;Tableau1[[#This Row],[Ville]]</f>
        <v>Centre Terre Ciel (Chelles 2) Avenue du Gendarme Castermant
77500 - Chelles</v>
      </c>
      <c r="H336" s="15" t="s">
        <v>2102</v>
      </c>
      <c r="I336" s="12" t="s">
        <v>47</v>
      </c>
      <c r="J336" s="12" t="s">
        <v>49</v>
      </c>
      <c r="K336" s="10" t="s">
        <v>98</v>
      </c>
      <c r="L336" s="10" t="s">
        <v>98</v>
      </c>
      <c r="M336" s="12" t="s">
        <v>98</v>
      </c>
      <c r="N336" s="36" t="s">
        <v>2113</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c r="AQ336" s="11"/>
      <c r="AR336" s="11" t="s">
        <v>2137</v>
      </c>
      <c r="AS336" s="36"/>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2104</v>
      </c>
      <c r="E337" s="10">
        <v>77500</v>
      </c>
      <c r="F337" s="10" t="s">
        <v>2103</v>
      </c>
      <c r="G337" s="39" t="str">
        <f>Tableau1[[#This Row],[Rue]]&amp;CHAR(10)&amp;Tableau1[[#This Row],[Code Postal]]&amp;" - "&amp;Tableau1[[#This Row],[Ville]]</f>
        <v>Centre Terre Ciel (Chelles 2) Avenue du Gendarme Castermant
77500 - Chelles</v>
      </c>
      <c r="H337" s="15" t="s">
        <v>2102</v>
      </c>
      <c r="I337" s="12" t="s">
        <v>47</v>
      </c>
      <c r="J337" s="12" t="s">
        <v>49</v>
      </c>
      <c r="K337" s="10" t="s">
        <v>98</v>
      </c>
      <c r="L337" s="10" t="s">
        <v>98</v>
      </c>
      <c r="M337" s="12" t="s">
        <v>98</v>
      </c>
      <c r="N337" s="36" t="s">
        <v>2114</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c r="AQ337" s="11"/>
      <c r="AR337" s="11" t="s">
        <v>2138</v>
      </c>
      <c r="AS337" s="36"/>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2104</v>
      </c>
      <c r="E338" s="26">
        <v>77500</v>
      </c>
      <c r="F338" s="10" t="s">
        <v>2103</v>
      </c>
      <c r="G338" s="39" t="str">
        <f>Tableau1[[#This Row],[Rue]]&amp;CHAR(10)&amp;Tableau1[[#This Row],[Code Postal]]&amp;" - "&amp;Tableau1[[#This Row],[Ville]]</f>
        <v>Centre Terre Ciel (Chelles 2) Avenue du Gendarme Castermant
77500 - Chelles</v>
      </c>
      <c r="H338" s="15" t="s">
        <v>2102</v>
      </c>
      <c r="I338" s="12" t="s">
        <v>47</v>
      </c>
      <c r="J338" s="12" t="s">
        <v>49</v>
      </c>
      <c r="K338" s="10" t="s">
        <v>98</v>
      </c>
      <c r="L338" s="10" t="s">
        <v>98</v>
      </c>
      <c r="M338" s="12" t="s">
        <v>98</v>
      </c>
      <c r="N338" s="36" t="s">
        <v>2115</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c r="AQ338" s="11"/>
      <c r="AR338" s="11" t="s">
        <v>2139</v>
      </c>
      <c r="AS338" s="36"/>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2104</v>
      </c>
      <c r="E339" s="10">
        <v>77500</v>
      </c>
      <c r="F339" s="10" t="s">
        <v>2103</v>
      </c>
      <c r="G339" s="39" t="str">
        <f>Tableau1[[#This Row],[Rue]]&amp;CHAR(10)&amp;Tableau1[[#This Row],[Code Postal]]&amp;" - "&amp;Tableau1[[#This Row],[Ville]]</f>
        <v>Centre Terre Ciel (Chelles 2) Avenue du Gendarme Castermant
77500 - Chelles</v>
      </c>
      <c r="H339" s="15" t="s">
        <v>2102</v>
      </c>
      <c r="I339" s="12" t="s">
        <v>47</v>
      </c>
      <c r="J339" s="12" t="s">
        <v>49</v>
      </c>
      <c r="K339" s="10" t="s">
        <v>98</v>
      </c>
      <c r="L339" s="10" t="s">
        <v>98</v>
      </c>
      <c r="M339" s="12" t="s">
        <v>98</v>
      </c>
      <c r="N339" s="36" t="s">
        <v>2116</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c r="AQ339" s="11"/>
      <c r="AR339" s="11" t="s">
        <v>2140</v>
      </c>
      <c r="AS339" s="36"/>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2104</v>
      </c>
      <c r="E340" s="26">
        <v>77500</v>
      </c>
      <c r="F340" s="10" t="s">
        <v>2103</v>
      </c>
      <c r="G340" s="39" t="str">
        <f>Tableau1[[#This Row],[Rue]]&amp;CHAR(10)&amp;Tableau1[[#This Row],[Code Postal]]&amp;" - "&amp;Tableau1[[#This Row],[Ville]]</f>
        <v>Centre Terre Ciel (Chelles 2) Avenue du Gendarme Castermant
77500 - Chelles</v>
      </c>
      <c r="H340" s="15" t="s">
        <v>2102</v>
      </c>
      <c r="I340" s="12" t="s">
        <v>47</v>
      </c>
      <c r="J340" s="12" t="s">
        <v>49</v>
      </c>
      <c r="K340" s="10" t="s">
        <v>98</v>
      </c>
      <c r="L340" s="10" t="s">
        <v>98</v>
      </c>
      <c r="M340" s="12" t="s">
        <v>98</v>
      </c>
      <c r="N340" s="36" t="s">
        <v>2117</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c r="AQ340" s="11"/>
      <c r="AR340" s="11" t="s">
        <v>2141</v>
      </c>
      <c r="AS340" s="36"/>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2104</v>
      </c>
      <c r="E341" s="10">
        <v>77500</v>
      </c>
      <c r="F341" s="10" t="s">
        <v>2103</v>
      </c>
      <c r="G341" s="39" t="str">
        <f>Tableau1[[#This Row],[Rue]]&amp;CHAR(10)&amp;Tableau1[[#This Row],[Code Postal]]&amp;" - "&amp;Tableau1[[#This Row],[Ville]]</f>
        <v>Centre Terre Ciel (Chelles 2) Avenue du Gendarme Castermant
77500 - Chelles</v>
      </c>
      <c r="H341" s="15" t="s">
        <v>2102</v>
      </c>
      <c r="I341" s="12" t="s">
        <v>47</v>
      </c>
      <c r="J341" s="12" t="s">
        <v>49</v>
      </c>
      <c r="K341" s="10" t="s">
        <v>98</v>
      </c>
      <c r="L341" s="10" t="s">
        <v>98</v>
      </c>
      <c r="M341" s="12" t="s">
        <v>98</v>
      </c>
      <c r="N341" s="36" t="s">
        <v>2118</v>
      </c>
      <c r="O341" s="34">
        <v>2095</v>
      </c>
      <c r="P341" s="12" t="s">
        <v>2119</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c r="AQ341" s="11"/>
      <c r="AR341" s="11" t="s">
        <v>2142</v>
      </c>
      <c r="AS341" s="36"/>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2104</v>
      </c>
      <c r="E342" s="26">
        <v>77500</v>
      </c>
      <c r="F342" s="10" t="s">
        <v>2103</v>
      </c>
      <c r="G342" s="39" t="str">
        <f>Tableau1[[#This Row],[Rue]]&amp;CHAR(10)&amp;Tableau1[[#This Row],[Code Postal]]&amp;" - "&amp;Tableau1[[#This Row],[Ville]]</f>
        <v>Centre Terre Ciel (Chelles 2) Avenue du Gendarme Castermant
77500 - Chelles</v>
      </c>
      <c r="H342" s="15" t="s">
        <v>2102</v>
      </c>
      <c r="I342" s="12" t="s">
        <v>47</v>
      </c>
      <c r="J342" s="12" t="s">
        <v>49</v>
      </c>
      <c r="K342" s="10" t="s">
        <v>98</v>
      </c>
      <c r="L342" s="10" t="s">
        <v>98</v>
      </c>
      <c r="M342" s="12" t="s">
        <v>98</v>
      </c>
      <c r="N342" s="36" t="s">
        <v>2120</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c r="AQ342" s="11"/>
      <c r="AR342" s="11" t="s">
        <v>2143</v>
      </c>
      <c r="AS342" s="36"/>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2104</v>
      </c>
      <c r="E343" s="10">
        <v>77500</v>
      </c>
      <c r="F343" s="10" t="s">
        <v>2103</v>
      </c>
      <c r="G343" s="39" t="str">
        <f>Tableau1[[#This Row],[Rue]]&amp;CHAR(10)&amp;Tableau1[[#This Row],[Code Postal]]&amp;" - "&amp;Tableau1[[#This Row],[Ville]]</f>
        <v>Centre Terre Ciel (Chelles 2) Avenue du Gendarme Castermant
77500 - Chelles</v>
      </c>
      <c r="H343" s="15" t="s">
        <v>2102</v>
      </c>
      <c r="I343" s="12" t="s">
        <v>47</v>
      </c>
      <c r="J343" s="12" t="s">
        <v>49</v>
      </c>
      <c r="K343" s="10" t="s">
        <v>98</v>
      </c>
      <c r="L343" s="10" t="s">
        <v>98</v>
      </c>
      <c r="M343" s="12" t="s">
        <v>98</v>
      </c>
      <c r="N343" s="36" t="s">
        <v>2121</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c r="AQ343" s="11"/>
      <c r="AR343" s="11" t="s">
        <v>2144</v>
      </c>
      <c r="AS343" s="36"/>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2104</v>
      </c>
      <c r="E344" s="26">
        <v>77500</v>
      </c>
      <c r="F344" s="10" t="s">
        <v>2103</v>
      </c>
      <c r="G344" s="39" t="str">
        <f>Tableau1[[#This Row],[Rue]]&amp;CHAR(10)&amp;Tableau1[[#This Row],[Code Postal]]&amp;" - "&amp;Tableau1[[#This Row],[Ville]]</f>
        <v>Centre Terre Ciel (Chelles 2) Avenue du Gendarme Castermant
77500 - Chelles</v>
      </c>
      <c r="H344" s="15" t="s">
        <v>2102</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c r="AQ344" s="11"/>
      <c r="AR344" s="11" t="s">
        <v>2145</v>
      </c>
      <c r="AS344" s="36"/>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2104</v>
      </c>
      <c r="E345" s="10">
        <v>77500</v>
      </c>
      <c r="F345" s="10" t="s">
        <v>2103</v>
      </c>
      <c r="G345" s="39" t="str">
        <f>Tableau1[[#This Row],[Rue]]&amp;CHAR(10)&amp;Tableau1[[#This Row],[Code Postal]]&amp;" - "&amp;Tableau1[[#This Row],[Ville]]</f>
        <v>Centre Terre Ciel (Chelles 2) Avenue du Gendarme Castermant
77500 - Chelles</v>
      </c>
      <c r="H345" s="15" t="s">
        <v>2102</v>
      </c>
      <c r="I345" s="12" t="s">
        <v>47</v>
      </c>
      <c r="J345" s="12" t="s">
        <v>49</v>
      </c>
      <c r="K345" s="10" t="s">
        <v>98</v>
      </c>
      <c r="L345" s="10" t="s">
        <v>98</v>
      </c>
      <c r="M345" s="12" t="s">
        <v>98</v>
      </c>
      <c r="N345" s="36" t="s">
        <v>2122</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c r="AQ345" s="11"/>
      <c r="AR345" s="11" t="s">
        <v>2146</v>
      </c>
      <c r="AS345" s="36"/>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2104</v>
      </c>
      <c r="E346" s="26">
        <v>77500</v>
      </c>
      <c r="F346" s="10" t="s">
        <v>2103</v>
      </c>
      <c r="G346" s="39" t="str">
        <f>Tableau1[[#This Row],[Rue]]&amp;CHAR(10)&amp;Tableau1[[#This Row],[Code Postal]]&amp;" - "&amp;Tableau1[[#This Row],[Ville]]</f>
        <v>Centre Terre Ciel (Chelles 2) Avenue du Gendarme Castermant
77500 - Chelles</v>
      </c>
      <c r="H346" s="15" t="s">
        <v>2102</v>
      </c>
      <c r="I346" s="12" t="s">
        <v>47</v>
      </c>
      <c r="J346" s="12" t="s">
        <v>49</v>
      </c>
      <c r="K346" s="10" t="s">
        <v>98</v>
      </c>
      <c r="L346" s="10" t="s">
        <v>98</v>
      </c>
      <c r="M346" s="12" t="s">
        <v>98</v>
      </c>
      <c r="N346" s="36" t="s">
        <v>2123</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c r="AQ346" s="11"/>
      <c r="AR346" s="11" t="s">
        <v>2147</v>
      </c>
      <c r="AS346" s="36"/>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2104</v>
      </c>
      <c r="E347" s="10">
        <v>77500</v>
      </c>
      <c r="F347" s="10" t="s">
        <v>2103</v>
      </c>
      <c r="G347" s="39" t="str">
        <f>Tableau1[[#This Row],[Rue]]&amp;CHAR(10)&amp;Tableau1[[#This Row],[Code Postal]]&amp;" - "&amp;Tableau1[[#This Row],[Ville]]</f>
        <v>Centre Terre Ciel (Chelles 2) Avenue du Gendarme Castermant
77500 - Chelles</v>
      </c>
      <c r="H347" s="15" t="s">
        <v>2102</v>
      </c>
      <c r="I347" s="12" t="s">
        <v>47</v>
      </c>
      <c r="J347" s="12" t="s">
        <v>49</v>
      </c>
      <c r="K347" s="10" t="s">
        <v>98</v>
      </c>
      <c r="L347" s="10" t="s">
        <v>98</v>
      </c>
      <c r="M347" s="12" t="s">
        <v>98</v>
      </c>
      <c r="N347" s="36" t="s">
        <v>2124</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c r="AQ347" s="11"/>
      <c r="AR347" s="11" t="s">
        <v>2148</v>
      </c>
      <c r="AS347" s="36"/>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2104</v>
      </c>
      <c r="E348" s="26">
        <v>77500</v>
      </c>
      <c r="F348" s="10" t="s">
        <v>2103</v>
      </c>
      <c r="G348" s="39" t="str">
        <f>Tableau1[[#This Row],[Rue]]&amp;CHAR(10)&amp;Tableau1[[#This Row],[Code Postal]]&amp;" - "&amp;Tableau1[[#This Row],[Ville]]</f>
        <v>Centre Terre Ciel (Chelles 2) Avenue du Gendarme Castermant
77500 - Chelles</v>
      </c>
      <c r="H348" s="15" t="s">
        <v>2102</v>
      </c>
      <c r="I348" s="12" t="s">
        <v>47</v>
      </c>
      <c r="J348" s="12" t="s">
        <v>49</v>
      </c>
      <c r="K348" s="10" t="s">
        <v>98</v>
      </c>
      <c r="L348" s="10" t="s">
        <v>98</v>
      </c>
      <c r="M348" s="12" t="s">
        <v>98</v>
      </c>
      <c r="N348" s="36" t="s">
        <v>2125</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c r="AQ348" s="11"/>
      <c r="AR348" s="11" t="s">
        <v>2149</v>
      </c>
      <c r="AS348" s="36"/>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2104</v>
      </c>
      <c r="E349" s="10">
        <v>77500</v>
      </c>
      <c r="F349" s="10" t="s">
        <v>2103</v>
      </c>
      <c r="G349" s="39" t="str">
        <f>Tableau1[[#This Row],[Rue]]&amp;CHAR(10)&amp;Tableau1[[#This Row],[Code Postal]]&amp;" - "&amp;Tableau1[[#This Row],[Ville]]</f>
        <v>Centre Terre Ciel (Chelles 2) Avenue du Gendarme Castermant
77500 - Chelles</v>
      </c>
      <c r="H349" s="15" t="s">
        <v>2102</v>
      </c>
      <c r="I349" s="12" t="s">
        <v>47</v>
      </c>
      <c r="J349" s="12" t="s">
        <v>49</v>
      </c>
      <c r="K349" s="10" t="s">
        <v>98</v>
      </c>
      <c r="L349" s="10" t="s">
        <v>98</v>
      </c>
      <c r="M349" s="12" t="s">
        <v>98</v>
      </c>
      <c r="N349" s="36" t="s">
        <v>2126</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c r="AQ349" s="11"/>
      <c r="AR349" s="11" t="s">
        <v>2150</v>
      </c>
      <c r="AS349" s="36"/>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2104</v>
      </c>
      <c r="E350" s="26">
        <v>77500</v>
      </c>
      <c r="F350" s="10" t="s">
        <v>2103</v>
      </c>
      <c r="G350" s="39" t="str">
        <f>Tableau1[[#This Row],[Rue]]&amp;CHAR(10)&amp;Tableau1[[#This Row],[Code Postal]]&amp;" - "&amp;Tableau1[[#This Row],[Ville]]</f>
        <v>Centre Terre Ciel (Chelles 2) Avenue du Gendarme Castermant
77500 - Chelles</v>
      </c>
      <c r="H350" s="15" t="s">
        <v>2102</v>
      </c>
      <c r="I350" s="12" t="s">
        <v>47</v>
      </c>
      <c r="J350" s="12" t="s">
        <v>49</v>
      </c>
      <c r="K350" s="10" t="s">
        <v>98</v>
      </c>
      <c r="L350" s="10" t="s">
        <v>98</v>
      </c>
      <c r="M350" s="12" t="s">
        <v>98</v>
      </c>
      <c r="N350" s="36" t="s">
        <v>2127</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c r="AQ350" s="11"/>
      <c r="AR350" s="11" t="s">
        <v>2151</v>
      </c>
      <c r="AS350" s="36"/>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2104</v>
      </c>
      <c r="E351" s="10">
        <v>77500</v>
      </c>
      <c r="F351" s="10" t="s">
        <v>2103</v>
      </c>
      <c r="G351" s="39" t="str">
        <f>Tableau1[[#This Row],[Rue]]&amp;CHAR(10)&amp;Tableau1[[#This Row],[Code Postal]]&amp;" - "&amp;Tableau1[[#This Row],[Ville]]</f>
        <v>Centre Terre Ciel (Chelles 2) Avenue du Gendarme Castermant
77500 - Chelles</v>
      </c>
      <c r="H351" s="15" t="s">
        <v>2102</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c r="AQ351" s="11"/>
      <c r="AR351" s="11" t="s">
        <v>2152</v>
      </c>
      <c r="AS351" s="36"/>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2104</v>
      </c>
      <c r="E352" s="26">
        <v>77500</v>
      </c>
      <c r="F352" s="10" t="s">
        <v>2103</v>
      </c>
      <c r="G352" s="39" t="str">
        <f>Tableau1[[#This Row],[Rue]]&amp;CHAR(10)&amp;Tableau1[[#This Row],[Code Postal]]&amp;" - "&amp;Tableau1[[#This Row],[Ville]]</f>
        <v>Centre Terre Ciel (Chelles 2) Avenue du Gendarme Castermant
77500 - Chelles</v>
      </c>
      <c r="H352" s="15" t="s">
        <v>2102</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c r="AQ352" s="11"/>
      <c r="AR352" s="11" t="s">
        <v>2153</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2157</v>
      </c>
      <c r="E353" s="48" t="s">
        <v>2155</v>
      </c>
      <c r="F353" s="10" t="s">
        <v>2156</v>
      </c>
      <c r="G353" s="39" t="str">
        <f>Tableau1[[#This Row],[Rue]]&amp;CHAR(10)&amp;Tableau1[[#This Row],[Code Postal]]&amp;" - "&amp;Tableau1[[#This Row],[Ville]]</f>
        <v>Cc Terre Neuve, Route De Guéret
03 410 - Domérat</v>
      </c>
      <c r="H353" s="15" t="s">
        <v>2154</v>
      </c>
      <c r="I353" s="12" t="s">
        <v>47</v>
      </c>
      <c r="J353" s="12" t="s">
        <v>49</v>
      </c>
      <c r="K353" s="10" t="s">
        <v>98</v>
      </c>
      <c r="L353" s="10" t="s">
        <v>98</v>
      </c>
      <c r="M353" s="12" t="s">
        <v>98</v>
      </c>
      <c r="N353" s="36" t="s">
        <v>2158</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2178</v>
      </c>
      <c r="AQ353" s="11" t="s">
        <v>2179</v>
      </c>
      <c r="AR353" s="11" t="s">
        <v>2167</v>
      </c>
      <c r="AS353" s="36"/>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2157</v>
      </c>
      <c r="E354" s="49" t="s">
        <v>2155</v>
      </c>
      <c r="F354" s="10" t="s">
        <v>2156</v>
      </c>
      <c r="G354" s="39" t="str">
        <f>Tableau1[[#This Row],[Rue]]&amp;CHAR(10)&amp;Tableau1[[#This Row],[Code Postal]]&amp;" - "&amp;Tableau1[[#This Row],[Ville]]</f>
        <v>Cc Terre Neuve, Route De Guéret
03 410 - Domérat</v>
      </c>
      <c r="H354" s="15" t="s">
        <v>2154</v>
      </c>
      <c r="I354" s="12" t="s">
        <v>47</v>
      </c>
      <c r="J354" s="12" t="s">
        <v>49</v>
      </c>
      <c r="K354" s="10" t="s">
        <v>98</v>
      </c>
      <c r="L354" s="10" t="s">
        <v>98</v>
      </c>
      <c r="M354" s="12" t="s">
        <v>98</v>
      </c>
      <c r="N354" s="36" t="s">
        <v>2159</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2176</v>
      </c>
      <c r="AQ354" s="11" t="s">
        <v>2177</v>
      </c>
      <c r="AR354" s="11" t="s">
        <v>2168</v>
      </c>
      <c r="AS354" s="36"/>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2157</v>
      </c>
      <c r="E355" s="49" t="s">
        <v>2155</v>
      </c>
      <c r="F355" s="10" t="s">
        <v>2156</v>
      </c>
      <c r="G355" s="39" t="str">
        <f>Tableau1[[#This Row],[Rue]]&amp;CHAR(10)&amp;Tableau1[[#This Row],[Code Postal]]&amp;" - "&amp;Tableau1[[#This Row],[Ville]]</f>
        <v>Cc Terre Neuve, Route De Guéret
03 410 - Domérat</v>
      </c>
      <c r="H355" s="15" t="s">
        <v>2154</v>
      </c>
      <c r="I355" s="12" t="s">
        <v>47</v>
      </c>
      <c r="J355" s="12" t="s">
        <v>49</v>
      </c>
      <c r="K355" s="10" t="s">
        <v>98</v>
      </c>
      <c r="L355" s="10" t="s">
        <v>98</v>
      </c>
      <c r="M355" s="12" t="s">
        <v>98</v>
      </c>
      <c r="N355" s="36" t="s">
        <v>2160</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2180</v>
      </c>
      <c r="AQ355" s="11" t="s">
        <v>2181</v>
      </c>
      <c r="AR355" s="11" t="s">
        <v>2169</v>
      </c>
      <c r="AS355" s="36"/>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2157</v>
      </c>
      <c r="E356" s="49" t="s">
        <v>2155</v>
      </c>
      <c r="F356" s="10" t="s">
        <v>2156</v>
      </c>
      <c r="G356" s="39" t="str">
        <f>Tableau1[[#This Row],[Rue]]&amp;CHAR(10)&amp;Tableau1[[#This Row],[Code Postal]]&amp;" - "&amp;Tableau1[[#This Row],[Ville]]</f>
        <v>Cc Terre Neuve, Route De Guéret
03 410 - Domérat</v>
      </c>
      <c r="H356" s="15" t="s">
        <v>2154</v>
      </c>
      <c r="I356" s="12" t="s">
        <v>47</v>
      </c>
      <c r="J356" s="12" t="s">
        <v>49</v>
      </c>
      <c r="K356" s="10" t="s">
        <v>98</v>
      </c>
      <c r="L356" s="10" t="s">
        <v>98</v>
      </c>
      <c r="M356" s="12" t="s">
        <v>98</v>
      </c>
      <c r="N356" s="36" t="s">
        <v>2161</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2182</v>
      </c>
      <c r="AQ356" s="11" t="s">
        <v>2177</v>
      </c>
      <c r="AR356" s="11" t="s">
        <v>2170</v>
      </c>
      <c r="AS356" s="36"/>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2157</v>
      </c>
      <c r="E357" s="49" t="s">
        <v>2155</v>
      </c>
      <c r="F357" s="10" t="s">
        <v>2156</v>
      </c>
      <c r="G357" s="39" t="str">
        <f>Tableau1[[#This Row],[Rue]]&amp;CHAR(10)&amp;Tableau1[[#This Row],[Code Postal]]&amp;" - "&amp;Tableau1[[#This Row],[Ville]]</f>
        <v>Cc Terre Neuve, Route De Guéret
03 410 - Domérat</v>
      </c>
      <c r="H357" s="15" t="s">
        <v>2154</v>
      </c>
      <c r="I357" s="12" t="s">
        <v>47</v>
      </c>
      <c r="J357" s="12" t="s">
        <v>49</v>
      </c>
      <c r="K357" s="10" t="s">
        <v>98</v>
      </c>
      <c r="L357" s="10" t="s">
        <v>98</v>
      </c>
      <c r="M357" s="12" t="s">
        <v>98</v>
      </c>
      <c r="N357" s="36" t="s">
        <v>2164</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2183</v>
      </c>
      <c r="AQ357" s="11" t="s">
        <v>2184</v>
      </c>
      <c r="AR357" s="11" t="s">
        <v>2171</v>
      </c>
      <c r="AS357" s="36"/>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2157</v>
      </c>
      <c r="E358" s="49" t="s">
        <v>2155</v>
      </c>
      <c r="F358" s="10" t="s">
        <v>2156</v>
      </c>
      <c r="G358" s="39" t="str">
        <f>Tableau1[[#This Row],[Rue]]&amp;CHAR(10)&amp;Tableau1[[#This Row],[Code Postal]]&amp;" - "&amp;Tableau1[[#This Row],[Ville]]</f>
        <v>Cc Terre Neuve, Route De Guéret
03 410 - Domérat</v>
      </c>
      <c r="H358" s="15" t="s">
        <v>2154</v>
      </c>
      <c r="I358" s="12" t="s">
        <v>47</v>
      </c>
      <c r="J358" s="12" t="s">
        <v>49</v>
      </c>
      <c r="K358" s="10" t="s">
        <v>98</v>
      </c>
      <c r="L358" s="10" t="s">
        <v>98</v>
      </c>
      <c r="M358" s="12" t="s">
        <v>98</v>
      </c>
      <c r="N358" s="36" t="s">
        <v>2162</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2185</v>
      </c>
      <c r="AQ358" s="11" t="s">
        <v>2186</v>
      </c>
      <c r="AR358" s="11" t="s">
        <v>2172</v>
      </c>
      <c r="AS358" s="36"/>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2157</v>
      </c>
      <c r="E359" s="49" t="s">
        <v>2155</v>
      </c>
      <c r="F359" s="10" t="s">
        <v>2156</v>
      </c>
      <c r="G359" s="39" t="str">
        <f>Tableau1[[#This Row],[Rue]]&amp;CHAR(10)&amp;Tableau1[[#This Row],[Code Postal]]&amp;" - "&amp;Tableau1[[#This Row],[Ville]]</f>
        <v>Cc Terre Neuve, Route De Guéret
03 410 - Domérat</v>
      </c>
      <c r="H359" s="15" t="s">
        <v>2154</v>
      </c>
      <c r="I359" s="12" t="s">
        <v>47</v>
      </c>
      <c r="J359" s="12" t="s">
        <v>49</v>
      </c>
      <c r="K359" s="10" t="s">
        <v>98</v>
      </c>
      <c r="L359" s="10" t="s">
        <v>98</v>
      </c>
      <c r="M359" s="12" t="s">
        <v>98</v>
      </c>
      <c r="N359" s="36" t="s">
        <v>2163</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2187</v>
      </c>
      <c r="AQ359" s="11" t="s">
        <v>2188</v>
      </c>
      <c r="AR359" s="11" t="s">
        <v>2173</v>
      </c>
      <c r="AS359" s="36"/>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2157</v>
      </c>
      <c r="E360" s="49" t="s">
        <v>2155</v>
      </c>
      <c r="F360" s="10" t="s">
        <v>2156</v>
      </c>
      <c r="G360" s="39" t="str">
        <f>Tableau1[[#This Row],[Rue]]&amp;CHAR(10)&amp;Tableau1[[#This Row],[Code Postal]]&amp;" - "&amp;Tableau1[[#This Row],[Ville]]</f>
        <v>Cc Terre Neuve, Route De Guéret
03 410 - Domérat</v>
      </c>
      <c r="H360" s="15" t="s">
        <v>2154</v>
      </c>
      <c r="I360" s="12" t="s">
        <v>47</v>
      </c>
      <c r="J360" s="12" t="s">
        <v>49</v>
      </c>
      <c r="K360" s="10" t="s">
        <v>98</v>
      </c>
      <c r="L360" s="10" t="s">
        <v>98</v>
      </c>
      <c r="M360" s="12" t="s">
        <v>98</v>
      </c>
      <c r="N360" s="36" t="s">
        <v>2165</v>
      </c>
      <c r="O360" s="34">
        <v>63</v>
      </c>
      <c r="P360" s="6" t="s">
        <v>98</v>
      </c>
      <c r="Q360" s="6"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2189</v>
      </c>
      <c r="AQ360" s="11" t="s">
        <v>2190</v>
      </c>
      <c r="AR360" s="11" t="s">
        <v>2174</v>
      </c>
      <c r="AS360" s="36"/>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2157</v>
      </c>
      <c r="E361" s="49" t="s">
        <v>2155</v>
      </c>
      <c r="F361" s="10" t="s">
        <v>2156</v>
      </c>
      <c r="G361" s="39" t="str">
        <f>Tableau1[[#This Row],[Rue]]&amp;CHAR(10)&amp;Tableau1[[#This Row],[Code Postal]]&amp;" - "&amp;Tableau1[[#This Row],[Ville]]</f>
        <v>Cc Terre Neuve, Route De Guéret
03 410 - Domérat</v>
      </c>
      <c r="H361" s="15" t="s">
        <v>2154</v>
      </c>
      <c r="I361" s="12" t="s">
        <v>47</v>
      </c>
      <c r="J361" s="12" t="s">
        <v>49</v>
      </c>
      <c r="K361" s="10" t="s">
        <v>98</v>
      </c>
      <c r="L361" s="10" t="s">
        <v>98</v>
      </c>
      <c r="M361" s="12" t="s">
        <v>98</v>
      </c>
      <c r="N361" s="36" t="s">
        <v>2166</v>
      </c>
      <c r="O361" s="34">
        <v>109</v>
      </c>
      <c r="P361" s="6" t="s">
        <v>98</v>
      </c>
      <c r="Q361" s="6"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2191</v>
      </c>
      <c r="AQ361" s="11" t="s">
        <v>2192</v>
      </c>
      <c r="AR361" s="11" t="s">
        <v>2175</v>
      </c>
      <c r="AS361" s="36"/>
      <c r="AT361" s="11" t="s">
        <v>70</v>
      </c>
      <c r="AU361" s="11" t="s">
        <v>370</v>
      </c>
      <c r="AV361" s="13" t="s">
        <v>1871</v>
      </c>
      <c r="AW361" s="14"/>
      <c r="AX361" s="44"/>
    </row>
    <row r="385" spans="6:6">
      <c r="F385" s="1" t="s">
        <v>995</v>
      </c>
    </row>
    <row r="386" spans="6:6">
      <c r="F386"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2026-06-16T17:54:09Z</dcterms:modified>
</cp:coreProperties>
</file>