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7E60CBC1-BFED-401D-8B0B-F2D8D706453E}"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47" i="2" l="1"/>
  <c r="A147" i="2" s="1"/>
  <c r="G147" i="2"/>
  <c r="T147" i="2"/>
  <c r="U147" i="2" s="1"/>
  <c r="X147" i="2"/>
  <c r="Y147" i="2" s="1"/>
  <c r="AA147" i="2"/>
  <c r="AE147" i="2" s="1"/>
  <c r="AC147" i="2"/>
  <c r="AC220" i="2"/>
  <c r="T220" i="2"/>
  <c r="U220" i="2" s="1"/>
  <c r="G220" i="2"/>
  <c r="T219" i="2"/>
  <c r="U219" i="2" s="1"/>
  <c r="G219" i="2"/>
  <c r="T218" i="2"/>
  <c r="U218" i="2" s="1"/>
  <c r="T217" i="2"/>
  <c r="U217" i="2" s="1"/>
  <c r="G217" i="2"/>
  <c r="G218" i="2"/>
  <c r="G216" i="2"/>
  <c r="X216" i="2"/>
  <c r="Y216" i="2" s="1"/>
  <c r="T216" i="2"/>
  <c r="U216" i="2" s="1"/>
  <c r="C216" i="2"/>
  <c r="A216" i="2" s="1"/>
  <c r="C217" i="2"/>
  <c r="A217" i="2" s="1"/>
  <c r="C218" i="2"/>
  <c r="A218" i="2" s="1"/>
  <c r="C219" i="2"/>
  <c r="A219" i="2" s="1"/>
  <c r="Y217" i="2"/>
  <c r="Y218" i="2"/>
  <c r="Y219" i="2"/>
  <c r="AA216" i="2"/>
  <c r="AA217" i="2"/>
  <c r="AA218" i="2"/>
  <c r="AA219" i="2"/>
  <c r="AC216" i="2"/>
  <c r="AC217" i="2"/>
  <c r="AC218" i="2"/>
  <c r="AC219" i="2"/>
  <c r="C220" i="2"/>
  <c r="A220" i="2" s="1"/>
  <c r="Y220" i="2"/>
  <c r="AA220" i="2"/>
  <c r="G222" i="2"/>
  <c r="G223" i="2"/>
  <c r="C223" i="2"/>
  <c r="A223" i="2" s="1"/>
  <c r="U223" i="2"/>
  <c r="Y223" i="2"/>
  <c r="AA223" i="2"/>
  <c r="AC223" i="2"/>
  <c r="C222" i="2"/>
  <c r="B222" i="2" s="1"/>
  <c r="U222" i="2"/>
  <c r="Y222" i="2"/>
  <c r="AA222" i="2"/>
  <c r="AC222" i="2"/>
  <c r="G221" i="2"/>
  <c r="C221" i="2"/>
  <c r="A221" i="2" s="1"/>
  <c r="U221" i="2"/>
  <c r="Y221" i="2"/>
  <c r="AA221" i="2"/>
  <c r="AC221" i="2"/>
  <c r="AC197" i="2"/>
  <c r="X197" i="2"/>
  <c r="Y197" i="2" s="1"/>
  <c r="T197" i="2"/>
  <c r="U197" i="2" s="1"/>
  <c r="G197" i="2"/>
  <c r="C197" i="2"/>
  <c r="B197" i="2" s="1"/>
  <c r="AA197" i="2"/>
  <c r="B147" i="2" l="1"/>
  <c r="AE219" i="2"/>
  <c r="AE220" i="2"/>
  <c r="AE222" i="2"/>
  <c r="AE218" i="2"/>
  <c r="AE217" i="2"/>
  <c r="AE223" i="2"/>
  <c r="AE216" i="2"/>
  <c r="B219" i="2"/>
  <c r="B218" i="2"/>
  <c r="B217" i="2"/>
  <c r="B216" i="2"/>
  <c r="B220" i="2"/>
  <c r="AE221" i="2"/>
  <c r="A222" i="2"/>
  <c r="AF197" i="2"/>
  <c r="B223" i="2"/>
  <c r="B221" i="2"/>
  <c r="AE197" i="2"/>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8" i="2"/>
  <c r="U148" i="2" s="1"/>
  <c r="T149" i="2"/>
  <c r="U149" i="2" s="1"/>
  <c r="AA149" i="2"/>
  <c r="AC149" i="2"/>
  <c r="G149" i="2"/>
  <c r="C149" i="2"/>
  <c r="B149" i="2" s="1"/>
  <c r="G148" i="2"/>
  <c r="C148" i="2"/>
  <c r="A148" i="2" s="1"/>
  <c r="AA148" i="2"/>
  <c r="AC148"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F131" i="2"/>
  <c r="AF118" i="2"/>
  <c r="AF130" i="2"/>
  <c r="AF129" i="2"/>
  <c r="AF128" i="2"/>
  <c r="AF127" i="2"/>
  <c r="AF138" i="2"/>
  <c r="AF126" i="2"/>
  <c r="AF137" i="2"/>
  <c r="AF125" i="2"/>
  <c r="AF136" i="2"/>
  <c r="AF124" i="2"/>
  <c r="AF135" i="2"/>
  <c r="AF123" i="2"/>
  <c r="AF133" i="2"/>
  <c r="AF121"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<sst xmlns="http://schemas.openxmlformats.org/spreadsheetml/2006/main" count="6488" uniqueCount="1583">
  <si>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</si>
  <si>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</si>
  <si>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</si>
  <si>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</si>
  <si>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</si>
  <si>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</si>
  <si>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</si>
  <si>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</si>
  <si>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</si>
  <si>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</si>
  <si>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</si>
  <si>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</si>
  <si>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</si>
  <si>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</si>
  <si>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</si>
  <si>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</si>
  <si>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</si>
  <si>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</si>
  <si>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</si>
  <si>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</si>
  <si>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</si>
  <si>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</si>
  <si>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</si>
  <si>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</si>
  <si>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</si>
  <si>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</si>
  <si>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</si>
  <si>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</si>
  <si>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</si>
  <si>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</si>
  <si>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</si>
  <si>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</si>
  <si>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</si>
  <si>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</si>
  <si>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</si>
  <si>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</si>
  <si>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</si>
  <si>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</si>
  <si>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</si>
  <si>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</si>
  <si>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</si>
  <si>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</si>
  <si>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</si>
  <si>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</si>
  <si>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</si>
  <si>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</si>
  <si>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</si>
  <si>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</si>
  <si>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</si>
  <si>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</si>
  <si>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</si>
  <si>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</si>
  <si>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</si>
  <si>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</si>
  <si>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</si>
  <si>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</si>
  <si>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</si>
  <si>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</si>
  <si>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</si>
  <si>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</si>
  <si>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</si>
  <si>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</si>
  <si>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</si>
  <si>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</si>
  <si>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</si>
  <si>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</si>
  <si>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</si>
  <si>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</si>
  <si>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</si>
  <si>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</si>
  <si>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</si>
  <si>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</si>
  <si>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</si>
  <si>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</si>
  <si>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</si>
  <si>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</si>
  <si>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</si>
  <si>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</si>
  <si>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</si>
  <si>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</si>
  <si>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</si>
  <si>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</si>
  <si>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</si>
  <si>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</si>
  <si>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</si>
  <si>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</si>
  <si>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</si>
  <si>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</si>
  <si>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</si>
  <si>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</si>
  <si>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</si>
  <si>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</si>
  <si>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</si>
  <si>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</si>
  <si>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</si>
  <si>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</si>
  <si>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</si>
  <si>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</si>
  <si>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</si>
  <si>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</si>
  <si>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</si>
  <si>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</si>
  <si>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</si>
  <si>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</si>
  <si>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</si>
  <si>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</si>
  <si>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</si>
  <si>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</si>
  <si>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</si>
  <si>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</si>
  <si>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</si>
  <si>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</si>
  <si>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</si>
  <si>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</si>
  <si>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</si>
  <si>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</si>
  <si>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</si>
  <si>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</si>
  <si>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</si>
  <si>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</si>
  <si>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</si>
  <si>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</si>
  <si>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</si>
  <si>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</si>
  <si>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</si>
  <si>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</si>
  <si>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</si>
  <si>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</si>
  <si>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</si>
  <si>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</si>
  <si>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</si>
  <si>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</si>
  <si>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</si>
  <si>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</si>
  <si>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</si>
  <si>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</si>
  <si>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</si>
  <si>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</si>
  <si>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</si>
  <si>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</si>
  <si>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</si>
  <si>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</si>
  <si>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</si>
  <si>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</si>
  <si>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</si>
  <si>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</si>
  <si>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</si>
  <si>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</si>
  <si>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</si>
  <si>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</si>
  <si>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</si>
  <si>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</si>
  <si>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</si>
  <si>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</si>
  <si>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</si>
  <si>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</si>
  <si>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</si>
  <si>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</si>
  <si>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</si>
  <si>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</si>
  <si>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</si>
  <si>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</si>
  <si>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</si>
  <si>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</si>
  <si>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</si>
  <si>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</si>
  <si>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</si>
  <si>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</si>
  <si>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</si>
  <si>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</si>
  <si>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</si>
  <si>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</si>
  <si>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</si>
  <si>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</si>
  <si>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</si>
  <si>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</si>
  <si>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</si>
  <si>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</si>
  <si>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</si>
  <si>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</si>
  <si>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</si>
  <si>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</si>
  <si>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</si>
  <si>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</si>
  <si>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</si>
  <si>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</si>
  <si>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</si>
  <si>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</si>
  <si>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</si>
  <si>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</si>
  <si>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</si>
  <si>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</si>
  <si>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</si>
  <si>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</si>
  <si>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</si>
  <si>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</si>
  <si>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</si>
  <si>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</si>
  <si>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</si>
  <si>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</si>
  <si>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</si>
  <si>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</si>
  <si>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</si>
  <si>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</si>
  <si>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</si>
  <si>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</si>
  <si>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</si>
  <si>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</si>
  <si>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</si>
  <si>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</si>
  <si>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</si>
  <si>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</si>
  <si>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</si>
  <si>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</si>
  <si>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</si>
  <si>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</si>
  <si>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</si>
  <si>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</si>
  <si>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</si>
  <si>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</si>
  <si>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</si>
  <si>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</si>
  <si>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</si>
  <si>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</si>
  <si>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</si>
  <si>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</si>
  <si>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</si>
  <si>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</si>
  <si>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</si>
  <si>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</si>
  <si>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</si>
  <si>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</si>
  <si>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</si>
  <si>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</si>
  <si>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</si>
  <si>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</si>
  <si>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</si>
  <si>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</si>
  <si>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</si>
  <si>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</si>
  <si>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</si>
  <si>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</si>
  <si>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</si>
  <si>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</si>
  <si>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</si>
  <si>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</si>
  <si>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</si>
  <si>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</si>
  <si>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</si>
  <si>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</si>
  <si>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</si>
  <si>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</si>
  <si>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</si>
  <si>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</si>
  <si>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</si>
  <si>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</si>
  <si>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</si>
  <si>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</si>
  <si>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</si>
  <si>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</si>
  <si>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</si>
  <si>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</si>
  <si>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</si>
  <si>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</si>
  <si>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</si>
  <si>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</si>
  <si>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</si>
  <si>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</si>
  <si>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</si>
  <si>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</si>
  <si>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</si>
  <si>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</si>
  <si>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</si>
  <si>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</si>
  <si>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</si>
  <si>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</si>
  <si>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</si>
  <si>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</si>
  <si>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</si>
  <si>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</si>
  <si>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</si>
  <si>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</si>
  <si>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</si>
  <si>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</si>
  <si>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</si>
  <si>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</si>
  <si>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</si>
  <si>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</si>
  <si>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</si>
  <si>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</si>
  <si>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</si>
  <si>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</si>
  <si>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</si>
  <si>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</si>
  <si>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</si>
  <si>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</si>
  <si>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</si>
  <si>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</si>
  <si>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</si>
  <si>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</si>
  <si>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</si>
  <si>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</si>
  <si>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</si>
  <si>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</si>
  <si>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</si>
  <si>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</si>
  <si>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</si>
  <si>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</si>
  <si>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</si>
  <si>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</si>
  <si>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</si>
  <si>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</si>
  <si>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</si>
  <si>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</si>
  <si>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</si>
  <si>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</si>
  <si>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</si>
  <si>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</si>
  <si>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</si>
  <si>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</si>
  <si>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</si>
  <si>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</si>
  <si>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</si>
  <si>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</si>
  <si>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</si>
  <si>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</si>
  <si>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</si>
  <si>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</si>
  <si>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</si>
  <si>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</si>
  <si>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</si>
  <si>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</si>
  <si>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</si>
  <si>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</si>
  <si>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</si>
  <si>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</si>
  <si>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</si>
  <si>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</si>
  <si>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</si>
  <si>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</si>
  <si>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</si>
  <si>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</si>
  <si>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</si>
  <si>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</si>
  <si>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</si>
  <si>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</si>
  <si>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</si>
  <si>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</si>
  <si>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</si>
  <si>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</si>
  <si>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</si>
  <si>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</si>
  <si>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</si>
  <si>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</si>
  <si>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</si>
  <si>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</si>
  <si>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</si>
  <si>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</si>
  <si>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</si>
  <si>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</si>
  <si>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</si>
  <si>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</si>
  <si>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</si>
  <si>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</si>
  <si>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</si>
  <si>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</si>
  <si>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</si>
  <si>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</si>
  <si>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</si>
  <si>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</si>
  <si>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</si>
  <si>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</si>
  <si>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</si>
  <si>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</si>
  <si>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</si>
  <si>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</si>
  <si>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</si>
  <si>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</si>
  <si>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</si>
  <si>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</si>
  <si>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</si>
  <si>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</si>
  <si>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</si>
  <si>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</si>
  <si>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</si>
  <si>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</si>
  <si>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</si>
  <si>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</si>
  <si>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</si>
  <si>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</si>
  <si>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</si>
  <si>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</si>
  <si>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</si>
  <si>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</si>
  <si>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</si>
  <si>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</si>
  <si>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</si>
  <si>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</si>
  <si>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</si>
  <si>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</si>
  <si>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</si>
  <si>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</si>
  <si>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</si>
  <si>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</si>
  <si>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</si>
  <si>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</si>
  <si>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</si>
  <si>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</si>
  <si>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</si>
  <si>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</si>
  <si>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</si>
  <si>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</si>
  <si>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</si>
  <si>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</si>
  <si>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</si>
  <si>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</si>
  <si>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</si>
  <si>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</si>
  <si>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</si>
  <si>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</si>
  <si>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</si>
  <si>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</si>
  <si>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</si>
  <si>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</si>
  <si>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</si>
  <si>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</si>
  <si>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</si>
  <si>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</si>
  <si>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</si>
  <si>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</si>
  <si>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</si>
  <si>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</si>
  <si>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</si>
  <si>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</si>
  <si>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</si>
  <si>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</si>
  <si>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</si>
  <si>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</si>
  <si>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</si>
  <si>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</si>
  <si>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</si>
  <si>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</si>
  <si>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</si>
  <si>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</si>
  <si>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</si>
  <si>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</si>
  <si>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</si>
  <si>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</si>
  <si>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</si>
  <si>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</si>
  <si>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</si>
  <si>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</si>
  <si>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</si>
  <si>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</si>
  <si>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</si>
  <si>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</si>
  <si>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</si>
  <si>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</si>
  <si>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</si>
  <si>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</si>
  <si>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</si>
  <si>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</si>
  <si>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</si>
  <si>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</si>
  <si>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</si>
  <si>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</si>
  <si>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</si>
  <si>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</si>
  <si>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</si>
  <si>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</si>
  <si>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</si>
  <si>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</si>
  <si>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</si>
  <si>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</si>
  <si>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</si>
  <si>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</si>
  <si>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</si>
  <si>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</si>
  <si>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</si>
  <si>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</si>
  <si>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</si>
  <si>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</si>
  <si>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</si>
  <si>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</si>
  <si>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</si>
  <si>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</si>
  <si>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</si>
  <si>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</si>
  <si>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</si>
  <si>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</si>
  <si>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</si>
  <si>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</si>
  <si>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</si>
  <si>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</si>
  <si>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</si>
  <si>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</si>
  <si>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</si>
  <si>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</si>
  <si>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</si>
  <si>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</si>
  <si>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</si>
  <si>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</si>
  <si>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</si>
  <si>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</si>
  <si>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</si>
  <si>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</si>
  <si>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</si>
  <si>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</si>
  <si>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</si>
  <si>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</si>
  <si>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</si>
  <si>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</si>
  <si>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</si>
  <si>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</si>
  <si>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</si>
  <si>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</si>
  <si>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</si>
  <si>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</si>
  <si>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</si>
  <si>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</si>
  <si>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</si>
  <si>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</si>
  <si>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</si>
  <si>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</si>
  <si>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</si>
  <si>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</si>
  <si>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</si>
  <si>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</si>
  <si>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</si>
  <si>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</si>
  <si>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</si>
  <si>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</si>
  <si>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</si>
  <si>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</si>
  <si>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</si>
  <si>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</si>
  <si>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</si>
  <si>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</si>
  <si>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</si>
  <si>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</si>
  <si>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</si>
  <si>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</si>
  <si>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</si>
  <si>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</si>
  <si>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</si>
  <si>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</si>
  <si>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</si>
  <si>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</si>
  <si>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</si>
  <si>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</si>
  <si>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</si>
  <si>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</si>
  <si>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</si>
  <si>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</si>
  <si>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</si>
  <si>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</si>
  <si>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</si>
  <si>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</si>
  <si>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</si>
  <si>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</si>
  <si>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</si>
  <si>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</si>
  <si>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</si>
  <si>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</si>
  <si>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</si>
  <si>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</si>
  <si>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</si>
  <si>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</si>
  <si>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</si>
  <si>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</si>
  <si>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</si>
  <si>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</si>
  <si>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</si>
  <si>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</si>
  <si>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</si>
  <si>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</si>
  <si>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</si>
  <si>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</si>
  <si>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</si>
  <si>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</si>
  <si>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</si>
  <si>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</si>
  <si>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</si>
  <si>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</si>
  <si>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</si>
  <si>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</si>
  <si>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</si>
  <si>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</si>
  <si>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</si>
  <si>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</si>
  <si>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</si>
  <si>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</si>
  <si>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</si>
  <si>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</si>
  <si>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</si>
  <si>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</si>
  <si>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</si>
  <si>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</si>
  <si>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</si>
  <si>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</si>
  <si>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</si>
  <si>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</si>
  <si>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</si>
  <si>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</si>
  <si>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</si>
  <si>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</si>
  <si>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</si>
  <si>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</si>
  <si>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</si>
  <si>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</si>
  <si>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</si>
  <si>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</si>
  <si>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</si>
  <si>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</si>
  <si>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</si>
  <si>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</si>
  <si>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</si>
  <si>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</si>
  <si>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</si>
  <si>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</si>
  <si>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</si>
  <si>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</si>
  <si>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</si>
  <si>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</si>
  <si>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</si>
  <si>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</si>
  <si>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</si>
  <si>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</si>
  <si>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</si>
  <si>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</si>
  <si>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</si>
  <si>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</si>
  <si>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</si>
  <si>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</si>
  <si>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</si>
  <si>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</si>
  <si>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</si>
  <si>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</si>
  <si>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</si>
  <si>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</si>
  <si>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</si>
  <si>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</si>
  <si>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</si>
  <si>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</si>
  <si>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</si>
  <si>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</si>
  <si>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</si>
  <si>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</si>
  <si>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</si>
  <si>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</si>
  <si>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</si>
  <si>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</si>
  <si>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</si>
  <si>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</si>
  <si>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</si>
  <si>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</si>
  <si>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</si>
  <si>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</si>
  <si>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</si>
  <si>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</si>
  <si>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</si>
  <si>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</si>
  <si>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</si>
  <si>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</si>
  <si>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</si>
  <si>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</si>
  <si>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</si>
  <si>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</si>
  <si>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</si>
  <si>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</si>
  <si>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</si>
  <si>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</si>
  <si>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</si>
  <si>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</si>
  <si>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</si>
  <si>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</si>
  <si>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</si>
  <si>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</si>
  <si>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</si>
  <si>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</si>
  <si>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</si>
  <si>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</si>
  <si>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</si>
  <si>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</si>
  <si>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</si>
  <si>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</si>
  <si>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</si>
  <si>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</si>
  <si>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</si>
  <si>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</si>
  <si>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</si>
  <si>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</si>
  <si>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</si>
  <si>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</si>
  <si>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</si>
  <si>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</si>
  <si>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</si>
  <si>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</si>
  <si>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</si>
  <si>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</si>
  <si>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</si>
  <si>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</si>
  <si>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</si>
  <si>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</si>
  <si>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</si>
  <si>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</si>
  <si>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</si>
  <si>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</si>
  <si>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</si>
  <si>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</si>
  <si>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</si>
  <si>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</si>
  <si>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</si>
  <si>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</si>
  <si>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</si>
  <si>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</si>
  <si>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</si>
  <si>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</si>
  <si>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</si>
  <si>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</si>
  <si>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</si>
  <si>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</si>
  <si>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</si>
  <si>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</si>
  <si>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</si>
  <si>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</si>
  <si>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</si>
  <si>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</si>
  <si>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</si>
  <si>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</si>
  <si>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</si>
  <si>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</si>
  <si>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</si>
  <si>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</si>
  <si>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</si>
  <si>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</si>
  <si>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</si>
  <si>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</si>
  <si>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</si>
  <si>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</si>
  <si>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</si>
  <si>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</si>
  <si>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</si>
  <si>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</si>
  <si>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</si>
  <si>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</si>
  <si>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</si>
  <si>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</si>
  <si>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</si>
  <si>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</si>
  <si>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</si>
  <si>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</si>
  <si>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</si>
  <si>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</si>
  <si>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</si>
  <si>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</si>
  <si>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</si>
  <si>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</si>
  <si>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</si>
  <si>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</si>
  <si>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</si>
  <si>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</si>
  <si>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</si>
  <si>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</si>
  <si>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</si>
  <si>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</si>
  <si>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</si>
  <si>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</si>
  <si>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</si>
  <si>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</si>
  <si>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</si>
  <si>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</si>
  <si>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</si>
  <si>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</si>
  <si>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</si>
  <si>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</si>
  <si>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</si>
  <si>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</si>
  <si>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</si>
  <si>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</si>
  <si>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</si>
  <si>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</si>
  <si>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</si>
  <si>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</si>
  <si>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</si>
  <si>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</si>
  <si>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</si>
  <si>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</si>
  <si>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</si>
  <si>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</si>
  <si>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</si>
  <si>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</si>
  <si>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</si>
  <si>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</si>
  <si>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</si>
  <si>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</si>
  <si>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</si>
  <si>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</si>
  <si>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</si>
  <si>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</si>
  <si>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</si>
  <si>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</si>
  <si>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</si>
  <si>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</si>
  <si>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</si>
  <si>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</si>
  <si>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</si>
  <si>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</si>
  <si>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</si>
  <si>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</si>
  <si>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</si>
  <si>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</si>
  <si>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</si>
  <si>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</si>
  <si>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</si>
  <si>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</si>
  <si>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</si>
  <si>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</si>
  <si>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</si>
  <si>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</si>
  <si>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</si>
  <si>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</si>
  <si>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</si>
  <si>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</si>
  <si>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</si>
  <si>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</si>
  <si>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</si>
  <si>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</si>
  <si>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</si>
  <si>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</si>
  <si>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</si>
  <si>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</si>
  <si>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</si>
  <si>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</si>
  <si>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</si>
  <si>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</si>
  <si>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</si>
  <si>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</si>
  <si>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</si>
  <si>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</si>
  <si>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</si>
  <si>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</si>
  <si>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</si>
  <si>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</si>
  <si>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</si>
  <si>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</si>
  <si>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</si>
  <si>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</si>
  <si>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</si>
  <si>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</si>
  <si>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</si>
  <si>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</si>
  <si>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</si>
  <si>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</si>
  <si>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</si>
  <si>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</si>
  <si>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</si>
  <si>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</si>
  <si>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</si>
  <si>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</si>
  <si>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</si>
  <si>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</si>
  <si>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</si>
  <si>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</si>
  <si>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</si>
  <si>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</si>
  <si>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</si>
  <si>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</si>
  <si>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</si>
  <si>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</si>
  <si>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</si>
  <si>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</si>
  <si>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</si>
  <si>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</si>
  <si>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</si>
  <si>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</si>
  <si>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</si>
  <si>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</si>
  <si>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</si>
  <si>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</si>
  <si>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</si>
  <si>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</si>
  <si>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</si>
  <si>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</si>
  <si>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</si>
  <si>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</si>
  <si>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</si>
  <si>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</si>
  <si>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</si>
  <si>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</si>
  <si>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</si>
  <si>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</si>
  <si>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</si>
  <si>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</si>
  <si>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</si>
  <si>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</si>
  <si>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</si>
  <si>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</si>
  <si>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</si>
  <si>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</si>
  <si>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</si>
  <si>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</si>
  <si>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</si>
  <si>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</si>
  <si>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</si>
  <si>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</si>
  <si>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</si>
  <si>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</si>
  <si>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</si>
  <si>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</si>
  <si>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</si>
  <si>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</si>
  <si>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</si>
  <si>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</si>
  <si>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</si>
  <si>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</si>
  <si>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</si>
  <si>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</si>
  <si>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</si>
  <si>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</si>
  <si>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</si>
  <si>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</si>
  <si>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</si>
  <si>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</si>
  <si>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</si>
  <si>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</si>
  <si>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</si>
  <si>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</si>
  <si>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</si>
  <si>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</si>
  <si>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</si>
  <si>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</si>
  <si>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</si>
  <si>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</si>
  <si>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</si>
  <si>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</si>
  <si>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</si>
  <si>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</si>
  <si>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</si>
  <si>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</si>
  <si>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</si>
  <si>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</si>
  <si>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</si>
  <si>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</si>
  <si>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</si>
  <si>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</si>
  <si>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</si>
  <si>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</si>
  <si>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</si>
  <si>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</si>
  <si>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</si>
  <si>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</si>
  <si>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</si>
  <si>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</si>
  <si>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</si>
  <si>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</si>
  <si>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</si>
  <si>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</si>
  <si>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</si>
  <si>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</si>
  <si>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</si>
  <si>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</si>
  <si>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</si>
  <si>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</si>
  <si>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</si>
  <si>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</si>
  <si>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</si>
  <si>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</si>
  <si>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</si>
  <si>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</si>
  <si>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</si>
  <si>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</si>
  <si>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</si>
  <si>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</si>
  <si>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</si>
  <si>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</si>
  <si>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</si>
  <si>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</si>
  <si>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</si>
  <si>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</si>
  <si>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</si>
  <si>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</si>
  <si>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</si>
  <si>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</si>
  <si>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</si>
  <si>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</si>
  <si>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</si>
  <si>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</si>
  <si>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</si>
  <si>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</si>
  <si>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</si>
  <si>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</si>
  <si>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</si>
  <si>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</si>
  <si>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</si>
  <si>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</si>
  <si>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</si>
  <si>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</si>
  <si>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</si>
  <si>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</si>
  <si>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</si>
  <si>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</si>
  <si>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</si>
  <si>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</si>
  <si>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</si>
  <si>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</si>
  <si>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</si>
  <si>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</si>
  <si>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</si>
  <si>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</si>
  <si>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</si>
  <si>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</si>
  <si>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</si>
  <si>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</si>
  <si>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</si>
  <si>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</si>
  <si>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</si>
  <si>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</si>
  <si>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</si>
  <si>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</si>
  <si>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</si>
  <si>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</si>
  <si>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</si>
  <si>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</si>
  <si>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</si>
  <si>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</si>
  <si>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</si>
  <si>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</si>
  <si>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</si>
  <si>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</si>
  <si>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</si>
  <si>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</si>
  <si>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</si>
  <si>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</si>
  <si>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</si>
  <si>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</si>
  <si>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</si>
  <si>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</si>
  <si>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</si>
  <si>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</si>
  <si>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</si>
  <si>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</si>
  <si>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</si>
  <si>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</si>
  <si>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</si>
  <si>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</si>
  <si>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</si>
  <si>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</si>
  <si>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</si>
  <si>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</si>
  <si>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</si>
  <si>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</si>
  <si>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</si>
  <si>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</si>
  <si>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</si>
  <si>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</si>
  <si>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</si>
  <si>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</si>
  <si>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</si>
  <si>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</si>
  <si>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</si>
  <si>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</si>
  <si>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</si>
  <si>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</si>
  <si>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</si>
  <si>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</si>
  <si>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</si>
  <si>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</si>
  <si>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</si>
  <si>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</si>
  <si>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</si>
  <si>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</si>
  <si>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</si>
  <si>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</si>
  <si>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</si>
  <si>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</si>
  <si>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</si>
  <si>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</si>
  <si>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</si>
  <si>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</si>
  <si>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</si>
  <si>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</si>
  <si>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</si>
  <si>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</si>
  <si>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</si>
  <si>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</si>
  <si>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</si>
  <si>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</si>
  <si>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</si>
  <si>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</si>
  <si>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</si>
  <si>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</si>
  <si>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</si>
  <si>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</si>
  <si>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</si>
  <si>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</si>
  <si>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</si>
  <si>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</si>
  <si>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</si>
  <si>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</si>
  <si>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</si>
  <si>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</si>
  <si>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</si>
  <si>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</si>
  <si>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</si>
  <si>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</si>
  <si>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</si>
  <si>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</si>
  <si>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</si>
  <si>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</si>
  <si>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</si>
  <si>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</si>
  <si>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</si>
  <si>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</si>
  <si>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</si>
  <si>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</si>
  <si>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</si>
  <si>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</si>
  <si>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</si>
  <si>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</si>
  <si>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</si>
  <si>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</si>
  <si>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</si>
  <si>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</si>
  <si>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</si>
  <si>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</si>
  <si>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</si>
  <si>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</si>
  <si>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</si>
  <si>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</si>
  <si>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</si>
  <si>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</si>
  <si>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</si>
  <si>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</si>
  <si>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</si>
  <si>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</si>
  <si>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</si>
  <si>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</si>
  <si>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</si>
  <si>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</si>
  <si>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</si>
  <si>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</si>
  <si>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</si>
  <si>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</si>
  <si>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</si>
  <si>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</si>
  <si>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</si>
  <si>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</si>
  <si>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</si>
  <si>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</si>
  <si>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</si>
  <si>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</si>
  <si>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</si>
  <si>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</si>
  <si>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</si>
  <si>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</si>
  <si>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</si>
  <si>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</si>
  <si>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</si>
  <si>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</si>
  <si>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</si>
  <si>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</si>
  <si>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</si>
  <si>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</si>
  <si>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</si>
  <si>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</si>
  <si>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</si>
  <si>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</si>
  <si>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</si>
  <si>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</si>
  <si>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</si>
  <si>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</si>
  <si>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</si>
  <si>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</si>
  <si>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</si>
  <si>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</si>
  <si>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</si>
  <si>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</si>
  <si>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</si>
  <si>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</si>
  <si>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</si>
  <si>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</si>
  <si>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</si>
  <si>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</si>
  <si>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</si>
  <si>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</si>
  <si>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</si>
  <si>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</si>
  <si>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</si>
  <si>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</si>
  <si>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</si>
  <si>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</si>
  <si>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</si>
  <si>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</si>
  <si>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</si>
  <si>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</si>
  <si>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</si>
  <si>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</si>
  <si>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</si>
  <si>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</si>
  <si>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</si>
  <si>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</si>
  <si>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</si>
  <si>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</si>
  <si>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</si>
  <si>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</si>
  <si>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</si>
  <si>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</si>
  <si>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</si>
  <si>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</si>
  <si>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</si>
  <si>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</si>
  <si>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</si>
  <si>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</si>
  <si>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</si>
  <si>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</si>
  <si>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</si>
  <si>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</si>
  <si>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</si>
  <si>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</si>
  <si>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</si>
  <si>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</si>
  <si>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</si>
  <si>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</si>
  <si>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</si>
  <si>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</si>
  <si>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</si>
  <si>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</si>
  <si>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</si>
  <si>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</si>
  <si>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</si>
  <si>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</si>
  <si>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</si>
  <si>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</si>
  <si>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</si>
  <si>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</si>
  <si>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</si>
  <si>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</si>
  <si>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</si>
  <si>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</si>
  <si>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</si>
  <si>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</si>
  <si>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</si>
  <si>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</si>
  <si>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</si>
  <si>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</si>
  <si>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</si>
  <si>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</si>
  <si>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</si>
  <si>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</si>
  <si>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</si>
  <si>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</si>
  <si>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</si>
  <si>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</si>
  <si>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</si>
  <si>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</si>
  <si>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</si>
  <si>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</si>
  <si>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</si>
  <si>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</si>
  <si>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</si>
  <si>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</si>
  <si>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</si>
  <si>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</si>
  <si>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</si>
  <si>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</si>
  <si>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</si>
  <si>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</si>
  <si>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</si>
  <si>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</si>
  <si>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</si>
  <si>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</si>
  <si>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</si>
  <si>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</si>
  <si>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</si>
  <si>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</si>
  <si>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</si>
  <si>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</si>
  <si>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</si>
  <si>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</si>
  <si>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</si>
  <si>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</si>
  <si>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</si>
  <si>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</si>
  <si>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</si>
  <si>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</si>
  <si>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</si>
  <si>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</si>
  <si>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</si>
  <si>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</si>
  <si>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</si>
  <si>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</si>
  <si>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</si>
  <si>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</si>
  <si>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</si>
  <si>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</si>
  <si>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</si>
  <si>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</si>
  <si>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</si>
  <si>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</si>
  <si>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</si>
  <si>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</si>
  <si>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</si>
  <si>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</si>
  <si>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</si>
  <si>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</si>
  <si>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</si>
  <si>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</si>
  <si>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</si>
  <si>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</si>
  <si>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</si>
  <si>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</si>
  <si>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</si>
  <si>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</si>
  <si>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</si>
  <si>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</si>
  <si>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</si>
  <si>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</si>
  <si>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</si>
  <si>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</si>
  <si>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</si>
  <si>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</si>
  <si>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</si>
  <si>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</si>
  <si>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</si>
  <si>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</si>
  <si>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</si>
  <si>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</si>
  <si>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</si>
  <si>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</si>
  <si>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</si>
  <si>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</si>
  <si>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</si>
  <si>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</si>
  <si>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</si>
  <si>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</si>
  <si>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</si>
  <si>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</si>
  <si>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</si>
  <si>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</si>
  <si>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</si>
  <si>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</si>
  <si>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</si>
  <si>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</si>
  <si>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</si>
  <si>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</si>
  <si>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</si>
  <si>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</si>
  <si>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</si>
  <si>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</si>
  <si>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</si>
  <si>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</si>
  <si>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</si>
  <si>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</si>
  <si>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</si>
  <si>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</si>
  <si>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</si>
  <si>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</si>
  <si>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</si>
  <si>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</si>
  <si>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</si>
  <si>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</si>
  <si>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</si>
  <si>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</si>
  <si>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</si>
  <si>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</si>
  <si>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</si>
  <si>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</si>
  <si>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</si>
  <si>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</si>
  <si>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</si>
  <si>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</si>
  <si>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</si>
  <si>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</si>
  <si>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</si>
  <si>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</si>
  <si>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</si>
  <si>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</si>
  <si>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</si>
  <si>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</si>
  <si>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</si>
  <si>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</si>
  <si>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</si>
  <si>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</si>
  <si>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</si>
  <si>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</si>
  <si>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</si>
  <si>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</si>
  <si>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</si>
  <si>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</si>
  <si>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</si>
  <si>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</si>
  <si>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</si>
  <si>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</si>
  <si>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</si>
  <si>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</si>
  <si>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</si>
  <si>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</si>
  <si>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</si>
  <si>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</si>
  <si>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</si>
  <si>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</si>
  <si>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</si>
  <si>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</si>
  <si>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</si>
  <si>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</si>
  <si>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</si>
  <si>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</si>
  <si>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</si>
  <si>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</si>
  <si>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</si>
  <si>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</si>
  <si>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</si>
  <si>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</si>
  <si>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</si>
  <si>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</si>
  <si>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</si>
  <si>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</si>
  <si>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</si>
  <si>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</si>
  <si>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</si>
  <si>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</si>
  <si>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</si>
  <si>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</si>
  <si>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</si>
  <si>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</si>
  <si>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</si>
  <si>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</si>
  <si>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</si>
  <si>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</si>
  <si>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</si>
  <si>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</si>
  <si>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</si>
  <si>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</si>
  <si>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</si>
  <si>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</si>
  <si>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</si>
  <si>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</si>
  <si>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</si>
  <si>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</si>
  <si>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</si>
  <si>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</si>
  <si>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</si>
  <si>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</si>
  <si>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</si>
  <si>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</si>
  <si>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</si>
  <si>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</si>
  <si>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</si>
  <si>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</si>
  <si>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</si>
  <si>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</si>
  <si>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</si>
  <si>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</si>
  <si>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</si>
  <si>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</si>
  <si>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</si>
  <si>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</si>
  <si>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</si>
  <si>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</si>
  <si>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</si>
  <si>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</si>
  <si>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</si>
  <si>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</si>
  <si>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</si>
  <si>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</si>
  <si>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</si>
  <si>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</si>
  <si>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</si>
  <si>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</si>
  <si>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</si>
  <si>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</si>
  <si>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</si>
  <si>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</si>
  <si>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</si>
  <si>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</si>
  <si>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</si>
  <si>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</si>
  <si>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</si>
  <si>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</si>
  <si>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</si>
  <si>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</si>
  <si>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</si>
  <si>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</si>
  <si>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</si>
  <si>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</si>
  <si>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</si>
  <si>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</si>
  <si>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</si>
  <si>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</si>
  <si>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</si>
  <si>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</si>
  <si>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</si>
  <si>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</si>
  <si>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</si>
  <si>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</si>
  <si>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</si>
  <si>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</si>
  <si>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</si>
  <si>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</si>
  <si>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</si>
  <si>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</si>
  <si>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</si>
  <si>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</si>
  <si>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</si>
  <si>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</si>
  <si>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</si>
  <si>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</si>
  <si>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</si>
  <si>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</si>
  <si>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</si>
  <si>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</si>
  <si>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</si>
  <si>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</si>
  <si>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</si>
  <si>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</si>
  <si>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</si>
  <si>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</si>
  <si>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</si>
  <si>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</si>
  <si>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</si>
  <si>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</si>
  <si>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</si>
  <si>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</si>
  <si>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</si>
  <si>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</si>
  <si>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</si>
  <si>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</si>
  <si>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</si>
  <si>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</si>
  <si>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</si>
  <si>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</si>
  <si>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</si>
  <si>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</si>
  <si>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</si>
  <si>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</si>
  <si>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</si>
  <si>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</si>
  <si>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</si>
  <si>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</si>
  <si>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</si>
  <si>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</si>
  <si>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</si>
  <si>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</si>
  <si>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</si>
  <si>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</si>
  <si>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</si>
  <si>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</si>
  <si>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</si>
  <si>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</si>
  <si>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</si>
  <si>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</si>
  <si>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</si>
  <si>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</si>
  <si>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112 €/m² = 50 000 € HT</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</si>
  <si>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</si>
  <si>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</si>
  <si>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</si>
  <si>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</si>
  <si>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</si>
  <si>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</si>
  <si>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</si>
  <si>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</si>
  <si>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</si>
  <si>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</si>
  <si>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154 €/m² = 38 500 € HT</t>
  </si>
  <si>
    <t>186 €/m² = 55 800 € HT</t>
  </si>
  <si>
    <t>186 €/m² = 113 088 € HT</t>
  </si>
  <si>
    <t>186 €/m² = 47 802 € HT</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</si>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</sst>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4">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23" totalsRowShown="0" headerRowCellStyle="Normal 2" dataCellStyle="Normal 2">
  <autoFilter ref="A1:AX223"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38" Type="http://schemas.openxmlformats.org/officeDocument/2006/relationships/hyperlink" Target="https://maps.app.goo.gl/jjHUN2H4tKUGyBEQ7" TargetMode="External"/><Relationship Id="rId154" Type="http://schemas.openxmlformats.org/officeDocument/2006/relationships/hyperlink" Target="https://maps.app.goo.gl/RJ2QRVrW96tKL7ur6" TargetMode="External"/><Relationship Id="rId159"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72" Type="http://schemas.openxmlformats.org/officeDocument/2006/relationships/hyperlink" Target="https://maps.app.goo.gl/RJ2QRVrW96tKL7ur6" TargetMode="External"/><Relationship Id="rId180" Type="http://schemas.openxmlformats.org/officeDocument/2006/relationships/hyperlink" Target="https://maps.app.goo.gl/wNVbBxTsrAXKBrtc6"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32"/>
  <sheetViews>
    <sheetView showZeros="0" tabSelected="1" zoomScale="80" zoomScaleNormal="80" workbookViewId="0">
      <pane xSplit="6" ySplit="1" topLeftCell="AP134" activePane="bottomRight" state="frozen"/>
      <selection pane="topRight" activeCell="G1" sqref="G1"/>
      <selection pane="bottomLeft" activeCell="A2" sqref="A2"/>
      <selection pane="bottomRight" activeCell="F147" sqref="F147"/>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53.875" style="1" customWidth="1"/>
    <col min="41" max="41" width="50.25" style="1" bestFit="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10"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1039</v>
      </c>
      <c r="AN147" s="11"/>
      <c r="AO147" s="5" t="s">
        <v>367</v>
      </c>
      <c r="AP147" s="11" t="s">
        <v>1028</v>
      </c>
      <c r="AQ147" s="11" t="s">
        <v>1029</v>
      </c>
      <c r="AR147" s="11">
        <v>33</v>
      </c>
      <c r="AS147" s="36" t="s">
        <v>1040</v>
      </c>
      <c r="AT147" s="11" t="s">
        <v>53</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1412</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1452</v>
      </c>
      <c r="E193" s="26">
        <v>87220</v>
      </c>
      <c r="F193" s="10" t="s">
        <v>1453</v>
      </c>
      <c r="G193" s="39" t="str">
        <f>Tableau1[[#This Row],[Rue]]&amp;CHAR(10)&amp;Tableau1[[#This Row],[Code Postal]]&amp;" - "&amp;Tableau1[[#This Row],[Ville]]</f>
        <v>Centre commercial Boisseuil
Route de Toulouse
87220 - Boisseuil</v>
      </c>
      <c r="H193" s="15" t="s">
        <v>1451</v>
      </c>
      <c r="I193" s="12" t="s">
        <v>47</v>
      </c>
      <c r="J193" s="12" t="s">
        <v>49</v>
      </c>
      <c r="K193" s="10" t="s">
        <v>103</v>
      </c>
      <c r="L193" s="10"/>
      <c r="M193" s="12" t="s">
        <v>103</v>
      </c>
      <c r="N193" s="36" t="s">
        <v>1454</v>
      </c>
      <c r="O193" s="34">
        <v>234</v>
      </c>
      <c r="P193" s="12" t="s">
        <v>1465</v>
      </c>
      <c r="Q193" s="34">
        <v>454</v>
      </c>
      <c r="R193" s="34" t="s">
        <v>103</v>
      </c>
      <c r="S193" s="34" t="s">
        <v>103</v>
      </c>
      <c r="T193" s="12">
        <f>Tableau1[[#This Row],[Loyer €/m²]]*Tableau1[[#This Row],[Surface GLA]]</f>
        <v>98280</v>
      </c>
      <c r="U193" s="12">
        <f>IFERROR(Tableau1[[#This Row],[Loyer annuel]]/12,"")</f>
        <v>8190</v>
      </c>
      <c r="V193" s="12">
        <v>420</v>
      </c>
      <c r="W193" s="50">
        <v>0.08</v>
      </c>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51">
        <v>2.5000000000000001E-2</v>
      </c>
      <c r="AI193" s="12" t="s">
        <v>363</v>
      </c>
      <c r="AJ193" s="10" t="s">
        <v>375</v>
      </c>
      <c r="AK193" s="10" t="s">
        <v>369</v>
      </c>
      <c r="AL193" s="10" t="s">
        <v>1493</v>
      </c>
      <c r="AM193" s="11" t="s">
        <v>1504</v>
      </c>
      <c r="AN193" s="11" t="s">
        <v>1544</v>
      </c>
      <c r="AO193" s="5" t="s">
        <v>367</v>
      </c>
      <c r="AP193" s="11" t="s">
        <v>1494</v>
      </c>
      <c r="AQ193" s="11" t="s">
        <v>1496</v>
      </c>
      <c r="AR193" s="11" t="s">
        <v>1471</v>
      </c>
      <c r="AS193" s="36" t="s">
        <v>1543</v>
      </c>
      <c r="AT193" s="11" t="s">
        <v>75</v>
      </c>
      <c r="AU193" s="11" t="s">
        <v>376</v>
      </c>
      <c r="AV193" s="13" t="s">
        <v>74</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1452</v>
      </c>
      <c r="E194" s="26">
        <v>87220</v>
      </c>
      <c r="F194" s="10" t="s">
        <v>1453</v>
      </c>
      <c r="G194" s="39" t="str">
        <f>Tableau1[[#This Row],[Rue]]&amp;CHAR(10)&amp;Tableau1[[#This Row],[Code Postal]]&amp;" - "&amp;Tableau1[[#This Row],[Ville]]</f>
        <v>Centre commercial Boisseuil
Route de Toulouse
87220 - Boisseuil</v>
      </c>
      <c r="H194" s="15" t="s">
        <v>1451</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50">
        <v>0.08</v>
      </c>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51">
        <v>2.5000000000000001E-2</v>
      </c>
      <c r="AI194" s="12" t="s">
        <v>363</v>
      </c>
      <c r="AJ194" s="10" t="s">
        <v>375</v>
      </c>
      <c r="AK194" s="10" t="s">
        <v>369</v>
      </c>
      <c r="AL194" s="10" t="s">
        <v>1493</v>
      </c>
      <c r="AM194" s="11" t="s">
        <v>1504</v>
      </c>
      <c r="AN194" s="11" t="s">
        <v>1544</v>
      </c>
      <c r="AO194" s="5" t="s">
        <v>367</v>
      </c>
      <c r="AP194" s="11" t="s">
        <v>1497</v>
      </c>
      <c r="AQ194" s="11" t="s">
        <v>1498</v>
      </c>
      <c r="AR194" s="11" t="s">
        <v>1472</v>
      </c>
      <c r="AS194" s="36" t="s">
        <v>1543</v>
      </c>
      <c r="AT194" s="11" t="s">
        <v>75</v>
      </c>
      <c r="AU194" s="11" t="s">
        <v>376</v>
      </c>
      <c r="AV194" s="13" t="s">
        <v>74</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1452</v>
      </c>
      <c r="E195" s="26">
        <v>87220</v>
      </c>
      <c r="F195" s="10" t="s">
        <v>1453</v>
      </c>
      <c r="G195" s="39" t="str">
        <f>Tableau1[[#This Row],[Rue]]&amp;CHAR(10)&amp;Tableau1[[#This Row],[Code Postal]]&amp;" - "&amp;Tableau1[[#This Row],[Ville]]</f>
        <v>Centre commercial Boisseuil
Route de Toulouse
87220 - Boisseuil</v>
      </c>
      <c r="H195" s="15" t="s">
        <v>1451</v>
      </c>
      <c r="I195" s="12" t="s">
        <v>47</v>
      </c>
      <c r="J195" s="12" t="s">
        <v>49</v>
      </c>
      <c r="K195" s="10" t="s">
        <v>103</v>
      </c>
      <c r="L195" s="10"/>
      <c r="M195" s="12" t="s">
        <v>103</v>
      </c>
      <c r="N195" s="36" t="s">
        <v>1455</v>
      </c>
      <c r="O195" s="34">
        <v>105</v>
      </c>
      <c r="P195" s="12"/>
      <c r="Q195" s="34">
        <v>222</v>
      </c>
      <c r="R195" s="34" t="s">
        <v>103</v>
      </c>
      <c r="S195" s="34" t="s">
        <v>103</v>
      </c>
      <c r="T195" s="12">
        <f>Tableau1[[#This Row],[Loyer €/m²]]*Tableau1[[#This Row],[Surface GLA]]</f>
        <v>31500</v>
      </c>
      <c r="U195" s="12">
        <f>IFERROR(Tableau1[[#This Row],[Loyer annuel]]/12,"")</f>
        <v>2625</v>
      </c>
      <c r="V195" s="12">
        <v>300</v>
      </c>
      <c r="W195" s="50">
        <v>0.08</v>
      </c>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51">
        <v>2.5000000000000001E-2</v>
      </c>
      <c r="AI195" s="12" t="s">
        <v>380</v>
      </c>
      <c r="AJ195" s="10" t="s">
        <v>75</v>
      </c>
      <c r="AK195" s="10" t="s">
        <v>369</v>
      </c>
      <c r="AL195" s="10" t="s">
        <v>1493</v>
      </c>
      <c r="AM195" s="11" t="s">
        <v>1504</v>
      </c>
      <c r="AN195" s="11" t="s">
        <v>1544</v>
      </c>
      <c r="AO195" s="5" t="s">
        <v>367</v>
      </c>
      <c r="AP195" s="11" t="s">
        <v>1499</v>
      </c>
      <c r="AQ195" s="11" t="s">
        <v>1500</v>
      </c>
      <c r="AR195" s="11" t="s">
        <v>1473</v>
      </c>
      <c r="AS195" s="36" t="s">
        <v>1543</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1452</v>
      </c>
      <c r="E196" s="26">
        <v>87220</v>
      </c>
      <c r="F196" s="10" t="s">
        <v>1453</v>
      </c>
      <c r="G196" s="39" t="str">
        <f>Tableau1[[#This Row],[Rue]]&amp;CHAR(10)&amp;Tableau1[[#This Row],[Code Postal]]&amp;" - "&amp;Tableau1[[#This Row],[Ville]]</f>
        <v>Centre commercial Boisseuil
Route de Toulouse
87220 - Boisseuil</v>
      </c>
      <c r="H196" s="15" t="s">
        <v>1451</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50">
        <v>0.08</v>
      </c>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51">
        <v>2.5000000000000001E-2</v>
      </c>
      <c r="AI196" s="12" t="s">
        <v>363</v>
      </c>
      <c r="AJ196" s="10" t="s">
        <v>375</v>
      </c>
      <c r="AK196" s="10" t="s">
        <v>369</v>
      </c>
      <c r="AL196" s="10" t="s">
        <v>1493</v>
      </c>
      <c r="AM196" s="11" t="s">
        <v>1504</v>
      </c>
      <c r="AN196" s="11" t="s">
        <v>1544</v>
      </c>
      <c r="AO196" s="5" t="s">
        <v>367</v>
      </c>
      <c r="AP196" s="11" t="s">
        <v>1501</v>
      </c>
      <c r="AQ196" s="11" t="s">
        <v>1502</v>
      </c>
      <c r="AR196" s="11" t="s">
        <v>1474</v>
      </c>
      <c r="AS196" s="36" t="s">
        <v>1543</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1452</v>
      </c>
      <c r="E197" s="26">
        <v>87220</v>
      </c>
      <c r="F197" s="10" t="s">
        <v>1453</v>
      </c>
      <c r="G197" s="39" t="str">
        <f>Tableau1[[#This Row],[Rue]]&amp;CHAR(10)&amp;Tableau1[[#This Row],[Code Postal]]&amp;" - "&amp;Tableau1[[#This Row],[Ville]]</f>
        <v>Centre commercial Boisseuil
Route de Toulouse
87220 - Boisseuil</v>
      </c>
      <c r="H197" s="15" t="s">
        <v>1451</v>
      </c>
      <c r="I197" s="12" t="s">
        <v>47</v>
      </c>
      <c r="J197" s="12" t="s">
        <v>49</v>
      </c>
      <c r="K197" s="10" t="s">
        <v>103</v>
      </c>
      <c r="L197" s="10"/>
      <c r="M197" s="12" t="s">
        <v>103</v>
      </c>
      <c r="N197" s="36" t="s">
        <v>1503</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50">
        <v>0.08</v>
      </c>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51">
        <v>2.5000000000000001E-2</v>
      </c>
      <c r="AI197" s="12" t="s">
        <v>363</v>
      </c>
      <c r="AJ197" s="10" t="s">
        <v>375</v>
      </c>
      <c r="AK197" s="10" t="s">
        <v>369</v>
      </c>
      <c r="AL197" s="10" t="s">
        <v>1493</v>
      </c>
      <c r="AM197" s="11" t="s">
        <v>1504</v>
      </c>
      <c r="AN197" s="11" t="s">
        <v>1544</v>
      </c>
      <c r="AO197" s="5" t="s">
        <v>367</v>
      </c>
      <c r="AP197" s="11" t="s">
        <v>1506</v>
      </c>
      <c r="AQ197" s="11" t="s">
        <v>1507</v>
      </c>
      <c r="AR197" s="11" t="s">
        <v>1475</v>
      </c>
      <c r="AS197" s="36" t="s">
        <v>1543</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1452</v>
      </c>
      <c r="E198" s="26">
        <v>87220</v>
      </c>
      <c r="F198" s="10" t="s">
        <v>1453</v>
      </c>
      <c r="G198" s="39" t="str">
        <f>Tableau1[[#This Row],[Rue]]&amp;CHAR(10)&amp;Tableau1[[#This Row],[Code Postal]]&amp;" - "&amp;Tableau1[[#This Row],[Ville]]</f>
        <v>Centre commercial Boisseuil
Route de Toulouse
87220 - Boisseuil</v>
      </c>
      <c r="H198" s="15" t="s">
        <v>1451</v>
      </c>
      <c r="I198" s="12" t="s">
        <v>47</v>
      </c>
      <c r="J198" s="12" t="s">
        <v>49</v>
      </c>
      <c r="K198" s="10" t="s">
        <v>103</v>
      </c>
      <c r="L198" s="10"/>
      <c r="M198" s="12" t="s">
        <v>103</v>
      </c>
      <c r="N198" s="36" t="s">
        <v>1456</v>
      </c>
      <c r="O198" s="34">
        <v>54</v>
      </c>
      <c r="P198" s="12" t="s">
        <v>1466</v>
      </c>
      <c r="Q198" s="34">
        <v>209</v>
      </c>
      <c r="R198" s="34" t="s">
        <v>103</v>
      </c>
      <c r="S198" s="34" t="s">
        <v>103</v>
      </c>
      <c r="T198" s="12">
        <f>Tableau1[[#This Row],[Loyer €/m²]]*Tableau1[[#This Row],[Surface GLA]]</f>
        <v>28080</v>
      </c>
      <c r="U198" s="12">
        <f>IFERROR(Tableau1[[#This Row],[Loyer annuel]]/12,"")</f>
        <v>2340</v>
      </c>
      <c r="V198" s="12">
        <v>520</v>
      </c>
      <c r="W198" s="50">
        <v>0.08</v>
      </c>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51">
        <v>2.5000000000000001E-2</v>
      </c>
      <c r="AI198" s="12" t="s">
        <v>363</v>
      </c>
      <c r="AJ198" s="10" t="s">
        <v>375</v>
      </c>
      <c r="AK198" s="10" t="s">
        <v>369</v>
      </c>
      <c r="AL198" s="10" t="s">
        <v>1493</v>
      </c>
      <c r="AM198" s="11" t="s">
        <v>1504</v>
      </c>
      <c r="AN198" s="11" t="s">
        <v>1544</v>
      </c>
      <c r="AO198" s="5" t="s">
        <v>367</v>
      </c>
      <c r="AP198" s="11" t="s">
        <v>1495</v>
      </c>
      <c r="AQ198" s="11" t="s">
        <v>1508</v>
      </c>
      <c r="AR198" s="11" t="s">
        <v>1476</v>
      </c>
      <c r="AS198" s="36" t="s">
        <v>1543</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1452</v>
      </c>
      <c r="E199" s="26">
        <v>87220</v>
      </c>
      <c r="F199" s="10" t="s">
        <v>1453</v>
      </c>
      <c r="G199" s="39" t="str">
        <f>Tableau1[[#This Row],[Rue]]&amp;CHAR(10)&amp;Tableau1[[#This Row],[Code Postal]]&amp;" - "&amp;Tableau1[[#This Row],[Ville]]</f>
        <v>Centre commercial Boisseuil
Route de Toulouse
87220 - Boisseuil</v>
      </c>
      <c r="H199" s="15" t="s">
        <v>1451</v>
      </c>
      <c r="I199" s="12" t="s">
        <v>47</v>
      </c>
      <c r="J199" s="12" t="s">
        <v>49</v>
      </c>
      <c r="K199" s="10" t="s">
        <v>103</v>
      </c>
      <c r="L199" s="10"/>
      <c r="M199" s="12" t="s">
        <v>103</v>
      </c>
      <c r="N199" s="36" t="s">
        <v>1457</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50">
        <v>0.08</v>
      </c>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51">
        <v>2.5000000000000001E-2</v>
      </c>
      <c r="AI199" s="12" t="s">
        <v>363</v>
      </c>
      <c r="AJ199" s="10" t="s">
        <v>375</v>
      </c>
      <c r="AK199" s="10" t="s">
        <v>369</v>
      </c>
      <c r="AL199" s="10" t="s">
        <v>1493</v>
      </c>
      <c r="AM199" s="11" t="s">
        <v>1504</v>
      </c>
      <c r="AN199" s="11" t="s">
        <v>1544</v>
      </c>
      <c r="AO199" s="5" t="s">
        <v>367</v>
      </c>
      <c r="AP199" s="11" t="s">
        <v>1509</v>
      </c>
      <c r="AQ199" s="11" t="s">
        <v>1510</v>
      </c>
      <c r="AR199" s="11" t="s">
        <v>1477</v>
      </c>
      <c r="AS199" s="36" t="s">
        <v>1543</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1452</v>
      </c>
      <c r="E200" s="26">
        <v>87220</v>
      </c>
      <c r="F200" s="10" t="s">
        <v>1453</v>
      </c>
      <c r="G200" s="39" t="str">
        <f>Tableau1[[#This Row],[Rue]]&amp;CHAR(10)&amp;Tableau1[[#This Row],[Code Postal]]&amp;" - "&amp;Tableau1[[#This Row],[Ville]]</f>
        <v>Centre commercial Boisseuil
Route de Toulouse
87220 - Boisseuil</v>
      </c>
      <c r="H200" s="15" t="s">
        <v>1451</v>
      </c>
      <c r="I200" s="12" t="s">
        <v>47</v>
      </c>
      <c r="J200" s="12" t="s">
        <v>49</v>
      </c>
      <c r="K200" s="10" t="s">
        <v>103</v>
      </c>
      <c r="L200" s="10"/>
      <c r="M200" s="12" t="s">
        <v>103</v>
      </c>
      <c r="N200" s="36" t="s">
        <v>610</v>
      </c>
      <c r="O200" s="34">
        <v>77</v>
      </c>
      <c r="P200" s="12"/>
      <c r="Q200" s="34"/>
      <c r="R200" s="34" t="s">
        <v>103</v>
      </c>
      <c r="S200" s="34" t="s">
        <v>103</v>
      </c>
      <c r="T200" s="12">
        <f>Tableau1[[#This Row],[Loyer €/m²]]*Tableau1[[#This Row],[Surface GLA]]</f>
        <v>34650</v>
      </c>
      <c r="U200" s="12">
        <f>IFERROR(Tableau1[[#This Row],[Loyer annuel]]/12,"")</f>
        <v>2887.5</v>
      </c>
      <c r="V200" s="12">
        <v>450</v>
      </c>
      <c r="W200" s="50">
        <v>0.08</v>
      </c>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51">
        <v>2.5000000000000001E-2</v>
      </c>
      <c r="AI200" s="12" t="s">
        <v>363</v>
      </c>
      <c r="AJ200" s="10" t="s">
        <v>375</v>
      </c>
      <c r="AK200" s="10" t="s">
        <v>369</v>
      </c>
      <c r="AL200" s="10" t="s">
        <v>1493</v>
      </c>
      <c r="AM200" s="11" t="s">
        <v>1504</v>
      </c>
      <c r="AN200" s="11" t="s">
        <v>1544</v>
      </c>
      <c r="AO200" s="5" t="s">
        <v>367</v>
      </c>
      <c r="AP200" s="11" t="s">
        <v>1511</v>
      </c>
      <c r="AQ200" s="11" t="s">
        <v>1512</v>
      </c>
      <c r="AR200" s="11" t="s">
        <v>1478</v>
      </c>
      <c r="AS200" s="36" t="s">
        <v>1543</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1452</v>
      </c>
      <c r="E201" s="26">
        <v>87220</v>
      </c>
      <c r="F201" s="10" t="s">
        <v>1453</v>
      </c>
      <c r="G201" s="39" t="str">
        <f>Tableau1[[#This Row],[Rue]]&amp;CHAR(10)&amp;Tableau1[[#This Row],[Code Postal]]&amp;" - "&amp;Tableau1[[#This Row],[Ville]]</f>
        <v>Centre commercial Boisseuil
Route de Toulouse
87220 - Boisseuil</v>
      </c>
      <c r="H201" s="15" t="s">
        <v>1451</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50">
        <v>0.08</v>
      </c>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51">
        <v>2.5000000000000001E-2</v>
      </c>
      <c r="AI201" s="12" t="s">
        <v>363</v>
      </c>
      <c r="AJ201" s="10" t="s">
        <v>375</v>
      </c>
      <c r="AK201" s="10" t="s">
        <v>369</v>
      </c>
      <c r="AL201" s="10" t="s">
        <v>1493</v>
      </c>
      <c r="AM201" s="11" t="s">
        <v>1504</v>
      </c>
      <c r="AN201" s="11" t="s">
        <v>1544</v>
      </c>
      <c r="AO201" s="5" t="s">
        <v>367</v>
      </c>
      <c r="AP201" s="11" t="s">
        <v>1513</v>
      </c>
      <c r="AQ201" s="11" t="s">
        <v>1514</v>
      </c>
      <c r="AR201" s="11" t="s">
        <v>1479</v>
      </c>
      <c r="AS201" s="36" t="s">
        <v>1543</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1452</v>
      </c>
      <c r="E202" s="26">
        <v>87220</v>
      </c>
      <c r="F202" s="10" t="s">
        <v>1453</v>
      </c>
      <c r="G202" s="39" t="str">
        <f>Tableau1[[#This Row],[Rue]]&amp;CHAR(10)&amp;Tableau1[[#This Row],[Code Postal]]&amp;" - "&amp;Tableau1[[#This Row],[Ville]]</f>
        <v>Centre commercial Boisseuil
Route de Toulouse
87220 - Boisseuil</v>
      </c>
      <c r="H202" s="15" t="s">
        <v>1451</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50">
        <v>0.08</v>
      </c>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51">
        <v>2.5000000000000001E-2</v>
      </c>
      <c r="AI202" s="12" t="s">
        <v>380</v>
      </c>
      <c r="AJ202" s="10" t="s">
        <v>375</v>
      </c>
      <c r="AK202" s="10" t="s">
        <v>369</v>
      </c>
      <c r="AL202" s="10" t="s">
        <v>1493</v>
      </c>
      <c r="AM202" s="11" t="s">
        <v>1504</v>
      </c>
      <c r="AN202" s="11" t="s">
        <v>1544</v>
      </c>
      <c r="AO202" s="5" t="s">
        <v>367</v>
      </c>
      <c r="AP202" s="11" t="s">
        <v>1515</v>
      </c>
      <c r="AQ202" s="11" t="s">
        <v>1516</v>
      </c>
      <c r="AR202" s="11" t="s">
        <v>1480</v>
      </c>
      <c r="AS202" s="36" t="s">
        <v>1543</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1452</v>
      </c>
      <c r="E203" s="26">
        <v>87220</v>
      </c>
      <c r="F203" s="10" t="s">
        <v>1453</v>
      </c>
      <c r="G203" s="39" t="str">
        <f>Tableau1[[#This Row],[Rue]]&amp;CHAR(10)&amp;Tableau1[[#This Row],[Code Postal]]&amp;" - "&amp;Tableau1[[#This Row],[Ville]]</f>
        <v>Centre commercial Boisseuil
Route de Toulouse
87220 - Boisseuil</v>
      </c>
      <c r="H203" s="15" t="s">
        <v>1451</v>
      </c>
      <c r="I203" s="12" t="s">
        <v>47</v>
      </c>
      <c r="J203" s="12" t="s">
        <v>49</v>
      </c>
      <c r="K203" s="10" t="s">
        <v>103</v>
      </c>
      <c r="L203" s="10"/>
      <c r="M203" s="12" t="s">
        <v>103</v>
      </c>
      <c r="N203" s="36" t="s">
        <v>1458</v>
      </c>
      <c r="O203" s="34">
        <v>185</v>
      </c>
      <c r="P203" s="12"/>
      <c r="Q203" s="34"/>
      <c r="R203" s="34" t="s">
        <v>103</v>
      </c>
      <c r="S203" s="34" t="s">
        <v>103</v>
      </c>
      <c r="T203" s="12">
        <f>Tableau1[[#This Row],[Loyer €/m²]]*Tableau1[[#This Row],[Surface GLA]]</f>
        <v>62900</v>
      </c>
      <c r="U203" s="12">
        <f>IFERROR(Tableau1[[#This Row],[Loyer annuel]]/12,"")</f>
        <v>5241.666666666667</v>
      </c>
      <c r="V203" s="12">
        <v>340</v>
      </c>
      <c r="W203" s="50">
        <v>0.08</v>
      </c>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51">
        <v>2.5000000000000001E-2</v>
      </c>
      <c r="AI203" s="12" t="s">
        <v>363</v>
      </c>
      <c r="AJ203" s="10" t="s">
        <v>375</v>
      </c>
      <c r="AK203" s="10" t="s">
        <v>369</v>
      </c>
      <c r="AL203" s="10" t="s">
        <v>1493</v>
      </c>
      <c r="AM203" s="11" t="s">
        <v>1504</v>
      </c>
      <c r="AN203" s="11" t="s">
        <v>1544</v>
      </c>
      <c r="AO203" s="5" t="s">
        <v>367</v>
      </c>
      <c r="AP203" s="11" t="s">
        <v>1517</v>
      </c>
      <c r="AQ203" s="11" t="s">
        <v>1518</v>
      </c>
      <c r="AR203" s="11" t="s">
        <v>1481</v>
      </c>
      <c r="AS203" s="36" t="s">
        <v>1543</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1452</v>
      </c>
      <c r="E204" s="26">
        <v>87220</v>
      </c>
      <c r="F204" s="10" t="s">
        <v>1453</v>
      </c>
      <c r="G204" s="39" t="str">
        <f>Tableau1[[#This Row],[Rue]]&amp;CHAR(10)&amp;Tableau1[[#This Row],[Code Postal]]&amp;" - "&amp;Tableau1[[#This Row],[Ville]]</f>
        <v>Centre commercial Boisseuil
Route de Toulouse
87220 - Boisseuil</v>
      </c>
      <c r="H204" s="15" t="s">
        <v>1451</v>
      </c>
      <c r="I204" s="12" t="s">
        <v>47</v>
      </c>
      <c r="J204" s="12" t="s">
        <v>49</v>
      </c>
      <c r="K204" s="10" t="s">
        <v>103</v>
      </c>
      <c r="L204" s="10"/>
      <c r="M204" s="12" t="s">
        <v>103</v>
      </c>
      <c r="N204" s="36" t="s">
        <v>1459</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50">
        <v>0.08</v>
      </c>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51">
        <v>2.5000000000000001E-2</v>
      </c>
      <c r="AI204" s="12" t="s">
        <v>380</v>
      </c>
      <c r="AJ204" s="10" t="s">
        <v>375</v>
      </c>
      <c r="AK204" s="10" t="s">
        <v>369</v>
      </c>
      <c r="AL204" s="10" t="s">
        <v>1493</v>
      </c>
      <c r="AM204" s="11" t="s">
        <v>1504</v>
      </c>
      <c r="AN204" s="11" t="s">
        <v>1544</v>
      </c>
      <c r="AO204" s="5" t="s">
        <v>367</v>
      </c>
      <c r="AP204" s="11" t="s">
        <v>1519</v>
      </c>
      <c r="AQ204" s="11" t="s">
        <v>1520</v>
      </c>
      <c r="AR204" s="11" t="s">
        <v>1482</v>
      </c>
      <c r="AS204" s="36" t="s">
        <v>1543</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1452</v>
      </c>
      <c r="E205" s="26">
        <v>87220</v>
      </c>
      <c r="F205" s="10" t="s">
        <v>1453</v>
      </c>
      <c r="G205" s="39" t="str">
        <f>Tableau1[[#This Row],[Rue]]&amp;CHAR(10)&amp;Tableau1[[#This Row],[Code Postal]]&amp;" - "&amp;Tableau1[[#This Row],[Ville]]</f>
        <v>Centre commercial Boisseuil
Route de Toulouse
87220 - Boisseuil</v>
      </c>
      <c r="H205" s="15" t="s">
        <v>1451</v>
      </c>
      <c r="I205" s="12" t="s">
        <v>47</v>
      </c>
      <c r="J205" s="12" t="s">
        <v>49</v>
      </c>
      <c r="K205" s="10" t="s">
        <v>103</v>
      </c>
      <c r="L205" s="10"/>
      <c r="M205" s="12" t="s">
        <v>103</v>
      </c>
      <c r="N205" s="36" t="s">
        <v>1460</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50">
        <v>0.08</v>
      </c>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51">
        <v>2.5000000000000001E-2</v>
      </c>
      <c r="AI205" s="12" t="s">
        <v>380</v>
      </c>
      <c r="AJ205" s="10" t="s">
        <v>375</v>
      </c>
      <c r="AK205" s="10" t="s">
        <v>369</v>
      </c>
      <c r="AL205" s="10" t="s">
        <v>1493</v>
      </c>
      <c r="AM205" s="11" t="s">
        <v>1504</v>
      </c>
      <c r="AN205" s="11" t="s">
        <v>1544</v>
      </c>
      <c r="AO205" s="5" t="s">
        <v>367</v>
      </c>
      <c r="AP205" s="11" t="s">
        <v>1521</v>
      </c>
      <c r="AQ205" s="11" t="s">
        <v>1522</v>
      </c>
      <c r="AR205" s="11" t="s">
        <v>1483</v>
      </c>
      <c r="AS205" s="36" t="s">
        <v>1543</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1452</v>
      </c>
      <c r="E206" s="26">
        <v>87220</v>
      </c>
      <c r="F206" s="10" t="s">
        <v>1453</v>
      </c>
      <c r="G206" s="39" t="str">
        <f>Tableau1[[#This Row],[Rue]]&amp;CHAR(10)&amp;Tableau1[[#This Row],[Code Postal]]&amp;" - "&amp;Tableau1[[#This Row],[Ville]]</f>
        <v>Centre commercial Boisseuil
Route de Toulouse
87220 - Boisseuil</v>
      </c>
      <c r="H206" s="15" t="s">
        <v>1451</v>
      </c>
      <c r="I206" s="12" t="s">
        <v>47</v>
      </c>
      <c r="J206" s="12" t="s">
        <v>49</v>
      </c>
      <c r="K206" s="10" t="s">
        <v>103</v>
      </c>
      <c r="L206" s="10"/>
      <c r="M206" s="12" t="s">
        <v>103</v>
      </c>
      <c r="N206" s="36" t="s">
        <v>1461</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50">
        <v>0.08</v>
      </c>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51">
        <v>2.5000000000000001E-2</v>
      </c>
      <c r="AI206" s="12" t="s">
        <v>363</v>
      </c>
      <c r="AJ206" s="10" t="s">
        <v>375</v>
      </c>
      <c r="AK206" s="10" t="s">
        <v>369</v>
      </c>
      <c r="AL206" s="10" t="s">
        <v>1493</v>
      </c>
      <c r="AM206" s="11" t="s">
        <v>1504</v>
      </c>
      <c r="AN206" s="11" t="s">
        <v>1544</v>
      </c>
      <c r="AO206" s="5" t="s">
        <v>367</v>
      </c>
      <c r="AP206" s="11" t="s">
        <v>1523</v>
      </c>
      <c r="AQ206" s="11" t="s">
        <v>1524</v>
      </c>
      <c r="AR206" s="11" t="s">
        <v>1484</v>
      </c>
      <c r="AS206" s="36" t="s">
        <v>1543</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1452</v>
      </c>
      <c r="E207" s="26">
        <v>87220</v>
      </c>
      <c r="F207" s="10" t="s">
        <v>1453</v>
      </c>
      <c r="G207" s="39" t="str">
        <f>Tableau1[[#This Row],[Rue]]&amp;CHAR(10)&amp;Tableau1[[#This Row],[Code Postal]]&amp;" - "&amp;Tableau1[[#This Row],[Ville]]</f>
        <v>Centre commercial Boisseuil
Route de Toulouse
87220 - Boisseuil</v>
      </c>
      <c r="H207" s="15" t="s">
        <v>1451</v>
      </c>
      <c r="I207" s="12" t="s">
        <v>47</v>
      </c>
      <c r="J207" s="12" t="s">
        <v>49</v>
      </c>
      <c r="K207" s="10" t="s">
        <v>103</v>
      </c>
      <c r="L207" s="10"/>
      <c r="M207" s="12" t="s">
        <v>103</v>
      </c>
      <c r="N207" s="36" t="s">
        <v>1462</v>
      </c>
      <c r="O207" s="34">
        <v>164</v>
      </c>
      <c r="P207" s="12"/>
      <c r="Q207" s="34"/>
      <c r="R207" s="34" t="s">
        <v>103</v>
      </c>
      <c r="S207" s="34" t="s">
        <v>103</v>
      </c>
      <c r="T207" s="12">
        <f>Tableau1[[#This Row],[Loyer €/m²]]*Tableau1[[#This Row],[Surface GLA]]</f>
        <v>55760</v>
      </c>
      <c r="U207" s="12">
        <f>IFERROR(Tableau1[[#This Row],[Loyer annuel]]/12,"")</f>
        <v>4646.666666666667</v>
      </c>
      <c r="V207" s="12">
        <v>340</v>
      </c>
      <c r="W207" s="50">
        <v>0.08</v>
      </c>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51">
        <v>2.5000000000000001E-2</v>
      </c>
      <c r="AI207" s="12" t="s">
        <v>363</v>
      </c>
      <c r="AJ207" s="10" t="s">
        <v>375</v>
      </c>
      <c r="AK207" s="10" t="s">
        <v>369</v>
      </c>
      <c r="AL207" s="10" t="s">
        <v>1493</v>
      </c>
      <c r="AM207" s="11" t="s">
        <v>1504</v>
      </c>
      <c r="AN207" s="11" t="s">
        <v>1544</v>
      </c>
      <c r="AO207" s="5" t="s">
        <v>367</v>
      </c>
      <c r="AP207" s="11" t="s">
        <v>1525</v>
      </c>
      <c r="AQ207" s="11" t="s">
        <v>1526</v>
      </c>
      <c r="AR207" s="11" t="s">
        <v>1485</v>
      </c>
      <c r="AS207" s="36" t="s">
        <v>1543</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1452</v>
      </c>
      <c r="E208" s="26">
        <v>87220</v>
      </c>
      <c r="F208" s="10" t="s">
        <v>1453</v>
      </c>
      <c r="G208" s="39" t="str">
        <f>Tableau1[[#This Row],[Rue]]&amp;CHAR(10)&amp;Tableau1[[#This Row],[Code Postal]]&amp;" - "&amp;Tableau1[[#This Row],[Ville]]</f>
        <v>Centre commercial Boisseuil
Route de Toulouse
87220 - Boisseuil</v>
      </c>
      <c r="H208" s="15" t="s">
        <v>1451</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50">
        <v>0.08</v>
      </c>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51">
        <v>2.5000000000000001E-2</v>
      </c>
      <c r="AI208" s="12" t="s">
        <v>363</v>
      </c>
      <c r="AJ208" s="10" t="s">
        <v>375</v>
      </c>
      <c r="AK208" s="10" t="s">
        <v>369</v>
      </c>
      <c r="AL208" s="10" t="s">
        <v>1493</v>
      </c>
      <c r="AM208" s="11" t="s">
        <v>1504</v>
      </c>
      <c r="AN208" s="11" t="s">
        <v>1544</v>
      </c>
      <c r="AO208" s="5" t="s">
        <v>367</v>
      </c>
      <c r="AP208" s="11" t="s">
        <v>1527</v>
      </c>
      <c r="AQ208" s="11" t="s">
        <v>1528</v>
      </c>
      <c r="AR208" s="11" t="s">
        <v>1486</v>
      </c>
      <c r="AS208" s="36" t="s">
        <v>1543</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1452</v>
      </c>
      <c r="E209" s="26">
        <v>87221</v>
      </c>
      <c r="F209" s="10" t="s">
        <v>1453</v>
      </c>
      <c r="G209" s="39" t="str">
        <f>Tableau1[[#This Row],[Rue]]&amp;CHAR(10)&amp;Tableau1[[#This Row],[Code Postal]]&amp;" - "&amp;Tableau1[[#This Row],[Ville]]</f>
        <v>Centre commercial Boisseuil
Route de Toulouse
87221 - Boisseuil</v>
      </c>
      <c r="H209" s="15" t="s">
        <v>1470</v>
      </c>
      <c r="I209" s="12" t="s">
        <v>47</v>
      </c>
      <c r="J209" s="12" t="s">
        <v>49</v>
      </c>
      <c r="K209" s="10" t="s">
        <v>103</v>
      </c>
      <c r="L209" s="10"/>
      <c r="M209" s="12" t="s">
        <v>103</v>
      </c>
      <c r="N209" s="36" t="s">
        <v>1469</v>
      </c>
      <c r="O209" s="34">
        <v>205</v>
      </c>
      <c r="P209" s="12"/>
      <c r="Q209" s="34"/>
      <c r="R209" s="34" t="s">
        <v>103</v>
      </c>
      <c r="S209" s="34" t="s">
        <v>103</v>
      </c>
      <c r="T209" s="12">
        <f>Tableau1[[#This Row],[Loyer €/m²]]*Tableau1[[#This Row],[Surface GLA]]</f>
        <v>71750</v>
      </c>
      <c r="U209" s="12">
        <f>IFERROR(Tableau1[[#This Row],[Loyer annuel]]/12,"")</f>
        <v>5979.166666666667</v>
      </c>
      <c r="V209" s="12">
        <v>350</v>
      </c>
      <c r="W209" s="50">
        <v>0.08</v>
      </c>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51">
        <v>2.5000000000000001E-2</v>
      </c>
      <c r="AI209" s="12" t="s">
        <v>363</v>
      </c>
      <c r="AJ209" s="10" t="s">
        <v>375</v>
      </c>
      <c r="AK209" s="10" t="s">
        <v>369</v>
      </c>
      <c r="AL209" s="10" t="s">
        <v>1493</v>
      </c>
      <c r="AM209" s="11" t="s">
        <v>1504</v>
      </c>
      <c r="AN209" s="11" t="s">
        <v>1544</v>
      </c>
      <c r="AO209" s="5" t="s">
        <v>367</v>
      </c>
      <c r="AP209" s="11" t="s">
        <v>1529</v>
      </c>
      <c r="AQ209" s="11" t="s">
        <v>1530</v>
      </c>
      <c r="AR209" s="11" t="s">
        <v>1487</v>
      </c>
      <c r="AS209" s="36" t="s">
        <v>1543</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1452</v>
      </c>
      <c r="E210" s="26">
        <v>87220</v>
      </c>
      <c r="F210" s="10" t="s">
        <v>1453</v>
      </c>
      <c r="G210" s="39" t="str">
        <f>Tableau1[[#This Row],[Rue]]&amp;CHAR(10)&amp;Tableau1[[#This Row],[Code Postal]]&amp;" - "&amp;Tableau1[[#This Row],[Ville]]</f>
        <v>Centre commercial Boisseuil
Route de Toulouse
87220 - Boisseuil</v>
      </c>
      <c r="H210" s="15" t="s">
        <v>1451</v>
      </c>
      <c r="I210" s="12" t="s">
        <v>47</v>
      </c>
      <c r="J210" s="12" t="s">
        <v>49</v>
      </c>
      <c r="K210" s="10" t="s">
        <v>103</v>
      </c>
      <c r="L210" s="10"/>
      <c r="M210" s="12" t="s">
        <v>103</v>
      </c>
      <c r="N210" s="36" t="s">
        <v>1463</v>
      </c>
      <c r="O210" s="34">
        <v>468</v>
      </c>
      <c r="P210" s="12" t="s">
        <v>1467</v>
      </c>
      <c r="Q210" s="34"/>
      <c r="R210" s="34" t="s">
        <v>103</v>
      </c>
      <c r="S210" s="34" t="s">
        <v>103</v>
      </c>
      <c r="T210" s="12">
        <f>Tableau1[[#This Row],[Loyer €/m²]]*Tableau1[[#This Row],[Surface GLA]]</f>
        <v>84240</v>
      </c>
      <c r="U210" s="12">
        <f>IFERROR(Tableau1[[#This Row],[Loyer annuel]]/12,"")</f>
        <v>7020</v>
      </c>
      <c r="V210" s="12">
        <v>180</v>
      </c>
      <c r="W210" s="50">
        <v>0.08</v>
      </c>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51">
        <v>2.5000000000000001E-2</v>
      </c>
      <c r="AI210" s="12" t="s">
        <v>363</v>
      </c>
      <c r="AJ210" s="10" t="s">
        <v>375</v>
      </c>
      <c r="AK210" s="10" t="s">
        <v>369</v>
      </c>
      <c r="AL210" s="10" t="s">
        <v>1493</v>
      </c>
      <c r="AM210" s="11" t="s">
        <v>1504</v>
      </c>
      <c r="AN210" s="11" t="s">
        <v>1544</v>
      </c>
      <c r="AO210" s="5" t="s">
        <v>367</v>
      </c>
      <c r="AP210" s="11" t="s">
        <v>1531</v>
      </c>
      <c r="AQ210" s="11" t="s">
        <v>1532</v>
      </c>
      <c r="AR210" s="11" t="s">
        <v>1488</v>
      </c>
      <c r="AS210" s="36" t="s">
        <v>1543</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1452</v>
      </c>
      <c r="E211" s="26">
        <v>87220</v>
      </c>
      <c r="F211" s="10" t="s">
        <v>1453</v>
      </c>
      <c r="G211" s="39" t="str">
        <f>Tableau1[[#This Row],[Rue]]&amp;CHAR(10)&amp;Tableau1[[#This Row],[Code Postal]]&amp;" - "&amp;Tableau1[[#This Row],[Ville]]</f>
        <v>Centre commercial Boisseuil
Route de Toulouse
87220 - Boisseuil</v>
      </c>
      <c r="H211" s="15" t="s">
        <v>1451</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50">
        <v>0.08</v>
      </c>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51">
        <v>2.5000000000000001E-2</v>
      </c>
      <c r="AI211" s="12" t="s">
        <v>380</v>
      </c>
      <c r="AJ211" s="10" t="s">
        <v>375</v>
      </c>
      <c r="AK211" s="10" t="s">
        <v>369</v>
      </c>
      <c r="AL211" s="10" t="s">
        <v>1493</v>
      </c>
      <c r="AM211" s="11" t="s">
        <v>1504</v>
      </c>
      <c r="AN211" s="11" t="s">
        <v>1544</v>
      </c>
      <c r="AO211" s="5" t="s">
        <v>367</v>
      </c>
      <c r="AP211" s="11" t="s">
        <v>1533</v>
      </c>
      <c r="AQ211" s="11" t="s">
        <v>1534</v>
      </c>
      <c r="AR211" s="11" t="s">
        <v>1489</v>
      </c>
      <c r="AS211" s="36" t="s">
        <v>1543</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1452</v>
      </c>
      <c r="E212" s="26">
        <v>87220</v>
      </c>
      <c r="F212" s="10" t="s">
        <v>1453</v>
      </c>
      <c r="G212" s="39" t="str">
        <f>Tableau1[[#This Row],[Rue]]&amp;CHAR(10)&amp;Tableau1[[#This Row],[Code Postal]]&amp;" - "&amp;Tableau1[[#This Row],[Ville]]</f>
        <v>Centre commercial Boisseuil
Route de Toulouse
87220 - Boisseuil</v>
      </c>
      <c r="H212" s="15" t="s">
        <v>1451</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50">
        <v>0.08</v>
      </c>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51">
        <v>2.5000000000000001E-2</v>
      </c>
      <c r="AI212" s="12" t="s">
        <v>363</v>
      </c>
      <c r="AJ212" s="10" t="s">
        <v>375</v>
      </c>
      <c r="AK212" s="10" t="s">
        <v>369</v>
      </c>
      <c r="AL212" s="10" t="s">
        <v>1493</v>
      </c>
      <c r="AM212" s="11" t="s">
        <v>1504</v>
      </c>
      <c r="AN212" s="11" t="s">
        <v>1544</v>
      </c>
      <c r="AO212" s="5" t="s">
        <v>367</v>
      </c>
      <c r="AP212" s="11" t="s">
        <v>1535</v>
      </c>
      <c r="AQ212" s="11" t="s">
        <v>1536</v>
      </c>
      <c r="AR212" s="11" t="s">
        <v>1490</v>
      </c>
      <c r="AS212" s="36" t="s">
        <v>1543</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1452</v>
      </c>
      <c r="E213" s="26">
        <v>87220</v>
      </c>
      <c r="F213" s="10" t="s">
        <v>1453</v>
      </c>
      <c r="G213" s="39" t="str">
        <f>Tableau1[[#This Row],[Rue]]&amp;CHAR(10)&amp;Tableau1[[#This Row],[Code Postal]]&amp;" - "&amp;Tableau1[[#This Row],[Ville]]</f>
        <v>Centre commercial Boisseuil
Route de Toulouse
87220 - Boisseuil</v>
      </c>
      <c r="H213" s="15" t="s">
        <v>1451</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50">
        <v>0.08</v>
      </c>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51">
        <v>2.5000000000000001E-2</v>
      </c>
      <c r="AI213" s="12" t="s">
        <v>363</v>
      </c>
      <c r="AJ213" s="10" t="s">
        <v>375</v>
      </c>
      <c r="AK213" s="10" t="s">
        <v>369</v>
      </c>
      <c r="AL213" s="10" t="s">
        <v>1493</v>
      </c>
      <c r="AM213" s="11" t="s">
        <v>1504</v>
      </c>
      <c r="AN213" s="11" t="s">
        <v>1544</v>
      </c>
      <c r="AO213" s="5" t="s">
        <v>367</v>
      </c>
      <c r="AP213" s="11" t="s">
        <v>1537</v>
      </c>
      <c r="AQ213" s="11" t="s">
        <v>1538</v>
      </c>
      <c r="AR213" s="11" t="s">
        <v>1491</v>
      </c>
      <c r="AS213" s="36" t="s">
        <v>1543</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1452</v>
      </c>
      <c r="E214" s="26">
        <v>87220</v>
      </c>
      <c r="F214" s="10" t="s">
        <v>1453</v>
      </c>
      <c r="G214" s="39" t="str">
        <f>Tableau1[[#This Row],[Rue]]&amp;CHAR(10)&amp;Tableau1[[#This Row],[Code Postal]]&amp;" - "&amp;Tableau1[[#This Row],[Ville]]</f>
        <v>Centre commercial Boisseuil
Route de Toulouse
87220 - Boisseuil</v>
      </c>
      <c r="H214" s="15" t="s">
        <v>1451</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50">
        <v>0.08</v>
      </c>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51">
        <v>2.5000000000000001E-2</v>
      </c>
      <c r="AI214" s="12" t="s">
        <v>363</v>
      </c>
      <c r="AJ214" s="10" t="s">
        <v>375</v>
      </c>
      <c r="AK214" s="10" t="s">
        <v>369</v>
      </c>
      <c r="AL214" s="10" t="s">
        <v>1493</v>
      </c>
      <c r="AM214" s="11" t="s">
        <v>1504</v>
      </c>
      <c r="AN214" s="11" t="s">
        <v>1544</v>
      </c>
      <c r="AO214" s="5" t="s">
        <v>367</v>
      </c>
      <c r="AP214" s="11" t="s">
        <v>1539</v>
      </c>
      <c r="AQ214" s="11" t="s">
        <v>1540</v>
      </c>
      <c r="AR214" s="11" t="s">
        <v>1492</v>
      </c>
      <c r="AS214" s="36" t="s">
        <v>1543</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1452</v>
      </c>
      <c r="E215" s="26">
        <v>87220</v>
      </c>
      <c r="F215" s="10" t="s">
        <v>1453</v>
      </c>
      <c r="G215" s="39" t="str">
        <f>Tableau1[[#This Row],[Rue]]&amp;CHAR(10)&amp;Tableau1[[#This Row],[Code Postal]]&amp;" - "&amp;Tableau1[[#This Row],[Ville]]</f>
        <v>Centre commercial Boisseuil
Route de Toulouse
87220 - Boisseuil</v>
      </c>
      <c r="H215" s="15" t="s">
        <v>1451</v>
      </c>
      <c r="I215" s="12" t="s">
        <v>47</v>
      </c>
      <c r="J215" s="12" t="s">
        <v>49</v>
      </c>
      <c r="K215" s="10" t="s">
        <v>1284</v>
      </c>
      <c r="L215" s="10"/>
      <c r="M215" s="12" t="s">
        <v>103</v>
      </c>
      <c r="N215" s="36" t="s">
        <v>1464</v>
      </c>
      <c r="O215" s="34">
        <v>48</v>
      </c>
      <c r="P215" s="12" t="s">
        <v>1468</v>
      </c>
      <c r="Q215" s="34"/>
      <c r="R215" s="34" t="s">
        <v>103</v>
      </c>
      <c r="S215" s="34" t="s">
        <v>103</v>
      </c>
      <c r="T215" s="12">
        <f>Tableau1[[#This Row],[Loyer €/m²]]*Tableau1[[#This Row],[Surface GLA]]</f>
        <v>36000</v>
      </c>
      <c r="U215" s="12">
        <f>IFERROR(Tableau1[[#This Row],[Loyer annuel]]/12,"")</f>
        <v>3000</v>
      </c>
      <c r="V215" s="12">
        <v>750</v>
      </c>
      <c r="W215" s="50">
        <v>0.08</v>
      </c>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51">
        <v>2.5000000000000001E-2</v>
      </c>
      <c r="AI215" s="12" t="s">
        <v>363</v>
      </c>
      <c r="AJ215" s="10" t="s">
        <v>375</v>
      </c>
      <c r="AK215" s="10" t="s">
        <v>369</v>
      </c>
      <c r="AL215" s="10" t="s">
        <v>1493</v>
      </c>
      <c r="AM215" s="11" t="s">
        <v>1504</v>
      </c>
      <c r="AN215" s="11" t="s">
        <v>1544</v>
      </c>
      <c r="AO215" s="5" t="s">
        <v>367</v>
      </c>
      <c r="AP215" s="11" t="s">
        <v>1541</v>
      </c>
      <c r="AQ215" s="11" t="s">
        <v>1542</v>
      </c>
      <c r="AR215" s="11" t="s">
        <v>1505</v>
      </c>
      <c r="AS215" s="36" t="s">
        <v>1543</v>
      </c>
      <c r="AT215" s="11" t="s">
        <v>75</v>
      </c>
      <c r="AU215" s="11" t="s">
        <v>376</v>
      </c>
      <c r="AV215" s="13" t="s">
        <v>74</v>
      </c>
      <c r="AW215" s="14"/>
      <c r="AX215" s="44">
        <v>46058</v>
      </c>
    </row>
    <row r="216" spans="1:50" ht="38.25">
      <c r="A216" s="38" t="str">
        <f>VLOOKUP(Tableau1[[#This Row],[N° Département]],Feuil1!$C$6:$E$106,3)</f>
        <v>Grand Est</v>
      </c>
      <c r="B216" s="38" t="str">
        <f>VLOOKUP(Tableau1[[#This Row],[N° Département]],Feuil1!$C$6:$E$106,2)</f>
        <v>Haut-Rhin</v>
      </c>
      <c r="C216" s="38">
        <f>LEFT(Tableau1[[#This Row],[Code Postal]],2)*1</f>
        <v>68</v>
      </c>
      <c r="D216" s="11" t="s">
        <v>1550</v>
      </c>
      <c r="E216" s="26">
        <v>68730</v>
      </c>
      <c r="F216" s="42" t="s">
        <v>1551</v>
      </c>
      <c r="G216" s="39" t="str">
        <f>Tableau1[[#This Row],[Rue]]&amp;CHAR(10)&amp;Tableau1[[#This Row],[Code Postal]]&amp;" - "&amp;Tableau1[[#This Row],[Ville]]</f>
        <v>Hyper Leclerc Blotzheim
5 bis rue Pierre Clostermann
68730 - Blotzheim</v>
      </c>
      <c r="H216" s="15" t="s">
        <v>1552</v>
      </c>
      <c r="I216" s="12" t="s">
        <v>47</v>
      </c>
      <c r="J216" s="12" t="s">
        <v>50</v>
      </c>
      <c r="K216" s="10" t="s">
        <v>103</v>
      </c>
      <c r="L216" s="53" t="s">
        <v>1553</v>
      </c>
      <c r="M216" s="12" t="s">
        <v>103</v>
      </c>
      <c r="N216" s="36"/>
      <c r="O216" s="34">
        <v>446</v>
      </c>
      <c r="P216" s="12"/>
      <c r="Q216" s="34"/>
      <c r="R216" s="34" t="s">
        <v>103</v>
      </c>
      <c r="S216" s="34" t="s">
        <v>103</v>
      </c>
      <c r="T216" s="12">
        <f>Tableau1[[#This Row],[Loyer €/m²]]*Tableau1[[#This Row],[Surface GLA]]</f>
        <v>66900</v>
      </c>
      <c r="U216" s="12">
        <f>IFERROR(Tableau1[[#This Row],[Loyer annuel]]/12,"")</f>
        <v>5575</v>
      </c>
      <c r="V216" s="12">
        <v>150</v>
      </c>
      <c r="W216" s="34" t="s">
        <v>103</v>
      </c>
      <c r="X216" s="6">
        <f>Tableau1[[#This Row],[Charges €/m²]]*Tableau1[[#This Row],[Surface GLA]]</f>
        <v>1784</v>
      </c>
      <c r="Y216" s="12">
        <f>Tableau1[[#This Row],[Charges annuelles]]/12</f>
        <v>148.66666666666666</v>
      </c>
      <c r="Z216" s="12">
        <v>4</v>
      </c>
      <c r="AA216" s="12">
        <f>IFERROR(Tableau1[[#This Row],[Taxe foncière €/m²]]*Tableau1[[#This Row],[Surface GLA]],)</f>
        <v>4460</v>
      </c>
      <c r="AB216" s="12">
        <v>10</v>
      </c>
      <c r="AC216" s="12">
        <f>IFERROR(Tableau1[[#This Row],[Marketing €/m²]]*Tableau1[[#This Row],[Surface GLA]],)</f>
        <v>0</v>
      </c>
      <c r="AD216" s="12" t="s">
        <v>103</v>
      </c>
      <c r="AE216" s="12">
        <f>IFERROR(Tableau1[[#This Row],[Loyer annuel]]+Tableau1[[#This Row],[Charges annuelles]]+Tableau1[[#This Row],[Taxe foncière]]+Tableau1[[#This Row],[Marketing]],"")</f>
        <v>73144</v>
      </c>
      <c r="AF216" s="12"/>
      <c r="AG216" s="6" t="s">
        <v>103</v>
      </c>
      <c r="AH216" s="6" t="s">
        <v>103</v>
      </c>
      <c r="AI216" s="12" t="s">
        <v>380</v>
      </c>
      <c r="AJ216" s="10" t="s">
        <v>375</v>
      </c>
      <c r="AK216" s="10" t="s">
        <v>369</v>
      </c>
      <c r="AL216" s="10"/>
      <c r="AM216" s="11"/>
      <c r="AN216" s="11" t="s">
        <v>103</v>
      </c>
      <c r="AO216" s="5" t="s">
        <v>367</v>
      </c>
      <c r="AP216" s="11" t="s">
        <v>1577</v>
      </c>
      <c r="AQ216" s="11" t="s">
        <v>1578</v>
      </c>
      <c r="AR216" s="11">
        <v>64</v>
      </c>
      <c r="AS216" s="36" t="s">
        <v>1573</v>
      </c>
      <c r="AT216" s="11" t="s">
        <v>75</v>
      </c>
      <c r="AU216" s="11" t="s">
        <v>1554</v>
      </c>
      <c r="AV216" s="13" t="s">
        <v>1036</v>
      </c>
      <c r="AW216" s="14"/>
      <c r="AX216" s="44">
        <v>46069</v>
      </c>
    </row>
    <row r="217" spans="1:50" ht="38.25">
      <c r="A217" s="38" t="str">
        <f>VLOOKUP(Tableau1[[#This Row],[N° Département]],Feuil1!$C$6:$E$106,3)</f>
        <v>Grand Est</v>
      </c>
      <c r="B217" s="38" t="str">
        <f>VLOOKUP(Tableau1[[#This Row],[N° Département]],Feuil1!$C$6:$E$106,2)</f>
        <v>Haut-Rhin</v>
      </c>
      <c r="C217" s="38">
        <f>LEFT(Tableau1[[#This Row],[Code Postal]],2)*1</f>
        <v>68</v>
      </c>
      <c r="D217" s="11" t="s">
        <v>1555</v>
      </c>
      <c r="E217" s="26">
        <v>68330</v>
      </c>
      <c r="F217" s="42" t="s">
        <v>890</v>
      </c>
      <c r="G217" s="39" t="str">
        <f>Tableau1[[#This Row],[Rue]]&amp;CHAR(10)&amp;Tableau1[[#This Row],[Code Postal]]&amp;" - "&amp;Tableau1[[#This Row],[Ville]]</f>
        <v>Les galeries d'Huningue
9 avenue d'Alsace
68330 - Huningue</v>
      </c>
      <c r="H217" s="15" t="s">
        <v>1557</v>
      </c>
      <c r="I217" s="12" t="s">
        <v>47</v>
      </c>
      <c r="J217" s="12" t="s">
        <v>50</v>
      </c>
      <c r="K217" s="10" t="s">
        <v>103</v>
      </c>
      <c r="L217" s="53" t="s">
        <v>1553</v>
      </c>
      <c r="M217" s="12" t="s">
        <v>103</v>
      </c>
      <c r="N217" s="36" t="s">
        <v>1572</v>
      </c>
      <c r="O217" s="34">
        <v>300</v>
      </c>
      <c r="P217" s="12"/>
      <c r="Q217" s="34"/>
      <c r="R217" s="34" t="s">
        <v>103</v>
      </c>
      <c r="S217" s="34" t="s">
        <v>103</v>
      </c>
      <c r="T217" s="12">
        <f>Tableau1[[#This Row],[Loyer €/m²]]*Tableau1[[#This Row],[Surface GLA]]</f>
        <v>60000</v>
      </c>
      <c r="U217" s="12">
        <f>IFERROR(Tableau1[[#This Row],[Loyer annuel]]/12,"")</f>
        <v>5000</v>
      </c>
      <c r="V217" s="12">
        <v>200</v>
      </c>
      <c r="W217" s="34" t="s">
        <v>103</v>
      </c>
      <c r="X217" s="12"/>
      <c r="Y217" s="12">
        <f>Tableau1[[#This Row],[Charges annuelles]]/12</f>
        <v>0</v>
      </c>
      <c r="Z217" s="12"/>
      <c r="AA217" s="12">
        <f>IFERROR(Tableau1[[#This Row],[Taxe foncière €/m²]]*Tableau1[[#This Row],[Surface GLA]],)</f>
        <v>0</v>
      </c>
      <c r="AB217" s="12"/>
      <c r="AC217" s="12">
        <f>IFERROR(Tableau1[[#This Row],[Marketing €/m²]]*Tableau1[[#This Row],[Surface GLA]],)</f>
        <v>0</v>
      </c>
      <c r="AD217" s="12" t="s">
        <v>103</v>
      </c>
      <c r="AE217" s="12">
        <f>IFERROR(Tableau1[[#This Row],[Loyer annuel]]+Tableau1[[#This Row],[Charges annuelles]]+Tableau1[[#This Row],[Taxe foncière]]+Tableau1[[#This Row],[Marketing]],"")</f>
        <v>60000</v>
      </c>
      <c r="AF217" s="12"/>
      <c r="AG217" s="6" t="s">
        <v>103</v>
      </c>
      <c r="AH217" s="6" t="s">
        <v>103</v>
      </c>
      <c r="AI217" s="12" t="s">
        <v>380</v>
      </c>
      <c r="AJ217" s="10" t="s">
        <v>375</v>
      </c>
      <c r="AK217" s="10" t="s">
        <v>369</v>
      </c>
      <c r="AL217" s="10"/>
      <c r="AM217" s="11" t="s">
        <v>1039</v>
      </c>
      <c r="AN217" s="11" t="s">
        <v>103</v>
      </c>
      <c r="AO217" s="5" t="s">
        <v>367</v>
      </c>
      <c r="AP217" s="11" t="s">
        <v>1028</v>
      </c>
      <c r="AQ217" s="11" t="s">
        <v>1029</v>
      </c>
      <c r="AR217" s="11" t="s">
        <v>1569</v>
      </c>
      <c r="AS217" s="36" t="s">
        <v>1574</v>
      </c>
      <c r="AT217" s="11" t="s">
        <v>75</v>
      </c>
      <c r="AU217" s="11" t="s">
        <v>1566</v>
      </c>
      <c r="AV217" s="13" t="s">
        <v>1036</v>
      </c>
      <c r="AW217" s="14"/>
      <c r="AX217" s="44">
        <v>46069</v>
      </c>
    </row>
    <row r="218" spans="1:50" ht="38.25">
      <c r="A218" s="38" t="str">
        <f>VLOOKUP(Tableau1[[#This Row],[N° Département]],Feuil1!$C$6:$E$106,3)</f>
        <v>Grand Est</v>
      </c>
      <c r="B218" s="38" t="str">
        <f>VLOOKUP(Tableau1[[#This Row],[N° Département]],Feuil1!$C$6:$E$106,2)</f>
        <v>Haut-Rhin</v>
      </c>
      <c r="C218" s="38">
        <f>LEFT(Tableau1[[#This Row],[Code Postal]],2)*1</f>
        <v>68</v>
      </c>
      <c r="D218" s="11" t="s">
        <v>1556</v>
      </c>
      <c r="E218" s="26">
        <v>68331</v>
      </c>
      <c r="F218" s="42" t="s">
        <v>890</v>
      </c>
      <c r="G218" s="39" t="str">
        <f>Tableau1[[#This Row],[Rue]]&amp;CHAR(10)&amp;Tableau1[[#This Row],[Code Postal]]&amp;" - "&amp;Tableau1[[#This Row],[Ville]]</f>
        <v>Les galeries d'Huningue
7 avenue d'Alsace
68331 - Huningue</v>
      </c>
      <c r="H218" s="15" t="s">
        <v>1558</v>
      </c>
      <c r="I218" s="12" t="s">
        <v>47</v>
      </c>
      <c r="J218" s="12" t="s">
        <v>50</v>
      </c>
      <c r="K218" s="10" t="s">
        <v>103</v>
      </c>
      <c r="L218" s="53" t="s">
        <v>1553</v>
      </c>
      <c r="M218" s="12" t="s">
        <v>1179</v>
      </c>
      <c r="N218" s="36"/>
      <c r="O218" s="34">
        <v>608</v>
      </c>
      <c r="P218" s="12"/>
      <c r="Q218" s="34"/>
      <c r="R218" s="34" t="s">
        <v>103</v>
      </c>
      <c r="S218" s="34" t="s">
        <v>103</v>
      </c>
      <c r="T218" s="12">
        <f>Tableau1[[#This Row],[Loyer €/m²]]*Tableau1[[#This Row],[Surface GLA]]</f>
        <v>121600</v>
      </c>
      <c r="U218" s="12">
        <f>IFERROR(Tableau1[[#This Row],[Loyer annuel]]/12,"")</f>
        <v>10133.333333333334</v>
      </c>
      <c r="V218" s="12">
        <v>200</v>
      </c>
      <c r="W218" s="34" t="s">
        <v>103</v>
      </c>
      <c r="X218" s="12"/>
      <c r="Y218" s="12">
        <f>Tableau1[[#This Row],[Charges annuelles]]/12</f>
        <v>0</v>
      </c>
      <c r="Z218" s="12"/>
      <c r="AA218" s="12">
        <f>IFERROR(Tableau1[[#This Row],[Taxe foncière €/m²]]*Tableau1[[#This Row],[Surface GLA]],)</f>
        <v>0</v>
      </c>
      <c r="AB218" s="12"/>
      <c r="AC218" s="12">
        <f>IFERROR(Tableau1[[#This Row],[Marketing €/m²]]*Tableau1[[#This Row],[Surface GLA]],)</f>
        <v>0</v>
      </c>
      <c r="AD218" s="12" t="s">
        <v>103</v>
      </c>
      <c r="AE218" s="12">
        <f>IFERROR(Tableau1[[#This Row],[Loyer annuel]]+Tableau1[[#This Row],[Charges annuelles]]+Tableau1[[#This Row],[Taxe foncière]]+Tableau1[[#This Row],[Marketing]],"")</f>
        <v>121600</v>
      </c>
      <c r="AF218" s="12"/>
      <c r="AG218" s="6" t="s">
        <v>103</v>
      </c>
      <c r="AH218" s="6" t="s">
        <v>103</v>
      </c>
      <c r="AI218" s="12" t="s">
        <v>380</v>
      </c>
      <c r="AJ218" s="10" t="s">
        <v>375</v>
      </c>
      <c r="AK218" s="10" t="s">
        <v>369</v>
      </c>
      <c r="AL218" s="10"/>
      <c r="AM218" s="11" t="s">
        <v>1571</v>
      </c>
      <c r="AN218" s="11" t="s">
        <v>103</v>
      </c>
      <c r="AO218" s="5" t="s">
        <v>367</v>
      </c>
      <c r="AP218" s="11" t="s">
        <v>1579</v>
      </c>
      <c r="AQ218" s="11" t="s">
        <v>1580</v>
      </c>
      <c r="AR218" s="11" t="s">
        <v>1570</v>
      </c>
      <c r="AS218" s="36" t="s">
        <v>1575</v>
      </c>
      <c r="AT218" s="11" t="s">
        <v>75</v>
      </c>
      <c r="AU218" s="11" t="s">
        <v>1567</v>
      </c>
      <c r="AV218" s="13" t="s">
        <v>1036</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1559</v>
      </c>
      <c r="E219" s="26">
        <v>68220</v>
      </c>
      <c r="F219" s="42" t="s">
        <v>1560</v>
      </c>
      <c r="G219" s="39" t="str">
        <f>Tableau1[[#This Row],[Rue]]&amp;CHAR(10)&amp;Tableau1[[#This Row],[Code Postal]]&amp;" - "&amp;Tableau1[[#This Row],[Ville]]</f>
        <v>Les galeries d'Hegenheim
Rue d'Alschwill
68220 - Hegenheim</v>
      </c>
      <c r="H219" s="52"/>
      <c r="I219" s="12"/>
      <c r="J219" s="12"/>
      <c r="K219" s="10" t="s">
        <v>103</v>
      </c>
      <c r="L219" s="53" t="s">
        <v>1553</v>
      </c>
      <c r="M219" s="12" t="s">
        <v>103</v>
      </c>
      <c r="N219" s="36"/>
      <c r="O219" s="34">
        <v>257</v>
      </c>
      <c r="P219" s="12"/>
      <c r="Q219" s="34"/>
      <c r="R219" s="34" t="s">
        <v>103</v>
      </c>
      <c r="S219" s="34" t="s">
        <v>103</v>
      </c>
      <c r="T219" s="12">
        <f>Tableau1[[#This Row],[Loyer €/m²]]*Tableau1[[#This Row],[Surface GLA]]</f>
        <v>51400</v>
      </c>
      <c r="U219" s="12">
        <f>IFERROR(Tableau1[[#This Row],[Loyer annuel]]/12,"")</f>
        <v>4283.333333333333</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51400</v>
      </c>
      <c r="AF219" s="12"/>
      <c r="AG219" s="6" t="s">
        <v>103</v>
      </c>
      <c r="AH219" s="6" t="s">
        <v>103</v>
      </c>
      <c r="AI219" s="12" t="s">
        <v>380</v>
      </c>
      <c r="AJ219" s="10" t="s">
        <v>375</v>
      </c>
      <c r="AK219" s="10" t="s">
        <v>369</v>
      </c>
      <c r="AL219" s="10"/>
      <c r="AM219" s="11"/>
      <c r="AN219" s="11" t="s">
        <v>103</v>
      </c>
      <c r="AO219" s="5" t="s">
        <v>367</v>
      </c>
      <c r="AP219" s="11"/>
      <c r="AQ219" s="11"/>
      <c r="AR219" s="11">
        <v>66</v>
      </c>
      <c r="AS219" s="36" t="s">
        <v>1576</v>
      </c>
      <c r="AT219" s="11" t="s">
        <v>75</v>
      </c>
      <c r="AU219" s="11" t="s">
        <v>1568</v>
      </c>
      <c r="AV219" s="13" t="s">
        <v>1036</v>
      </c>
      <c r="AW219" s="14"/>
      <c r="AX219" s="44">
        <v>46069</v>
      </c>
    </row>
    <row r="220" spans="1:50" ht="25.5">
      <c r="A220" s="38" t="str">
        <f>VLOOKUP(Tableau1[[#This Row],[N° Département]],Feuil1!$C$6:$E$106,3)</f>
        <v>Grand Est</v>
      </c>
      <c r="B220" s="38" t="str">
        <f>VLOOKUP(Tableau1[[#This Row],[N° Département]],Feuil1!$C$6:$E$106,2)</f>
        <v>Haut-Rhin</v>
      </c>
      <c r="C220" s="38">
        <f>LEFT(Tableau1[[#This Row],[Code Postal]],2)*1</f>
        <v>68</v>
      </c>
      <c r="D220" s="10" t="s">
        <v>1561</v>
      </c>
      <c r="E220" s="26">
        <v>68300</v>
      </c>
      <c r="F220" s="42" t="s">
        <v>1562</v>
      </c>
      <c r="G220" s="39" t="str">
        <f>Tableau1[[#This Row],[Rue]]&amp;CHAR(10)&amp;Tableau1[[#This Row],[Code Postal]]&amp;" - "&amp;Tableau1[[#This Row],[Ville]]</f>
        <v>10 rue Alexandre Freund
68300 - Saint-Louis</v>
      </c>
      <c r="H220" s="15" t="s">
        <v>1563</v>
      </c>
      <c r="I220" s="12" t="s">
        <v>47</v>
      </c>
      <c r="J220" s="12"/>
      <c r="K220" s="10" t="s">
        <v>1206</v>
      </c>
      <c r="L220" s="10"/>
      <c r="M220" s="12"/>
      <c r="N220" s="36"/>
      <c r="O220" s="34">
        <v>250</v>
      </c>
      <c r="P220" s="12"/>
      <c r="Q220" s="34"/>
      <c r="R220" s="34" t="s">
        <v>103</v>
      </c>
      <c r="S220" s="34" t="s">
        <v>103</v>
      </c>
      <c r="T220" s="12">
        <f>Tableau1[[#This Row],[Loyer €/m²]]*Tableau1[[#This Row],[Surface GLA]]</f>
        <v>43750</v>
      </c>
      <c r="U220" s="12">
        <f>IFERROR(Tableau1[[#This Row],[Loyer annuel]]/12,"")</f>
        <v>3645.8333333333335</v>
      </c>
      <c r="V220" s="12">
        <v>175</v>
      </c>
      <c r="W220" s="34" t="s">
        <v>103</v>
      </c>
      <c r="X220" s="12"/>
      <c r="Y220" s="12">
        <f>Tableau1[[#This Row],[Charges annuelles]]/12</f>
        <v>0</v>
      </c>
      <c r="Z220" s="12"/>
      <c r="AA220" s="12">
        <f>IFERROR(Tableau1[[#This Row],[Taxe foncière €/m²]]*Tableau1[[#This Row],[Surface GLA]],)</f>
        <v>2000</v>
      </c>
      <c r="AB220" s="12">
        <v>8</v>
      </c>
      <c r="AC220" s="12">
        <f>IFERROR(Tableau1[[#This Row],[Marketing €/m²]]*Tableau1[[#This Row],[Surface GLA]],)</f>
        <v>0</v>
      </c>
      <c r="AD220" s="12" t="s">
        <v>103</v>
      </c>
      <c r="AE220" s="12">
        <f>IFERROR(Tableau1[[#This Row],[Loyer annuel]]+Tableau1[[#This Row],[Charges annuelles]]+Tableau1[[#This Row],[Taxe foncière]]+Tableau1[[#This Row],[Marketing]],"")</f>
        <v>45750</v>
      </c>
      <c r="AF220" s="12"/>
      <c r="AG220" s="6" t="s">
        <v>103</v>
      </c>
      <c r="AH220" s="6" t="s">
        <v>103</v>
      </c>
      <c r="AI220" s="12" t="s">
        <v>363</v>
      </c>
      <c r="AJ220" s="10" t="s">
        <v>53</v>
      </c>
      <c r="AK220" s="10" t="s">
        <v>103</v>
      </c>
      <c r="AL220" s="10"/>
      <c r="AM220" s="11" t="s">
        <v>1564</v>
      </c>
      <c r="AN220" s="11" t="s">
        <v>103</v>
      </c>
      <c r="AO220" s="5" t="s">
        <v>367</v>
      </c>
      <c r="AP220" s="11" t="s">
        <v>1581</v>
      </c>
      <c r="AQ220" s="11" t="s">
        <v>1582</v>
      </c>
      <c r="AR220" s="11">
        <v>67</v>
      </c>
      <c r="AS220" s="36"/>
      <c r="AT220" s="11" t="s">
        <v>75</v>
      </c>
      <c r="AU220" s="11" t="s">
        <v>1565</v>
      </c>
      <c r="AV220" s="13" t="s">
        <v>1036</v>
      </c>
      <c r="AW220" s="14"/>
      <c r="AX220" s="44">
        <v>46069</v>
      </c>
    </row>
    <row r="221" spans="1:50" ht="38.25">
      <c r="A221" s="38" t="str">
        <f>VLOOKUP(Tableau1[[#This Row],[N° Département]],Feuil1!$C$6:$E$106,3)</f>
        <v>Occitanie</v>
      </c>
      <c r="B221" s="38" t="str">
        <f>VLOOKUP(Tableau1[[#This Row],[N° Département]],Feuil1!$C$6:$E$106,2)</f>
        <v>Lozère</v>
      </c>
      <c r="C221" s="38">
        <f>LEFT(Tableau1[[#This Row],[Code Postal]],2)*1</f>
        <v>48</v>
      </c>
      <c r="D221" s="11" t="s">
        <v>1545</v>
      </c>
      <c r="E221" s="26">
        <v>48000</v>
      </c>
      <c r="F221" s="10" t="s">
        <v>1546</v>
      </c>
      <c r="G221" s="39" t="str">
        <f>Tableau1[[#This Row],[Rue]]&amp;CHAR(10)&amp;Tableau1[[#This Row],[Code Postal]]&amp;" - "&amp;Tableau1[[#This Row],[Ville]]</f>
        <v>Centre commercial Cœur Lozère
Avenue de Ramilles
48000 - Mende</v>
      </c>
      <c r="H221" s="15" t="s">
        <v>1547</v>
      </c>
      <c r="I221" s="12" t="s">
        <v>47</v>
      </c>
      <c r="J221" s="12" t="s">
        <v>49</v>
      </c>
      <c r="K221" s="10"/>
      <c r="L221" s="10"/>
      <c r="M221" s="12" t="s">
        <v>103</v>
      </c>
      <c r="N221" s="36"/>
      <c r="O221" s="34"/>
      <c r="P221" s="12"/>
      <c r="Q221" s="34"/>
      <c r="R221" s="10"/>
      <c r="S221" s="12"/>
      <c r="T221" s="12"/>
      <c r="U221" s="12">
        <f>IFERROR(Tableau1[[#This Row],[Loyer annuel]]/12,"")</f>
        <v>0</v>
      </c>
      <c r="V221" s="12"/>
      <c r="W221" s="12"/>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c r="AE221" s="12">
        <f>IFERROR(Tableau1[[#This Row],[Loyer annuel]]+Tableau1[[#This Row],[Charges annuelles]]+Tableau1[[#This Row],[Taxe foncière]]+Tableau1[[#This Row],[Marketing]],"")</f>
        <v>0</v>
      </c>
      <c r="AF221" s="12"/>
      <c r="AG221" s="12"/>
      <c r="AH221" s="12"/>
      <c r="AI221" s="12"/>
      <c r="AJ221" s="10"/>
      <c r="AK221" s="10"/>
      <c r="AL221" s="10"/>
      <c r="AM221" s="11"/>
      <c r="AN221" s="11"/>
      <c r="AO221" s="5" t="s">
        <v>367</v>
      </c>
      <c r="AP221" s="11"/>
      <c r="AQ221" s="11"/>
      <c r="AR221" s="11"/>
      <c r="AS221" s="36"/>
      <c r="AT221" s="11"/>
      <c r="AU221" s="11"/>
      <c r="AV221" s="13"/>
      <c r="AW221" s="14"/>
      <c r="AX221" s="44"/>
    </row>
    <row r="222" spans="1:50" ht="38.25">
      <c r="A222" s="38" t="str">
        <f>VLOOKUP(Tableau1[[#This Row],[N° Département]],Feuil1!$C$6:$E$106,3)</f>
        <v>Occitanie</v>
      </c>
      <c r="B222" s="38" t="str">
        <f>VLOOKUP(Tableau1[[#This Row],[N° Département]],Feuil1!$C$6:$E$106,2)</f>
        <v>Lozère</v>
      </c>
      <c r="C222" s="38">
        <f>LEFT(Tableau1[[#This Row],[Code Postal]],2)*1</f>
        <v>48</v>
      </c>
      <c r="D222" s="11" t="s">
        <v>1545</v>
      </c>
      <c r="E222" s="26">
        <v>48001</v>
      </c>
      <c r="F222" s="10" t="s">
        <v>1546</v>
      </c>
      <c r="G222" s="39" t="str">
        <f>Tableau1[[#This Row],[Rue]]&amp;CHAR(10)&amp;Tableau1[[#This Row],[Code Postal]]&amp;" - "&amp;Tableau1[[#This Row],[Ville]]</f>
        <v>Centre commercial Cœur Lozère
Avenue de Ramilles
48001 - Mende</v>
      </c>
      <c r="H222" s="15" t="s">
        <v>1548</v>
      </c>
      <c r="I222" s="12" t="s">
        <v>47</v>
      </c>
      <c r="J222" s="12" t="s">
        <v>49</v>
      </c>
      <c r="K222" s="10"/>
      <c r="L222" s="10"/>
      <c r="M222" s="12" t="s">
        <v>1179</v>
      </c>
      <c r="N222" s="36"/>
      <c r="O222" s="34"/>
      <c r="P222" s="12"/>
      <c r="Q222" s="34"/>
      <c r="R222" s="10"/>
      <c r="S222" s="12"/>
      <c r="T222" s="12"/>
      <c r="U222" s="12">
        <f>IFERROR(Tableau1[[#This Row],[Loyer annuel]]/12,"")</f>
        <v>0</v>
      </c>
      <c r="V222" s="12"/>
      <c r="W222" s="12"/>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c r="AE222" s="12">
        <f>IFERROR(Tableau1[[#This Row],[Loyer annuel]]+Tableau1[[#This Row],[Charges annuelles]]+Tableau1[[#This Row],[Taxe foncière]]+Tableau1[[#This Row],[Marketing]],"")</f>
        <v>0</v>
      </c>
      <c r="AF222" s="12"/>
      <c r="AG222" s="12"/>
      <c r="AH222" s="12"/>
      <c r="AI222" s="12"/>
      <c r="AJ222" s="10"/>
      <c r="AK222" s="10"/>
      <c r="AL222" s="10"/>
      <c r="AM222" s="11"/>
      <c r="AN222" s="11"/>
      <c r="AO222" s="5" t="s">
        <v>367</v>
      </c>
      <c r="AP222" s="11"/>
      <c r="AQ222" s="11"/>
      <c r="AR222" s="11"/>
      <c r="AS222" s="36"/>
      <c r="AT222" s="11"/>
      <c r="AU222" s="11"/>
      <c r="AV222" s="13"/>
      <c r="AW222" s="14"/>
      <c r="AX222" s="44"/>
    </row>
    <row r="223" spans="1:50" ht="38.25">
      <c r="A223" s="38" t="str">
        <f>VLOOKUP(Tableau1[[#This Row],[N° Département]],Feuil1!$C$6:$E$106,3)</f>
        <v>Occitanie</v>
      </c>
      <c r="B223" s="38" t="str">
        <f>VLOOKUP(Tableau1[[#This Row],[N° Département]],Feuil1!$C$6:$E$106,2)</f>
        <v>Lozère</v>
      </c>
      <c r="C223" s="38">
        <f>LEFT(Tableau1[[#This Row],[Code Postal]],2)*1</f>
        <v>48</v>
      </c>
      <c r="D223" s="11" t="s">
        <v>1545</v>
      </c>
      <c r="E223" s="26">
        <v>48002</v>
      </c>
      <c r="F223" s="10" t="s">
        <v>1546</v>
      </c>
      <c r="G223" s="39" t="str">
        <f>Tableau1[[#This Row],[Rue]]&amp;CHAR(10)&amp;Tableau1[[#This Row],[Code Postal]]&amp;" - "&amp;Tableau1[[#This Row],[Ville]]</f>
        <v>Centre commercial Cœur Lozère
Avenue de Ramilles
48002 - Mende</v>
      </c>
      <c r="H223" s="15" t="s">
        <v>1549</v>
      </c>
      <c r="I223" s="12" t="s">
        <v>47</v>
      </c>
      <c r="J223" s="12" t="s">
        <v>49</v>
      </c>
      <c r="K223" s="10" t="s">
        <v>1284</v>
      </c>
      <c r="L223" s="10"/>
      <c r="M223" s="12" t="s">
        <v>103</v>
      </c>
      <c r="N223" s="36"/>
      <c r="O223" s="34"/>
      <c r="P223" s="12"/>
      <c r="Q223" s="34"/>
      <c r="R223" s="10"/>
      <c r="S223" s="12"/>
      <c r="T223" s="12"/>
      <c r="U223" s="12">
        <f>IFERROR(Tableau1[[#This Row],[Loyer annuel]]/12,"")</f>
        <v>0</v>
      </c>
      <c r="V223" s="12"/>
      <c r="W223" s="12"/>
      <c r="X223" s="12"/>
      <c r="Y223" s="12">
        <f>Tableau1[[#This Row],[Charges annuelles]]/12</f>
        <v>0</v>
      </c>
      <c r="Z223" s="12"/>
      <c r="AA223" s="12">
        <f>IFERROR(Tableau1[[#This Row],[Taxe foncière €/m²]]*Tableau1[[#This Row],[Surface GLA]],)</f>
        <v>0</v>
      </c>
      <c r="AB223" s="12"/>
      <c r="AC223" s="12">
        <f>IFERROR(Tableau1[[#This Row],[Marketing €/m²]]*Tableau1[[#This Row],[Surface GLA]],)</f>
        <v>0</v>
      </c>
      <c r="AD223" s="12"/>
      <c r="AE223" s="12">
        <f>IFERROR(Tableau1[[#This Row],[Loyer annuel]]+Tableau1[[#This Row],[Charges annuelles]]+Tableau1[[#This Row],[Taxe foncière]]+Tableau1[[#This Row],[Marketing]],"")</f>
        <v>0</v>
      </c>
      <c r="AF223" s="12"/>
      <c r="AG223" s="12"/>
      <c r="AH223" s="12"/>
      <c r="AI223" s="12"/>
      <c r="AJ223" s="10"/>
      <c r="AK223" s="10"/>
      <c r="AL223" s="10"/>
      <c r="AM223" s="11"/>
      <c r="AN223" s="11"/>
      <c r="AO223" s="5" t="s">
        <v>367</v>
      </c>
      <c r="AP223" s="11"/>
      <c r="AQ223" s="11"/>
      <c r="AR223" s="11"/>
      <c r="AS223" s="36"/>
      <c r="AT223" s="11"/>
      <c r="AU223" s="11"/>
      <c r="AV223" s="13"/>
      <c r="AW223" s="14"/>
      <c r="AX223" s="44"/>
    </row>
    <row r="231" spans="6:6">
      <c r="F231" s="1" t="s">
        <v>1020</v>
      </c>
    </row>
    <row r="232" spans="6:6">
      <c r="F232"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8" r:id="rId112" xr:uid="{83F81C45-2D7B-4019-9457-DB12A08DE525}"/>
    <hyperlink ref="H149" r:id="rId113" xr:uid="{5DD490B2-A51A-488D-BCDE-B83932141509}"/>
    <hyperlink ref="H150" r:id="rId114" xr:uid="{8FDF2590-E1B8-4CE8-9753-7BFB747102D3}"/>
    <hyperlink ref="H151" r:id="rId115" xr:uid="{F9E1A7BC-0810-451D-AAC4-F0BE420D1B9F}"/>
    <hyperlink ref="H152" r:id="rId116" xr:uid="{6B38E304-7485-42E7-9EFC-3CDA0B79C692}"/>
    <hyperlink ref="H153" r:id="rId117" xr:uid="{9BAD643D-2774-4811-AF7F-3253EB54E8FC}"/>
    <hyperlink ref="H154" r:id="rId118" xr:uid="{8C4EE05C-7B50-4EF6-B2F7-FACAB92DA663}"/>
    <hyperlink ref="H158" r:id="rId119" xr:uid="{0D1E98E9-4BCF-4406-AFDA-600010FB176B}"/>
    <hyperlink ref="H159" r:id="rId120" xr:uid="{580F9DBE-E800-4F84-BEDC-E8B38FD61F7A}"/>
    <hyperlink ref="H160" r:id="rId121" xr:uid="{372123E9-8C5B-4111-8443-C1645E86AD4D}"/>
    <hyperlink ref="H161" r:id="rId122" xr:uid="{CC20D8BA-62C0-4205-8CD5-E236C90A7669}"/>
    <hyperlink ref="H168" r:id="rId123" xr:uid="{D9CEB66C-2A2B-4C50-90E4-25DDB2866B82}"/>
    <hyperlink ref="H169" r:id="rId124" xr:uid="{77194CDF-321B-4F1D-8892-C65AB2918B74}"/>
    <hyperlink ref="H170" r:id="rId125" xr:uid="{A510C509-E61B-4228-AC93-D0093532C7D2}"/>
    <hyperlink ref="H171" r:id="rId126" xr:uid="{13D66F57-470F-41F4-93A6-03D5A2A4CCDB}"/>
    <hyperlink ref="H172" r:id="rId127" xr:uid="{5B7EA501-9646-45C8-A6A4-6075F4FADE70}"/>
    <hyperlink ref="H173" r:id="rId128" xr:uid="{6D822EC9-F492-4D93-A1BA-8FA65E1327B7}"/>
    <hyperlink ref="H175" r:id="rId129" xr:uid="{3C8BCE0A-AAD1-4E3F-915C-B7BFA9B07703}"/>
    <hyperlink ref="H176" r:id="rId130" xr:uid="{EB1761D0-DA2C-4FCB-8A87-DC3BF56A199A}"/>
    <hyperlink ref="H174" r:id="rId131" xr:uid="{AC7B9731-155A-409D-B7DE-6A2C81027D18}"/>
    <hyperlink ref="H177" r:id="rId132" xr:uid="{ED7C6A33-7CA0-4B59-BFC3-713467DF5837}"/>
    <hyperlink ref="H155" r:id="rId133" xr:uid="{84DBA056-5C11-4ECE-9D32-78D0DE5AACCA}"/>
    <hyperlink ref="H156" r:id="rId134" xr:uid="{3F6F7192-2423-4CFD-AC54-5D69482DCDAA}"/>
    <hyperlink ref="H157" r:id="rId135" xr:uid="{34F05E83-B67A-4D2E-97A2-715EF4DB16F0}"/>
    <hyperlink ref="H178" r:id="rId136" xr:uid="{0DCDD234-61DD-4535-96A0-1CB0ED1C39E2}"/>
    <hyperlink ref="H162" r:id="rId137" xr:uid="{69AC0ECC-2E2A-4A8B-BC81-EF4428A37640}"/>
    <hyperlink ref="H163:H167" r:id="rId138" display="https://maps.app.goo.gl/jjHUN2H4tKUGyBEQ7" xr:uid="{2DDA41A9-46D6-46F1-BFA4-95D30FE59882}"/>
    <hyperlink ref="H179" r:id="rId139" xr:uid="{F6366A42-B67C-40CD-AFBC-6C8424BEB013}"/>
    <hyperlink ref="H181" r:id="rId140" xr:uid="{AC4BD242-08DC-4A93-AF73-32CF15E14420}"/>
    <hyperlink ref="H182" r:id="rId141" xr:uid="{3FEF2131-529B-4B74-9649-3B4B1CFC2613}"/>
    <hyperlink ref="H183" r:id="rId142" xr:uid="{3F02EB48-A165-461F-8BAF-AC050FE23690}"/>
    <hyperlink ref="H184" r:id="rId143" xr:uid="{145A22A7-33A1-43C0-A440-9E0FD9BB1AD1}"/>
    <hyperlink ref="H185" r:id="rId144" xr:uid="{A5000FCA-4DF3-47B7-97D9-DAAC213C360B}"/>
    <hyperlink ref="H186" r:id="rId145" xr:uid="{9FF463BE-AA91-4BC5-AE7D-4936D1C6D265}"/>
    <hyperlink ref="H187" r:id="rId146" xr:uid="{EED7450E-F5F5-483A-B269-54C932486E0F}"/>
    <hyperlink ref="H188" r:id="rId147" xr:uid="{B52E97C0-A3E5-471B-BD01-7BEB96586BB6}"/>
    <hyperlink ref="H189" r:id="rId148" xr:uid="{6D139DEB-1BCB-45F1-9FA5-40A114985687}"/>
    <hyperlink ref="H139" r:id="rId149" xr:uid="{069CCB02-48CE-4D86-8BBE-DFAEAC941704}"/>
    <hyperlink ref="H180" r:id="rId150" xr:uid="{3FF7903C-E5BA-4ED9-88DD-9F4AF755FB57}"/>
    <hyperlink ref="H190" r:id="rId151" xr:uid="{B58FC76B-D0FB-47D2-9309-07FBB7AE8F26}"/>
    <hyperlink ref="H191" r:id="rId152" xr:uid="{5ACAB395-A666-4978-812B-9B6039F53703}"/>
    <hyperlink ref="H192" r:id="rId153" xr:uid="{21A42A74-18EE-46BA-BF13-26B8D1F6FB47}"/>
    <hyperlink ref="H193" r:id="rId154" xr:uid="{979A4771-81FC-497B-97EF-32C019953489}"/>
    <hyperlink ref="H194" r:id="rId155" xr:uid="{234D72AD-6212-4E7C-8477-5EE09B54842C}"/>
    <hyperlink ref="H195" r:id="rId156" xr:uid="{00FC64E2-B2F8-4262-AD93-67A69A51A2AE}"/>
    <hyperlink ref="H198" r:id="rId157" xr:uid="{37D46FE9-659B-4E71-B1B0-2BAE5EB3E001}"/>
    <hyperlink ref="H200" r:id="rId158" xr:uid="{C1FEA757-567F-46DB-8BE8-C181F4790348}"/>
    <hyperlink ref="H202" r:id="rId159" xr:uid="{E5DA9A5D-81D1-4927-A98E-48C8E1B7F848}"/>
    <hyperlink ref="H204" r:id="rId160" xr:uid="{BF1AC4BD-BCB3-41AE-BB4E-A4D7D4B9CA30}"/>
    <hyperlink ref="H206" r:id="rId161" xr:uid="{F331605E-78A2-41C4-A9DE-125F32D6DA17}"/>
    <hyperlink ref="H208" r:id="rId162" xr:uid="{CD04C61F-F4DD-4619-8D0C-B117149DDD16}"/>
    <hyperlink ref="H211" r:id="rId163" xr:uid="{126CAEE5-AFE9-4D78-8299-0693794DBF35}"/>
    <hyperlink ref="H213" r:id="rId164" xr:uid="{99CC6C3B-99A9-43A2-98C5-FB3C0CDBB22E}"/>
    <hyperlink ref="H215" r:id="rId165" xr:uid="{5ACB8786-94C9-4AC5-891E-06289DFF8043}"/>
    <hyperlink ref="H196" r:id="rId166" xr:uid="{2FDB9825-2079-4C7E-B037-8188CA0176F5}"/>
    <hyperlink ref="H199" r:id="rId167" xr:uid="{A69F4B4C-FA3C-439D-BC44-569193F38E47}"/>
    <hyperlink ref="H201" r:id="rId168" xr:uid="{46585970-332F-4A0A-9FB9-F74633BF4F42}"/>
    <hyperlink ref="H203" r:id="rId169" xr:uid="{8D52DD5E-FD4A-4159-BFA0-B6EE5B956520}"/>
    <hyperlink ref="H205" r:id="rId170" xr:uid="{DDFB99AD-CCF9-4F9C-B530-960F480ECD4B}"/>
    <hyperlink ref="H207" r:id="rId171" xr:uid="{8C88AF55-D328-4D4E-ACE7-C01C70716F01}"/>
    <hyperlink ref="H210" r:id="rId172" xr:uid="{A2384EAF-1892-4C85-B4DB-D89DEED6A1DD}"/>
    <hyperlink ref="H212" r:id="rId173" xr:uid="{D6D56087-231C-4ABA-8429-E4BF41585FE5}"/>
    <hyperlink ref="H214" r:id="rId174" xr:uid="{D09EAEF8-49AC-4164-AAB1-5DDF19295801}"/>
    <hyperlink ref="H209" r:id="rId175" display="https://maps.app.goo.gl/RJ2QRVrW96tKL7ur6" xr:uid="{609C48FB-80B4-46B2-AA88-2F3D30BF6C33}"/>
    <hyperlink ref="H197" r:id="rId176" xr:uid="{2E729EBE-5AE8-4BE9-AA51-7933BA8C3C79}"/>
    <hyperlink ref="H221" r:id="rId177" xr:uid="{CCF25449-1659-4582-89F9-12D2B6EE3579}"/>
    <hyperlink ref="H222" r:id="rId178" display="https://maps.app.goo.gl/7dsMYhd2KW95ZzZs5" xr:uid="{EC1AD3C9-DDCC-4E6E-B2E9-DAF4ADC35D2C}"/>
    <hyperlink ref="H223" r:id="rId179" display="https://maps.app.goo.gl/7dsMYhd2KW95ZzZs5" xr:uid="{50958474-7E87-4C6E-8635-C114CA360BBD}"/>
    <hyperlink ref="H216" r:id="rId180" xr:uid="{9041352D-F93F-4B8D-B1AB-6E12264A34EA}"/>
    <hyperlink ref="H217" r:id="rId181" xr:uid="{FB6C0D8E-2AF1-40BC-BE6E-2992CB054D78}"/>
    <hyperlink ref="H218" r:id="rId182" xr:uid="{1F235C3F-C9DB-4C11-8CCF-0C97AB89EBD7}"/>
    <hyperlink ref="H220" r:id="rId183" xr:uid="{388632CD-FE0B-4C31-ACA8-6DA26C4D8ADF}"/>
    <hyperlink ref="H147" r:id="rId184" xr:uid="{D89787FE-D414-4ADC-AC02-C8B9D2520919}"/>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8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2026-02-16T18:16:27Z</dcterms:modified>
</cp:coreProperties>
</file>